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drawings/charts/chart3.xml" ContentType="application/vnd.openxmlformats-officedocument.drawingml.char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Override PartName="/xl/tables/table12.xml" ContentType="application/vnd.openxmlformats-officedocument.spreadsheetml.table+xml"/>
  <Override PartName="/xl/worksheets/sheet14.xml" ContentType="application/vnd.openxmlformats-officedocument.spreadsheetml.worksheet+xml"/>
  <Override PartName="/xl/worksheets/sheet1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b14bbb4d47e4c2b" /></Relationships>
</file>

<file path=xl/workbook.xml><?xml version="1.0" encoding="utf-8"?>
<x:workbook xmlns:x="http://schemas.openxmlformats.org/spreadsheetml/2006/main">
  <x:sheets>
    <x:sheet xmlns:r="http://schemas.openxmlformats.org/officeDocument/2006/relationships" name="Dashboard" sheetId="1" r:id="R3d38d79388bb424c"/>
    <x:sheet xmlns:r="http://schemas.openxmlformats.org/officeDocument/2006/relationships" name="Release_Plan" sheetId="2" r:id="R29821c7cfe33474f"/>
    <x:sheet xmlns:r="http://schemas.openxmlformats.org/officeDocument/2006/relationships" name="Features" sheetId="3" r:id="R76ed755e9831494d"/>
    <x:sheet xmlns:r="http://schemas.openxmlformats.org/officeDocument/2006/relationships" name="Requirements" sheetId="4" r:id="R0806785229634f7d"/>
    <x:sheet xmlns:r="http://schemas.openxmlformats.org/officeDocument/2006/relationships" name="Test_Cases" sheetId="5" r:id="R02564cfd4a7040a9"/>
    <x:sheet xmlns:r="http://schemas.openxmlformats.org/officeDocument/2006/relationships" name="Test_Executions" sheetId="6" r:id="R0fd7ef9dbed44672"/>
    <x:sheet xmlns:r="http://schemas.openxmlformats.org/officeDocument/2006/relationships" name="Defects" sheetId="7" r:id="R69bd372ec31d46e8"/>
    <x:sheet xmlns:r="http://schemas.openxmlformats.org/officeDocument/2006/relationships" name="Risks" sheetId="8" r:id="Rd81a7d00e56e42b3"/>
    <x:sheet xmlns:r="http://schemas.openxmlformats.org/officeDocument/2006/relationships" name="Metrics" sheetId="9" r:id="R4683db1a4e734624"/>
    <x:sheet xmlns:r="http://schemas.openxmlformats.org/officeDocument/2006/relationships" name="Release_Gates" sheetId="10" r:id="Re6c8ddfe9aeb4c64"/>
    <x:sheet xmlns:r="http://schemas.openxmlformats.org/officeDocument/2006/relationships" name="Daily_Log" sheetId="11" r:id="R8fe61b31aaf946d7"/>
    <x:sheet xmlns:r="http://schemas.openxmlformats.org/officeDocument/2006/relationships" name="Evidence" sheetId="12" r:id="R245cba1faa244bf8"/>
    <x:sheet xmlns:r="http://schemas.openxmlformats.org/officeDocument/2006/relationships" name="JS_Data_Map" sheetId="13" r:id="R2413bc9a2b574e9a"/>
    <x:sheet xmlns:r="http://schemas.openxmlformats.org/officeDocument/2006/relationships" name="Lists" sheetId="14" r:id="R8a76c757cf7b4339"/>
    <x:sheet xmlns:r="http://schemas.openxmlformats.org/officeDocument/2006/relationships" name="README" sheetId="15" r:id="R3d66444613724ad3"/>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yyyy-mm-dd"/>
    <x:numFmt numFmtId="201" formatCode="0%"/>
    <x:numFmt numFmtId="202" formatCode="yyyy-mm-dd hh:mm"/>
    <x:numFmt numFmtId="203" formatCode="0"/>
  </x:numFmts>
  <x:fonts count="17">
    <x:font>
      <x:sz val="11"/>
      <x:name val="Carlito"/>
    </x:font>
    <x:font>
      <x:b/>
      <x:sz val="18"/>
      <x:color rgb="FFFFFFFF"/>
      <x:name val="Carlito"/>
    </x:font>
    <x:font>
      <x:i/>
      <x:sz val="10"/>
      <x:color rgb="FFFFFFFF"/>
      <x:name val="Carlito"/>
    </x:font>
    <x:font>
      <x:b/>
      <x:sz val="11"/>
      <x:color rgb="FFFFFFFF"/>
      <x:name val="Carlito"/>
    </x:font>
    <x:font>
      <x:b/>
      <x:sz val="12"/>
      <x:color rgb="FFFFFFFF"/>
      <x:name val="Carlito"/>
    </x:font>
    <x:font>
      <x:sz val="10"/>
      <x:color rgb="FFE2E8F0"/>
      <x:name val="Consolas"/>
    </x:font>
    <x:font>
      <x:sz val="11"/>
      <x:color rgb="FF0B1F33"/>
      <x:name val="Carlito"/>
    </x:font>
    <x:font>
      <x:b/>
      <x:sz val="10"/>
      <x:color rgb="FFFFFFFF"/>
      <x:name val="Carlito"/>
    </x:font>
    <x:font>
      <x:b/>
      <x:sz val="22"/>
      <x:color rgb="FF0B1F33"/>
      <x:name val="Carlito"/>
    </x:font>
    <x:font>
      <x:b/>
      <x:sz val="11"/>
      <x:color rgb="FF0B1F33"/>
      <x:name val="Carlito"/>
    </x:font>
    <x:font>
      <x:b/>
      <x:sz val="10"/>
      <x:color rgb="FFFFFFFF"/>
      <x:name val="Aptos"/>
    </x:font>
    <x:font>
      <x:sz val="10"/>
      <x:name val="Aptos"/>
    </x:font>
    <x:font>
      <x:i/>
      <x:sz val="10"/>
      <x:color rgb="FFFFFFFF"/>
      <x:name val="Aptos"/>
    </x:font>
    <x:font>
      <x:b/>
      <x:sz val="10"/>
      <x:color rgb="FF0B1F33"/>
      <x:name val="Aptos"/>
    </x:font>
    <x:font>
      <x:sz val="10"/>
      <x:color rgb="FFE2E8F0"/>
      <x:name val="Aptos"/>
    </x:font>
    <x:font>
      <x:sz val="10"/>
      <x:color rgb="FF0B1F33"/>
      <x:name val="Aptos"/>
    </x:font>
    <x:font>
      <x:b/>
      <x:sz val="18"/>
      <x:color rgb="FFFFFFFF"/>
      <x:name val="Aptos"/>
    </x:font>
  </x:fonts>
  <x:fills count="14">
    <x:fill>
      <x:patternFill patternType="none"/>
    </x:fill>
    <x:fill>
      <x:patternFill patternType="gray125"/>
    </x:fill>
    <x:fill>
      <x:patternFill patternType="solid">
        <x:fgColor rgb="FF0B1F33"/>
      </x:patternFill>
    </x:fill>
    <x:fill>
      <x:patternFill patternType="solid">
        <x:fgColor rgb="FF15324B"/>
      </x:patternFill>
    </x:fill>
    <x:fill>
      <x:patternFill patternType="solid">
        <x:fgColor rgb="FF0F766E"/>
      </x:patternFill>
    </x:fill>
    <x:fill>
      <x:patternFill patternType="solid">
        <x:fgColor rgb="FFF3F8FF"/>
      </x:patternFill>
    </x:fill>
    <x:fill>
      <x:patternFill patternType="solid">
        <x:fgColor rgb="FF0F172A"/>
      </x:patternFill>
    </x:fill>
    <x:fill>
      <x:patternFill patternType="solid">
        <x:fgColor rgb="FFF8FAFC"/>
      </x:patternFill>
    </x:fill>
    <x:fill>
      <x:patternFill patternType="solid">
        <x:fgColor rgb="FF2563EB"/>
      </x:patternFill>
    </x:fill>
    <x:fill>
      <x:patternFill patternType="solid">
        <x:fgColor rgb="FF15803D"/>
      </x:patternFill>
    </x:fill>
    <x:fill>
      <x:patternFill patternType="solid">
        <x:fgColor rgb="FFB91C1C"/>
      </x:patternFill>
    </x:fill>
    <x:fill>
      <x:patternFill patternType="solid">
        <x:fgColor rgb="FF7E22CE"/>
      </x:patternFill>
    </x:fill>
    <x:fill>
      <x:patternFill patternType="solid">
        <x:fgColor rgb="FFE2E8F0"/>
      </x:patternFill>
    </x:fill>
    <x:fill>
      <x:patternFill patternType="solid">
        <x:fgColor rgb="FFFFF7ED"/>
      </x:patternFill>
    </x:fill>
  </x:fills>
  <x:borders count="62">
    <x:border/>
    <x:border/>
    <x:border>
      <x:left style="thin">
        <x:color rgb="FFCBD5E1"/>
      </x:left>
      <x:right style="thin">
        <x:color rgb="FFCBD5E1"/>
      </x:right>
      <x:top style="thin">
        <x:color rgb="FFCBD5E1"/>
      </x:top>
      <x:bottom style="thin">
        <x:color rgb="FFCBD5E1"/>
      </x:bottom>
    </x:border>
    <x:border>
      <x:left style="thin">
        <x:color rgb="FFCBD5E1"/>
      </x:left>
      <x:right style="thin">
        <x:color rgb="FFCBD5E1"/>
      </x:right>
      <x:top style="thin">
        <x:color rgb="FFCBD5E1"/>
      </x:top>
      <x:bottom style="thin">
        <x:color rgb="FFCBD5E1"/>
      </x:bottom>
    </x:border>
    <x:border>
      <x:left style="thin">
        <x:color rgb="FFCBD5E1"/>
      </x:left>
      <x:top style="thin">
        <x:color rgb="FFCBD5E1"/>
      </x:top>
      <x:bottom style="thin">
        <x:color rgb="FFCBD5E1"/>
      </x:bottom>
    </x:border>
    <x:border>
      <x:top style="thin">
        <x:color rgb="FFCBD5E1"/>
      </x:top>
      <x:bottom style="thin">
        <x:color rgb="FFCBD5E1"/>
      </x:bottom>
    </x:border>
    <x:border>
      <x:right style="thin">
        <x:color rgb="FFCBD5E1"/>
      </x:right>
      <x:top style="thin">
        <x:color rgb="FFCBD5E1"/>
      </x:top>
      <x:bottom style="thin">
        <x:color rgb="FFCBD5E1"/>
      </x:bottom>
    </x:border>
    <x:border>
      <x:left style="thin">
        <x:color rgb="FFCBD5E1"/>
      </x:left>
      <x:top style="thin">
        <x:color rgb="FFCBD5E1"/>
      </x:top>
      <x:bottom style="thin">
        <x:color rgb="FFCBD5E1"/>
      </x:bottom>
    </x:border>
    <x:border>
      <x:top style="thin">
        <x:color rgb="FFCBD5E1"/>
      </x:top>
      <x:bottom style="thin">
        <x:color rgb="FFCBD5E1"/>
      </x:bottom>
    </x:border>
    <x:border>
      <x:right style="thin">
        <x:color rgb="FFCBD5E1"/>
      </x:right>
      <x:top style="thin">
        <x:color rgb="FFCBD5E1"/>
      </x:top>
      <x:bottom style="thin">
        <x:color rgb="FFCBD5E1"/>
      </x:bottom>
    </x:border>
    <x:border>
      <x:bottom style="hair">
        <x:color rgb="FFE2E8F0"/>
      </x:bottom>
    </x:border>
    <x:border>
      <x:bottom style="hair">
        <x:color rgb="FFE2E8F0"/>
      </x:bottom>
    </x:border>
    <x:border>
      <x:bottom style="thin">
        <x:color rgb="FFE2E8F0"/>
      </x:bottom>
    </x:border>
    <x:border>
      <x:bottom style="thin">
        <x:color rgb="FFE2E8F0"/>
      </x:bottom>
    </x:border>
    <x:border>
      <x:left style="thin">
        <x:color rgb="FF2563EB"/>
      </x:left>
    </x:border>
    <x:border>
      <x:right style="thin">
        <x:color rgb="FF2563EB"/>
      </x:right>
    </x:border>
    <x:border>
      <x:left style="thin">
        <x:color rgb="FF2563EB"/>
      </x:left>
      <x:bottom style="medium">
        <x:color rgb="FF2563EB"/>
      </x:bottom>
    </x:border>
    <x:border>
      <x:bottom style="medium">
        <x:color rgb="FF2563EB"/>
      </x:bottom>
    </x:border>
    <x:border>
      <x:right style="thin">
        <x:color rgb="FF2563EB"/>
      </x:right>
      <x:bottom style="medium">
        <x:color rgb="FF2563EB"/>
      </x:bottom>
    </x:border>
    <x:border>
      <x:left style="thin">
        <x:color rgb="FF2563EB"/>
      </x:left>
    </x:border>
    <x:border>
      <x:right style="thin">
        <x:color rgb="FF2563EB"/>
      </x:right>
    </x:border>
    <x:border>
      <x:left style="thin">
        <x:color rgb="FF2563EB"/>
      </x:left>
      <x:bottom style="medium">
        <x:color rgb="FF2563EB"/>
      </x:bottom>
    </x:border>
    <x:border>
      <x:bottom style="medium">
        <x:color rgb="FF2563EB"/>
      </x:bottom>
    </x:border>
    <x:border>
      <x:right style="thin">
        <x:color rgb="FF2563EB"/>
      </x:right>
      <x:bottom style="medium">
        <x:color rgb="FF2563EB"/>
      </x:bottom>
    </x:border>
    <x:border>
      <x:left style="thin">
        <x:color rgb="FF0F766E"/>
      </x:left>
    </x:border>
    <x:border>
      <x:right style="thin">
        <x:color rgb="FF0F766E"/>
      </x:right>
    </x:border>
    <x:border>
      <x:left style="thin">
        <x:color rgb="FF0F766E"/>
      </x:left>
      <x:bottom style="medium">
        <x:color rgb="FF0F766E"/>
      </x:bottom>
    </x:border>
    <x:border>
      <x:bottom style="medium">
        <x:color rgb="FF0F766E"/>
      </x:bottom>
    </x:border>
    <x:border>
      <x:right style="thin">
        <x:color rgb="FF0F766E"/>
      </x:right>
      <x:bottom style="medium">
        <x:color rgb="FF0F766E"/>
      </x:bottom>
    </x:border>
    <x:border>
      <x:left style="thin">
        <x:color rgb="FF0F766E"/>
      </x:left>
    </x:border>
    <x:border>
      <x:right style="thin">
        <x:color rgb="FF0F766E"/>
      </x:right>
    </x:border>
    <x:border>
      <x:left style="thin">
        <x:color rgb="FF0F766E"/>
      </x:left>
      <x:bottom style="medium">
        <x:color rgb="FF0F766E"/>
      </x:bottom>
    </x:border>
    <x:border>
      <x:bottom style="medium">
        <x:color rgb="FF0F766E"/>
      </x:bottom>
    </x:border>
    <x:border>
      <x:right style="thin">
        <x:color rgb="FF0F766E"/>
      </x:right>
      <x:bottom style="medium">
        <x:color rgb="FF0F766E"/>
      </x:bottom>
    </x:border>
    <x:border>
      <x:left style="thin">
        <x:color rgb="FF15803D"/>
      </x:left>
    </x:border>
    <x:border>
      <x:right style="thin">
        <x:color rgb="FF15803D"/>
      </x:right>
    </x:border>
    <x:border>
      <x:left style="thin">
        <x:color rgb="FF15803D"/>
      </x:left>
      <x:bottom style="medium">
        <x:color rgb="FF15803D"/>
      </x:bottom>
    </x:border>
    <x:border>
      <x:bottom style="medium">
        <x:color rgb="FF15803D"/>
      </x:bottom>
    </x:border>
    <x:border>
      <x:right style="thin">
        <x:color rgb="FF15803D"/>
      </x:right>
      <x:bottom style="medium">
        <x:color rgb="FF15803D"/>
      </x:bottom>
    </x:border>
    <x:border>
      <x:left style="thin">
        <x:color rgb="FF15803D"/>
      </x:left>
    </x:border>
    <x:border>
      <x:right style="thin">
        <x:color rgb="FF15803D"/>
      </x:right>
    </x:border>
    <x:border>
      <x:left style="thin">
        <x:color rgb="FF15803D"/>
      </x:left>
      <x:bottom style="medium">
        <x:color rgb="FF15803D"/>
      </x:bottom>
    </x:border>
    <x:border>
      <x:bottom style="medium">
        <x:color rgb="FF15803D"/>
      </x:bottom>
    </x:border>
    <x:border>
      <x:right style="thin">
        <x:color rgb="FF15803D"/>
      </x:right>
      <x:bottom style="medium">
        <x:color rgb="FF15803D"/>
      </x:bottom>
    </x:border>
    <x:border>
      <x:left style="thin">
        <x:color rgb="FFB91C1C"/>
      </x:left>
    </x:border>
    <x:border>
      <x:right style="thin">
        <x:color rgb="FFB91C1C"/>
      </x:right>
    </x:border>
    <x:border>
      <x:left style="thin">
        <x:color rgb="FFB91C1C"/>
      </x:left>
      <x:bottom style="medium">
        <x:color rgb="FFB91C1C"/>
      </x:bottom>
    </x:border>
    <x:border>
      <x:bottom style="medium">
        <x:color rgb="FFB91C1C"/>
      </x:bottom>
    </x:border>
    <x:border>
      <x:right style="thin">
        <x:color rgb="FFB91C1C"/>
      </x:right>
      <x:bottom style="medium">
        <x:color rgb="FFB91C1C"/>
      </x:bottom>
    </x:border>
    <x:border>
      <x:left style="thin">
        <x:color rgb="FFB91C1C"/>
      </x:left>
    </x:border>
    <x:border>
      <x:right style="thin">
        <x:color rgb="FFB91C1C"/>
      </x:right>
    </x:border>
    <x:border>
      <x:left style="thin">
        <x:color rgb="FFB91C1C"/>
      </x:left>
      <x:bottom style="medium">
        <x:color rgb="FFB91C1C"/>
      </x:bottom>
    </x:border>
    <x:border>
      <x:bottom style="medium">
        <x:color rgb="FFB91C1C"/>
      </x:bottom>
    </x:border>
    <x:border>
      <x:right style="thin">
        <x:color rgb="FFB91C1C"/>
      </x:right>
      <x:bottom style="medium">
        <x:color rgb="FFB91C1C"/>
      </x:bottom>
    </x:border>
    <x:border>
      <x:left style="thin">
        <x:color rgb="FF7E22CE"/>
      </x:left>
    </x:border>
    <x:border>
      <x:right style="thin">
        <x:color rgb="FF7E22CE"/>
      </x:right>
    </x:border>
    <x:border>
      <x:left style="thin">
        <x:color rgb="FF7E22CE"/>
      </x:left>
      <x:bottom style="medium">
        <x:color rgb="FF7E22CE"/>
      </x:bottom>
    </x:border>
    <x:border>
      <x:right style="thin">
        <x:color rgb="FF7E22CE"/>
      </x:right>
      <x:bottom style="medium">
        <x:color rgb="FF7E22CE"/>
      </x:bottom>
    </x:border>
    <x:border>
      <x:left style="thin">
        <x:color rgb="FF7E22CE"/>
      </x:left>
    </x:border>
    <x:border>
      <x:right style="thin">
        <x:color rgb="FF7E22CE"/>
      </x:right>
    </x:border>
    <x:border>
      <x:left style="thin">
        <x:color rgb="FF7E22CE"/>
      </x:left>
      <x:bottom style="medium">
        <x:color rgb="FF7E22CE"/>
      </x:bottom>
    </x:border>
    <x:border>
      <x:right style="thin">
        <x:color rgb="FF7E22CE"/>
      </x:right>
      <x:bottom style="medium">
        <x:color rgb="FF7E22CE"/>
      </x:bottom>
    </x:border>
  </x:borders>
  <x:cellStyleXfs count="1">
    <x:xf numFmtId="0" fontId="0" fillId="0" borderId="0"/>
  </x:cellStyleXfs>
  <x:cellXfs count="49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horizontal="left"/>
    </x:xf>
    <x:xf numFmtId="0" fontId="2" fillId="3" borderId="0" xfId="0" applyNumberFormat="1" applyFont="1" applyFill="1" applyBorder="1" applyAlignment="1">
      <x:alignment horizontal="left" vertical="center"/>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horizontal="left"/>
    </x:xf>
    <x:xf numFmtId="0" fontId="2" fillId="3" borderId="1" xfId="0" applyNumberFormat="1" applyFont="1" applyFill="1" applyBorder="1" applyAlignment="1">
      <x:alignment horizontal="left" vertical="center"/>
    </x:xf>
    <x:xf numFmtId="0" fontId="0" fillId="4" borderId="0" xfId="0" applyNumberFormat="1" applyFont="1" applyFill="1" applyBorder="1"/>
    <x:xf numFmtId="0" fontId="3" fillId="4" borderId="0" xfId="0" applyNumberFormat="1" applyFont="1" applyFill="1" applyBorder="1"/>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horizontal="center" wrapText="1"/>
    </x:xf>
    <x:xf numFmtId="0" fontId="3" fillId="4" borderId="2" xfId="0" applyNumberFormat="1" applyFont="1" applyFill="1" applyBorder="1" applyAlignment="1">
      <x:alignment horizontal="center" vertical="center" wrapText="1"/>
    </x:xf>
    <x:xf numFmtId="0" fontId="0" fillId="4" borderId="1" xfId="0" applyNumberFormat="1" applyFont="1" applyFill="1" applyBorder="1"/>
    <x:xf numFmtId="0" fontId="3" fillId="4" borderId="1" xfId="0" applyNumberFormat="1" applyFont="1" applyFill="1" applyBorder="1"/>
    <x:xf numFmtId="0" fontId="3" fillId="4" borderId="3" xfId="0" applyNumberFormat="1" applyFont="1" applyFill="1" applyBorder="1"/>
    <x:xf numFmtId="0" fontId="3" fillId="4" borderId="3" xfId="0" applyNumberFormat="1" applyFont="1" applyFill="1" applyBorder="1" applyAlignment="1">
      <x:alignment wrapText="1"/>
    </x:xf>
    <x:xf numFmtId="0" fontId="3" fillId="4" borderId="3" xfId="0" applyNumberFormat="1" applyFont="1" applyFill="1" applyBorder="1" applyAlignment="1">
      <x:alignment horizontal="center" wrapText="1"/>
    </x:xf>
    <x:xf numFmtId="0" fontId="3" fillId="4" borderId="3"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6"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6" xfId="0" applyNumberFormat="1" applyFont="1" applyFill="1" applyBorder="1" applyAlignment="1">
      <x:alignment wrapText="1"/>
    </x:xf>
    <x:xf numFmtId="0" fontId="3" fillId="4" borderId="4" xfId="0" applyNumberFormat="1" applyFont="1" applyFill="1" applyBorder="1" applyAlignment="1">
      <x:alignment horizontal="center" wrapText="1"/>
    </x:xf>
    <x:xf numFmtId="0" fontId="3" fillId="4" borderId="5" xfId="0" applyNumberFormat="1" applyFont="1" applyFill="1" applyBorder="1" applyAlignment="1">
      <x:alignment horizontal="center" wrapText="1"/>
    </x:xf>
    <x:xf numFmtId="0" fontId="3" fillId="4" borderId="6" xfId="0" applyNumberFormat="1" applyFont="1" applyFill="1" applyBorder="1" applyAlignment="1">
      <x:alignment horizontal="center" wrapText="1"/>
    </x:xf>
    <x:xf numFmtId="0" fontId="3" fillId="4" borderId="4" xfId="0" applyNumberFormat="1" applyFont="1" applyFill="1" applyBorder="1" applyAlignment="1">
      <x:alignment horizontal="center" vertical="center" wrapText="1"/>
    </x:xf>
    <x:xf numFmtId="0" fontId="3" fillId="4" borderId="5" xfId="0" applyNumberFormat="1" applyFont="1" applyFill="1" applyBorder="1" applyAlignment="1">
      <x:alignment horizontal="center" vertical="center" wrapText="1"/>
    </x:xf>
    <x:xf numFmtId="0" fontId="3" fillId="4" borderId="6" xfId="0" applyNumberFormat="1" applyFont="1" applyFill="1" applyBorder="1" applyAlignment="1">
      <x:alignment horizontal="center" vertical="center" wrapText="1"/>
    </x:xf>
    <x:xf numFmtId="0" fontId="3" fillId="4" borderId="7" xfId="0" applyNumberFormat="1" applyFont="1" applyFill="1" applyBorder="1"/>
    <x:xf numFmtId="0" fontId="3" fillId="4" borderId="8" xfId="0" applyNumberFormat="1" applyFont="1" applyFill="1" applyBorder="1"/>
    <x:xf numFmtId="0" fontId="3" fillId="4" borderId="9" xfId="0" applyNumberFormat="1" applyFont="1" applyFill="1" applyBorder="1"/>
    <x:xf numFmtId="0" fontId="3" fillId="4" borderId="7" xfId="0" applyNumberFormat="1" applyFont="1" applyFill="1" applyBorder="1" applyAlignment="1">
      <x:alignment wrapText="1"/>
    </x:xf>
    <x:xf numFmtId="0" fontId="3" fillId="4" borderId="8" xfId="0" applyNumberFormat="1" applyFont="1" applyFill="1" applyBorder="1" applyAlignment="1">
      <x:alignment wrapText="1"/>
    </x:xf>
    <x:xf numFmtId="0" fontId="3" fillId="4" borderId="9" xfId="0" applyNumberFormat="1" applyFont="1" applyFill="1" applyBorder="1" applyAlignment="1">
      <x:alignment wrapText="1"/>
    </x:xf>
    <x:xf numFmtId="0" fontId="3" fillId="4" borderId="7" xfId="0" applyNumberFormat="1" applyFont="1" applyFill="1" applyBorder="1" applyAlignment="1">
      <x:alignment horizontal="center" wrapText="1"/>
    </x:xf>
    <x:xf numFmtId="0" fontId="3" fillId="4" borderId="8" xfId="0" applyNumberFormat="1" applyFont="1" applyFill="1" applyBorder="1" applyAlignment="1">
      <x:alignment horizontal="center" wrapText="1"/>
    </x:xf>
    <x:xf numFmtId="0" fontId="3" fillId="4" borderId="9" xfId="0" applyNumberFormat="1" applyFont="1" applyFill="1" applyBorder="1" applyAlignment="1">
      <x:alignment horizontal="center" wrapText="1"/>
    </x:xf>
    <x:xf numFmtId="0" fontId="3" fillId="4" borderId="7" xfId="0" applyNumberFormat="1" applyFont="1" applyFill="1" applyBorder="1" applyAlignment="1">
      <x:alignment horizontal="center" vertical="center" wrapText="1"/>
    </x:xf>
    <x:xf numFmtId="0" fontId="3" fillId="4" borderId="8" xfId="0" applyNumberFormat="1" applyFont="1" applyFill="1" applyBorder="1" applyAlignment="1">
      <x:alignment horizontal="center" vertical="center" wrapText="1"/>
    </x:xf>
    <x:xf numFmtId="0" fontId="3" fillId="4" borderId="9" xfId="0" applyNumberFormat="1" applyFont="1" applyFill="1" applyBorder="1" applyAlignment="1">
      <x:alignment horizontal="center" vertical="center" wrapText="1"/>
    </x:xf>
    <x:xf numFmtId="0" fontId="0" fillId="0" borderId="0" xfId="0" applyNumberFormat="1" applyFont="1" applyFill="1" applyBorder="1"/>
    <x:xf numFmtId="0" fontId="0" fillId="0" borderId="10" xfId="0" applyNumberFormat="1" applyFont="1" applyFill="1" applyBorder="1"/>
    <x:xf numFmtId="0" fontId="0" fillId="0" borderId="1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0" xfId="0" applyNumberFormat="1" applyFont="1" applyFill="1" applyBorder="1" applyAlignment="1">
      <x:alignment vertical="top" wrapText="1"/>
    </x:xf>
    <x:xf numFmtId="0" fontId="0" fillId="0" borderId="11" xfId="0" applyNumberFormat="1" applyFont="1" applyFill="1" applyBorder="1"/>
    <x:xf numFmtId="0" fontId="0" fillId="0" borderId="11" xfId="0" applyNumberFormat="1" applyFont="1" applyFill="1" applyBorder="1" applyAlignment="1">
      <x:alignment wrapText="1"/>
    </x:xf>
    <x:xf numFmtId="0" fontId="0" fillId="0" borderId="1" xfId="0" applyNumberFormat="1" applyFont="1" applyFill="1" applyBorder="1" applyAlignment="1">
      <x:alignment vertical="top" wrapText="1"/>
    </x:xf>
    <x:xf numFmtId="0" fontId="0" fillId="0" borderId="11" xfId="0" applyNumberFormat="1" applyFont="1" applyFill="1" applyBorder="1" applyAlignment="1">
      <x:alignment vertical="top" wrapText="1"/>
    </x:xf>
    <x:xf numFmtId="200" fontId="0" fillId="0" borderId="0" xfId="0" applyNumberFormat="1" applyFont="1" applyFill="1" applyBorder="1" applyAlignment="1">
      <x:alignment vertical="top" wrapText="1"/>
    </x:xf>
    <x:xf numFmtId="200" fontId="0" fillId="0" borderId="10" xfId="0" applyNumberFormat="1" applyFont="1" applyFill="1" applyBorder="1" applyAlignment="1">
      <x:alignment vertical="top" wrapText="1"/>
    </x:xf>
    <x:xf numFmtId="200" fontId="0" fillId="0" borderId="1" xfId="0" applyNumberFormat="1" applyFont="1" applyFill="1" applyBorder="1" applyAlignment="1">
      <x:alignment vertical="top" wrapText="1"/>
    </x:xf>
    <x:xf numFmtId="200" fontId="0" fillId="0" borderId="11" xfId="0" applyNumberFormat="1" applyFont="1" applyFill="1" applyBorder="1" applyAlignment="1">
      <x:alignment vertical="top" wrapText="1"/>
    </x:xf>
    <x:xf numFmtId="201" fontId="0" fillId="0" borderId="0" xfId="0" applyNumberFormat="1" applyFont="1" applyFill="1" applyBorder="1" applyAlignment="1">
      <x:alignment vertical="top" wrapText="1"/>
    </x:xf>
    <x:xf numFmtId="201" fontId="0" fillId="0" borderId="10" xfId="0" applyNumberFormat="1" applyFont="1" applyFill="1" applyBorder="1" applyAlignment="1">
      <x:alignment vertical="top" wrapText="1"/>
    </x:xf>
    <x:xf numFmtId="201" fontId="0" fillId="0" borderId="1" xfId="0" applyNumberFormat="1" applyFont="1" applyFill="1" applyBorder="1" applyAlignment="1">
      <x:alignment vertical="top" wrapText="1"/>
    </x:xf>
    <x:xf numFmtId="201" fontId="0" fillId="0" borderId="11" xfId="0" applyNumberFormat="1" applyFont="1" applyFill="1" applyBorder="1" applyAlignment="1">
      <x:alignment vertical="top" wrapText="1"/>
    </x:xf>
    <x:xf numFmtId="201" fontId="0" fillId="5" borderId="0" xfId="0" applyNumberFormat="1" applyFont="1" applyFill="1" applyBorder="1" applyAlignment="1">
      <x:alignment vertical="top" wrapText="1"/>
    </x:xf>
    <x:xf numFmtId="201" fontId="0" fillId="5" borderId="10" xfId="0" applyNumberFormat="1" applyFont="1" applyFill="1" applyBorder="1" applyAlignment="1">
      <x:alignment vertical="top" wrapText="1"/>
    </x:xf>
    <x:xf numFmtId="201" fontId="0" fillId="5" borderId="1" xfId="0" applyNumberFormat="1" applyFont="1" applyFill="1" applyBorder="1" applyAlignment="1">
      <x:alignment vertical="top" wrapText="1"/>
    </x:xf>
    <x:xf numFmtId="201" fontId="0" fillId="5" borderId="11"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0" fillId="5" borderId="10" xfId="0" applyNumberFormat="1" applyFont="1" applyFill="1" applyBorder="1" applyAlignment="1">
      <x:alignment vertical="top" wrapText="1"/>
    </x:xf>
    <x:xf numFmtId="0" fontId="0" fillId="5" borderId="1" xfId="0" applyNumberFormat="1" applyFont="1" applyFill="1" applyBorder="1" applyAlignment="1">
      <x:alignment vertical="top" wrapText="1"/>
    </x:xf>
    <x:xf numFmtId="0" fontId="0" fillId="5" borderId="11" xfId="0" applyNumberFormat="1" applyFont="1" applyFill="1" applyBorder="1" applyAlignment="1">
      <x:alignment vertical="top" wrapText="1"/>
    </x:xf>
    <x:xf numFmtId="202" fontId="0" fillId="0" borderId="0" xfId="0" applyNumberFormat="1" applyFont="1" applyFill="1" applyBorder="1" applyAlignment="1">
      <x:alignment vertical="top" wrapText="1"/>
    </x:xf>
    <x:xf numFmtId="202" fontId="0" fillId="0" borderId="10" xfId="0" applyNumberFormat="1" applyFont="1" applyFill="1" applyBorder="1" applyAlignment="1">
      <x:alignment vertical="top" wrapText="1"/>
    </x:xf>
    <x:xf numFmtId="202" fontId="0" fillId="0" borderId="1" xfId="0" applyNumberFormat="1" applyFont="1" applyFill="1" applyBorder="1" applyAlignment="1">
      <x:alignment vertical="top" wrapText="1"/>
    </x:xf>
    <x:xf numFmtId="202" fontId="0" fillId="0" borderId="11" xfId="0" applyNumberFormat="1" applyFont="1" applyFill="1" applyBorder="1" applyAlignment="1">
      <x:alignment vertical="top" wrapText="1"/>
    </x:xf>
    <x:xf numFmtId="0" fontId="0" fillId="0" borderId="0" xfId="0">
      <x:extLst>
        <x:ext uri="{C7286773-470A-42A8-94C5-96B5CB345126}">
          <xfpb:xfComplement xmlns:xfpb="http://schemas.microsoft.com/office/spreadsheetml/2022/featurepropertybag" i="0"/>
        </x:ext>
      </x:extLst>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1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0" fillId="0" borderId="10" xfId="0" applyNumberFormat="1" applyFont="1" applyFill="1" applyBorder="1" applyAlignment="1">
      <x:alignment wrapText="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1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11"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wrapText="1"/>
      <x:extLst>
        <x:ext uri="{C7286773-470A-42A8-94C5-96B5CB345126}">
          <xfpb:xfComplement xmlns:xfpb="http://schemas.microsoft.com/office/spreadsheetml/2022/featurepropertybag" i="0"/>
        </x:ext>
      </x:extLst>
    </x:xf>
    <x:xf numFmtId="0" fontId="0" fillId="0" borderId="11" xfId="0" applyNumberFormat="1" applyFont="1" applyFill="1" applyBorder="1" applyAlignment="1">
      <x:alignment wrapText="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1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4" fillId="3" borderId="0" xfId="0" applyNumberFormat="1" applyFont="1" applyFill="1" applyBorder="1"/>
    <x:xf numFmtId="0" fontId="4" fillId="3" borderId="0" xfId="0" applyNumberFormat="1" applyFont="1" applyFill="1" applyBorder="1" applyAlignment="1">
      <x:alignment vertical="center"/>
    </x:xf>
    <x:xf numFmtId="0" fontId="4" fillId="3" borderId="1" xfId="0" applyNumberFormat="1" applyFont="1" applyFill="1" applyBorder="1"/>
    <x:xf numFmtId="0" fontId="4" fillId="3" borderId="1" xfId="0" applyNumberFormat="1" applyFont="1" applyFill="1" applyBorder="1" applyAlignment="1">
      <x:alignment vertical="center"/>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wrapText="1"/>
    </x:xf>
    <x:xf numFmtId="0" fontId="5" fillId="6" borderId="0" xfId="0" applyNumberFormat="1" applyFont="1" applyFill="1" applyBorder="1" applyAlignment="1">
      <x:alignment vertical="top" wrapText="1"/>
    </x:xf>
    <x:xf numFmtId="0" fontId="0" fillId="6" borderId="1" xfId="0" applyNumberFormat="1" applyFont="1" applyFill="1" applyBorder="1"/>
    <x:xf numFmtId="0" fontId="5" fillId="6" borderId="1" xfId="0" applyNumberFormat="1" applyFont="1" applyFill="1" applyBorder="1"/>
    <x:xf numFmtId="0" fontId="5" fillId="6" borderId="1" xfId="0" applyNumberFormat="1" applyFont="1" applyFill="1" applyBorder="1" applyAlignment="1">
      <x:alignment wrapText="1"/>
    </x:xf>
    <x:xf numFmtId="0" fontId="5" fillId="6" borderId="1" xfId="0" applyNumberFormat="1" applyFont="1" applyFill="1" applyBorder="1" applyAlignment="1">
      <x:alignment vertical="top" wrapText="1"/>
    </x:xf>
    <x:xf numFmtId="0" fontId="0" fillId="7" borderId="0" xfId="0" applyNumberFormat="1" applyFont="1" applyFill="1" applyBorder="1"/>
    <x:xf numFmtId="0" fontId="6" fillId="7" borderId="0" xfId="0" applyNumberFormat="1" applyFont="1" applyFill="1" applyBorder="1"/>
    <x:xf numFmtId="0" fontId="6" fillId="7" borderId="12" xfId="0" applyNumberFormat="1" applyFont="1" applyFill="1" applyBorder="1"/>
    <x:xf numFmtId="0" fontId="6" fillId="7" borderId="0" xfId="0" applyNumberFormat="1" applyFont="1" applyFill="1" applyBorder="1" applyAlignment="1">
      <x:alignment wrapText="1"/>
    </x:xf>
    <x:xf numFmtId="0" fontId="6" fillId="7" borderId="12" xfId="0" applyNumberFormat="1" applyFont="1" applyFill="1" applyBorder="1" applyAlignment="1">
      <x:alignment wrapText="1"/>
    </x:xf>
    <x:xf numFmtId="0" fontId="6" fillId="7" borderId="0" xfId="0" applyNumberFormat="1" applyFont="1" applyFill="1" applyBorder="1" applyAlignment="1">
      <x:alignment vertical="top" wrapText="1"/>
    </x:xf>
    <x:xf numFmtId="0" fontId="6" fillId="7" borderId="12" xfId="0" applyNumberFormat="1" applyFont="1" applyFill="1" applyBorder="1" applyAlignment="1">
      <x:alignment vertical="top" wrapText="1"/>
    </x:xf>
    <x:xf numFmtId="0" fontId="0" fillId="7" borderId="1" xfId="0" applyNumberFormat="1" applyFont="1" applyFill="1" applyBorder="1"/>
    <x:xf numFmtId="0" fontId="6" fillId="7" borderId="1" xfId="0" applyNumberFormat="1" applyFont="1" applyFill="1" applyBorder="1"/>
    <x:xf numFmtId="0" fontId="6" fillId="7" borderId="13" xfId="0" applyNumberFormat="1" applyFont="1" applyFill="1" applyBorder="1"/>
    <x:xf numFmtId="0" fontId="6" fillId="7" borderId="1" xfId="0" applyNumberFormat="1" applyFont="1" applyFill="1" applyBorder="1" applyAlignment="1">
      <x:alignment wrapText="1"/>
    </x:xf>
    <x:xf numFmtId="0" fontId="6" fillId="7" borderId="13" xfId="0" applyNumberFormat="1" applyFont="1" applyFill="1" applyBorder="1" applyAlignment="1">
      <x:alignment wrapText="1"/>
    </x:xf>
    <x:xf numFmtId="0" fontId="6" fillId="7" borderId="1" xfId="0" applyNumberFormat="1" applyFont="1" applyFill="1" applyBorder="1" applyAlignment="1">
      <x:alignment vertical="top" wrapText="1"/>
    </x:xf>
    <x:xf numFmtId="0" fontId="6" fillId="7" borderId="13" xfId="0" applyNumberFormat="1" applyFont="1" applyFill="1" applyBorder="1" applyAlignment="1">
      <x:alignment vertical="top" wrapText="1"/>
    </x:xf>
    <x:xf numFmtId="0" fontId="0" fillId="8" borderId="0" xfId="0" applyNumberFormat="1" applyFont="1" applyFill="1" applyBorder="1"/>
    <x:xf numFmtId="0" fontId="7" fillId="8" borderId="0" xfId="0" applyNumberFormat="1" applyFont="1" applyFill="1" applyBorder="1"/>
    <x:xf numFmtId="0" fontId="7" fillId="8" borderId="0" xfId="0" applyNumberFormat="1" applyFont="1" applyFill="1" applyBorder="1" applyAlignment="1">
      <x:alignment horizontal="center"/>
    </x:xf>
    <x:xf numFmtId="0" fontId="7" fillId="8" borderId="0" xfId="0" applyNumberFormat="1" applyFont="1" applyFill="1" applyBorder="1" applyAlignment="1">
      <x:alignment horizontal="center" vertical="center"/>
    </x:xf>
    <x:xf numFmtId="0" fontId="0" fillId="8" borderId="1" xfId="0" applyNumberFormat="1" applyFont="1" applyFill="1" applyBorder="1"/>
    <x:xf numFmtId="0" fontId="7" fillId="8" borderId="1" xfId="0" applyNumberFormat="1" applyFont="1" applyFill="1" applyBorder="1"/>
    <x:xf numFmtId="0" fontId="7" fillId="8" borderId="1" xfId="0" applyNumberFormat="1" applyFont="1" applyFill="1" applyBorder="1" applyAlignment="1">
      <x:alignment horizontal="center"/>
    </x:xf>
    <x:xf numFmtId="0" fontId="7" fillId="8" borderId="1" xfId="0" applyNumberFormat="1" applyFont="1" applyFill="1" applyBorder="1" applyAlignment="1">
      <x:alignment horizontal="center" vertical="center"/>
    </x:xf>
    <x:xf numFmtId="0" fontId="8" fillId="7" borderId="0" xfId="0" applyNumberFormat="1" applyFont="1" applyFill="1" applyBorder="1"/>
    <x:xf numFmtId="0" fontId="8" fillId="7" borderId="14" xfId="0" applyNumberFormat="1" applyFont="1" applyFill="1" applyBorder="1"/>
    <x:xf numFmtId="0" fontId="8" fillId="7" borderId="15" xfId="0" applyNumberFormat="1" applyFont="1" applyFill="1" applyBorder="1"/>
    <x:xf numFmtId="0" fontId="8" fillId="7" borderId="16" xfId="0" applyNumberFormat="1" applyFont="1" applyFill="1" applyBorder="1"/>
    <x:xf numFmtId="0" fontId="8" fillId="7" borderId="17" xfId="0" applyNumberFormat="1" applyFont="1" applyFill="1" applyBorder="1"/>
    <x:xf numFmtId="0" fontId="8" fillId="7" borderId="18" xfId="0" applyNumberFormat="1" applyFont="1" applyFill="1" applyBorder="1"/>
    <x:xf numFmtId="0" fontId="8" fillId="7" borderId="14" xfId="0" applyNumberFormat="1" applyFont="1" applyFill="1" applyBorder="1" applyAlignment="1">
      <x:alignment horizontal="center"/>
    </x:xf>
    <x:xf numFmtId="0" fontId="8" fillId="7" borderId="0" xfId="0" applyNumberFormat="1" applyFont="1" applyFill="1" applyBorder="1" applyAlignment="1">
      <x:alignment horizontal="center"/>
    </x:xf>
    <x:xf numFmtId="0" fontId="8" fillId="7" borderId="15" xfId="0" applyNumberFormat="1" applyFont="1" applyFill="1" applyBorder="1" applyAlignment="1">
      <x:alignment horizontal="center"/>
    </x:xf>
    <x:xf numFmtId="0" fontId="8" fillId="7" borderId="16" xfId="0" applyNumberFormat="1" applyFont="1" applyFill="1" applyBorder="1" applyAlignment="1">
      <x:alignment horizontal="center"/>
    </x:xf>
    <x:xf numFmtId="0" fontId="8" fillId="7" borderId="17" xfId="0" applyNumberFormat="1" applyFont="1" applyFill="1" applyBorder="1" applyAlignment="1">
      <x:alignment horizontal="center"/>
    </x:xf>
    <x:xf numFmtId="0" fontId="8" fillId="7" borderId="18" xfId="0" applyNumberFormat="1" applyFont="1" applyFill="1" applyBorder="1" applyAlignment="1">
      <x:alignment horizontal="center"/>
    </x:xf>
    <x:xf numFmtId="0" fontId="8" fillId="7" borderId="14" xfId="0" applyNumberFormat="1" applyFont="1" applyFill="1" applyBorder="1" applyAlignment="1">
      <x:alignment horizontal="center" vertical="center"/>
    </x:xf>
    <x:xf numFmtId="0" fontId="8" fillId="7" borderId="0" xfId="0" applyNumberFormat="1" applyFont="1" applyFill="1" applyBorder="1" applyAlignment="1">
      <x:alignment horizontal="center" vertical="center"/>
    </x:xf>
    <x:xf numFmtId="0" fontId="8" fillId="7" borderId="15" xfId="0" applyNumberFormat="1" applyFont="1" applyFill="1" applyBorder="1" applyAlignment="1">
      <x:alignment horizontal="center" vertical="center"/>
    </x:xf>
    <x:xf numFmtId="0" fontId="8" fillId="7" borderId="16" xfId="0" applyNumberFormat="1" applyFont="1" applyFill="1" applyBorder="1" applyAlignment="1">
      <x:alignment horizontal="center" vertical="center"/>
    </x:xf>
    <x:xf numFmtId="0" fontId="8" fillId="7" borderId="17" xfId="0" applyNumberFormat="1" applyFont="1" applyFill="1" applyBorder="1" applyAlignment="1">
      <x:alignment horizontal="center" vertical="center"/>
    </x:xf>
    <x:xf numFmtId="0" fontId="8" fillId="7" borderId="18" xfId="0" applyNumberFormat="1" applyFont="1" applyFill="1" applyBorder="1" applyAlignment="1">
      <x:alignment horizontal="center" vertical="center"/>
    </x:xf>
    <x:xf numFmtId="0" fontId="8" fillId="7" borderId="1" xfId="0" applyNumberFormat="1" applyFont="1" applyFill="1" applyBorder="1"/>
    <x:xf numFmtId="0" fontId="8" fillId="7" borderId="19" xfId="0" applyNumberFormat="1" applyFont="1" applyFill="1" applyBorder="1"/>
    <x:xf numFmtId="0" fontId="8" fillId="7" borderId="20" xfId="0" applyNumberFormat="1" applyFont="1" applyFill="1" applyBorder="1"/>
    <x:xf numFmtId="0" fontId="8" fillId="7" borderId="21" xfId="0" applyNumberFormat="1" applyFont="1" applyFill="1" applyBorder="1"/>
    <x:xf numFmtId="0" fontId="8" fillId="7" borderId="22" xfId="0" applyNumberFormat="1" applyFont="1" applyFill="1" applyBorder="1"/>
    <x:xf numFmtId="0" fontId="8" fillId="7" borderId="23" xfId="0" applyNumberFormat="1" applyFont="1" applyFill="1" applyBorder="1"/>
    <x:xf numFmtId="0" fontId="8" fillId="7" borderId="19" xfId="0" applyNumberFormat="1" applyFont="1" applyFill="1" applyBorder="1" applyAlignment="1">
      <x:alignment horizontal="center"/>
    </x:xf>
    <x:xf numFmtId="0" fontId="8" fillId="7" borderId="1" xfId="0" applyNumberFormat="1" applyFont="1" applyFill="1" applyBorder="1" applyAlignment="1">
      <x:alignment horizontal="center"/>
    </x:xf>
    <x:xf numFmtId="0" fontId="8" fillId="7" borderId="20" xfId="0" applyNumberFormat="1" applyFont="1" applyFill="1" applyBorder="1" applyAlignment="1">
      <x:alignment horizontal="center"/>
    </x:xf>
    <x:xf numFmtId="0" fontId="8" fillId="7" borderId="21" xfId="0" applyNumberFormat="1" applyFont="1" applyFill="1" applyBorder="1" applyAlignment="1">
      <x:alignment horizontal="center"/>
    </x:xf>
    <x:xf numFmtId="0" fontId="8" fillId="7" borderId="22" xfId="0" applyNumberFormat="1" applyFont="1" applyFill="1" applyBorder="1" applyAlignment="1">
      <x:alignment horizontal="center"/>
    </x:xf>
    <x:xf numFmtId="0" fontId="8" fillId="7" borderId="23" xfId="0" applyNumberFormat="1" applyFont="1" applyFill="1" applyBorder="1" applyAlignment="1">
      <x:alignment horizontal="center"/>
    </x:xf>
    <x:xf numFmtId="0" fontId="8" fillId="7" borderId="19" xfId="0" applyNumberFormat="1" applyFont="1" applyFill="1" applyBorder="1" applyAlignment="1">
      <x:alignment horizontal="center" vertical="center"/>
    </x:xf>
    <x:xf numFmtId="0" fontId="8" fillId="7" borderId="1" xfId="0" applyNumberFormat="1" applyFont="1" applyFill="1" applyBorder="1" applyAlignment="1">
      <x:alignment horizontal="center" vertical="center"/>
    </x:xf>
    <x:xf numFmtId="0" fontId="8" fillId="7" borderId="20" xfId="0" applyNumberFormat="1" applyFont="1" applyFill="1" applyBorder="1" applyAlignment="1">
      <x:alignment horizontal="center" vertical="center"/>
    </x:xf>
    <x:xf numFmtId="0" fontId="8" fillId="7" borderId="21" xfId="0" applyNumberFormat="1" applyFont="1" applyFill="1" applyBorder="1" applyAlignment="1">
      <x:alignment horizontal="center" vertical="center"/>
    </x:xf>
    <x:xf numFmtId="0" fontId="8" fillId="7" borderId="22" xfId="0" applyNumberFormat="1" applyFont="1" applyFill="1" applyBorder="1" applyAlignment="1">
      <x:alignment horizontal="center" vertical="center"/>
    </x:xf>
    <x:xf numFmtId="0" fontId="8" fillId="7" borderId="23" xfId="0" applyNumberFormat="1" applyFont="1" applyFill="1" applyBorder="1" applyAlignment="1">
      <x:alignment horizontal="center" vertical="center"/>
    </x:xf>
    <x:xf numFmtId="203" fontId="8" fillId="7" borderId="14" xfId="0" applyNumberFormat="1" applyFont="1" applyFill="1" applyBorder="1" applyAlignment="1">
      <x:alignment horizontal="center" vertical="center"/>
    </x:xf>
    <x:xf numFmtId="203" fontId="8" fillId="7" borderId="0" xfId="0" applyNumberFormat="1" applyFont="1" applyFill="1" applyBorder="1" applyAlignment="1">
      <x:alignment horizontal="center" vertical="center"/>
    </x:xf>
    <x:xf numFmtId="203" fontId="8" fillId="7" borderId="15" xfId="0" applyNumberFormat="1" applyFont="1" applyFill="1" applyBorder="1" applyAlignment="1">
      <x:alignment horizontal="center" vertical="center"/>
    </x:xf>
    <x:xf numFmtId="203" fontId="8" fillId="7" borderId="16" xfId="0" applyNumberFormat="1" applyFont="1" applyFill="1" applyBorder="1" applyAlignment="1">
      <x:alignment horizontal="center" vertical="center"/>
    </x:xf>
    <x:xf numFmtId="203" fontId="8" fillId="7" borderId="17" xfId="0" applyNumberFormat="1" applyFont="1" applyFill="1" applyBorder="1" applyAlignment="1">
      <x:alignment horizontal="center" vertical="center"/>
    </x:xf>
    <x:xf numFmtId="203" fontId="8" fillId="7" borderId="18" xfId="0" applyNumberFormat="1" applyFont="1" applyFill="1" applyBorder="1" applyAlignment="1">
      <x:alignment horizontal="center" vertical="center"/>
    </x:xf>
    <x:xf numFmtId="203" fontId="8" fillId="7" borderId="19" xfId="0" applyNumberFormat="1" applyFont="1" applyFill="1" applyBorder="1" applyAlignment="1">
      <x:alignment horizontal="center" vertical="center"/>
    </x:xf>
    <x:xf numFmtId="203" fontId="8" fillId="7" borderId="1" xfId="0" applyNumberFormat="1" applyFont="1" applyFill="1" applyBorder="1" applyAlignment="1">
      <x:alignment horizontal="center" vertical="center"/>
    </x:xf>
    <x:xf numFmtId="203" fontId="8" fillId="7" borderId="20" xfId="0" applyNumberFormat="1" applyFont="1" applyFill="1" applyBorder="1" applyAlignment="1">
      <x:alignment horizontal="center" vertical="center"/>
    </x:xf>
    <x:xf numFmtId="203" fontId="8" fillId="7" borderId="21" xfId="0" applyNumberFormat="1" applyFont="1" applyFill="1" applyBorder="1" applyAlignment="1">
      <x:alignment horizontal="center" vertical="center"/>
    </x:xf>
    <x:xf numFmtId="203" fontId="8" fillId="7" borderId="22" xfId="0" applyNumberFormat="1" applyFont="1" applyFill="1" applyBorder="1" applyAlignment="1">
      <x:alignment horizontal="center" vertical="center"/>
    </x:xf>
    <x:xf numFmtId="203" fontId="8" fillId="7" borderId="23" xfId="0" applyNumberFormat="1" applyFont="1" applyFill="1" applyBorder="1" applyAlignment="1">
      <x:alignment horizontal="center" vertical="center"/>
    </x:xf>
    <x:xf numFmtId="0" fontId="7" fillId="4" borderId="0" xfId="0" applyNumberFormat="1" applyFont="1" applyFill="1" applyBorder="1"/>
    <x:xf numFmtId="0" fontId="7" fillId="4" borderId="0" xfId="0" applyNumberFormat="1" applyFont="1" applyFill="1" applyBorder="1" applyAlignment="1">
      <x:alignment horizontal="center"/>
    </x:xf>
    <x:xf numFmtId="0" fontId="7" fillId="4" borderId="0" xfId="0" applyNumberFormat="1" applyFont="1" applyFill="1" applyBorder="1" applyAlignment="1">
      <x:alignment horizontal="center" vertical="center"/>
    </x:xf>
    <x:xf numFmtId="0" fontId="7" fillId="4" borderId="1" xfId="0" applyNumberFormat="1" applyFont="1" applyFill="1" applyBorder="1"/>
    <x:xf numFmtId="0" fontId="7" fillId="4" borderId="1" xfId="0" applyNumberFormat="1" applyFont="1" applyFill="1" applyBorder="1" applyAlignment="1">
      <x:alignment horizontal="center"/>
    </x:xf>
    <x:xf numFmtId="0" fontId="7" fillId="4" borderId="1" xfId="0" applyNumberFormat="1" applyFont="1" applyFill="1" applyBorder="1" applyAlignment="1">
      <x:alignment horizontal="center" vertical="center"/>
    </x:xf>
    <x:xf numFmtId="0" fontId="8" fillId="7" borderId="24" xfId="0" applyNumberFormat="1" applyFont="1" applyFill="1" applyBorder="1"/>
    <x:xf numFmtId="0" fontId="8" fillId="7" borderId="25" xfId="0" applyNumberFormat="1" applyFont="1" applyFill="1" applyBorder="1"/>
    <x:xf numFmtId="0" fontId="8" fillId="7" borderId="26" xfId="0" applyNumberFormat="1" applyFont="1" applyFill="1" applyBorder="1"/>
    <x:xf numFmtId="0" fontId="8" fillId="7" borderId="27" xfId="0" applyNumberFormat="1" applyFont="1" applyFill="1" applyBorder="1"/>
    <x:xf numFmtId="0" fontId="8" fillId="7" borderId="28" xfId="0" applyNumberFormat="1" applyFont="1" applyFill="1" applyBorder="1"/>
    <x:xf numFmtId="0" fontId="8" fillId="7" borderId="24" xfId="0" applyNumberFormat="1" applyFont="1" applyFill="1" applyBorder="1" applyAlignment="1">
      <x:alignment horizontal="center"/>
    </x:xf>
    <x:xf numFmtId="0" fontId="8" fillId="7" borderId="25" xfId="0" applyNumberFormat="1" applyFont="1" applyFill="1" applyBorder="1" applyAlignment="1">
      <x:alignment horizontal="center"/>
    </x:xf>
    <x:xf numFmtId="0" fontId="8" fillId="7" borderId="26" xfId="0" applyNumberFormat="1" applyFont="1" applyFill="1" applyBorder="1" applyAlignment="1">
      <x:alignment horizontal="center"/>
    </x:xf>
    <x:xf numFmtId="0" fontId="8" fillId="7" borderId="27" xfId="0" applyNumberFormat="1" applyFont="1" applyFill="1" applyBorder="1" applyAlignment="1">
      <x:alignment horizontal="center"/>
    </x:xf>
    <x:xf numFmtId="0" fontId="8" fillId="7" borderId="28" xfId="0" applyNumberFormat="1" applyFont="1" applyFill="1" applyBorder="1" applyAlignment="1">
      <x:alignment horizontal="center"/>
    </x:xf>
    <x:xf numFmtId="0" fontId="8" fillId="7" borderId="24" xfId="0" applyNumberFormat="1" applyFont="1" applyFill="1" applyBorder="1" applyAlignment="1">
      <x:alignment horizontal="center" vertical="center"/>
    </x:xf>
    <x:xf numFmtId="0" fontId="8" fillId="7" borderId="25" xfId="0" applyNumberFormat="1" applyFont="1" applyFill="1" applyBorder="1" applyAlignment="1">
      <x:alignment horizontal="center" vertical="center"/>
    </x:xf>
    <x:xf numFmtId="0" fontId="8" fillId="7" borderId="26" xfId="0" applyNumberFormat="1" applyFont="1" applyFill="1" applyBorder="1" applyAlignment="1">
      <x:alignment horizontal="center" vertical="center"/>
    </x:xf>
    <x:xf numFmtId="0" fontId="8" fillId="7" borderId="27" xfId="0" applyNumberFormat="1" applyFont="1" applyFill="1" applyBorder="1" applyAlignment="1">
      <x:alignment horizontal="center" vertical="center"/>
    </x:xf>
    <x:xf numFmtId="0" fontId="8" fillId="7" borderId="28" xfId="0" applyNumberFormat="1" applyFont="1" applyFill="1" applyBorder="1" applyAlignment="1">
      <x:alignment horizontal="center" vertical="center"/>
    </x:xf>
    <x:xf numFmtId="0" fontId="8" fillId="7" borderId="29" xfId="0" applyNumberFormat="1" applyFont="1" applyFill="1" applyBorder="1"/>
    <x:xf numFmtId="0" fontId="8" fillId="7" borderId="30" xfId="0" applyNumberFormat="1" applyFont="1" applyFill="1" applyBorder="1"/>
    <x:xf numFmtId="0" fontId="8" fillId="7" borderId="31" xfId="0" applyNumberFormat="1" applyFont="1" applyFill="1" applyBorder="1"/>
    <x:xf numFmtId="0" fontId="8" fillId="7" borderId="32" xfId="0" applyNumberFormat="1" applyFont="1" applyFill="1" applyBorder="1"/>
    <x:xf numFmtId="0" fontId="8" fillId="7" borderId="33" xfId="0" applyNumberFormat="1" applyFont="1" applyFill="1" applyBorder="1"/>
    <x:xf numFmtId="0" fontId="8" fillId="7" borderId="29" xfId="0" applyNumberFormat="1" applyFont="1" applyFill="1" applyBorder="1" applyAlignment="1">
      <x:alignment horizontal="center"/>
    </x:xf>
    <x:xf numFmtId="0" fontId="8" fillId="7" borderId="30" xfId="0" applyNumberFormat="1" applyFont="1" applyFill="1" applyBorder="1" applyAlignment="1">
      <x:alignment horizontal="center"/>
    </x:xf>
    <x:xf numFmtId="0" fontId="8" fillId="7" borderId="31" xfId="0" applyNumberFormat="1" applyFont="1" applyFill="1" applyBorder="1" applyAlignment="1">
      <x:alignment horizontal="center"/>
    </x:xf>
    <x:xf numFmtId="0" fontId="8" fillId="7" borderId="32" xfId="0" applyNumberFormat="1" applyFont="1" applyFill="1" applyBorder="1" applyAlignment="1">
      <x:alignment horizontal="center"/>
    </x:xf>
    <x:xf numFmtId="0" fontId="8" fillId="7" borderId="33" xfId="0" applyNumberFormat="1" applyFont="1" applyFill="1" applyBorder="1" applyAlignment="1">
      <x:alignment horizontal="center"/>
    </x:xf>
    <x:xf numFmtId="0" fontId="8" fillId="7" borderId="29" xfId="0" applyNumberFormat="1" applyFont="1" applyFill="1" applyBorder="1" applyAlignment="1">
      <x:alignment horizontal="center" vertical="center"/>
    </x:xf>
    <x:xf numFmtId="0" fontId="8" fillId="7" borderId="30" xfId="0" applyNumberFormat="1" applyFont="1" applyFill="1" applyBorder="1" applyAlignment="1">
      <x:alignment horizontal="center" vertical="center"/>
    </x:xf>
    <x:xf numFmtId="0" fontId="8" fillId="7" borderId="31" xfId="0" applyNumberFormat="1" applyFont="1" applyFill="1" applyBorder="1" applyAlignment="1">
      <x:alignment horizontal="center" vertical="center"/>
    </x:xf>
    <x:xf numFmtId="0" fontId="8" fillId="7" borderId="32" xfId="0" applyNumberFormat="1" applyFont="1" applyFill="1" applyBorder="1" applyAlignment="1">
      <x:alignment horizontal="center" vertical="center"/>
    </x:xf>
    <x:xf numFmtId="0" fontId="8" fillId="7" borderId="33" xfId="0" applyNumberFormat="1" applyFont="1" applyFill="1" applyBorder="1" applyAlignment="1">
      <x:alignment horizontal="center" vertical="center"/>
    </x:xf>
    <x:xf numFmtId="201" fontId="8" fillId="7" borderId="24" xfId="0" applyNumberFormat="1" applyFont="1" applyFill="1" applyBorder="1" applyAlignment="1">
      <x:alignment horizontal="center" vertical="center"/>
    </x:xf>
    <x:xf numFmtId="201" fontId="8" fillId="7" borderId="0" xfId="0" applyNumberFormat="1" applyFont="1" applyFill="1" applyBorder="1" applyAlignment="1">
      <x:alignment horizontal="center" vertical="center"/>
    </x:xf>
    <x:xf numFmtId="201" fontId="8" fillId="7" borderId="25" xfId="0" applyNumberFormat="1" applyFont="1" applyFill="1" applyBorder="1" applyAlignment="1">
      <x:alignment horizontal="center" vertical="center"/>
    </x:xf>
    <x:xf numFmtId="201" fontId="8" fillId="7" borderId="26" xfId="0" applyNumberFormat="1" applyFont="1" applyFill="1" applyBorder="1" applyAlignment="1">
      <x:alignment horizontal="center" vertical="center"/>
    </x:xf>
    <x:xf numFmtId="201" fontId="8" fillId="7" borderId="27" xfId="0" applyNumberFormat="1" applyFont="1" applyFill="1" applyBorder="1" applyAlignment="1">
      <x:alignment horizontal="center" vertical="center"/>
    </x:xf>
    <x:xf numFmtId="201" fontId="8" fillId="7" borderId="28" xfId="0" applyNumberFormat="1" applyFont="1" applyFill="1" applyBorder="1" applyAlignment="1">
      <x:alignment horizontal="center" vertical="center"/>
    </x:xf>
    <x:xf numFmtId="201" fontId="8" fillId="7" borderId="29" xfId="0" applyNumberFormat="1" applyFont="1" applyFill="1" applyBorder="1" applyAlignment="1">
      <x:alignment horizontal="center" vertical="center"/>
    </x:xf>
    <x:xf numFmtId="201" fontId="8" fillId="7" borderId="1" xfId="0" applyNumberFormat="1" applyFont="1" applyFill="1" applyBorder="1" applyAlignment="1">
      <x:alignment horizontal="center" vertical="center"/>
    </x:xf>
    <x:xf numFmtId="201" fontId="8" fillId="7" borderId="30" xfId="0" applyNumberFormat="1" applyFont="1" applyFill="1" applyBorder="1" applyAlignment="1">
      <x:alignment horizontal="center" vertical="center"/>
    </x:xf>
    <x:xf numFmtId="201" fontId="8" fillId="7" borderId="31" xfId="0" applyNumberFormat="1" applyFont="1" applyFill="1" applyBorder="1" applyAlignment="1">
      <x:alignment horizontal="center" vertical="center"/>
    </x:xf>
    <x:xf numFmtId="201" fontId="8" fillId="7" borderId="32" xfId="0" applyNumberFormat="1" applyFont="1" applyFill="1" applyBorder="1" applyAlignment="1">
      <x:alignment horizontal="center" vertical="center"/>
    </x:xf>
    <x:xf numFmtId="201" fontId="8" fillId="7" borderId="33" xfId="0" applyNumberFormat="1" applyFont="1" applyFill="1" applyBorder="1" applyAlignment="1">
      <x:alignment horizontal="center" vertical="center"/>
    </x:xf>
    <x:xf numFmtId="0" fontId="0" fillId="9" borderId="0" xfId="0" applyNumberFormat="1" applyFont="1" applyFill="1" applyBorder="1"/>
    <x:xf numFmtId="0" fontId="7" fillId="9" borderId="0" xfId="0" applyNumberFormat="1" applyFont="1" applyFill="1" applyBorder="1"/>
    <x:xf numFmtId="0" fontId="7" fillId="9" borderId="0" xfId="0" applyNumberFormat="1" applyFont="1" applyFill="1" applyBorder="1" applyAlignment="1">
      <x:alignment horizontal="center"/>
    </x:xf>
    <x:xf numFmtId="0" fontId="7" fillId="9" borderId="0" xfId="0" applyNumberFormat="1" applyFont="1" applyFill="1" applyBorder="1" applyAlignment="1">
      <x:alignment horizontal="center" vertical="center"/>
    </x:xf>
    <x:xf numFmtId="0" fontId="0" fillId="9" borderId="1" xfId="0" applyNumberFormat="1" applyFont="1" applyFill="1" applyBorder="1"/>
    <x:xf numFmtId="0" fontId="7" fillId="9" borderId="1" xfId="0" applyNumberFormat="1" applyFont="1" applyFill="1" applyBorder="1"/>
    <x:xf numFmtId="0" fontId="7" fillId="9" borderId="1" xfId="0" applyNumberFormat="1" applyFont="1" applyFill="1" applyBorder="1" applyAlignment="1">
      <x:alignment horizontal="center"/>
    </x:xf>
    <x:xf numFmtId="0" fontId="7" fillId="9" borderId="1" xfId="0" applyNumberFormat="1" applyFont="1" applyFill="1" applyBorder="1" applyAlignment="1">
      <x:alignment horizontal="center" vertical="center"/>
    </x:xf>
    <x:xf numFmtId="0" fontId="8" fillId="7" borderId="34" xfId="0" applyNumberFormat="1" applyFont="1" applyFill="1" applyBorder="1"/>
    <x:xf numFmtId="0" fontId="8" fillId="7" borderId="35" xfId="0" applyNumberFormat="1" applyFont="1" applyFill="1" applyBorder="1"/>
    <x:xf numFmtId="0" fontId="8" fillId="7" borderId="36" xfId="0" applyNumberFormat="1" applyFont="1" applyFill="1" applyBorder="1"/>
    <x:xf numFmtId="0" fontId="8" fillId="7" borderId="37" xfId="0" applyNumberFormat="1" applyFont="1" applyFill="1" applyBorder="1"/>
    <x:xf numFmtId="0" fontId="8" fillId="7" borderId="38" xfId="0" applyNumberFormat="1" applyFont="1" applyFill="1" applyBorder="1"/>
    <x:xf numFmtId="0" fontId="8" fillId="7" borderId="34" xfId="0" applyNumberFormat="1" applyFont="1" applyFill="1" applyBorder="1" applyAlignment="1">
      <x:alignment horizontal="center"/>
    </x:xf>
    <x:xf numFmtId="0" fontId="8" fillId="7" borderId="35" xfId="0" applyNumberFormat="1" applyFont="1" applyFill="1" applyBorder="1" applyAlignment="1">
      <x:alignment horizontal="center"/>
    </x:xf>
    <x:xf numFmtId="0" fontId="8" fillId="7" borderId="36" xfId="0" applyNumberFormat="1" applyFont="1" applyFill="1" applyBorder="1" applyAlignment="1">
      <x:alignment horizontal="center"/>
    </x:xf>
    <x:xf numFmtId="0" fontId="8" fillId="7" borderId="37" xfId="0" applyNumberFormat="1" applyFont="1" applyFill="1" applyBorder="1" applyAlignment="1">
      <x:alignment horizontal="center"/>
    </x:xf>
    <x:xf numFmtId="0" fontId="8" fillId="7" borderId="38" xfId="0" applyNumberFormat="1" applyFont="1" applyFill="1" applyBorder="1" applyAlignment="1">
      <x:alignment horizontal="center"/>
    </x:xf>
    <x:xf numFmtId="0" fontId="8" fillId="7" borderId="34" xfId="0" applyNumberFormat="1" applyFont="1" applyFill="1" applyBorder="1" applyAlignment="1">
      <x:alignment horizontal="center" vertical="center"/>
    </x:xf>
    <x:xf numFmtId="0" fontId="8" fillId="7" borderId="35" xfId="0" applyNumberFormat="1" applyFont="1" applyFill="1" applyBorder="1" applyAlignment="1">
      <x:alignment horizontal="center" vertical="center"/>
    </x:xf>
    <x:xf numFmtId="0" fontId="8" fillId="7" borderId="36" xfId="0" applyNumberFormat="1" applyFont="1" applyFill="1" applyBorder="1" applyAlignment="1">
      <x:alignment horizontal="center" vertical="center"/>
    </x:xf>
    <x:xf numFmtId="0" fontId="8" fillId="7" borderId="37" xfId="0" applyNumberFormat="1" applyFont="1" applyFill="1" applyBorder="1" applyAlignment="1">
      <x:alignment horizontal="center" vertical="center"/>
    </x:xf>
    <x:xf numFmtId="0" fontId="8" fillId="7" borderId="38" xfId="0" applyNumberFormat="1" applyFont="1" applyFill="1" applyBorder="1" applyAlignment="1">
      <x:alignment horizontal="center" vertical="center"/>
    </x:xf>
    <x:xf numFmtId="0" fontId="8" fillId="7" borderId="39" xfId="0" applyNumberFormat="1" applyFont="1" applyFill="1" applyBorder="1"/>
    <x:xf numFmtId="0" fontId="8" fillId="7" borderId="40" xfId="0" applyNumberFormat="1" applyFont="1" applyFill="1" applyBorder="1"/>
    <x:xf numFmtId="0" fontId="8" fillId="7" borderId="41" xfId="0" applyNumberFormat="1" applyFont="1" applyFill="1" applyBorder="1"/>
    <x:xf numFmtId="0" fontId="8" fillId="7" borderId="42" xfId="0" applyNumberFormat="1" applyFont="1" applyFill="1" applyBorder="1"/>
    <x:xf numFmtId="0" fontId="8" fillId="7" borderId="43" xfId="0" applyNumberFormat="1" applyFont="1" applyFill="1" applyBorder="1"/>
    <x:xf numFmtId="0" fontId="8" fillId="7" borderId="39" xfId="0" applyNumberFormat="1" applyFont="1" applyFill="1" applyBorder="1" applyAlignment="1">
      <x:alignment horizontal="center"/>
    </x:xf>
    <x:xf numFmtId="0" fontId="8" fillId="7" borderId="40" xfId="0" applyNumberFormat="1" applyFont="1" applyFill="1" applyBorder="1" applyAlignment="1">
      <x:alignment horizontal="center"/>
    </x:xf>
    <x:xf numFmtId="0" fontId="8" fillId="7" borderId="41" xfId="0" applyNumberFormat="1" applyFont="1" applyFill="1" applyBorder="1" applyAlignment="1">
      <x:alignment horizontal="center"/>
    </x:xf>
    <x:xf numFmtId="0" fontId="8" fillId="7" borderId="42" xfId="0" applyNumberFormat="1" applyFont="1" applyFill="1" applyBorder="1" applyAlignment="1">
      <x:alignment horizontal="center"/>
    </x:xf>
    <x:xf numFmtId="0" fontId="8" fillId="7" borderId="43" xfId="0" applyNumberFormat="1" applyFont="1" applyFill="1" applyBorder="1" applyAlignment="1">
      <x:alignment horizontal="center"/>
    </x:xf>
    <x:xf numFmtId="0" fontId="8" fillId="7" borderId="39" xfId="0" applyNumberFormat="1" applyFont="1" applyFill="1" applyBorder="1" applyAlignment="1">
      <x:alignment horizontal="center" vertical="center"/>
    </x:xf>
    <x:xf numFmtId="0" fontId="8" fillId="7" borderId="40" xfId="0" applyNumberFormat="1" applyFont="1" applyFill="1" applyBorder="1" applyAlignment="1">
      <x:alignment horizontal="center" vertical="center"/>
    </x:xf>
    <x:xf numFmtId="0" fontId="8" fillId="7" borderId="41" xfId="0" applyNumberFormat="1" applyFont="1" applyFill="1" applyBorder="1" applyAlignment="1">
      <x:alignment horizontal="center" vertical="center"/>
    </x:xf>
    <x:xf numFmtId="0" fontId="8" fillId="7" borderId="42" xfId="0" applyNumberFormat="1" applyFont="1" applyFill="1" applyBorder="1" applyAlignment="1">
      <x:alignment horizontal="center" vertical="center"/>
    </x:xf>
    <x:xf numFmtId="0" fontId="8" fillId="7" borderId="43" xfId="0" applyNumberFormat="1" applyFont="1" applyFill="1" applyBorder="1" applyAlignment="1">
      <x:alignment horizontal="center" vertical="center"/>
    </x:xf>
    <x:xf numFmtId="201" fontId="8" fillId="7" borderId="34" xfId="0" applyNumberFormat="1" applyFont="1" applyFill="1" applyBorder="1" applyAlignment="1">
      <x:alignment horizontal="center" vertical="center"/>
    </x:xf>
    <x:xf numFmtId="201" fontId="8" fillId="7" borderId="35" xfId="0" applyNumberFormat="1" applyFont="1" applyFill="1" applyBorder="1" applyAlignment="1">
      <x:alignment horizontal="center" vertical="center"/>
    </x:xf>
    <x:xf numFmtId="201" fontId="8" fillId="7" borderId="36" xfId="0" applyNumberFormat="1" applyFont="1" applyFill="1" applyBorder="1" applyAlignment="1">
      <x:alignment horizontal="center" vertical="center"/>
    </x:xf>
    <x:xf numFmtId="201" fontId="8" fillId="7" borderId="37" xfId="0" applyNumberFormat="1" applyFont="1" applyFill="1" applyBorder="1" applyAlignment="1">
      <x:alignment horizontal="center" vertical="center"/>
    </x:xf>
    <x:xf numFmtId="201" fontId="8" fillId="7" borderId="38" xfId="0" applyNumberFormat="1" applyFont="1" applyFill="1" applyBorder="1" applyAlignment="1">
      <x:alignment horizontal="center" vertical="center"/>
    </x:xf>
    <x:xf numFmtId="201" fontId="8" fillId="7" borderId="39" xfId="0" applyNumberFormat="1" applyFont="1" applyFill="1" applyBorder="1" applyAlignment="1">
      <x:alignment horizontal="center" vertical="center"/>
    </x:xf>
    <x:xf numFmtId="201" fontId="8" fillId="7" borderId="40" xfId="0" applyNumberFormat="1" applyFont="1" applyFill="1" applyBorder="1" applyAlignment="1">
      <x:alignment horizontal="center" vertical="center"/>
    </x:xf>
    <x:xf numFmtId="201" fontId="8" fillId="7" borderId="41" xfId="0" applyNumberFormat="1" applyFont="1" applyFill="1" applyBorder="1" applyAlignment="1">
      <x:alignment horizontal="center" vertical="center"/>
    </x:xf>
    <x:xf numFmtId="201" fontId="8" fillId="7" borderId="42" xfId="0" applyNumberFormat="1" applyFont="1" applyFill="1" applyBorder="1" applyAlignment="1">
      <x:alignment horizontal="center" vertical="center"/>
    </x:xf>
    <x:xf numFmtId="201" fontId="8" fillId="7" borderId="43" xfId="0" applyNumberFormat="1" applyFont="1" applyFill="1" applyBorder="1" applyAlignment="1">
      <x:alignment horizontal="center" vertical="center"/>
    </x:xf>
    <x:xf numFmtId="0" fontId="0" fillId="10" borderId="0" xfId="0" applyNumberFormat="1" applyFont="1" applyFill="1" applyBorder="1"/>
    <x:xf numFmtId="0" fontId="7" fillId="10" borderId="0" xfId="0" applyNumberFormat="1" applyFont="1" applyFill="1" applyBorder="1"/>
    <x:xf numFmtId="0" fontId="7" fillId="10" borderId="0" xfId="0" applyNumberFormat="1" applyFont="1" applyFill="1" applyBorder="1" applyAlignment="1">
      <x:alignment horizontal="center"/>
    </x:xf>
    <x:xf numFmtId="0" fontId="7" fillId="10" borderId="0" xfId="0" applyNumberFormat="1" applyFont="1" applyFill="1" applyBorder="1" applyAlignment="1">
      <x:alignment horizontal="center" vertical="center"/>
    </x:xf>
    <x:xf numFmtId="0" fontId="0" fillId="10" borderId="1" xfId="0" applyNumberFormat="1" applyFont="1" applyFill="1" applyBorder="1"/>
    <x:xf numFmtId="0" fontId="7" fillId="10" borderId="1" xfId="0" applyNumberFormat="1" applyFont="1" applyFill="1" applyBorder="1"/>
    <x:xf numFmtId="0" fontId="7" fillId="10" borderId="1" xfId="0" applyNumberFormat="1" applyFont="1" applyFill="1" applyBorder="1" applyAlignment="1">
      <x:alignment horizontal="center"/>
    </x:xf>
    <x:xf numFmtId="0" fontId="7" fillId="10" borderId="1" xfId="0" applyNumberFormat="1" applyFont="1" applyFill="1" applyBorder="1" applyAlignment="1">
      <x:alignment horizontal="center" vertical="center"/>
    </x:xf>
    <x:xf numFmtId="0" fontId="8" fillId="7" borderId="44" xfId="0" applyNumberFormat="1" applyFont="1" applyFill="1" applyBorder="1"/>
    <x:xf numFmtId="0" fontId="8" fillId="7" borderId="45" xfId="0" applyNumberFormat="1" applyFont="1" applyFill="1" applyBorder="1"/>
    <x:xf numFmtId="0" fontId="8" fillId="7" borderId="46" xfId="0" applyNumberFormat="1" applyFont="1" applyFill="1" applyBorder="1"/>
    <x:xf numFmtId="0" fontId="8" fillId="7" borderId="47" xfId="0" applyNumberFormat="1" applyFont="1" applyFill="1" applyBorder="1"/>
    <x:xf numFmtId="0" fontId="8" fillId="7" borderId="48" xfId="0" applyNumberFormat="1" applyFont="1" applyFill="1" applyBorder="1"/>
    <x:xf numFmtId="0" fontId="8" fillId="7" borderId="44" xfId="0" applyNumberFormat="1" applyFont="1" applyFill="1" applyBorder="1" applyAlignment="1">
      <x:alignment horizontal="center"/>
    </x:xf>
    <x:xf numFmtId="0" fontId="8" fillId="7" borderId="45" xfId="0" applyNumberFormat="1" applyFont="1" applyFill="1" applyBorder="1" applyAlignment="1">
      <x:alignment horizontal="center"/>
    </x:xf>
    <x:xf numFmtId="0" fontId="8" fillId="7" borderId="46" xfId="0" applyNumberFormat="1" applyFont="1" applyFill="1" applyBorder="1" applyAlignment="1">
      <x:alignment horizontal="center"/>
    </x:xf>
    <x:xf numFmtId="0" fontId="8" fillId="7" borderId="47" xfId="0" applyNumberFormat="1" applyFont="1" applyFill="1" applyBorder="1" applyAlignment="1">
      <x:alignment horizontal="center"/>
    </x:xf>
    <x:xf numFmtId="0" fontId="8" fillId="7" borderId="48" xfId="0" applyNumberFormat="1" applyFont="1" applyFill="1" applyBorder="1" applyAlignment="1">
      <x:alignment horizontal="center"/>
    </x:xf>
    <x:xf numFmtId="0" fontId="8" fillId="7" borderId="44" xfId="0" applyNumberFormat="1" applyFont="1" applyFill="1" applyBorder="1" applyAlignment="1">
      <x:alignment horizontal="center" vertical="center"/>
    </x:xf>
    <x:xf numFmtId="0" fontId="8" fillId="7" borderId="45" xfId="0" applyNumberFormat="1" applyFont="1" applyFill="1" applyBorder="1" applyAlignment="1">
      <x:alignment horizontal="center" vertical="center"/>
    </x:xf>
    <x:xf numFmtId="0" fontId="8" fillId="7" borderId="46" xfId="0" applyNumberFormat="1" applyFont="1" applyFill="1" applyBorder="1" applyAlignment="1">
      <x:alignment horizontal="center" vertical="center"/>
    </x:xf>
    <x:xf numFmtId="0" fontId="8" fillId="7" borderId="47" xfId="0" applyNumberFormat="1" applyFont="1" applyFill="1" applyBorder="1" applyAlignment="1">
      <x:alignment horizontal="center" vertical="center"/>
    </x:xf>
    <x:xf numFmtId="0" fontId="8" fillId="7" borderId="48" xfId="0" applyNumberFormat="1" applyFont="1" applyFill="1" applyBorder="1" applyAlignment="1">
      <x:alignment horizontal="center" vertical="center"/>
    </x:xf>
    <x:xf numFmtId="0" fontId="8" fillId="7" borderId="49" xfId="0" applyNumberFormat="1" applyFont="1" applyFill="1" applyBorder="1"/>
    <x:xf numFmtId="0" fontId="8" fillId="7" borderId="50" xfId="0" applyNumberFormat="1" applyFont="1" applyFill="1" applyBorder="1"/>
    <x:xf numFmtId="0" fontId="8" fillId="7" borderId="51" xfId="0" applyNumberFormat="1" applyFont="1" applyFill="1" applyBorder="1"/>
    <x:xf numFmtId="0" fontId="8" fillId="7" borderId="52" xfId="0" applyNumberFormat="1" applyFont="1" applyFill="1" applyBorder="1"/>
    <x:xf numFmtId="0" fontId="8" fillId="7" borderId="53" xfId="0" applyNumberFormat="1" applyFont="1" applyFill="1" applyBorder="1"/>
    <x:xf numFmtId="0" fontId="8" fillId="7" borderId="49" xfId="0" applyNumberFormat="1" applyFont="1" applyFill="1" applyBorder="1" applyAlignment="1">
      <x:alignment horizontal="center"/>
    </x:xf>
    <x:xf numFmtId="0" fontId="8" fillId="7" borderId="50" xfId="0" applyNumberFormat="1" applyFont="1" applyFill="1" applyBorder="1" applyAlignment="1">
      <x:alignment horizontal="center"/>
    </x:xf>
    <x:xf numFmtId="0" fontId="8" fillId="7" borderId="51" xfId="0" applyNumberFormat="1" applyFont="1" applyFill="1" applyBorder="1" applyAlignment="1">
      <x:alignment horizontal="center"/>
    </x:xf>
    <x:xf numFmtId="0" fontId="8" fillId="7" borderId="52" xfId="0" applyNumberFormat="1" applyFont="1" applyFill="1" applyBorder="1" applyAlignment="1">
      <x:alignment horizontal="center"/>
    </x:xf>
    <x:xf numFmtId="0" fontId="8" fillId="7" borderId="53" xfId="0" applyNumberFormat="1" applyFont="1" applyFill="1" applyBorder="1" applyAlignment="1">
      <x:alignment horizontal="center"/>
    </x:xf>
    <x:xf numFmtId="0" fontId="8" fillId="7" borderId="49" xfId="0" applyNumberFormat="1" applyFont="1" applyFill="1" applyBorder="1" applyAlignment="1">
      <x:alignment horizontal="center" vertical="center"/>
    </x:xf>
    <x:xf numFmtId="0" fontId="8" fillId="7" borderId="50" xfId="0" applyNumberFormat="1" applyFont="1" applyFill="1" applyBorder="1" applyAlignment="1">
      <x:alignment horizontal="center" vertical="center"/>
    </x:xf>
    <x:xf numFmtId="0" fontId="8" fillId="7" borderId="51" xfId="0" applyNumberFormat="1" applyFont="1" applyFill="1" applyBorder="1" applyAlignment="1">
      <x:alignment horizontal="center" vertical="center"/>
    </x:xf>
    <x:xf numFmtId="0" fontId="8" fillId="7" borderId="52" xfId="0" applyNumberFormat="1" applyFont="1" applyFill="1" applyBorder="1" applyAlignment="1">
      <x:alignment horizontal="center" vertical="center"/>
    </x:xf>
    <x:xf numFmtId="0" fontId="8" fillId="7" borderId="53" xfId="0" applyNumberFormat="1" applyFont="1" applyFill="1" applyBorder="1" applyAlignment="1">
      <x:alignment horizontal="center" vertical="center"/>
    </x:xf>
    <x:xf numFmtId="203" fontId="8" fillId="7" borderId="44" xfId="0" applyNumberFormat="1" applyFont="1" applyFill="1" applyBorder="1" applyAlignment="1">
      <x:alignment horizontal="center" vertical="center"/>
    </x:xf>
    <x:xf numFmtId="203" fontId="8" fillId="7" borderId="45" xfId="0" applyNumberFormat="1" applyFont="1" applyFill="1" applyBorder="1" applyAlignment="1">
      <x:alignment horizontal="center" vertical="center"/>
    </x:xf>
    <x:xf numFmtId="203" fontId="8" fillId="7" borderId="46" xfId="0" applyNumberFormat="1" applyFont="1" applyFill="1" applyBorder="1" applyAlignment="1">
      <x:alignment horizontal="center" vertical="center"/>
    </x:xf>
    <x:xf numFmtId="203" fontId="8" fillId="7" borderId="47" xfId="0" applyNumberFormat="1" applyFont="1" applyFill="1" applyBorder="1" applyAlignment="1">
      <x:alignment horizontal="center" vertical="center"/>
    </x:xf>
    <x:xf numFmtId="203" fontId="8" fillId="7" borderId="48" xfId="0" applyNumberFormat="1" applyFont="1" applyFill="1" applyBorder="1" applyAlignment="1">
      <x:alignment horizontal="center" vertical="center"/>
    </x:xf>
    <x:xf numFmtId="203" fontId="8" fillId="7" borderId="49" xfId="0" applyNumberFormat="1" applyFont="1" applyFill="1" applyBorder="1" applyAlignment="1">
      <x:alignment horizontal="center" vertical="center"/>
    </x:xf>
    <x:xf numFmtId="203" fontId="8" fillId="7" borderId="50" xfId="0" applyNumberFormat="1" applyFont="1" applyFill="1" applyBorder="1" applyAlignment="1">
      <x:alignment horizontal="center" vertical="center"/>
    </x:xf>
    <x:xf numFmtId="203" fontId="8" fillId="7" borderId="51" xfId="0" applyNumberFormat="1" applyFont="1" applyFill="1" applyBorder="1" applyAlignment="1">
      <x:alignment horizontal="center" vertical="center"/>
    </x:xf>
    <x:xf numFmtId="203" fontId="8" fillId="7" borderId="52" xfId="0" applyNumberFormat="1" applyFont="1" applyFill="1" applyBorder="1" applyAlignment="1">
      <x:alignment horizontal="center" vertical="center"/>
    </x:xf>
    <x:xf numFmtId="203" fontId="8" fillId="7" borderId="53" xfId="0" applyNumberFormat="1" applyFont="1" applyFill="1" applyBorder="1" applyAlignment="1">
      <x:alignment horizontal="center" vertical="center"/>
    </x:xf>
    <x:xf numFmtId="0" fontId="0" fillId="11" borderId="0" xfId="0" applyNumberFormat="1" applyFont="1" applyFill="1" applyBorder="1"/>
    <x:xf numFmtId="0" fontId="7" fillId="11" borderId="0" xfId="0" applyNumberFormat="1" applyFont="1" applyFill="1" applyBorder="1"/>
    <x:xf numFmtId="0" fontId="7" fillId="11" borderId="0" xfId="0" applyNumberFormat="1" applyFont="1" applyFill="1" applyBorder="1" applyAlignment="1">
      <x:alignment horizontal="center"/>
    </x:xf>
    <x:xf numFmtId="0" fontId="7" fillId="11" borderId="0" xfId="0" applyNumberFormat="1" applyFont="1" applyFill="1" applyBorder="1" applyAlignment="1">
      <x:alignment horizontal="center" vertical="center"/>
    </x:xf>
    <x:xf numFmtId="0" fontId="0" fillId="11" borderId="1" xfId="0" applyNumberFormat="1" applyFont="1" applyFill="1" applyBorder="1"/>
    <x:xf numFmtId="0" fontId="7" fillId="11" borderId="1" xfId="0" applyNumberFormat="1" applyFont="1" applyFill="1" applyBorder="1"/>
    <x:xf numFmtId="0" fontId="7" fillId="11" borderId="1" xfId="0" applyNumberFormat="1" applyFont="1" applyFill="1" applyBorder="1" applyAlignment="1">
      <x:alignment horizontal="center"/>
    </x:xf>
    <x:xf numFmtId="0" fontId="7" fillId="11" borderId="1" xfId="0" applyNumberFormat="1" applyFont="1" applyFill="1" applyBorder="1" applyAlignment="1">
      <x:alignment horizontal="center" vertical="center"/>
    </x:xf>
    <x:xf numFmtId="0" fontId="8" fillId="7" borderId="54" xfId="0" applyNumberFormat="1" applyFont="1" applyFill="1" applyBorder="1"/>
    <x:xf numFmtId="0" fontId="8" fillId="7" borderId="55" xfId="0" applyNumberFormat="1" applyFont="1" applyFill="1" applyBorder="1"/>
    <x:xf numFmtId="0" fontId="8" fillId="7" borderId="56" xfId="0" applyNumberFormat="1" applyFont="1" applyFill="1" applyBorder="1"/>
    <x:xf numFmtId="0" fontId="8" fillId="7" borderId="57" xfId="0" applyNumberFormat="1" applyFont="1" applyFill="1" applyBorder="1"/>
    <x:xf numFmtId="0" fontId="8" fillId="7" borderId="54" xfId="0" applyNumberFormat="1" applyFont="1" applyFill="1" applyBorder="1" applyAlignment="1">
      <x:alignment horizontal="center"/>
    </x:xf>
    <x:xf numFmtId="0" fontId="8" fillId="7" borderId="55" xfId="0" applyNumberFormat="1" applyFont="1" applyFill="1" applyBorder="1" applyAlignment="1">
      <x:alignment horizontal="center"/>
    </x:xf>
    <x:xf numFmtId="0" fontId="8" fillId="7" borderId="56" xfId="0" applyNumberFormat="1" applyFont="1" applyFill="1" applyBorder="1" applyAlignment="1">
      <x:alignment horizontal="center"/>
    </x:xf>
    <x:xf numFmtId="0" fontId="8" fillId="7" borderId="57" xfId="0" applyNumberFormat="1" applyFont="1" applyFill="1" applyBorder="1" applyAlignment="1">
      <x:alignment horizontal="center"/>
    </x:xf>
    <x:xf numFmtId="0" fontId="8" fillId="7" borderId="54" xfId="0" applyNumberFormat="1" applyFont="1" applyFill="1" applyBorder="1" applyAlignment="1">
      <x:alignment horizontal="center" vertical="center"/>
    </x:xf>
    <x:xf numFmtId="0" fontId="8" fillId="7" borderId="55" xfId="0" applyNumberFormat="1" applyFont="1" applyFill="1" applyBorder="1" applyAlignment="1">
      <x:alignment horizontal="center" vertical="center"/>
    </x:xf>
    <x:xf numFmtId="0" fontId="8" fillId="7" borderId="56" xfId="0" applyNumberFormat="1" applyFont="1" applyFill="1" applyBorder="1" applyAlignment="1">
      <x:alignment horizontal="center" vertical="center"/>
    </x:xf>
    <x:xf numFmtId="0" fontId="8" fillId="7" borderId="57" xfId="0" applyNumberFormat="1" applyFont="1" applyFill="1" applyBorder="1" applyAlignment="1">
      <x:alignment horizontal="center" vertical="center"/>
    </x:xf>
    <x:xf numFmtId="0" fontId="8" fillId="7" borderId="58" xfId="0" applyNumberFormat="1" applyFont="1" applyFill="1" applyBorder="1"/>
    <x:xf numFmtId="0" fontId="8" fillId="7" borderId="59" xfId="0" applyNumberFormat="1" applyFont="1" applyFill="1" applyBorder="1"/>
    <x:xf numFmtId="0" fontId="8" fillId="7" borderId="60" xfId="0" applyNumberFormat="1" applyFont="1" applyFill="1" applyBorder="1"/>
    <x:xf numFmtId="0" fontId="8" fillId="7" borderId="61" xfId="0" applyNumberFormat="1" applyFont="1" applyFill="1" applyBorder="1"/>
    <x:xf numFmtId="0" fontId="8" fillId="7" borderId="58" xfId="0" applyNumberFormat="1" applyFont="1" applyFill="1" applyBorder="1" applyAlignment="1">
      <x:alignment horizontal="center"/>
    </x:xf>
    <x:xf numFmtId="0" fontId="8" fillId="7" borderId="59" xfId="0" applyNumberFormat="1" applyFont="1" applyFill="1" applyBorder="1" applyAlignment="1">
      <x:alignment horizontal="center"/>
    </x:xf>
    <x:xf numFmtId="0" fontId="8" fillId="7" borderId="60" xfId="0" applyNumberFormat="1" applyFont="1" applyFill="1" applyBorder="1" applyAlignment="1">
      <x:alignment horizontal="center"/>
    </x:xf>
    <x:xf numFmtId="0" fontId="8" fillId="7" borderId="61" xfId="0" applyNumberFormat="1" applyFont="1" applyFill="1" applyBorder="1" applyAlignment="1">
      <x:alignment horizontal="center"/>
    </x:xf>
    <x:xf numFmtId="0" fontId="8" fillId="7" borderId="58" xfId="0" applyNumberFormat="1" applyFont="1" applyFill="1" applyBorder="1" applyAlignment="1">
      <x:alignment horizontal="center" vertical="center"/>
    </x:xf>
    <x:xf numFmtId="0" fontId="8" fillId="7" borderId="59" xfId="0" applyNumberFormat="1" applyFont="1" applyFill="1" applyBorder="1" applyAlignment="1">
      <x:alignment horizontal="center" vertical="center"/>
    </x:xf>
    <x:xf numFmtId="0" fontId="8" fillId="7" borderId="60" xfId="0" applyNumberFormat="1" applyFont="1" applyFill="1" applyBorder="1" applyAlignment="1">
      <x:alignment horizontal="center" vertical="center"/>
    </x:xf>
    <x:xf numFmtId="0" fontId="8" fillId="7" borderId="61" xfId="0" applyNumberFormat="1" applyFont="1" applyFill="1" applyBorder="1" applyAlignment="1">
      <x:alignment horizontal="center" vertical="center"/>
    </x:xf>
    <x:xf numFmtId="201" fontId="8" fillId="7" borderId="54" xfId="0" applyNumberFormat="1" applyFont="1" applyFill="1" applyBorder="1" applyAlignment="1">
      <x:alignment horizontal="center" vertical="center"/>
    </x:xf>
    <x:xf numFmtId="201" fontId="8" fillId="7" borderId="55" xfId="0" applyNumberFormat="1" applyFont="1" applyFill="1" applyBorder="1" applyAlignment="1">
      <x:alignment horizontal="center" vertical="center"/>
    </x:xf>
    <x:xf numFmtId="201" fontId="8" fillId="7" borderId="56" xfId="0" applyNumberFormat="1" applyFont="1" applyFill="1" applyBorder="1" applyAlignment="1">
      <x:alignment horizontal="center" vertical="center"/>
    </x:xf>
    <x:xf numFmtId="201" fontId="8" fillId="7" borderId="57" xfId="0" applyNumberFormat="1" applyFont="1" applyFill="1" applyBorder="1" applyAlignment="1">
      <x:alignment horizontal="center" vertical="center"/>
    </x:xf>
    <x:xf numFmtId="201" fontId="8" fillId="7" borderId="58" xfId="0" applyNumberFormat="1" applyFont="1" applyFill="1" applyBorder="1" applyAlignment="1">
      <x:alignment horizontal="center" vertical="center"/>
    </x:xf>
    <x:xf numFmtId="201" fontId="8" fillId="7" borderId="59" xfId="0" applyNumberFormat="1" applyFont="1" applyFill="1" applyBorder="1" applyAlignment="1">
      <x:alignment horizontal="center" vertical="center"/>
    </x:xf>
    <x:xf numFmtId="201" fontId="8" fillId="7" borderId="60" xfId="0" applyNumberFormat="1" applyFont="1" applyFill="1" applyBorder="1" applyAlignment="1">
      <x:alignment horizontal="center" vertical="center"/>
    </x:xf>
    <x:xf numFmtId="201" fontId="8" fillId="7" borderId="61" xfId="0" applyNumberFormat="1" applyFont="1" applyFill="1" applyBorder="1" applyAlignment="1">
      <x:alignment horizontal="center" vertical="center"/>
    </x:xf>
    <x:xf numFmtId="0" fontId="0" fillId="12" borderId="0" xfId="0" applyNumberFormat="1" applyFont="1" applyFill="1" applyBorder="1"/>
    <x:xf numFmtId="0" fontId="9" fillId="12" borderId="0" xfId="0" applyNumberFormat="1" applyFont="1" applyFill="1" applyBorder="1"/>
    <x:xf numFmtId="0" fontId="9" fillId="12" borderId="0" xfId="0" applyNumberFormat="1" applyFont="1" applyFill="1" applyBorder="1" applyAlignment="1">
      <x:alignment wrapText="1"/>
    </x:xf>
    <x:xf numFmtId="0" fontId="0" fillId="12" borderId="1" xfId="0" applyNumberFormat="1" applyFont="1" applyFill="1" applyBorder="1"/>
    <x:xf numFmtId="0" fontId="9" fillId="12" borderId="1" xfId="0" applyNumberFormat="1" applyFont="1" applyFill="1" applyBorder="1"/>
    <x:xf numFmtId="0" fontId="9" fillId="12" borderId="1" xfId="0" applyNumberFormat="1" applyFont="1" applyFill="1" applyBorder="1" applyAlignment="1">
      <x:alignment wrapText="1"/>
    </x:xf>
    <x:xf numFmtId="0" fontId="0" fillId="7" borderId="0" xfId="0" applyNumberFormat="1" applyFont="1" applyFill="1" applyBorder="1" applyAlignment="1">
      <x:alignment wrapText="1"/>
    </x:xf>
    <x:xf numFmtId="0" fontId="0" fillId="7" borderId="1" xfId="0" applyNumberFormat="1" applyFont="1" applyFill="1" applyBorder="1" applyAlignment="1">
      <x:alignment wrapText="1"/>
    </x:xf>
    <x:xf numFmtId="0" fontId="10" fillId="2" borderId="0" xfId="0" applyNumberFormat="1" applyFont="1" applyFill="1" applyBorder="1" applyAlignment="1">
      <x:alignment horizontal="left" vertical="center"/>
    </x:xf>
    <x:xf numFmtId="0" fontId="11" fillId="0" borderId="0" xfId="0" applyNumberFormat="1" applyFont="1" applyFill="1" applyBorder="1"/>
    <x:xf numFmtId="0" fontId="12" fillId="3" borderId="0" xfId="0" applyNumberFormat="1" applyFont="1" applyFill="1" applyBorder="1" applyAlignment="1">
      <x:alignment horizontal="left" vertical="center"/>
    </x:xf>
    <x:xf numFmtId="0" fontId="10" fillId="8" borderId="0" xfId="0" applyNumberFormat="1" applyFont="1" applyFill="1" applyBorder="1" applyAlignment="1">
      <x:alignment horizontal="center" vertical="center"/>
    </x:xf>
    <x:xf numFmtId="0" fontId="10" fillId="4" borderId="0" xfId="0" applyNumberFormat="1" applyFont="1" applyFill="1" applyBorder="1" applyAlignment="1">
      <x:alignment horizontal="center" vertical="center"/>
    </x:xf>
    <x:xf numFmtId="0" fontId="10" fillId="9" borderId="0" xfId="0" applyNumberFormat="1" applyFont="1" applyFill="1" applyBorder="1" applyAlignment="1">
      <x:alignment horizontal="center" vertical="center"/>
    </x:xf>
    <x:xf numFmtId="0" fontId="10" fillId="10" borderId="0" xfId="0" applyNumberFormat="1" applyFont="1" applyFill="1" applyBorder="1" applyAlignment="1">
      <x:alignment horizontal="center" vertical="center"/>
    </x:xf>
    <x:xf numFmtId="0" fontId="10" fillId="11" borderId="0" xfId="0" applyNumberFormat="1" applyFont="1" applyFill="1" applyBorder="1" applyAlignment="1">
      <x:alignment horizontal="center" vertical="center"/>
    </x:xf>
    <x:xf numFmtId="203" fontId="13" fillId="7" borderId="14" xfId="0" applyNumberFormat="1" applyFont="1" applyFill="1" applyBorder="1" applyAlignment="1">
      <x:alignment horizontal="center" vertical="center"/>
    </x:xf>
    <x:xf numFmtId="203" fontId="13" fillId="7" borderId="0" xfId="0" applyNumberFormat="1" applyFont="1" applyFill="1" applyBorder="1" applyAlignment="1">
      <x:alignment horizontal="center" vertical="center"/>
    </x:xf>
    <x:xf numFmtId="203" fontId="13" fillId="7" borderId="15" xfId="0" applyNumberFormat="1" applyFont="1" applyFill="1" applyBorder="1" applyAlignment="1">
      <x:alignment horizontal="center" vertical="center"/>
    </x:xf>
    <x:xf numFmtId="201" fontId="13" fillId="7" borderId="24" xfId="0" applyNumberFormat="1" applyFont="1" applyFill="1" applyBorder="1" applyAlignment="1">
      <x:alignment horizontal="center" vertical="center"/>
    </x:xf>
    <x:xf numFmtId="201" fontId="13" fillId="7" borderId="0" xfId="0" applyNumberFormat="1" applyFont="1" applyFill="1" applyBorder="1" applyAlignment="1">
      <x:alignment horizontal="center" vertical="center"/>
    </x:xf>
    <x:xf numFmtId="201" fontId="13" fillId="7" borderId="25" xfId="0" applyNumberFormat="1" applyFont="1" applyFill="1" applyBorder="1" applyAlignment="1">
      <x:alignment horizontal="center" vertical="center"/>
    </x:xf>
    <x:xf numFmtId="201" fontId="13" fillId="7" borderId="34" xfId="0" applyNumberFormat="1" applyFont="1" applyFill="1" applyBorder="1" applyAlignment="1">
      <x:alignment horizontal="center" vertical="center"/>
    </x:xf>
    <x:xf numFmtId="201" fontId="13" fillId="7" borderId="35" xfId="0" applyNumberFormat="1" applyFont="1" applyFill="1" applyBorder="1" applyAlignment="1">
      <x:alignment horizontal="center" vertical="center"/>
    </x:xf>
    <x:xf numFmtId="203" fontId="13" fillId="7" borderId="44" xfId="0" applyNumberFormat="1" applyFont="1" applyFill="1" applyBorder="1" applyAlignment="1">
      <x:alignment horizontal="center" vertical="center"/>
    </x:xf>
    <x:xf numFmtId="203" fontId="13" fillId="7" borderId="45" xfId="0" applyNumberFormat="1" applyFont="1" applyFill="1" applyBorder="1" applyAlignment="1">
      <x:alignment horizontal="center" vertical="center"/>
    </x:xf>
    <x:xf numFmtId="201" fontId="13" fillId="7" borderId="54" xfId="0" applyNumberFormat="1" applyFont="1" applyFill="1" applyBorder="1" applyAlignment="1">
      <x:alignment horizontal="center" vertical="center"/>
    </x:xf>
    <x:xf numFmtId="201" fontId="13" fillId="7" borderId="55" xfId="0" applyNumberFormat="1" applyFont="1" applyFill="1" applyBorder="1" applyAlignment="1">
      <x:alignment horizontal="center" vertical="center"/>
    </x:xf>
    <x:xf numFmtId="203" fontId="13" fillId="7" borderId="16" xfId="0" applyNumberFormat="1" applyFont="1" applyFill="1" applyBorder="1" applyAlignment="1">
      <x:alignment horizontal="center" vertical="center"/>
    </x:xf>
    <x:xf numFmtId="203" fontId="13" fillId="7" borderId="17" xfId="0" applyNumberFormat="1" applyFont="1" applyFill="1" applyBorder="1" applyAlignment="1">
      <x:alignment horizontal="center" vertical="center"/>
    </x:xf>
    <x:xf numFmtId="203" fontId="13" fillId="7" borderId="18" xfId="0" applyNumberFormat="1" applyFont="1" applyFill="1" applyBorder="1" applyAlignment="1">
      <x:alignment horizontal="center" vertical="center"/>
    </x:xf>
    <x:xf numFmtId="201" fontId="13" fillId="7" borderId="26" xfId="0" applyNumberFormat="1" applyFont="1" applyFill="1" applyBorder="1" applyAlignment="1">
      <x:alignment horizontal="center" vertical="center"/>
    </x:xf>
    <x:xf numFmtId="201" fontId="13" fillId="7" borderId="27" xfId="0" applyNumberFormat="1" applyFont="1" applyFill="1" applyBorder="1" applyAlignment="1">
      <x:alignment horizontal="center" vertical="center"/>
    </x:xf>
    <x:xf numFmtId="201" fontId="13" fillId="7" borderId="28" xfId="0" applyNumberFormat="1" applyFont="1" applyFill="1" applyBorder="1" applyAlignment="1">
      <x:alignment horizontal="center" vertical="center"/>
    </x:xf>
    <x:xf numFmtId="201" fontId="13" fillId="7" borderId="36" xfId="0" applyNumberFormat="1" applyFont="1" applyFill="1" applyBorder="1" applyAlignment="1">
      <x:alignment horizontal="center" vertical="center"/>
    </x:xf>
    <x:xf numFmtId="201" fontId="13" fillId="7" borderId="37" xfId="0" applyNumberFormat="1" applyFont="1" applyFill="1" applyBorder="1" applyAlignment="1">
      <x:alignment horizontal="center" vertical="center"/>
    </x:xf>
    <x:xf numFmtId="201" fontId="13" fillId="7" borderId="38" xfId="0" applyNumberFormat="1" applyFont="1" applyFill="1" applyBorder="1" applyAlignment="1">
      <x:alignment horizontal="center" vertical="center"/>
    </x:xf>
    <x:xf numFmtId="203" fontId="13" fillId="7" borderId="46" xfId="0" applyNumberFormat="1" applyFont="1" applyFill="1" applyBorder="1" applyAlignment="1">
      <x:alignment horizontal="center" vertical="center"/>
    </x:xf>
    <x:xf numFmtId="203" fontId="13" fillId="7" borderId="47" xfId="0" applyNumberFormat="1" applyFont="1" applyFill="1" applyBorder="1" applyAlignment="1">
      <x:alignment horizontal="center" vertical="center"/>
    </x:xf>
    <x:xf numFmtId="203" fontId="13" fillId="7" borderId="48" xfId="0" applyNumberFormat="1" applyFont="1" applyFill="1" applyBorder="1" applyAlignment="1">
      <x:alignment horizontal="center" vertical="center"/>
    </x:xf>
    <x:xf numFmtId="201" fontId="13" fillId="7" borderId="56" xfId="0" applyNumberFormat="1" applyFont="1" applyFill="1" applyBorder="1" applyAlignment="1">
      <x:alignment horizontal="center" vertical="center"/>
    </x:xf>
    <x:xf numFmtId="201" fontId="13" fillId="7" borderId="57" xfId="0" applyNumberFormat="1" applyFont="1" applyFill="1" applyBorder="1" applyAlignment="1">
      <x:alignment horizontal="center" vertical="center"/>
    </x:xf>
    <x:xf numFmtId="0" fontId="10" fillId="3" borderId="0" xfId="0" applyNumberFormat="1" applyFont="1" applyFill="1" applyBorder="1" applyAlignment="1">
      <x:alignment vertical="center"/>
    </x:xf>
    <x:xf numFmtId="0" fontId="13" fillId="12" borderId="0" xfId="0" applyNumberFormat="1" applyFont="1" applyFill="1" applyBorder="1" applyAlignment="1">
      <x:alignment wrapText="1"/>
    </x:xf>
    <x:xf numFmtId="0" fontId="11" fillId="7" borderId="0" xfId="0" applyNumberFormat="1" applyFont="1" applyFill="1" applyBorder="1" applyAlignment="1">
      <x:alignment wrapText="1"/>
    </x:xf>
    <x:xf numFmtId="0" fontId="10" fillId="4" borderId="4" xfId="0" applyNumberFormat="1" applyFont="1" applyFill="1" applyBorder="1" applyAlignment="1">
      <x:alignment horizontal="center" vertical="center" wrapText="1"/>
    </x:xf>
    <x:xf numFmtId="0" fontId="10" fillId="4" borderId="6" xfId="0" applyNumberFormat="1" applyFont="1" applyFill="1" applyBorder="1" applyAlignment="1">
      <x:alignment horizontal="center" vertical="center" wrapText="1"/>
    </x:xf>
    <x:xf numFmtId="0" fontId="11" fillId="0" borderId="0" xfId="0" applyNumberFormat="1" applyFont="1" applyFill="1" applyBorder="1" applyAlignment="1">
      <x:alignment vertical="top" wrapText="1"/>
    </x:xf>
    <x:xf numFmtId="0" fontId="11" fillId="0" borderId="10" xfId="0" applyNumberFormat="1" applyFont="1" applyFill="1" applyBorder="1" applyAlignment="1">
      <x:alignment vertical="top" wrapText="1"/>
    </x:xf>
    <x:xf numFmtId="0" fontId="10" fillId="4" borderId="5" xfId="0" applyNumberFormat="1" applyFont="1" applyFill="1" applyBorder="1" applyAlignment="1">
      <x:alignment horizontal="center" vertical="center" wrapText="1"/>
    </x:xf>
    <x:xf numFmtId="201" fontId="11" fillId="5" borderId="0" xfId="0" applyNumberFormat="1" applyFont="1" applyFill="1" applyBorder="1" applyAlignment="1">
      <x:alignment vertical="top" wrapText="1"/>
    </x:xf>
    <x:xf numFmtId="201" fontId="11" fillId="5" borderId="10" xfId="0" applyNumberFormat="1" applyFont="1" applyFill="1" applyBorder="1" applyAlignment="1">
      <x:alignment vertical="top" wrapText="1"/>
    </x:xf>
    <x:xf numFmtId="0" fontId="10" fillId="2" borderId="1" xfId="0" applyNumberFormat="1" applyFont="1" applyFill="1" applyBorder="1" applyAlignment="1">
      <x:alignment horizontal="left" vertical="center"/>
    </x:xf>
    <x:xf numFmtId="0" fontId="11" fillId="0" borderId="1" xfId="0" applyNumberFormat="1" applyFont="1" applyFill="1" applyBorder="1"/>
    <x:xf numFmtId="0" fontId="12" fillId="3" borderId="1" xfId="0" applyNumberFormat="1" applyFont="1" applyFill="1" applyBorder="1" applyAlignment="1">
      <x:alignment horizontal="left" vertical="center"/>
    </x:xf>
    <x:xf numFmtId="0" fontId="10" fillId="8" borderId="1" xfId="0" applyNumberFormat="1" applyFont="1" applyFill="1" applyBorder="1" applyAlignment="1">
      <x:alignment horizontal="center" vertical="center"/>
    </x:xf>
    <x:xf numFmtId="0" fontId="10" fillId="4" borderId="1" xfId="0" applyNumberFormat="1" applyFont="1" applyFill="1" applyBorder="1" applyAlignment="1">
      <x:alignment horizontal="center" vertical="center"/>
    </x:xf>
    <x:xf numFmtId="0" fontId="10" fillId="9" borderId="1" xfId="0" applyNumberFormat="1" applyFont="1" applyFill="1" applyBorder="1" applyAlignment="1">
      <x:alignment horizontal="center" vertical="center"/>
    </x:xf>
    <x:xf numFmtId="0" fontId="10" fillId="10" borderId="1" xfId="0" applyNumberFormat="1" applyFont="1" applyFill="1" applyBorder="1" applyAlignment="1">
      <x:alignment horizontal="center" vertical="center"/>
    </x:xf>
    <x:xf numFmtId="0" fontId="10" fillId="11" borderId="1" xfId="0" applyNumberFormat="1" applyFont="1" applyFill="1" applyBorder="1" applyAlignment="1">
      <x:alignment horizontal="center" vertical="center"/>
    </x:xf>
    <x:xf numFmtId="203" fontId="13" fillId="7" borderId="19" xfId="0" applyNumberFormat="1" applyFont="1" applyFill="1" applyBorder="1" applyAlignment="1">
      <x:alignment horizontal="center" vertical="center"/>
    </x:xf>
    <x:xf numFmtId="203" fontId="13" fillId="7" borderId="1" xfId="0" applyNumberFormat="1" applyFont="1" applyFill="1" applyBorder="1" applyAlignment="1">
      <x:alignment horizontal="center" vertical="center"/>
    </x:xf>
    <x:xf numFmtId="203" fontId="13" fillId="7" borderId="20" xfId="0" applyNumberFormat="1" applyFont="1" applyFill="1" applyBorder="1" applyAlignment="1">
      <x:alignment horizontal="center" vertical="center"/>
    </x:xf>
    <x:xf numFmtId="201" fontId="13" fillId="7" borderId="29" xfId="0" applyNumberFormat="1" applyFont="1" applyFill="1" applyBorder="1" applyAlignment="1">
      <x:alignment horizontal="center" vertical="center"/>
    </x:xf>
    <x:xf numFmtId="201" fontId="13" fillId="7" borderId="1" xfId="0" applyNumberFormat="1" applyFont="1" applyFill="1" applyBorder="1" applyAlignment="1">
      <x:alignment horizontal="center" vertical="center"/>
    </x:xf>
    <x:xf numFmtId="201" fontId="13" fillId="7" borderId="30" xfId="0" applyNumberFormat="1" applyFont="1" applyFill="1" applyBorder="1" applyAlignment="1">
      <x:alignment horizontal="center" vertical="center"/>
    </x:xf>
    <x:xf numFmtId="201" fontId="13" fillId="7" borderId="39" xfId="0" applyNumberFormat="1" applyFont="1" applyFill="1" applyBorder="1" applyAlignment="1">
      <x:alignment horizontal="center" vertical="center"/>
    </x:xf>
    <x:xf numFmtId="201" fontId="13" fillId="7" borderId="40" xfId="0" applyNumberFormat="1" applyFont="1" applyFill="1" applyBorder="1" applyAlignment="1">
      <x:alignment horizontal="center" vertical="center"/>
    </x:xf>
    <x:xf numFmtId="203" fontId="13" fillId="7" borderId="49" xfId="0" applyNumberFormat="1" applyFont="1" applyFill="1" applyBorder="1" applyAlignment="1">
      <x:alignment horizontal="center" vertical="center"/>
    </x:xf>
    <x:xf numFmtId="203" fontId="13" fillId="7" borderId="50" xfId="0" applyNumberFormat="1" applyFont="1" applyFill="1" applyBorder="1" applyAlignment="1">
      <x:alignment horizontal="center" vertical="center"/>
    </x:xf>
    <x:xf numFmtId="201" fontId="13" fillId="7" borderId="58" xfId="0" applyNumberFormat="1" applyFont="1" applyFill="1" applyBorder="1" applyAlignment="1">
      <x:alignment horizontal="center" vertical="center"/>
    </x:xf>
    <x:xf numFmtId="201" fontId="13" fillId="7" borderId="59" xfId="0" applyNumberFormat="1" applyFont="1" applyFill="1" applyBorder="1" applyAlignment="1">
      <x:alignment horizontal="center" vertical="center"/>
    </x:xf>
    <x:xf numFmtId="203" fontId="13" fillId="7" borderId="21" xfId="0" applyNumberFormat="1" applyFont="1" applyFill="1" applyBorder="1" applyAlignment="1">
      <x:alignment horizontal="center" vertical="center"/>
    </x:xf>
    <x:xf numFmtId="203" fontId="13" fillId="7" borderId="22" xfId="0" applyNumberFormat="1" applyFont="1" applyFill="1" applyBorder="1" applyAlignment="1">
      <x:alignment horizontal="center" vertical="center"/>
    </x:xf>
    <x:xf numFmtId="203" fontId="13" fillId="7" borderId="23" xfId="0" applyNumberFormat="1" applyFont="1" applyFill="1" applyBorder="1" applyAlignment="1">
      <x:alignment horizontal="center" vertical="center"/>
    </x:xf>
    <x:xf numFmtId="201" fontId="13" fillId="7" borderId="31" xfId="0" applyNumberFormat="1" applyFont="1" applyFill="1" applyBorder="1" applyAlignment="1">
      <x:alignment horizontal="center" vertical="center"/>
    </x:xf>
    <x:xf numFmtId="201" fontId="13" fillId="7" borderId="32" xfId="0" applyNumberFormat="1" applyFont="1" applyFill="1" applyBorder="1" applyAlignment="1">
      <x:alignment horizontal="center" vertical="center"/>
    </x:xf>
    <x:xf numFmtId="201" fontId="13" fillId="7" borderId="33" xfId="0" applyNumberFormat="1" applyFont="1" applyFill="1" applyBorder="1" applyAlignment="1">
      <x:alignment horizontal="center" vertical="center"/>
    </x:xf>
    <x:xf numFmtId="201" fontId="13" fillId="7" borderId="41" xfId="0" applyNumberFormat="1" applyFont="1" applyFill="1" applyBorder="1" applyAlignment="1">
      <x:alignment horizontal="center" vertical="center"/>
    </x:xf>
    <x:xf numFmtId="201" fontId="13" fillId="7" borderId="42" xfId="0" applyNumberFormat="1" applyFont="1" applyFill="1" applyBorder="1" applyAlignment="1">
      <x:alignment horizontal="center" vertical="center"/>
    </x:xf>
    <x:xf numFmtId="201" fontId="13" fillId="7" borderId="43" xfId="0" applyNumberFormat="1" applyFont="1" applyFill="1" applyBorder="1" applyAlignment="1">
      <x:alignment horizontal="center" vertical="center"/>
    </x:xf>
    <x:xf numFmtId="203" fontId="13" fillId="7" borderId="51" xfId="0" applyNumberFormat="1" applyFont="1" applyFill="1" applyBorder="1" applyAlignment="1">
      <x:alignment horizontal="center" vertical="center"/>
    </x:xf>
    <x:xf numFmtId="203" fontId="13" fillId="7" borderId="52" xfId="0" applyNumberFormat="1" applyFont="1" applyFill="1" applyBorder="1" applyAlignment="1">
      <x:alignment horizontal="center" vertical="center"/>
    </x:xf>
    <x:xf numFmtId="203" fontId="13" fillId="7" borderId="53" xfId="0" applyNumberFormat="1" applyFont="1" applyFill="1" applyBorder="1" applyAlignment="1">
      <x:alignment horizontal="center" vertical="center"/>
    </x:xf>
    <x:xf numFmtId="201" fontId="13" fillId="7" borderId="60" xfId="0" applyNumberFormat="1" applyFont="1" applyFill="1" applyBorder="1" applyAlignment="1">
      <x:alignment horizontal="center" vertical="center"/>
    </x:xf>
    <x:xf numFmtId="201" fontId="13" fillId="7" borderId="61" xfId="0" applyNumberFormat="1" applyFont="1" applyFill="1" applyBorder="1" applyAlignment="1">
      <x:alignment horizontal="center" vertical="center"/>
    </x:xf>
    <x:xf numFmtId="0" fontId="10" fillId="3" borderId="1" xfId="0" applyNumberFormat="1" applyFont="1" applyFill="1" applyBorder="1" applyAlignment="1">
      <x:alignment vertical="center"/>
    </x:xf>
    <x:xf numFmtId="0" fontId="13" fillId="12" borderId="1" xfId="0" applyNumberFormat="1" applyFont="1" applyFill="1" applyBorder="1" applyAlignment="1">
      <x:alignment wrapText="1"/>
    </x:xf>
    <x:xf numFmtId="0" fontId="11" fillId="7" borderId="1" xfId="0" applyNumberFormat="1" applyFont="1" applyFill="1" applyBorder="1" applyAlignment="1">
      <x:alignment wrapText="1"/>
    </x:xf>
    <x:xf numFmtId="0" fontId="10" fillId="4" borderId="7" xfId="0" applyNumberFormat="1" applyFont="1" applyFill="1" applyBorder="1" applyAlignment="1">
      <x:alignment horizontal="center" vertical="center" wrapText="1"/>
    </x:xf>
    <x:xf numFmtId="0" fontId="10" fillId="4" borderId="9" xfId="0" applyNumberFormat="1" applyFont="1" applyFill="1" applyBorder="1" applyAlignment="1">
      <x:alignment horizontal="center" vertical="center" wrapText="1"/>
    </x:xf>
    <x:xf numFmtId="0" fontId="11" fillId="0" borderId="1" xfId="0" applyNumberFormat="1" applyFont="1" applyFill="1" applyBorder="1" applyAlignment="1">
      <x:alignment vertical="top" wrapText="1"/>
    </x:xf>
    <x:xf numFmtId="0" fontId="11" fillId="0" borderId="11" xfId="0" applyNumberFormat="1" applyFont="1" applyFill="1" applyBorder="1" applyAlignment="1">
      <x:alignment vertical="top" wrapText="1"/>
    </x:xf>
    <x:xf numFmtId="0" fontId="10" fillId="4" borderId="8" xfId="0" applyNumberFormat="1" applyFont="1" applyFill="1" applyBorder="1" applyAlignment="1">
      <x:alignment horizontal="center" vertical="center" wrapText="1"/>
    </x:xf>
    <x:xf numFmtId="201" fontId="11" fillId="5" borderId="1" xfId="0" applyNumberFormat="1" applyFont="1" applyFill="1" applyBorder="1" applyAlignment="1">
      <x:alignment vertical="top" wrapText="1"/>
    </x:xf>
    <x:xf numFmtId="201" fontId="11" fillId="5" borderId="11" xfId="0" applyNumberFormat="1" applyFont="1" applyFill="1" applyBorder="1" applyAlignment="1">
      <x:alignment vertical="top" wrapText="1"/>
    </x:xf>
    <x:xf numFmtId="200" fontId="11" fillId="0" borderId="0" xfId="0" applyNumberFormat="1" applyFont="1" applyFill="1" applyBorder="1" applyAlignment="1">
      <x:alignment vertical="top" wrapText="1"/>
    </x:xf>
    <x:xf numFmtId="200" fontId="11" fillId="0" borderId="10" xfId="0" applyNumberFormat="1" applyFont="1" applyFill="1" applyBorder="1" applyAlignment="1">
      <x:alignment vertical="top" wrapText="1"/>
    </x:xf>
    <x:xf numFmtId="200" fontId="11" fillId="0" borderId="1" xfId="0" applyNumberFormat="1" applyFont="1" applyFill="1" applyBorder="1" applyAlignment="1">
      <x:alignment vertical="top" wrapText="1"/>
    </x:xf>
    <x:xf numFmtId="200" fontId="11" fillId="0" borderId="11" xfId="0" applyNumberFormat="1" applyFont="1" applyFill="1" applyBorder="1" applyAlignment="1">
      <x:alignment vertical="top" wrapText="1"/>
    </x:xf>
    <x:xf numFmtId="0" fontId="11" fillId="5" borderId="0" xfId="0" applyNumberFormat="1" applyFont="1" applyFill="1" applyBorder="1" applyAlignment="1">
      <x:alignment vertical="top" wrapText="1"/>
    </x:xf>
    <x:xf numFmtId="0" fontId="11" fillId="5" borderId="10" xfId="0" applyNumberFormat="1" applyFont="1" applyFill="1" applyBorder="1" applyAlignment="1">
      <x:alignment vertical="top" wrapText="1"/>
    </x:xf>
    <x:xf numFmtId="0" fontId="11" fillId="5" borderId="1" xfId="0" applyNumberFormat="1" applyFont="1" applyFill="1" applyBorder="1" applyAlignment="1">
      <x:alignment vertical="top" wrapText="1"/>
    </x:xf>
    <x:xf numFmtId="0" fontId="11" fillId="5" borderId="11" xfId="0" applyNumberFormat="1" applyFont="1" applyFill="1" applyBorder="1" applyAlignment="1">
      <x:alignment vertical="top" wrapText="1"/>
    </x:xf>
    <x:xf numFmtId="202" fontId="11" fillId="0" borderId="0" xfId="0" applyNumberFormat="1" applyFont="1" applyFill="1" applyBorder="1" applyAlignment="1">
      <x:alignment vertical="top" wrapText="1"/>
    </x:xf>
    <x:xf numFmtId="202" fontId="11" fillId="0" borderId="10" xfId="0" applyNumberFormat="1" applyFont="1" applyFill="1" applyBorder="1" applyAlignment="1">
      <x:alignment vertical="top" wrapText="1"/>
    </x:xf>
    <x:xf numFmtId="202" fontId="11" fillId="0" borderId="1" xfId="0" applyNumberFormat="1" applyFont="1" applyFill="1" applyBorder="1" applyAlignment="1">
      <x:alignment vertical="top" wrapText="1"/>
    </x:xf>
    <x:xf numFmtId="202" fontId="11" fillId="0" borderId="11" xfId="0" applyNumberFormat="1" applyFont="1" applyFill="1" applyBorder="1" applyAlignment="1">
      <x:alignment vertical="top" wrapText="1"/>
    </x:xf>
    <x:xf numFmtId="0" fontId="11"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11" fillId="0" borderId="1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14" fillId="6" borderId="0" xfId="0" applyNumberFormat="1" applyFont="1" applyFill="1" applyBorder="1" applyAlignment="1">
      <x:alignment vertical="top" wrapText="1"/>
    </x:xf>
    <x:xf numFmtId="0" fontId="11"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11" fillId="0" borderId="1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14" fillId="6" borderId="1" xfId="0" applyNumberFormat="1" applyFont="1" applyFill="1" applyBorder="1" applyAlignment="1">
      <x:alignment vertical="top" wrapText="1"/>
    </x:xf>
    <x:xf numFmtId="0" fontId="10" fillId="4" borderId="2" xfId="0" applyNumberFormat="1" applyFont="1" applyFill="1" applyBorder="1" applyAlignment="1">
      <x:alignment horizontal="center" vertical="center" wrapText="1"/>
    </x:xf>
    <x:xf numFmtId="0" fontId="11" fillId="0" borderId="0" xfId="0" applyNumberFormat="1" applyFont="1" applyFill="1" applyBorder="1" applyAlignment="1">
      <x:alignment wrapText="1"/>
    </x:xf>
    <x:xf numFmtId="0" fontId="10" fillId="4" borderId="3" xfId="0" applyNumberFormat="1" applyFont="1" applyFill="1" applyBorder="1" applyAlignment="1">
      <x:alignment horizontal="center" vertical="center" wrapText="1"/>
    </x:xf>
    <x:xf numFmtId="0" fontId="11" fillId="0" borderId="1" xfId="0" applyNumberFormat="1" applyFont="1" applyFill="1" applyBorder="1" applyAlignment="1">
      <x:alignment wrapText="1"/>
    </x:xf>
    <x:xf numFmtId="0" fontId="15" fillId="7" borderId="0" xfId="0" applyNumberFormat="1" applyFont="1" applyFill="1" applyBorder="1" applyAlignment="1">
      <x:alignment vertical="top" wrapText="1"/>
    </x:xf>
    <x:xf numFmtId="0" fontId="15" fillId="7" borderId="12" xfId="0" applyNumberFormat="1" applyFont="1" applyFill="1" applyBorder="1" applyAlignment="1">
      <x:alignment vertical="top" wrapText="1"/>
    </x:xf>
    <x:xf numFmtId="0" fontId="15" fillId="7" borderId="1" xfId="0" applyNumberFormat="1" applyFont="1" applyFill="1" applyBorder="1" applyAlignment="1">
      <x:alignment vertical="top" wrapText="1"/>
    </x:xf>
    <x:xf numFmtId="0" fontId="15" fillId="7" borderId="13" xfId="0" applyNumberFormat="1" applyFont="1" applyFill="1" applyBorder="1" applyAlignment="1">
      <x:alignment vertical="top" wrapText="1"/>
    </x:xf>
    <x:xf numFmtId="0" fontId="16" fillId="2" borderId="0" xfId="0" applyNumberFormat="1" applyFont="1" applyFill="1" applyBorder="1" applyAlignment="1">
      <x:alignment horizontal="left" vertical="center"/>
    </x:xf>
    <x:xf numFmtId="0" fontId="16" fillId="2" borderId="1" xfId="0" applyNumberFormat="1" applyFont="1" applyFill="1" applyBorder="1" applyAlignment="1">
      <x:alignment horizontal="left" vertical="center"/>
    </x:xf>
    <x:xf numFmtId="0" fontId="11" fillId="13" borderId="0" xfId="0" applyNumberFormat="1" applyFont="1" applyFill="1" applyBorder="1" applyAlignment="1">
      <x:alignment vertical="top" wrapText="1"/>
    </x:xf>
    <x:xf numFmtId="0" fontId="11" fillId="13" borderId="10" xfId="0" applyNumberFormat="1" applyFont="1" applyFill="1" applyBorder="1" applyAlignment="1">
      <x:alignment vertical="top" wrapText="1"/>
    </x:xf>
    <x:xf numFmtId="0" fontId="11" fillId="13" borderId="1" xfId="0" applyNumberFormat="1" applyFont="1" applyFill="1" applyBorder="1" applyAlignment="1">
      <x:alignment vertical="top" wrapText="1"/>
    </x:xf>
    <x:xf numFmtId="0" fontId="11" fillId="13" borderId="11" xfId="0" applyNumberFormat="1" applyFont="1" applyFill="1" applyBorder="1" applyAlignment="1">
      <x:alignment vertical="top" wrapText="1"/>
    </x:xf>
  </x:cellXfs>
  <x:cellStyles count="1">
    <x:cellStyle name="Normal" xfId="0"/>
  </x:cellStyles>
  <x:dxfs count="64">
    <x:dxf>
      <x:font>
        <x:b/>
        <x:color rgb="FF15803D"/>
      </x:font>
      <x:fill>
        <x:patternFill patternType="solid">
          <x:bgColor rgb="FFDCFCE7"/>
        </x:patternFill>
      </x:fill>
    </x:dxf>
    <x:dxf>
      <x:font>
        <x:b/>
        <x:color rgb="FF15803D"/>
      </x:font>
      <x:fill>
        <x:patternFill patternType="solid">
          <x:bgColor rgb="FFDCFCE7"/>
        </x:patternFill>
      </x:fill>
    </x:dxf>
    <x:dxf>
      <x:font>
        <x:b/>
        <x:color rgb="FF2563EB"/>
      </x:font>
      <x:fill>
        <x:patternFill patternType="solid">
          <x:bgColor rgb="FFDBEAFE"/>
        </x:patternFill>
      </x:fill>
    </x:dxf>
    <x:dxf>
      <x:font>
        <x:b/>
        <x:color rgb="FF7E22CE"/>
      </x:font>
      <x:fill>
        <x:patternFill patternType="solid">
          <x:bgColor rgb="FFF3E8FF"/>
        </x:patternFill>
      </x:fill>
    </x:dxf>
    <x:dxf>
      <x:font>
        <x:b/>
        <x:color rgb="FFB91C1C"/>
      </x:font>
      <x:fill>
        <x:patternFill patternType="solid">
          <x:bgColor rgb="FFFEE2E2"/>
        </x:patternFill>
      </x:fill>
    </x:dxf>
    <x:dxf>
      <x:font>
        <x:b/>
        <x:color rgb="FFB91C1C"/>
      </x:font>
      <x:fill>
        <x:patternFill patternType="solid">
          <x:bgColor rgb="FFFEE2E2"/>
        </x:patternFill>
      </x:fill>
    </x:dxf>
    <x:dxf>
      <x:font>
        <x:color rgb="FF475569"/>
      </x:font>
      <x:fill>
        <x:patternFill patternType="solid">
          <x:bgColor rgb="FFE2E8F0"/>
        </x:patternFill>
      </x:fill>
    </x:dxf>
    <x:dxf>
      <x:font>
        <x:color rgb="FF475569"/>
      </x:font>
      <x:fill>
        <x:patternFill patternType="solid">
          <x:bgColor rgb="FFE2E8F0"/>
        </x:patternFill>
      </x:fill>
    </x:dxf>
    <x:dxf>
      <x:font>
        <x:b/>
        <x:color rgb="FF15803D"/>
      </x:font>
      <x:fill>
        <x:patternFill patternType="solid">
          <x:bgColor rgb="FFDCFCE7"/>
        </x:patternFill>
      </x:fill>
    </x:dxf>
    <x:dxf>
      <x:font>
        <x:b/>
        <x:color rgb="FF15803D"/>
      </x:font>
      <x:fill>
        <x:patternFill patternType="solid">
          <x:bgColor rgb="FFDCFCE7"/>
        </x:patternFill>
      </x:fill>
    </x:dxf>
    <x:dxf>
      <x:font>
        <x:b/>
        <x:color rgb="FF2563EB"/>
      </x:font>
      <x:fill>
        <x:patternFill patternType="solid">
          <x:bgColor rgb="FFDBEAFE"/>
        </x:patternFill>
      </x:fill>
    </x:dxf>
    <x:dxf>
      <x:font>
        <x:b/>
        <x:color rgb="FF7E22CE"/>
      </x:font>
      <x:fill>
        <x:patternFill patternType="solid">
          <x:bgColor rgb="FFF3E8FF"/>
        </x:patternFill>
      </x:fill>
    </x:dxf>
    <x:dxf>
      <x:font>
        <x:b/>
        <x:color rgb="FFB91C1C"/>
      </x:font>
      <x:fill>
        <x:patternFill patternType="solid">
          <x:bgColor rgb="FFFEE2E2"/>
        </x:patternFill>
      </x:fill>
    </x:dxf>
    <x:dxf>
      <x:font>
        <x:b/>
        <x:color rgb="FFB91C1C"/>
      </x:font>
      <x:fill>
        <x:patternFill patternType="solid">
          <x:bgColor rgb="FFFEE2E2"/>
        </x:patternFill>
      </x:fill>
    </x:dxf>
    <x:dxf>
      <x:font>
        <x:color rgb="FF475569"/>
      </x:font>
      <x:fill>
        <x:patternFill patternType="solid">
          <x:bgColor rgb="FFE2E8F0"/>
        </x:patternFill>
      </x:fill>
    </x:dxf>
    <x:dxf>
      <x:font>
        <x:color rgb="FF475569"/>
      </x:font>
      <x:fill>
        <x:patternFill patternType="solid">
          <x:bgColor rgb="FFE2E8F0"/>
        </x:patternFill>
      </x:fill>
    </x:dxf>
    <x:dxf>
      <x:font>
        <x:b/>
        <x:color rgb="FF15803D"/>
      </x:font>
      <x:fill>
        <x:patternFill patternType="solid">
          <x:bgColor rgb="FFDCFCE7"/>
        </x:patternFill>
      </x:fill>
    </x:dxf>
    <x:dxf>
      <x:font>
        <x:b/>
        <x:color rgb="FF15803D"/>
      </x:font>
      <x:fill>
        <x:patternFill patternType="solid">
          <x:bgColor rgb="FFDCFCE7"/>
        </x:patternFill>
      </x:fill>
    </x:dxf>
    <x:dxf>
      <x:font>
        <x:b/>
        <x:color rgb="FF2563EB"/>
      </x:font>
      <x:fill>
        <x:patternFill patternType="solid">
          <x:bgColor rgb="FFDBEAFE"/>
        </x:patternFill>
      </x:fill>
    </x:dxf>
    <x:dxf>
      <x:font>
        <x:b/>
        <x:color rgb="FF7E22CE"/>
      </x:font>
      <x:fill>
        <x:patternFill patternType="solid">
          <x:bgColor rgb="FFF3E8FF"/>
        </x:patternFill>
      </x:fill>
    </x:dxf>
    <x:dxf>
      <x:font>
        <x:b/>
        <x:color rgb="FFB91C1C"/>
      </x:font>
      <x:fill>
        <x:patternFill patternType="solid">
          <x:bgColor rgb="FFFEE2E2"/>
        </x:patternFill>
      </x:fill>
    </x:dxf>
    <x:dxf>
      <x:font>
        <x:b/>
        <x:color rgb="FFB91C1C"/>
      </x:font>
      <x:fill>
        <x:patternFill patternType="solid">
          <x:bgColor rgb="FFFEE2E2"/>
        </x:patternFill>
      </x:fill>
    </x:dxf>
    <x:dxf>
      <x:font>
        <x:color rgb="FF475569"/>
      </x:font>
      <x:fill>
        <x:patternFill patternType="solid">
          <x:bgColor rgb="FFE2E8F0"/>
        </x:patternFill>
      </x:fill>
    </x:dxf>
    <x:dxf>
      <x:font>
        <x:color rgb="FF475569"/>
      </x:font>
      <x:fill>
        <x:patternFill patternType="solid">
          <x:bgColor rgb="FFE2E8F0"/>
        </x:patternFill>
      </x:fill>
    </x:dxf>
    <x:dxf>
      <x:font>
        <x:b/>
        <x:color rgb="FF15803D"/>
      </x:font>
      <x:fill>
        <x:patternFill patternType="solid">
          <x:bgColor rgb="FFDCFCE7"/>
        </x:patternFill>
      </x:fill>
    </x:dxf>
    <x:dxf>
      <x:font>
        <x:b/>
        <x:color rgb="FF15803D"/>
      </x:font>
      <x:fill>
        <x:patternFill patternType="solid">
          <x:bgColor rgb="FFDCFCE7"/>
        </x:patternFill>
      </x:fill>
    </x:dxf>
    <x:dxf>
      <x:font>
        <x:b/>
        <x:color rgb="FF2563EB"/>
      </x:font>
      <x:fill>
        <x:patternFill patternType="solid">
          <x:bgColor rgb="FFDBEAFE"/>
        </x:patternFill>
      </x:fill>
    </x:dxf>
    <x:dxf>
      <x:font>
        <x:b/>
        <x:color rgb="FF7E22CE"/>
      </x:font>
      <x:fill>
        <x:patternFill patternType="solid">
          <x:bgColor rgb="FFF3E8FF"/>
        </x:patternFill>
      </x:fill>
    </x:dxf>
    <x:dxf>
      <x:font>
        <x:b/>
        <x:color rgb="FFB91C1C"/>
      </x:font>
      <x:fill>
        <x:patternFill patternType="solid">
          <x:bgColor rgb="FFFEE2E2"/>
        </x:patternFill>
      </x:fill>
    </x:dxf>
    <x:dxf>
      <x:font>
        <x:b/>
        <x:color rgb="FFB91C1C"/>
      </x:font>
      <x:fill>
        <x:patternFill patternType="solid">
          <x:bgColor rgb="FFFEE2E2"/>
        </x:patternFill>
      </x:fill>
    </x:dxf>
    <x:dxf>
      <x:font>
        <x:color rgb="FF475569"/>
      </x:font>
      <x:fill>
        <x:patternFill patternType="solid">
          <x:bgColor rgb="FFE2E8F0"/>
        </x:patternFill>
      </x:fill>
    </x:dxf>
    <x:dxf>
      <x:font>
        <x:color rgb="FF475569"/>
      </x:font>
      <x:fill>
        <x:patternFill patternType="solid">
          <x:bgColor rgb="FFE2E8F0"/>
        </x:patternFill>
      </x:fill>
    </x:dxf>
    <x:dxf>
      <x:font>
        <x:b/>
        <x:color rgb="FF15803D"/>
      </x:font>
      <x:fill>
        <x:patternFill patternType="solid">
          <x:bgColor rgb="FFDCFCE7"/>
        </x:patternFill>
      </x:fill>
    </x:dxf>
    <x:dxf>
      <x:font>
        <x:b/>
        <x:color rgb="FF15803D"/>
      </x:font>
      <x:fill>
        <x:patternFill patternType="solid">
          <x:bgColor rgb="FFDCFCE7"/>
        </x:patternFill>
      </x:fill>
    </x:dxf>
    <x:dxf>
      <x:font>
        <x:b/>
        <x:color rgb="FF2563EB"/>
      </x:font>
      <x:fill>
        <x:patternFill patternType="solid">
          <x:bgColor rgb="FFDBEAFE"/>
        </x:patternFill>
      </x:fill>
    </x:dxf>
    <x:dxf>
      <x:font>
        <x:b/>
        <x:color rgb="FF7E22CE"/>
      </x:font>
      <x:fill>
        <x:patternFill patternType="solid">
          <x:bgColor rgb="FFF3E8FF"/>
        </x:patternFill>
      </x:fill>
    </x:dxf>
    <x:dxf>
      <x:font>
        <x:b/>
        <x:color rgb="FFB91C1C"/>
      </x:font>
      <x:fill>
        <x:patternFill patternType="solid">
          <x:bgColor rgb="FFFEE2E2"/>
        </x:patternFill>
      </x:fill>
    </x:dxf>
    <x:dxf>
      <x:font>
        <x:b/>
        <x:color rgb="FFB91C1C"/>
      </x:font>
      <x:fill>
        <x:patternFill patternType="solid">
          <x:bgColor rgb="FFFEE2E2"/>
        </x:patternFill>
      </x:fill>
    </x:dxf>
    <x:dxf>
      <x:font>
        <x:color rgb="FF475569"/>
      </x:font>
      <x:fill>
        <x:patternFill patternType="solid">
          <x:bgColor rgb="FFE2E8F0"/>
        </x:patternFill>
      </x:fill>
    </x:dxf>
    <x:dxf>
      <x:font>
        <x:color rgb="FF475569"/>
      </x:font>
      <x:fill>
        <x:patternFill patternType="solid">
          <x:bgColor rgb="FFE2E8F0"/>
        </x:patternFill>
      </x:fill>
    </x:dxf>
    <x:dxf>
      <x:font>
        <x:b/>
        <x:color rgb="FF15803D"/>
      </x:font>
      <x:fill>
        <x:patternFill patternType="solid">
          <x:bgColor rgb="FFDCFCE7"/>
        </x:patternFill>
      </x:fill>
    </x:dxf>
    <x:dxf>
      <x:font>
        <x:b/>
        <x:color rgb="FF15803D"/>
      </x:font>
      <x:fill>
        <x:patternFill patternType="solid">
          <x:bgColor rgb="FFDCFCE7"/>
        </x:patternFill>
      </x:fill>
    </x:dxf>
    <x:dxf>
      <x:font>
        <x:b/>
        <x:color rgb="FF2563EB"/>
      </x:font>
      <x:fill>
        <x:patternFill patternType="solid">
          <x:bgColor rgb="FFDBEAFE"/>
        </x:patternFill>
      </x:fill>
    </x:dxf>
    <x:dxf>
      <x:font>
        <x:b/>
        <x:color rgb="FF7E22CE"/>
      </x:font>
      <x:fill>
        <x:patternFill patternType="solid">
          <x:bgColor rgb="FFF3E8FF"/>
        </x:patternFill>
      </x:fill>
    </x:dxf>
    <x:dxf>
      <x:font>
        <x:b/>
        <x:color rgb="FFB91C1C"/>
      </x:font>
      <x:fill>
        <x:patternFill patternType="solid">
          <x:bgColor rgb="FFFEE2E2"/>
        </x:patternFill>
      </x:fill>
    </x:dxf>
    <x:dxf>
      <x:font>
        <x:b/>
        <x:color rgb="FFB91C1C"/>
      </x:font>
      <x:fill>
        <x:patternFill patternType="solid">
          <x:bgColor rgb="FFFEE2E2"/>
        </x:patternFill>
      </x:fill>
    </x:dxf>
    <x:dxf>
      <x:font>
        <x:color rgb="FF475569"/>
      </x:font>
      <x:fill>
        <x:patternFill patternType="solid">
          <x:bgColor rgb="FFE2E8F0"/>
        </x:patternFill>
      </x:fill>
    </x:dxf>
    <x:dxf>
      <x:font>
        <x:color rgb="FF475569"/>
      </x:font>
      <x:fill>
        <x:patternFill patternType="solid">
          <x:bgColor rgb="FFE2E8F0"/>
        </x:patternFill>
      </x:fill>
    </x:dxf>
    <x:dxf>
      <x:font>
        <x:b/>
        <x:color rgb="FF15803D"/>
      </x:font>
      <x:fill>
        <x:patternFill patternType="solid">
          <x:bgColor rgb="FFDCFCE7"/>
        </x:patternFill>
      </x:fill>
    </x:dxf>
    <x:dxf>
      <x:font>
        <x:b/>
        <x:color rgb="FF15803D"/>
      </x:font>
      <x:fill>
        <x:patternFill patternType="solid">
          <x:bgColor rgb="FFDCFCE7"/>
        </x:patternFill>
      </x:fill>
    </x:dxf>
    <x:dxf>
      <x:font>
        <x:b/>
        <x:color rgb="FF2563EB"/>
      </x:font>
      <x:fill>
        <x:patternFill patternType="solid">
          <x:bgColor rgb="FFDBEAFE"/>
        </x:patternFill>
      </x:fill>
    </x:dxf>
    <x:dxf>
      <x:font>
        <x:b/>
        <x:color rgb="FF7E22CE"/>
      </x:font>
      <x:fill>
        <x:patternFill patternType="solid">
          <x:bgColor rgb="FFF3E8FF"/>
        </x:patternFill>
      </x:fill>
    </x:dxf>
    <x:dxf>
      <x:font>
        <x:b/>
        <x:color rgb="FFB91C1C"/>
      </x:font>
      <x:fill>
        <x:patternFill patternType="solid">
          <x:bgColor rgb="FFFEE2E2"/>
        </x:patternFill>
      </x:fill>
    </x:dxf>
    <x:dxf>
      <x:font>
        <x:b/>
        <x:color rgb="FFB91C1C"/>
      </x:font>
      <x:fill>
        <x:patternFill patternType="solid">
          <x:bgColor rgb="FFFEE2E2"/>
        </x:patternFill>
      </x:fill>
    </x:dxf>
    <x:dxf>
      <x:font>
        <x:color rgb="FF475569"/>
      </x:font>
      <x:fill>
        <x:patternFill patternType="solid">
          <x:bgColor rgb="FFE2E8F0"/>
        </x:patternFill>
      </x:fill>
    </x:dxf>
    <x:dxf>
      <x:font>
        <x:color rgb="FF475569"/>
      </x:font>
      <x:fill>
        <x:patternFill patternType="solid">
          <x:bgColor rgb="FFE2E8F0"/>
        </x:patternFill>
      </x:fill>
    </x:dxf>
    <x:dxf>
      <x:font>
        <x:b/>
        <x:color rgb="FF15803D"/>
      </x:font>
      <x:fill>
        <x:patternFill patternType="solid">
          <x:bgColor rgb="FFDCFCE7"/>
        </x:patternFill>
      </x:fill>
    </x:dxf>
    <x:dxf>
      <x:font>
        <x:b/>
        <x:color rgb="FF15803D"/>
      </x:font>
      <x:fill>
        <x:patternFill patternType="solid">
          <x:bgColor rgb="FFDCFCE7"/>
        </x:patternFill>
      </x:fill>
    </x:dxf>
    <x:dxf>
      <x:font>
        <x:b/>
        <x:color rgb="FF2563EB"/>
      </x:font>
      <x:fill>
        <x:patternFill patternType="solid">
          <x:bgColor rgb="FFDBEAFE"/>
        </x:patternFill>
      </x:fill>
    </x:dxf>
    <x:dxf>
      <x:font>
        <x:b/>
        <x:color rgb="FF7E22CE"/>
      </x:font>
      <x:fill>
        <x:patternFill patternType="solid">
          <x:bgColor rgb="FFF3E8FF"/>
        </x:patternFill>
      </x:fill>
    </x:dxf>
    <x:dxf>
      <x:font>
        <x:b/>
        <x:color rgb="FFB91C1C"/>
      </x:font>
      <x:fill>
        <x:patternFill patternType="solid">
          <x:bgColor rgb="FFFEE2E2"/>
        </x:patternFill>
      </x:fill>
    </x:dxf>
    <x:dxf>
      <x:font>
        <x:b/>
        <x:color rgb="FFB91C1C"/>
      </x:font>
      <x:fill>
        <x:patternFill patternType="solid">
          <x:bgColor rgb="FFFEE2E2"/>
        </x:patternFill>
      </x:fill>
    </x:dxf>
    <x:dxf>
      <x:font>
        <x:color rgb="FF475569"/>
      </x:font>
      <x:fill>
        <x:patternFill patternType="solid">
          <x:bgColor rgb="FFE2E8F0"/>
        </x:patternFill>
      </x:fill>
    </x:dxf>
    <x:dxf>
      <x:font>
        <x:color rgb="FF475569"/>
      </x:font>
      <x:fill>
        <x:patternFill patternType="solid">
          <x:bgColor rgb="FFE2E8F0"/>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592b169881ed4e4e" /><Relationship Type="http://schemas.openxmlformats.org/officeDocument/2006/relationships/theme" Target="/xl/theme/theme1.xml" Id="Raf2cb813ddda414f" /><Relationship Type="http://schemas.microsoft.com/office/2022/11/relationships/FeaturePropertyBag" Target="/xl/featurePropertyBag/featurePropertyBag.xml" Id="R598d021b7dba47de" /><Relationship Type="http://schemas.openxmlformats.org/officeDocument/2006/relationships/sharedStrings" Target="/xl/sharedStrings.xml" Id="R4f67fbb4724b462d" /><Relationship Type="http://schemas.openxmlformats.org/officeDocument/2006/relationships/worksheet" Target="/xl/worksheets/sheet1.xml" Id="R3d38d79388bb424c" /><Relationship Type="http://schemas.openxmlformats.org/officeDocument/2006/relationships/worksheet" Target="/xl/worksheets/sheet2.xml" Id="R29821c7cfe33474f" /><Relationship Type="http://schemas.openxmlformats.org/officeDocument/2006/relationships/worksheet" Target="/xl/worksheets/sheet3.xml" Id="R76ed755e9831494d" /><Relationship Type="http://schemas.openxmlformats.org/officeDocument/2006/relationships/worksheet" Target="/xl/worksheets/sheet4.xml" Id="R0806785229634f7d" /><Relationship Type="http://schemas.openxmlformats.org/officeDocument/2006/relationships/worksheet" Target="/xl/worksheets/sheet5.xml" Id="R02564cfd4a7040a9" /><Relationship Type="http://schemas.openxmlformats.org/officeDocument/2006/relationships/worksheet" Target="/xl/worksheets/sheet6.xml" Id="R0fd7ef9dbed44672" /><Relationship Type="http://schemas.openxmlformats.org/officeDocument/2006/relationships/worksheet" Target="/xl/worksheets/sheet7.xml" Id="R69bd372ec31d46e8" /><Relationship Type="http://schemas.openxmlformats.org/officeDocument/2006/relationships/worksheet" Target="/xl/worksheets/sheet8.xml" Id="Rd81a7d00e56e42b3" /><Relationship Type="http://schemas.openxmlformats.org/officeDocument/2006/relationships/worksheet" Target="/xl/worksheets/sheet9.xml" Id="R4683db1a4e734624" /><Relationship Type="http://schemas.openxmlformats.org/officeDocument/2006/relationships/worksheet" Target="/xl/worksheets/sheet10.xml" Id="Re6c8ddfe9aeb4c64" /><Relationship Type="http://schemas.openxmlformats.org/officeDocument/2006/relationships/worksheet" Target="/xl/worksheets/sheet11.xml" Id="R8fe61b31aaf946d7" /><Relationship Type="http://schemas.openxmlformats.org/officeDocument/2006/relationships/worksheet" Target="/xl/worksheets/sheet12.xml" Id="R245cba1faa244bf8" /><Relationship Type="http://schemas.openxmlformats.org/officeDocument/2006/relationships/worksheet" Target="/xl/worksheets/sheet13.xml" Id="R2413bc9a2b574e9a" /><Relationship Type="http://schemas.openxmlformats.org/officeDocument/2006/relationships/worksheet" Target="/xl/worksheets/sheet14.xml" Id="R8a76c757cf7b4339" /><Relationship Type="http://schemas.openxmlformats.org/officeDocument/2006/relationships/worksheet" Target="/xl/worksheets/sheet15.xml" Id="R3d66444613724ad3" /></Relationships>
</file>

<file path=xl/drawings/_rels/drawing1.xml.rels>&#65279;<?xml version="1.0" encoding="utf-8"?><Relationships xmlns="http://schemas.openxmlformats.org/package/2006/relationships"><Relationship Type="http://schemas.openxmlformats.org/officeDocument/2006/relationships/chart" Target="/xl/drawings/charts/chart1.xml" Id="R08bb2fc1d0474faf" /><Relationship Type="http://schemas.openxmlformats.org/officeDocument/2006/relationships/chart" Target="/xl/drawings/charts/chart2.xml" Id="R89cbf1cdc0ed49b4" /><Relationship Type="http://schemas.openxmlformats.org/officeDocument/2006/relationships/chart" Target="/xl/drawings/charts/chart3.xml" Id="R3425fbd4372e4388"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Hardening Release Feature Progress</a:t>
            </a:r>
          </a:p>
        </c:rich>
      </c:tx>
      <c:overlay val="0"/>
    </c:title>
    <c:autoTitleDeleted val="0"/>
    <c:plotArea>
      <c:layout/>
      <c:barChart>
        <c:barDir val="col"/>
        <c:varyColors val="0"/>
        <c:ser>
          <c:idx val="0"/>
          <c:order val="0"/>
          <c:tx>
            <c:v>Feature Progress</c:v>
          </c:tx>
          <c:cat>
            <c:strRef>
              <c:f>'Dashboard'!$A$18:$A$30</c:f>
              <c:strCache>
                <c:ptCount val="0"/>
              </c:strCache>
            </c:strRef>
          </c:cat>
          <c:val>
            <c:numRef>
              <c:f>'Dashboard'!$B$18:$B$30</c:f>
              <c:numCache>
                <c:formatCode>0%</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rot="-2700000" anchorCtr="1"/>
          <a:lstStyle xmlns:a="http://schemas.openxmlformats.org/drawingml/2006/main"/>
          <a:p xmlns:a="http://schemas.openxmlformats.org/drawingml/2006/main">
            <a:pPr>
              <a:defRPr/>
            </a:pPr>
          </a:p>
        </c:txPr>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sourceLinked="0"/>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Test Catalog Status</a:t>
            </a:r>
          </a:p>
        </c:rich>
      </c:tx>
      <c:overlay val="0"/>
    </c:title>
    <c:autoTitleDeleted val="0"/>
    <c:plotArea>
      <c:layout/>
      <c:barChart>
        <c:barDir val="col"/>
        <c:varyColors val="0"/>
        <c:ser>
          <c:idx val="0"/>
          <c:order val="0"/>
          <c:tx>
            <c:v>Count</c:v>
          </c:tx>
          <c:cat>
            <c:strRef>
              <c:f>'Dashboard'!$I$11:$I$15</c:f>
              <c:strCache>
                <c:ptCount val="0"/>
              </c:strCache>
            </c:strRef>
          </c:cat>
          <c:val>
            <c:numRef>
              <c:f>'Dashboard'!$J$11:$J$15</c:f>
              <c:numCache>
                <c:formatCode>General</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rot="-1200000" anchorCtr="1"/>
          <a:lstStyle xmlns:a="http://schemas.openxmlformats.org/drawingml/2006/main"/>
          <a:p xmlns:a="http://schemas.openxmlformats.org/drawingml/2006/main">
            <a:pPr>
              <a:defRPr/>
            </a:pPr>
          </a:p>
        </c:txPr>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charts/chart3.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Open Defects by Severity</a:t>
            </a:r>
          </a:p>
        </c:rich>
      </c:tx>
      <c:overlay val="0"/>
    </c:title>
    <c:autoTitleDeleted val="0"/>
    <c:plotArea>
      <c:layout/>
      <c:barChart>
        <c:barDir val="col"/>
        <c:varyColors val="0"/>
        <c:ser>
          <c:idx val="0"/>
          <c:order val="0"/>
          <c:tx>
            <c:v>Open Count</c:v>
          </c:tx>
          <c:cat>
            <c:strRef>
              <c:f>'Dashboard'!$I$19:$I$22</c:f>
              <c:strCache>
                <c:ptCount val="0"/>
              </c:strCache>
            </c:strRef>
          </c:cat>
          <c:val>
            <c:numRef>
              <c:f>'Dashboard'!$J$19:$J$22</c:f>
              <c:numCache>
                <c:formatCode>General</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8</xdr:col>
      <xdr:colOff>0</xdr:colOff>
      <xdr:row>32</xdr:row>
      <xdr:rowOff>0</xdr:rowOff>
    </xdr:from>
    <xdr:to>
      <xdr:col>14</xdr:col>
      <xdr:colOff>0</xdr:colOff>
      <xdr:row>49</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08bb2fc1d0474faf"/>
        </a:graphicData>
      </a:graphic>
    </xdr:graphicFrame>
    <xdr:clientData/>
  </xdr:twoCellAnchor>
  <xdr:twoCellAnchor>
    <xdr:from>
      <xdr:col>8</xdr:col>
      <xdr:colOff>0</xdr:colOff>
      <xdr:row>49</xdr:row>
      <xdr:rowOff>0</xdr:rowOff>
    </xdr:from>
    <xdr:to>
      <xdr:col>14</xdr:col>
      <xdr:colOff>0</xdr:colOff>
      <xdr:row>64</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89cbf1cdc0ed49b4"/>
        </a:graphicData>
      </a:graphic>
    </xdr:graphicFrame>
    <xdr:clientData/>
  </xdr:twoCellAnchor>
  <xdr:twoCellAnchor>
    <xdr:from>
      <xdr:col>0</xdr:col>
      <xdr:colOff>0</xdr:colOff>
      <xdr:row>39</xdr:row>
      <xdr:rowOff>0</xdr:rowOff>
    </xdr:from>
    <xdr:to>
      <xdr:col>7</xdr:col>
      <xdr:colOff>0</xdr:colOff>
      <xdr:row>55</xdr:row>
      <xdr:rowOff>0</xdr:rowOff>
    </xdr:to>
    <xdr:graphicFrame macro="">
      <xdr:nvGraphicFramePr>
        <xdr:cNvPr id="3"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3425fbd4372e4388"/>
        </a:graphicData>
      </a:graphic>
    </xdr:graphicFrame>
    <xdr:clientData/>
  </xdr:twoCellAnchor>
</xdr:wsDr>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ReleasePlanTable" displayName="ReleasePlanTable" ref="A4:L25" headerRowCount="1">
  <x:tableColumns count="12">
    <x:tableColumn id="1" name="Version"/>
    <x:tableColumn id="2" name="Theme"/>
    <x:tableColumn id="3" name="Planned Start"/>
    <x:tableColumn id="4" name="Planned End"/>
    <x:tableColumn id="5" name="Status"/>
    <x:tableColumn id="6" name="Feature Progress"/>
    <x:tableColumn id="7" name="Test Pass Rate"/>
    <x:tableColumn id="8" name="Gate Pass Rate"/>
    <x:tableColumn id="9" name="Release Readiness"/>
    <x:tableColumn id="10" name="Scope"/>
    <x:tableColumn id="11" name="Exit Criteria"/>
    <x:tableColumn id="12" name="JS Key"/>
  </x:tableColumns>
  <x:tableStyleInfo name="TableStyleMedium2" showRowStripes="1"/>
</x:table>
</file>

<file path=xl/tables/table2.xml><?xml version="1.0" encoding="utf-8"?>
<x:table xmlns:x="http://schemas.openxmlformats.org/spreadsheetml/2006/main" id="2" name="FeaturesTable" displayName="FeaturesTable" ref="A4:U130" headerRowCount="1">
  <x:tableColumns count="21">
    <x:tableColumn id="1" name="Feature ID"/>
    <x:tableColumn id="2" name="Release"/>
    <x:tableColumn id="3" name="Epic"/>
    <x:tableColumn id="4" name="Feature"/>
    <x:tableColumn id="5" name="Description"/>
    <x:tableColumn id="6" name="Requirement ID"/>
    <x:tableColumn id="7" name="Priority"/>
    <x:tableColumn id="8" name="Owner"/>
    <x:tableColumn id="9" name="Status"/>
    <x:tableColumn id="10" name="Progress %"/>
    <x:tableColumn id="11" name="Planned Start"/>
    <x:tableColumn id="12" name="Planned End"/>
    <x:tableColumn id="13" name="Actual End"/>
    <x:tableColumn id="14" name="Dependencies"/>
    <x:tableColumn id="15" name="Acceptance Criteria"/>
    <x:tableColumn id="16" name="Test Count"/>
    <x:tableColumn id="17" name="Passed Tests"/>
    <x:tableColumn id="18" name="Open Defects"/>
    <x:tableColumn id="19" name="Evidence Link"/>
    <x:tableColumn id="20" name="Notes"/>
    <x:tableColumn id="21" name="JS Key"/>
  </x:tableColumns>
  <x:tableStyleInfo name="TableStyleMedium2" showRowStripes="1"/>
</x:table>
</file>

<file path=xl/tables/table3.xml><?xml version="1.0" encoding="utf-8"?>
<x:table xmlns:x="http://schemas.openxmlformats.org/spreadsheetml/2006/main" id="3" name="RequirementsTable" displayName="RequirementsTable" ref="A4:Q130" headerRowCount="1">
  <x:tableColumns count="17">
    <x:tableColumn id="1" name="Requirement ID"/>
    <x:tableColumn id="2" name="Release"/>
    <x:tableColumn id="3" name="Category"/>
    <x:tableColumn id="4" name="Requirement"/>
    <x:tableColumn id="5" name="Rationale"/>
    <x:tableColumn id="6" name="Priority"/>
    <x:tableColumn id="7" name="Verification Method"/>
    <x:tableColumn id="8" name="Acceptance Criteria"/>
    <x:tableColumn id="9" name="Status"/>
    <x:tableColumn id="10" name="Linked Feature ID"/>
    <x:tableColumn id="11" name="Test Count"/>
    <x:tableColumn id="12" name="Passed Tests"/>
    <x:tableColumn id="13" name="Coverage %"/>
    <x:tableColumn id="14" name="Evidence"/>
    <x:tableColumn id="15" name="Owner"/>
    <x:tableColumn id="16" name="Notes"/>
    <x:tableColumn id="17" name="JS Key"/>
  </x:tableColumns>
  <x:tableStyleInfo name="TableStyleMedium2" showRowStripes="1"/>
</x:table>
</file>

<file path=xl/tables/table4.xml><?xml version="1.0" encoding="utf-8"?>
<x:table xmlns:x="http://schemas.openxmlformats.org/spreadsheetml/2006/main" id="4" name="TestCasesTable" displayName="TestCasesTable" ref="A4:U197" headerRowCount="1">
  <x:tableColumns count="21">
    <x:tableColumn id="1" name="Test ID"/>
    <x:tableColumn id="2" name="Release"/>
    <x:tableColumn id="3" name="Test Level"/>
    <x:tableColumn id="4" name="Feature ID"/>
    <x:tableColumn id="5" name="Requirement ID"/>
    <x:tableColumn id="6" name="Test Name"/>
    <x:tableColumn id="7" name="Objective"/>
    <x:tableColumn id="8" name="Preconditions"/>
    <x:tableColumn id="9" name="Procedure"/>
    <x:tableColumn id="10" name="Expected Result"/>
    <x:tableColumn id="11" name="Automation"/>
    <x:tableColumn id="12" name="Current Status"/>
    <x:tableColumn id="13" name="Priority"/>
    <x:tableColumn id="14" name="Environment"/>
    <x:tableColumn id="15" name="Last Run Date"/>
    <x:tableColumn id="16" name="Last Run ID"/>
    <x:tableColumn id="17" name="Defect IDs"/>
    <x:tableColumn id="18" name="Evidence Path"/>
    <x:tableColumn id="19" name="Owner"/>
    <x:tableColumn id="20" name="Notes"/>
    <x:tableColumn id="21" name="JS Key"/>
  </x:tableColumns>
  <x:tableStyleInfo name="TableStyleMedium2" showRowStripes="1"/>
</x:table>
</file>

<file path=xl/tables/table5.xml><?xml version="1.0" encoding="utf-8"?>
<x:table xmlns:x="http://schemas.openxmlformats.org/spreadsheetml/2006/main" id="5" name="TestExecutionsTable" displayName="TestExecutionsTable" ref="A4:R304" headerRowCount="1">
  <x:tableColumns count="18">
    <x:tableColumn id="1" name="Run ID"/>
    <x:tableColumn id="2" name="Date/Time"/>
    <x:tableColumn id="3" name="Test ID"/>
    <x:tableColumn id="4" name="Release"/>
    <x:tableColumn id="5" name="Commit SHA"/>
    <x:tableColumn id="6" name="Branch"/>
    <x:tableColumn id="7" name="Environment"/>
    <x:tableColumn id="8" name="Seed"/>
    <x:tableColumn id="9" name="Result"/>
    <x:tableColumn id="10" name="Duration (s)"/>
    <x:tableColumn id="11" name="Metric Name"/>
    <x:tableColumn id="12" name="Metric Value"/>
    <x:tableColumn id="13" name="Threshold"/>
    <x:tableColumn id="14" name="Metric Pass"/>
    <x:tableColumn id="15" name="Evidence Path"/>
    <x:tableColumn id="16" name="Defect ID"/>
    <x:tableColumn id="17" name="Notes"/>
    <x:tableColumn id="18" name="JS Key"/>
  </x:tableColumns>
  <x:tableStyleInfo name="TableStyleMedium2" showRowStripes="1"/>
</x:table>
</file>

<file path=xl/tables/table6.xml><?xml version="1.0" encoding="utf-8"?>
<x:table xmlns:x="http://schemas.openxmlformats.org/spreadsheetml/2006/main" id="6" name="DefectsTable" displayName="DefectsTable" ref="A4:Q11" headerRowCount="1">
  <x:tableColumns count="17">
    <x:tableColumn id="1" name="Defect ID"/>
    <x:tableColumn id="2" name="Release"/>
    <x:tableColumn id="3" name="Severity"/>
    <x:tableColumn id="4" name="Component"/>
    <x:tableColumn id="5" name="Feature ID"/>
    <x:tableColumn id="6" name="Title"/>
    <x:tableColumn id="7" name="Description"/>
    <x:tableColumn id="8" name="Reproduction"/>
    <x:tableColumn id="9" name="Root Cause"/>
    <x:tableColumn id="10" name="Fix Commit"/>
    <x:tableColumn id="11" name="Status"/>
    <x:tableColumn id="12" name="Opened"/>
    <x:tableColumn id="13" name="Closed"/>
    <x:tableColumn id="14" name="Owner"/>
    <x:tableColumn id="15" name="Test ID"/>
    <x:tableColumn id="16" name="Notes"/>
    <x:tableColumn id="17" name="JS Key"/>
  </x:tableColumns>
  <x:tableStyleInfo name="TableStyleMedium2" showRowStripes="1"/>
</x:table>
</file>

<file path=xl/tables/table7.xml><?xml version="1.0" encoding="utf-8"?>
<x:table xmlns:x="http://schemas.openxmlformats.org/spreadsheetml/2006/main" id="7" name="RisksTable" displayName="RisksTable" ref="A4:M12" headerRowCount="1">
  <x:tableColumns count="13">
    <x:tableColumn id="1" name="Risk ID"/>
    <x:tableColumn id="2" name="Release"/>
    <x:tableColumn id="3" name="Area"/>
    <x:tableColumn id="4" name="Description"/>
    <x:tableColumn id="5" name="Probability"/>
    <x:tableColumn id="6" name="Impact"/>
    <x:tableColumn id="7" name="Score"/>
    <x:tableColumn id="8" name="Mitigation"/>
    <x:tableColumn id="9" name="Trigger"/>
    <x:tableColumn id="10" name="Owner"/>
    <x:tableColumn id="11" name="Status"/>
    <x:tableColumn id="12" name="Review Date"/>
    <x:tableColumn id="13" name="Notes"/>
  </x:tableColumns>
  <x:tableStyleInfo name="TableStyleMedium2" showRowStripes="1"/>
</x:table>
</file>

<file path=xl/tables/table8.xml><?xml version="1.0" encoding="utf-8"?>
<x:table xmlns:x="http://schemas.openxmlformats.org/spreadsheetml/2006/main" id="8" name="MetricsTable" displayName="MetricsTable" ref="A4:Q24" headerRowCount="1">
  <x:tableColumns count="17">
    <x:tableColumn id="1" name="Metric ID"/>
    <x:tableColumn id="2" name="Release"/>
    <x:tableColumn id="3" name="Category"/>
    <x:tableColumn id="4" name="Metric"/>
    <x:tableColumn id="5" name="Description"/>
    <x:tableColumn id="6" name="Unit"/>
    <x:tableColumn id="7" name="Direction"/>
    <x:tableColumn id="8" name="Target"/>
    <x:tableColumn id="9" name="Baseline"/>
    <x:tableColumn id="10" name="Latest"/>
    <x:tableColumn id="11" name="Delta"/>
    <x:tableColumn id="12" name="Status"/>
    <x:tableColumn id="13" name="Source"/>
    <x:tableColumn id="14" name="Feature ID"/>
    <x:tableColumn id="15" name="Last Updated"/>
    <x:tableColumn id="16" name="Notes"/>
    <x:tableColumn id="17" name="JS Key"/>
  </x:tableColumns>
  <x:tableStyleInfo name="TableStyleMedium2" showRowStripes="1"/>
</x:table>
</file>

<file path=xl/tables/table9.xml><?xml version="1.0" encoding="utf-8"?>
<x:table xmlns:x="http://schemas.openxmlformats.org/spreadsheetml/2006/main" id="9" name="ReleaseGatesTable" displayName="ReleaseGatesTable" ref="A4:L88" headerRowCount="1">
  <x:tableColumns count="12">
    <x:tableColumn id="1" name="Gate ID"/>
    <x:tableColumn id="2" name="Release"/>
    <x:tableColumn id="3" name="Gate"/>
    <x:tableColumn id="4" name="Acceptance Rule"/>
    <x:tableColumn id="5" name="Metric Source"/>
    <x:tableColumn id="6" name="Target"/>
    <x:tableColumn id="7" name="Unit"/>
    <x:tableColumn id="8" name="Current"/>
    <x:tableColumn id="9" name="Status"/>
    <x:tableColumn id="10" name="Evidence"/>
    <x:tableColumn id="11" name="Owner"/>
    <x:tableColumn id="12" name="Notes"/>
  </x:tableColumns>
  <x:tableStyleInfo name="TableStyleMedium2" showRowStripes="1"/>
</x:table>
</file>

<file path=xl/tables/table10.xml><?xml version="1.0" encoding="utf-8"?>
<x:table xmlns:x="http://schemas.openxmlformats.org/spreadsheetml/2006/main" id="10" name="DailyLogTable" displayName="DailyLogTable" ref="A4:R18" headerRowCount="1">
  <x:tableColumns count="18">
    <x:tableColumn id="1" name="Date"/>
    <x:tableColumn id="2" name="Release"/>
    <x:tableColumn id="3" name="Coding Target (h)"/>
    <x:tableColumn id="4" name="AMR Target (h)"/>
    <x:tableColumn id="5" name="Applications Target (h)"/>
    <x:tableColumn id="6" name="Feature ID"/>
    <x:tableColumn id="7" name="Primary Focus"/>
    <x:tableColumn id="8" name="Planned Deliverable"/>
    <x:tableColumn id="9" name="Actual Deliverable"/>
    <x:tableColumn id="10" name="Tests Added"/>
    <x:tableColumn id="11" name="Tests Passed"/>
    <x:tableColumn id="12" name="Defects Opened"/>
    <x:tableColumn id="13" name="Defects Closed"/>
    <x:tableColumn id="14" name="Commit SHA"/>
    <x:tableColumn id="15" name="Blocker"/>
    <x:tableColumn id="16" name="Learning"/>
    <x:tableColumn id="17" name="Next First Task"/>
    <x:tableColumn id="18" name="Daily Completion %"/>
  </x:tableColumns>
  <x:tableStyleInfo name="TableStyleMedium2" showRowStripes="1"/>
</x:table>
</file>

<file path=xl/tables/table11.xml><?xml version="1.0" encoding="utf-8"?>
<x:table xmlns:x="http://schemas.openxmlformats.org/spreadsheetml/2006/main" id="11" name="EvidenceTable" displayName="EvidenceTable" ref="A4:L204" headerRowCount="1">
  <x:tableColumns count="12">
    <x:tableColumn id="1" name="Evidence ID"/>
    <x:tableColumn id="2" name="Date"/>
    <x:tableColumn id="3" name="Release"/>
    <x:tableColumn id="4" name="Linked Type"/>
    <x:tableColumn id="5" name="Linked ID"/>
    <x:tableColumn id="6" name="Evidence Type"/>
    <x:tableColumn id="7" name="Title"/>
    <x:tableColumn id="8" name="Path / URL"/>
    <x:tableColumn id="9" name="Description"/>
    <x:tableColumn id="10" name="Commit SHA"/>
    <x:tableColumn id="11" name="Verified By"/>
    <x:tableColumn id="12" name="JS Key"/>
  </x:tableColumns>
  <x:tableStyleInfo name="TableStyleMedium2" showRowStripes="1"/>
</x:table>
</file>

<file path=xl/tables/table12.xml><?xml version="1.0" encoding="utf-8"?>
<x:table xmlns:x="http://schemas.openxmlformats.org/spreadsheetml/2006/main" id="12" name="JSDataMapTable" displayName="JSDataMapTable" ref="A4:I48" headerRowCount="1">
  <x:tableColumns count="9">
    <x:tableColumn id="1" name="Sheet / Entity"/>
    <x:tableColumn id="2" name="Excel Column"/>
    <x:tableColumn id="3" name="JSON Key"/>
    <x:tableColumn id="4" name="Type"/>
    <x:tableColumn id="5" name="Required"/>
    <x:tableColumn id="6" name="Enum / Rule"/>
    <x:tableColumn id="7" name="Description"/>
    <x:tableColumn id="8" name="Example"/>
    <x:tableColumn id="9" name="Dashboard Use"/>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570c572fda584eee" /></Relationships>
</file>

<file path=xl/worksheets/_rels/sheet2.xml.rels>&#65279;<?xml version="1.0" encoding="utf-8"?><Relationships xmlns="http://schemas.openxmlformats.org/package/2006/relationships"><Relationship Type="http://schemas.openxmlformats.org/officeDocument/2006/relationships/table" Target="/xl/tables/table1.xml" Id="R472cb69af1d6459d" /></Relationships>
</file>

<file path=xl/worksheets/_rels/sheet3.xml.rels>&#65279;<?xml version="1.0" encoding="utf-8"?><Relationships xmlns="http://schemas.openxmlformats.org/package/2006/relationships"><Relationship Type="http://schemas.openxmlformats.org/officeDocument/2006/relationships/table" Target="/xl/tables/table2.xml" Id="Rf516bb0387ce4a3c" /></Relationships>
</file>

<file path=xl/worksheets/_rels/sheet4.xml.rels>&#65279;<?xml version="1.0" encoding="utf-8"?><Relationships xmlns="http://schemas.openxmlformats.org/package/2006/relationships"><Relationship Type="http://schemas.openxmlformats.org/officeDocument/2006/relationships/table" Target="/xl/tables/table3.xml" Id="Rabbf93e5e9234be9" /></Relationships>
</file>

<file path=xl/worksheets/_rels/sheet5.xml.rels>&#65279;<?xml version="1.0" encoding="utf-8"?><Relationships xmlns="http://schemas.openxmlformats.org/package/2006/relationships"><Relationship Type="http://schemas.openxmlformats.org/officeDocument/2006/relationships/table" Target="/xl/tables/table4.xml" Id="R141eccd1296a460b" /></Relationships>
</file>

<file path=xl/worksheets/_rels/sheet6.xml.rels>&#65279;<?xml version="1.0" encoding="utf-8"?><Relationships xmlns="http://schemas.openxmlformats.org/package/2006/relationships"><Relationship Type="http://schemas.openxmlformats.org/officeDocument/2006/relationships/table" Target="/xl/tables/table5.xml" Id="Rcbafa475e78344b0" /></Relationships>
</file>

<file path=xl/worksheets/_rels/sheet7.xml.rels>&#65279;<?xml version="1.0" encoding="utf-8"?><Relationships xmlns="http://schemas.openxmlformats.org/package/2006/relationships"><Relationship Type="http://schemas.openxmlformats.org/officeDocument/2006/relationships/table" Target="/xl/tables/table6.xml" Id="R3700973ce992419b" /></Relationships>
</file>

<file path=xl/worksheets/_rels/sheet8.xml.rels>&#65279;<?xml version="1.0" encoding="utf-8"?><Relationships xmlns="http://schemas.openxmlformats.org/package/2006/relationships"><Relationship Type="http://schemas.openxmlformats.org/officeDocument/2006/relationships/table" Target="/xl/tables/table7.xml" Id="R29a16f71d4ee437c" /></Relationships>
</file>

<file path=xl/worksheets/_rels/sheet9.xml.rels>&#65279;<?xml version="1.0" encoding="utf-8"?><Relationships xmlns="http://schemas.openxmlformats.org/package/2006/relationships"><Relationship Type="http://schemas.openxmlformats.org/officeDocument/2006/relationships/table" Target="/xl/tables/table8.xml" Id="Re464e29851484953" /></Relationships>
</file>

<file path=xl/worksheets/_rels/sheet10.xml.rels>&#65279;<?xml version="1.0" encoding="utf-8"?><Relationships xmlns="http://schemas.openxmlformats.org/package/2006/relationships"><Relationship Type="http://schemas.openxmlformats.org/officeDocument/2006/relationships/table" Target="/xl/tables/table9.xml" Id="R93da995384df4ed1" /></Relationships>
</file>

<file path=xl/worksheets/_rels/sheet11.xml.rels>&#65279;<?xml version="1.0" encoding="utf-8"?><Relationships xmlns="http://schemas.openxmlformats.org/package/2006/relationships"><Relationship Type="http://schemas.openxmlformats.org/officeDocument/2006/relationships/table" Target="/xl/tables/table10.xml" Id="R31d23ed894b142fa" /></Relationships>
</file>

<file path=xl/worksheets/_rels/sheet12.xml.rels>&#65279;<?xml version="1.0" encoding="utf-8"?><Relationships xmlns="http://schemas.openxmlformats.org/package/2006/relationships"><Relationship Type="http://schemas.openxmlformats.org/officeDocument/2006/relationships/table" Target="/xl/tables/table11.xml" Id="R28789244e238430c" /></Relationships>
</file>

<file path=xl/worksheets/_rels/sheet13.xml.rels>&#65279;<?xml version="1.0" encoding="utf-8"?><Relationships xmlns="http://schemas.openxmlformats.org/package/2006/relationships"><Relationship Type="http://schemas.openxmlformats.org/officeDocument/2006/relationships/table" Target="/xl/tables/table12.xml" Id="R990f7022325e474d" /></Relationships>
</file>

<file path=xl/worksheets/sheet1.xml><?xml version="1.0" encoding="utf-8"?>
<x:worksheet xmlns:x="http://schemas.openxmlformats.org/spreadsheetml/2006/main">
  <x:sheetFormatPr defaultRowHeight="15"/>
  <x:cols>
    <x:col min="1" max="1" width="15" hidden="0" customWidth="1"/>
    <x:col min="2" max="2" width="16" hidden="0" customWidth="1"/>
    <x:col min="3" max="3" width="13" hidden="0" customWidth="1"/>
    <x:col min="4" max="4" width="14" hidden="0" customWidth="1"/>
    <x:col min="5" max="5" width="13" hidden="0" customWidth="1"/>
    <x:col min="6" max="6" width="13" hidden="0" customWidth="1"/>
    <x:col min="7" max="7" width="15" hidden="0" customWidth="1"/>
    <x:col min="8" max="8" width="3" hidden="0" customWidth="1"/>
    <x:col min="9" max="9" width="17" hidden="0" customWidth="1"/>
    <x:col min="10" max="10" width="15" hidden="0" customWidth="1"/>
    <x:col min="11" max="11" width="12" hidden="0" customWidth="1"/>
    <x:col min="12" max="12" width="12" hidden="0" customWidth="1"/>
    <x:col min="13" max="13" width="14" hidden="0" customWidth="1"/>
    <x:col min="14" max="14" width="14" hidden="0" customWidth="1"/>
  </x:cols>
  <x:sheetData>
    <x:row r="1" ht="32" customHeight="1">
      <x:c r="A1" s="486" t="str">
        <x:v>AMR Software Engineering Control Center</x:v>
      </x:c>
      <x:c r="B1" s="486"/>
      <x:c r="C1" s="486"/>
      <x:c r="D1" s="486"/>
      <x:c r="E1" s="486"/>
      <x:c r="F1" s="486"/>
      <x:c r="G1" s="486"/>
      <x:c r="H1" s="486"/>
      <x:c r="I1" s="486"/>
      <x:c r="J1" s="486"/>
      <x:c r="K1" s="486"/>
      <x:c r="L1" s="486"/>
      <x:c r="M1" s="486"/>
      <x:c r="N1" s="486"/>
      <x:c r="O1" s="373"/>
      <x:c r="P1" s="373"/>
      <x:c r="Q1" s="373"/>
      <x:c r="R1" s="373"/>
      <x:c r="S1" s="373"/>
      <x:c r="T1" s="373"/>
      <x:c r="U1" s="373"/>
      <x:c r="V1" s="373"/>
      <x:c r="W1" s="373"/>
      <x:c r="X1" s="373"/>
      <x:c r="Y1" s="373"/>
      <x:c r="Z1" s="373"/>
    </x:row>
    <x:row r="2" ht="22" customHeight="1">
      <x:c r="A2" s="374" t="str">
        <x:v>Release train v0.1.1 → v0.2.0 hardening, followed by v0.3.0 mode exploration and analytics. Last configured: 2026-08-05.</x:v>
      </x:c>
      <x:c r="B2" s="374"/>
      <x:c r="C2" s="374"/>
      <x:c r="D2" s="374"/>
      <x:c r="E2" s="374"/>
      <x:c r="F2" s="374"/>
      <x:c r="G2" s="374"/>
      <x:c r="H2" s="374"/>
      <x:c r="I2" s="374"/>
      <x:c r="J2" s="374"/>
      <x:c r="K2" s="374"/>
      <x:c r="L2" s="374"/>
      <x:c r="M2" s="374"/>
      <x:c r="N2" s="374"/>
      <x:c r="O2" s="373"/>
      <x:c r="P2" s="373"/>
      <x:c r="Q2" s="373"/>
      <x:c r="R2" s="373"/>
      <x:c r="S2" s="373"/>
      <x:c r="T2" s="373"/>
      <x:c r="U2" s="373"/>
      <x:c r="V2" s="373"/>
      <x:c r="W2" s="373"/>
      <x:c r="X2" s="373"/>
      <x:c r="Y2" s="373"/>
      <x:c r="Z2" s="373"/>
    </x:row>
    <x:row r="3">
      <x:c r="A3" s="373"/>
      <x:c r="B3" s="373"/>
      <x:c r="C3" s="373"/>
      <x:c r="D3" s="373"/>
      <x:c r="E3" s="373"/>
      <x:c r="F3" s="373"/>
      <x:c r="G3" s="373"/>
      <x:c r="H3" s="373"/>
      <x:c r="I3" s="373"/>
      <x:c r="J3" s="373"/>
      <x:c r="K3" s="373"/>
      <x:c r="L3" s="373"/>
      <x:c r="M3" s="373"/>
      <x:c r="N3" s="373"/>
      <x:c r="O3" s="373"/>
      <x:c r="P3" s="373"/>
      <x:c r="Q3" s="373"/>
      <x:c r="R3" s="373"/>
      <x:c r="S3" s="373"/>
      <x:c r="T3" s="373"/>
      <x:c r="U3" s="373"/>
      <x:c r="V3" s="373"/>
      <x:c r="W3" s="373"/>
      <x:c r="X3" s="373"/>
      <x:c r="Y3" s="373"/>
      <x:c r="Z3" s="373"/>
    </x:row>
    <x:row r="4">
      <x:c r="A4" s="375" t="str">
        <x:v>TOTAL FEATURES</x:v>
      </x:c>
      <x:c r="B4" s="375"/>
      <x:c r="C4" s="375"/>
      <x:c r="D4" s="376" t="str">
        <x:v>FEATURE COMPLETION</x:v>
      </x:c>
      <x:c r="E4" s="376"/>
      <x:c r="F4" s="376"/>
      <x:c r="G4" s="377" t="str">
        <x:v>TEST PASS RATE</x:v>
      </x:c>
      <x:c r="H4" s="377"/>
      <x:c r="I4" s="377"/>
      <x:c r="J4" s="378" t="str">
        <x:v>OPEN DEFECTS</x:v>
      </x:c>
      <x:c r="K4" s="378"/>
      <x:c r="L4" s="378"/>
      <x:c r="M4" s="379" t="str">
        <x:v>v0.1.1 READINESS</x:v>
      </x:c>
      <x:c r="N4" s="379"/>
      <x:c r="O4" s="373"/>
      <x:c r="P4" s="373"/>
      <x:c r="Q4" s="373"/>
      <x:c r="R4" s="373"/>
      <x:c r="S4" s="373"/>
      <x:c r="T4" s="373"/>
      <x:c r="U4" s="373"/>
      <x:c r="V4" s="373"/>
      <x:c r="W4" s="373"/>
      <x:c r="X4" s="373"/>
      <x:c r="Y4" s="373"/>
      <x:c r="Z4" s="373"/>
    </x:row>
    <x:row r="5">
      <x:c r="A5" s="380" t="n">
        <x:f>COUNTA(Features!$A$5:$A$500)</x:f>
        <x:v>126</x:v>
      </x:c>
      <x:c r="B5" s="381"/>
      <x:c r="C5" s="382"/>
      <x:c r="D5" s="383" t="n">
        <x:f>IFERROR(COUNTIF(Features!$I$5:$I$500,"Done")/COUNTA(Features!$A$5:$A$500),0)</x:f>
        <x:v>0</x:v>
      </x:c>
      <x:c r="E5" s="384"/>
      <x:c r="F5" s="385"/>
      <x:c r="G5" s="386" t="n">
        <x:f>IFERROR(COUNTIF(Test_Cases!$L$5:$L$1000,"Passed")/COUNTA(Test_Cases!$A$5:$A$1000),0)</x:f>
        <x:v>0</x:v>
      </x:c>
      <x:c r="H5" s="384"/>
      <x:c r="I5" s="387"/>
      <x:c r="J5" s="388" t="n">
        <x:f>COUNTIFS(Defects!$A$5:$A$500,"&lt;&gt;",Defects!$K$5:$K$500,"&lt;&gt;Closed")</x:f>
        <x:v>7</x:v>
      </x:c>
      <x:c r="K5" s="381"/>
      <x:c r="L5" s="389"/>
      <x:c r="M5" s="390" t="n">
        <x:f>IFERROR(INDEX(Release_Plan!$I$5:$I$40,MATCH("v0.1.1",Release_Plan!$A$5:$A$40,0)),0)</x:f>
        <x:v>0.025</x:v>
      </x:c>
      <x:c r="N5" s="391"/>
      <x:c r="O5" s="373"/>
      <x:c r="P5" s="373"/>
      <x:c r="Q5" s="373"/>
      <x:c r="R5" s="373"/>
      <x:c r="S5" s="373"/>
      <x:c r="T5" s="373"/>
      <x:c r="U5" s="373"/>
      <x:c r="V5" s="373"/>
      <x:c r="W5" s="373"/>
      <x:c r="X5" s="373"/>
      <x:c r="Y5" s="373"/>
      <x:c r="Z5" s="373"/>
    </x:row>
    <x:row r="6">
      <x:c r="A6" s="380"/>
      <x:c r="B6" s="381"/>
      <x:c r="C6" s="382"/>
      <x:c r="D6" s="383"/>
      <x:c r="E6" s="384"/>
      <x:c r="F6" s="385"/>
      <x:c r="G6" s="386"/>
      <x:c r="H6" s="384"/>
      <x:c r="I6" s="387"/>
      <x:c r="J6" s="388"/>
      <x:c r="K6" s="381"/>
      <x:c r="L6" s="389"/>
      <x:c r="M6" s="390"/>
      <x:c r="N6" s="391"/>
      <x:c r="O6" s="373"/>
      <x:c r="P6" s="373"/>
      <x:c r="Q6" s="373"/>
      <x:c r="R6" s="373"/>
      <x:c r="S6" s="373"/>
      <x:c r="T6" s="373"/>
      <x:c r="U6" s="373"/>
      <x:c r="V6" s="373"/>
      <x:c r="W6" s="373"/>
      <x:c r="X6" s="373"/>
      <x:c r="Y6" s="373"/>
      <x:c r="Z6" s="373"/>
    </x:row>
    <x:row r="7">
      <x:c r="A7" s="392"/>
      <x:c r="B7" s="393"/>
      <x:c r="C7" s="394"/>
      <x:c r="D7" s="395"/>
      <x:c r="E7" s="396"/>
      <x:c r="F7" s="397"/>
      <x:c r="G7" s="398"/>
      <x:c r="H7" s="399"/>
      <x:c r="I7" s="400"/>
      <x:c r="J7" s="401"/>
      <x:c r="K7" s="402"/>
      <x:c r="L7" s="403"/>
      <x:c r="M7" s="404"/>
      <x:c r="N7" s="405"/>
      <x:c r="O7" s="373"/>
      <x:c r="P7" s="373"/>
      <x:c r="Q7" s="373"/>
      <x:c r="R7" s="373"/>
      <x:c r="S7" s="373"/>
      <x:c r="T7" s="373"/>
      <x:c r="U7" s="373"/>
      <x:c r="V7" s="373"/>
      <x:c r="W7" s="373"/>
      <x:c r="X7" s="373"/>
      <x:c r="Y7" s="373"/>
      <x:c r="Z7" s="373"/>
    </x:row>
    <x:row r="8">
      <x:c r="A8" s="373"/>
      <x:c r="B8" s="373"/>
      <x:c r="C8" s="373"/>
      <x:c r="D8" s="373"/>
      <x:c r="E8" s="373"/>
      <x:c r="F8" s="373"/>
      <x:c r="G8" s="373"/>
      <x:c r="H8" s="373"/>
      <x:c r="I8" s="373"/>
      <x:c r="J8" s="373"/>
      <x:c r="K8" s="373"/>
      <x:c r="L8" s="373"/>
      <x:c r="M8" s="373"/>
      <x:c r="N8" s="373"/>
      <x:c r="O8" s="373"/>
      <x:c r="P8" s="373"/>
      <x:c r="Q8" s="373"/>
      <x:c r="R8" s="373"/>
      <x:c r="S8" s="373"/>
      <x:c r="T8" s="373"/>
      <x:c r="U8" s="373"/>
      <x:c r="V8" s="373"/>
      <x:c r="W8" s="373"/>
      <x:c r="X8" s="373"/>
      <x:c r="Y8" s="373"/>
      <x:c r="Z8" s="373"/>
    </x:row>
    <x:row r="9">
      <x:c r="A9" s="406" t="str">
        <x:v>ACTIVE RELEASE: v0.1.1 — RUNTIME CLEANUP</x:v>
      </x:c>
      <x:c r="B9" s="406"/>
      <x:c r="C9" s="406"/>
      <x:c r="D9" s="406"/>
      <x:c r="E9" s="406"/>
      <x:c r="F9" s="406"/>
      <x:c r="G9" s="373"/>
      <x:c r="H9" s="373"/>
      <x:c r="I9" s="406" t="str">
        <x:v>TEST STATUS</x:v>
      </x:c>
      <x:c r="J9" s="406"/>
      <x:c r="K9" s="406"/>
      <x:c r="L9" s="406"/>
      <x:c r="M9" s="406"/>
      <x:c r="N9" s="406"/>
      <x:c r="O9" s="373"/>
      <x:c r="P9" s="373"/>
      <x:c r="Q9" s="373"/>
      <x:c r="R9" s="373"/>
      <x:c r="S9" s="373"/>
      <x:c r="T9" s="373"/>
      <x:c r="U9" s="373"/>
      <x:c r="V9" s="373"/>
      <x:c r="W9" s="373"/>
      <x:c r="X9" s="373"/>
      <x:c r="Y9" s="373"/>
      <x:c r="Z9" s="373"/>
    </x:row>
    <x:row r="10">
      <x:c r="A10" s="407" t="str">
        <x:v>Planned window</x:v>
      </x:c>
      <x:c r="B10" s="408" t="str">
        <x:v>2026-08-05 → 2026-08-06</x:v>
      </x:c>
      <x:c r="C10" s="373"/>
      <x:c r="D10" s="373"/>
      <x:c r="E10" s="373"/>
      <x:c r="F10" s="373"/>
      <x:c r="G10" s="373"/>
      <x:c r="H10" s="373"/>
      <x:c r="I10" s="409" t="str">
        <x:v>Status</x:v>
      </x:c>
      <x:c r="J10" s="410" t="str">
        <x:v>Count</x:v>
      </x:c>
      <x:c r="K10" s="373"/>
      <x:c r="L10" s="373"/>
      <x:c r="M10" s="373"/>
      <x:c r="N10" s="373"/>
      <x:c r="O10" s="373"/>
      <x:c r="P10" s="373"/>
      <x:c r="Q10" s="373"/>
      <x:c r="R10" s="373"/>
      <x:c r="S10" s="373"/>
      <x:c r="T10" s="373"/>
      <x:c r="U10" s="373"/>
      <x:c r="V10" s="373"/>
      <x:c r="W10" s="373"/>
      <x:c r="X10" s="373"/>
      <x:c r="Y10" s="373"/>
      <x:c r="Z10" s="373"/>
    </x:row>
    <x:row r="11">
      <x:c r="A11" s="407" t="str">
        <x:v>Primary gate</x:v>
      </x:c>
      <x:c r="B11" s="408" t="str">
        <x:v>10 clean startup/shutdown cycles</x:v>
      </x:c>
      <x:c r="C11" s="373"/>
      <x:c r="D11" s="373"/>
      <x:c r="E11" s="373"/>
      <x:c r="F11" s="373"/>
      <x:c r="G11" s="373"/>
      <x:c r="H11" s="373"/>
      <x:c r="I11" s="411" t="str">
        <x:v>Not Run</x:v>
      </x:c>
      <x:c r="J11" s="411" t="n">
        <x:f>COUNTIF(Test_Cases!$L$5:$L$1000,I11)</x:f>
        <x:v>193</x:v>
      </x:c>
      <x:c r="K11" s="373"/>
      <x:c r="L11" s="373"/>
      <x:c r="M11" s="373"/>
      <x:c r="N11" s="373"/>
      <x:c r="O11" s="373"/>
      <x:c r="P11" s="373"/>
      <x:c r="Q11" s="373"/>
      <x:c r="R11" s="373"/>
      <x:c r="S11" s="373"/>
      <x:c r="T11" s="373"/>
      <x:c r="U11" s="373"/>
      <x:c r="V11" s="373"/>
      <x:c r="W11" s="373"/>
      <x:c r="X11" s="373"/>
      <x:c r="Y11" s="373"/>
      <x:c r="Z11" s="373"/>
    </x:row>
    <x:row r="12">
      <x:c r="A12" s="407" t="str">
        <x:v>Current owner</x:v>
      </x:c>
      <x:c r="B12" s="408" t="str">
        <x:v>Devansh</x:v>
      </x:c>
      <x:c r="C12" s="373"/>
      <x:c r="D12" s="373"/>
      <x:c r="E12" s="373"/>
      <x:c r="F12" s="373"/>
      <x:c r="G12" s="373"/>
      <x:c r="H12" s="373"/>
      <x:c r="I12" s="411" t="str">
        <x:v>Running</x:v>
      </x:c>
      <x:c r="J12" s="411" t="n">
        <x:f>COUNTIF(Test_Cases!$L$5:$L$1000,I12)</x:f>
        <x:v>0</x:v>
      </x:c>
      <x:c r="K12" s="373"/>
      <x:c r="L12" s="373"/>
      <x:c r="M12" s="373"/>
      <x:c r="N12" s="373"/>
      <x:c r="O12" s="373"/>
      <x:c r="P12" s="373"/>
      <x:c r="Q12" s="373"/>
      <x:c r="R12" s="373"/>
      <x:c r="S12" s="373"/>
      <x:c r="T12" s="373"/>
      <x:c r="U12" s="373"/>
      <x:c r="V12" s="373"/>
      <x:c r="W12" s="373"/>
      <x:c r="X12" s="373"/>
      <x:c r="Y12" s="373"/>
      <x:c r="Z12" s="373"/>
    </x:row>
    <x:row r="13">
      <x:c r="A13" s="407" t="str">
        <x:v>Critical open defects</x:v>
      </x:c>
      <x:c r="B13" s="408" t="n">
        <x:f>COUNTIFS(Defects!$B$5:$B$500,"v0.1.1",Defects!$C$5:$C$500,"Critical",Defects!$K$5:$K$500,"&lt;&gt;Closed")</x:f>
        <x:v>0</x:v>
      </x:c>
      <x:c r="C13" s="373"/>
      <x:c r="D13" s="373"/>
      <x:c r="E13" s="373"/>
      <x:c r="F13" s="373"/>
      <x:c r="G13" s="373"/>
      <x:c r="H13" s="373"/>
      <x:c r="I13" s="411" t="str">
        <x:v>Passed</x:v>
      </x:c>
      <x:c r="J13" s="411" t="n">
        <x:f>COUNTIF(Test_Cases!$L$5:$L$1000,I13)</x:f>
        <x:v>0</x:v>
      </x:c>
      <x:c r="K13" s="373"/>
      <x:c r="L13" s="373"/>
      <x:c r="M13" s="373"/>
      <x:c r="N13" s="373"/>
      <x:c r="O13" s="373"/>
      <x:c r="P13" s="373"/>
      <x:c r="Q13" s="373"/>
      <x:c r="R13" s="373"/>
      <x:c r="S13" s="373"/>
      <x:c r="T13" s="373"/>
      <x:c r="U13" s="373"/>
      <x:c r="V13" s="373"/>
      <x:c r="W13" s="373"/>
      <x:c r="X13" s="373"/>
      <x:c r="Y13" s="373"/>
      <x:c r="Z13" s="373"/>
    </x:row>
    <x:row r="14">
      <x:c r="A14" s="407" t="str">
        <x:v>Next release</x:v>
      </x:c>
      <x:c r="B14" s="408" t="str">
        <x:v>v0.1.2 Lifecycle Foundation</x:v>
      </x:c>
      <x:c r="C14" s="373"/>
      <x:c r="D14" s="373"/>
      <x:c r="E14" s="373"/>
      <x:c r="F14" s="373"/>
      <x:c r="G14" s="373"/>
      <x:c r="H14" s="373"/>
      <x:c r="I14" s="411" t="str">
        <x:v>Failed</x:v>
      </x:c>
      <x:c r="J14" s="411" t="n">
        <x:f>COUNTIF(Test_Cases!$L$5:$L$1000,I14)</x:f>
        <x:v>0</x:v>
      </x:c>
      <x:c r="K14" s="373"/>
      <x:c r="L14" s="373"/>
      <x:c r="M14" s="373"/>
      <x:c r="N14" s="373"/>
      <x:c r="O14" s="373"/>
      <x:c r="P14" s="373"/>
      <x:c r="Q14" s="373"/>
      <x:c r="R14" s="373"/>
      <x:c r="S14" s="373"/>
      <x:c r="T14" s="373"/>
      <x:c r="U14" s="373"/>
      <x:c r="V14" s="373"/>
      <x:c r="W14" s="373"/>
      <x:c r="X14" s="373"/>
      <x:c r="Y14" s="373"/>
      <x:c r="Z14" s="373"/>
    </x:row>
    <x:row r="15">
      <x:c r="A15" s="373"/>
      <x:c r="B15" s="373"/>
      <x:c r="C15" s="373"/>
      <x:c r="D15" s="373"/>
      <x:c r="E15" s="373"/>
      <x:c r="F15" s="373"/>
      <x:c r="G15" s="373"/>
      <x:c r="H15" s="373"/>
      <x:c r="I15" s="412" t="str">
        <x:v>Blocked</x:v>
      </x:c>
      <x:c r="J15" s="412" t="n">
        <x:f>COUNTIF(Test_Cases!$L$5:$L$1000,I15)</x:f>
        <x:v>0</x:v>
      </x:c>
      <x:c r="K15" s="373"/>
      <x:c r="L15" s="373"/>
      <x:c r="M15" s="373"/>
      <x:c r="N15" s="373"/>
      <x:c r="O15" s="373"/>
      <x:c r="P15" s="373"/>
      <x:c r="Q15" s="373"/>
      <x:c r="R15" s="373"/>
      <x:c r="S15" s="373"/>
      <x:c r="T15" s="373"/>
      <x:c r="U15" s="373"/>
      <x:c r="V15" s="373"/>
      <x:c r="W15" s="373"/>
      <x:c r="X15" s="373"/>
      <x:c r="Y15" s="373"/>
      <x:c r="Z15" s="373"/>
    </x:row>
    <x:row r="16">
      <x:c r="A16" s="406" t="str">
        <x:v>RELEASE READINESS SUMMARY</x:v>
      </x:c>
      <x:c r="B16" s="406"/>
      <x:c r="C16" s="406"/>
      <x:c r="D16" s="406"/>
      <x:c r="E16" s="406"/>
      <x:c r="F16" s="406"/>
      <x:c r="G16" s="406"/>
      <x:c r="H16" s="373"/>
      <x:c r="I16" s="373"/>
      <x:c r="J16" s="373"/>
      <x:c r="K16" s="373"/>
      <x:c r="L16" s="373"/>
      <x:c r="M16" s="373"/>
      <x:c r="N16" s="373"/>
      <x:c r="O16" s="373"/>
      <x:c r="P16" s="373"/>
      <x:c r="Q16" s="373"/>
      <x:c r="R16" s="373"/>
      <x:c r="S16" s="373"/>
      <x:c r="T16" s="373"/>
      <x:c r="U16" s="373"/>
      <x:c r="V16" s="373"/>
      <x:c r="W16" s="373"/>
      <x:c r="X16" s="373"/>
      <x:c r="Y16" s="373"/>
      <x:c r="Z16" s="373"/>
    </x:row>
    <x:row r="17">
      <x:c r="A17" s="409" t="str">
        <x:v>Release</x:v>
      </x:c>
      <x:c r="B17" s="413" t="str">
        <x:v>Feature Progress</x:v>
      </x:c>
      <x:c r="C17" s="413" t="str">
        <x:v>Test Pass</x:v>
      </x:c>
      <x:c r="D17" s="413" t="str">
        <x:v>Gate Pass</x:v>
      </x:c>
      <x:c r="E17" s="413" t="str">
        <x:v>Readiness</x:v>
      </x:c>
      <x:c r="F17" s="413" t="str">
        <x:v>Open Defects</x:v>
      </x:c>
      <x:c r="G17" s="410" t="str">
        <x:v>Status</x:v>
      </x:c>
      <x:c r="H17" s="373"/>
      <x:c r="I17" s="406" t="str">
        <x:v>OPEN DEFECTS BY SEVERITY</x:v>
      </x:c>
      <x:c r="J17" s="406"/>
      <x:c r="K17" s="406"/>
      <x:c r="L17" s="406"/>
      <x:c r="M17" s="406"/>
      <x:c r="N17" s="406"/>
      <x:c r="O17" s="373"/>
      <x:c r="P17" s="373"/>
      <x:c r="Q17" s="373"/>
      <x:c r="R17" s="373"/>
      <x:c r="S17" s="373"/>
      <x:c r="T17" s="373"/>
      <x:c r="U17" s="373"/>
      <x:c r="V17" s="373"/>
      <x:c r="W17" s="373"/>
      <x:c r="X17" s="373"/>
      <x:c r="Y17" s="373"/>
      <x:c r="Z17" s="373"/>
    </x:row>
    <x:row r="18">
      <x:c r="A18" s="411" t="str">
        <x:v>v0.1.1</x:v>
      </x:c>
      <x:c r="B18" s="414" t="n">
        <x:f>IFERROR(INDEX(Release_Plan!$F$5:$F$40,MATCH(A18,Release_Plan!$A$5:$A$40,0)),0)</x:f>
        <x:v>0.05</x:v>
      </x:c>
      <x:c r="C18" s="414" t="n">
        <x:f>IFERROR(INDEX(Release_Plan!$G$5:$G$40,MATCH(A18,Release_Plan!$A$5:$A$40,0)),0)</x:f>
        <x:v>0</x:v>
      </x:c>
      <x:c r="D18" s="414" t="n">
        <x:f>IFERROR(INDEX(Release_Plan!$H$5:$H$40,MATCH(A18,Release_Plan!$A$5:$A$40,0)),0)</x:f>
        <x:v>0</x:v>
      </x:c>
      <x:c r="E18" s="414" t="n">
        <x:f>IFERROR(INDEX(Release_Plan!$I$5:$I$40,MATCH(A18,Release_Plan!$A$5:$A$40,0)),0)</x:f>
        <x:v>0.025</x:v>
      </x:c>
      <x:c r="F18" s="411" t="n">
        <x:f>COUNTIFS(Defects!$B$5:$B$500,A18,Defects!$K$5:$K$500,"&lt;&gt;Closed")</x:f>
        <x:v>1</x:v>
      </x:c>
      <x:c r="G18" s="411" t="str">
        <x:f>IFERROR(INDEX(Release_Plan!$E$5:$E$40,MATCH(A18,Release_Plan!$A$5:$A$40,0)),"")</x:f>
        <x:v>In Progress</x:v>
      </x:c>
      <x:c r="H18" s="373"/>
      <x:c r="I18" s="409" t="str">
        <x:v>Severity</x:v>
      </x:c>
      <x:c r="J18" s="410" t="str">
        <x:v>Open Count</x:v>
      </x:c>
      <x:c r="K18" s="373"/>
      <x:c r="L18" s="373"/>
      <x:c r="M18" s="373"/>
      <x:c r="N18" s="373"/>
      <x:c r="O18" s="373"/>
      <x:c r="P18" s="373"/>
      <x:c r="Q18" s="373"/>
      <x:c r="R18" s="373"/>
      <x:c r="S18" s="373"/>
      <x:c r="T18" s="373"/>
      <x:c r="U18" s="373"/>
      <x:c r="V18" s="373"/>
      <x:c r="W18" s="373"/>
      <x:c r="X18" s="373"/>
      <x:c r="Y18" s="373"/>
      <x:c r="Z18" s="373"/>
    </x:row>
    <x:row r="19">
      <x:c r="A19" s="411" t="str">
        <x:v>v0.1.2</x:v>
      </x:c>
      <x:c r="B19" s="414" t="n">
        <x:f>IFERROR(INDEX(Release_Plan!$F$5:$F$40,MATCH(A19,Release_Plan!$A$5:$A$40,0)),0)</x:f>
        <x:v>0</x:v>
      </x:c>
      <x:c r="C19" s="414" t="n">
        <x:f>IFERROR(INDEX(Release_Plan!$G$5:$G$40,MATCH(A19,Release_Plan!$A$5:$A$40,0)),0)</x:f>
        <x:v>0</x:v>
      </x:c>
      <x:c r="D19" s="414" t="n">
        <x:f>IFERROR(INDEX(Release_Plan!$H$5:$H$40,MATCH(A19,Release_Plan!$A$5:$A$40,0)),0)</x:f>
        <x:v>0</x:v>
      </x:c>
      <x:c r="E19" s="414" t="n">
        <x:f>IFERROR(INDEX(Release_Plan!$I$5:$I$40,MATCH(A19,Release_Plan!$A$5:$A$40,0)),0)</x:f>
        <x:v>0</x:v>
      </x:c>
      <x:c r="F19" s="411" t="n">
        <x:f>COUNTIFS(Defects!$B$5:$B$500,A19,Defects!$K$5:$K$500,"&lt;&gt;Closed")</x:f>
        <x:v>0</x:v>
      </x:c>
      <x:c r="G19" s="411" t="str">
        <x:f>IFERROR(INDEX(Release_Plan!$E$5:$E$40,MATCH(A19,Release_Plan!$A$5:$A$40,0)),"")</x:f>
        <x:v>Backlog</x:v>
      </x:c>
      <x:c r="H19" s="373"/>
      <x:c r="I19" s="411" t="str">
        <x:v>Critical</x:v>
      </x:c>
      <x:c r="J19" s="411" t="n">
        <x:f>COUNTIFS(Defects!$C$5:$C$500,I19,Defects!$K$5:$K$500,"&lt;&gt;Closed")</x:f>
        <x:v>1</x:v>
      </x:c>
      <x:c r="K19" s="373"/>
      <x:c r="L19" s="373"/>
      <x:c r="M19" s="373"/>
      <x:c r="N19" s="373"/>
      <x:c r="O19" s="373"/>
      <x:c r="P19" s="373"/>
      <x:c r="Q19" s="373"/>
      <x:c r="R19" s="373"/>
      <x:c r="S19" s="373"/>
      <x:c r="T19" s="373"/>
      <x:c r="U19" s="373"/>
      <x:c r="V19" s="373"/>
      <x:c r="W19" s="373"/>
      <x:c r="X19" s="373"/>
      <x:c r="Y19" s="373"/>
      <x:c r="Z19" s="373"/>
    </x:row>
    <x:row r="20">
      <x:c r="A20" s="411" t="str">
        <x:v>v0.1.3</x:v>
      </x:c>
      <x:c r="B20" s="414" t="n">
        <x:f>IFERROR(INDEX(Release_Plan!$F$5:$F$40,MATCH(A20,Release_Plan!$A$5:$A$40,0)),0)</x:f>
        <x:v>0</x:v>
      </x:c>
      <x:c r="C20" s="414" t="n">
        <x:f>IFERROR(INDEX(Release_Plan!$G$5:$G$40,MATCH(A20,Release_Plan!$A$5:$A$40,0)),0)</x:f>
        <x:v>0</x:v>
      </x:c>
      <x:c r="D20" s="414" t="n">
        <x:f>IFERROR(INDEX(Release_Plan!$H$5:$H$40,MATCH(A20,Release_Plan!$A$5:$A$40,0)),0)</x:f>
        <x:v>0</x:v>
      </x:c>
      <x:c r="E20" s="414" t="n">
        <x:f>IFERROR(INDEX(Release_Plan!$I$5:$I$40,MATCH(A20,Release_Plan!$A$5:$A$40,0)),0)</x:f>
        <x:v>0</x:v>
      </x:c>
      <x:c r="F20" s="411" t="n">
        <x:f>COUNTIFS(Defects!$B$5:$B$500,A20,Defects!$K$5:$K$500,"&lt;&gt;Closed")</x:f>
        <x:v>1</x:v>
      </x:c>
      <x:c r="G20" s="411" t="str">
        <x:f>IFERROR(INDEX(Release_Plan!$E$5:$E$40,MATCH(A20,Release_Plan!$A$5:$A$40,0)),"")</x:f>
        <x:v>Backlog</x:v>
      </x:c>
      <x:c r="H20" s="373"/>
      <x:c r="I20" s="411" t="str">
        <x:v>High</x:v>
      </x:c>
      <x:c r="J20" s="411" t="n">
        <x:f>COUNTIFS(Defects!$C$5:$C$500,I20,Defects!$K$5:$K$500,"&lt;&gt;Closed")</x:f>
        <x:v>4</x:v>
      </x:c>
      <x:c r="K20" s="373"/>
      <x:c r="L20" s="373"/>
      <x:c r="M20" s="373"/>
      <x:c r="N20" s="373"/>
      <x:c r="O20" s="373"/>
      <x:c r="P20" s="373"/>
      <x:c r="Q20" s="373"/>
      <x:c r="R20" s="373"/>
      <x:c r="S20" s="373"/>
      <x:c r="T20" s="373"/>
      <x:c r="U20" s="373"/>
      <x:c r="V20" s="373"/>
      <x:c r="W20" s="373"/>
      <x:c r="X20" s="373"/>
      <x:c r="Y20" s="373"/>
      <x:c r="Z20" s="373"/>
    </x:row>
    <x:row r="21">
      <x:c r="A21" s="411" t="str">
        <x:v>v0.1.4</x:v>
      </x:c>
      <x:c r="B21" s="414" t="n">
        <x:f>IFERROR(INDEX(Release_Plan!$F$5:$F$40,MATCH(A21,Release_Plan!$A$5:$A$40,0)),0)</x:f>
        <x:v>0</x:v>
      </x:c>
      <x:c r="C21" s="414" t="n">
        <x:f>IFERROR(INDEX(Release_Plan!$G$5:$G$40,MATCH(A21,Release_Plan!$A$5:$A$40,0)),0)</x:f>
        <x:v>0</x:v>
      </x:c>
      <x:c r="D21" s="414" t="n">
        <x:f>IFERROR(INDEX(Release_Plan!$H$5:$H$40,MATCH(A21,Release_Plan!$A$5:$A$40,0)),0)</x:f>
        <x:v>0</x:v>
      </x:c>
      <x:c r="E21" s="414" t="n">
        <x:f>IFERROR(INDEX(Release_Plan!$I$5:$I$40,MATCH(A21,Release_Plan!$A$5:$A$40,0)),0)</x:f>
        <x:v>0</x:v>
      </x:c>
      <x:c r="F21" s="411" t="n">
        <x:f>COUNTIFS(Defects!$B$5:$B$500,A21,Defects!$K$5:$K$500,"&lt;&gt;Closed")</x:f>
        <x:v>0</x:v>
      </x:c>
      <x:c r="G21" s="411" t="str">
        <x:f>IFERROR(INDEX(Release_Plan!$E$5:$E$40,MATCH(A21,Release_Plan!$A$5:$A$40,0)),"")</x:f>
        <x:v>Backlog</x:v>
      </x:c>
      <x:c r="H21" s="373"/>
      <x:c r="I21" s="411" t="str">
        <x:v>Medium</x:v>
      </x:c>
      <x:c r="J21" s="411" t="n">
        <x:f>COUNTIFS(Defects!$C$5:$C$500,I21,Defects!$K$5:$K$500,"&lt;&gt;Closed")</x:f>
        <x:v>2</x:v>
      </x:c>
      <x:c r="K21" s="373"/>
      <x:c r="L21" s="373"/>
      <x:c r="M21" s="373"/>
      <x:c r="N21" s="373"/>
      <x:c r="O21" s="373"/>
      <x:c r="P21" s="373"/>
      <x:c r="Q21" s="373"/>
      <x:c r="R21" s="373"/>
      <x:c r="S21" s="373"/>
      <x:c r="T21" s="373"/>
      <x:c r="U21" s="373"/>
      <x:c r="V21" s="373"/>
      <x:c r="W21" s="373"/>
      <x:c r="X21" s="373"/>
      <x:c r="Y21" s="373"/>
      <x:c r="Z21" s="373"/>
    </x:row>
    <x:row r="22">
      <x:c r="A22" s="411" t="str">
        <x:v>v0.1.5</x:v>
      </x:c>
      <x:c r="B22" s="414" t="n">
        <x:f>IFERROR(INDEX(Release_Plan!$F$5:$F$40,MATCH(A22,Release_Plan!$A$5:$A$40,0)),0)</x:f>
        <x:v>0</x:v>
      </x:c>
      <x:c r="C22" s="414" t="n">
        <x:f>IFERROR(INDEX(Release_Plan!$G$5:$G$40,MATCH(A22,Release_Plan!$A$5:$A$40,0)),0)</x:f>
        <x:v>0</x:v>
      </x:c>
      <x:c r="D22" s="414" t="n">
        <x:f>IFERROR(INDEX(Release_Plan!$H$5:$H$40,MATCH(A22,Release_Plan!$A$5:$A$40,0)),0)</x:f>
        <x:v>0</x:v>
      </x:c>
      <x:c r="E22" s="414" t="n">
        <x:f>IFERROR(INDEX(Release_Plan!$I$5:$I$40,MATCH(A22,Release_Plan!$A$5:$A$40,0)),0)</x:f>
        <x:v>0</x:v>
      </x:c>
      <x:c r="F22" s="411" t="n">
        <x:f>COUNTIFS(Defects!$B$5:$B$500,A22,Defects!$K$5:$K$500,"&lt;&gt;Closed")</x:f>
        <x:v>1</x:v>
      </x:c>
      <x:c r="G22" s="411" t="str">
        <x:f>IFERROR(INDEX(Release_Plan!$E$5:$E$40,MATCH(A22,Release_Plan!$A$5:$A$40,0)),"")</x:f>
        <x:v>Backlog</x:v>
      </x:c>
      <x:c r="H22" s="373"/>
      <x:c r="I22" s="412" t="str">
        <x:v>Low</x:v>
      </x:c>
      <x:c r="J22" s="412" t="n">
        <x:f>COUNTIFS(Defects!$C$5:$C$500,I22,Defects!$K$5:$K$500,"&lt;&gt;Closed")</x:f>
        <x:v>0</x:v>
      </x:c>
      <x:c r="K22" s="373"/>
      <x:c r="L22" s="373"/>
      <x:c r="M22" s="373"/>
      <x:c r="N22" s="373"/>
      <x:c r="O22" s="373"/>
      <x:c r="P22" s="373"/>
      <x:c r="Q22" s="373"/>
      <x:c r="R22" s="373"/>
      <x:c r="S22" s="373"/>
      <x:c r="T22" s="373"/>
      <x:c r="U22" s="373"/>
      <x:c r="V22" s="373"/>
      <x:c r="W22" s="373"/>
      <x:c r="X22" s="373"/>
      <x:c r="Y22" s="373"/>
      <x:c r="Z22" s="373"/>
    </x:row>
    <x:row r="23">
      <x:c r="A23" s="411" t="str">
        <x:v>v0.1.6</x:v>
      </x:c>
      <x:c r="B23" s="414" t="n">
        <x:f>IFERROR(INDEX(Release_Plan!$F$5:$F$40,MATCH(A23,Release_Plan!$A$5:$A$40,0)),0)</x:f>
        <x:v>0</x:v>
      </x:c>
      <x:c r="C23" s="414" t="n">
        <x:f>IFERROR(INDEX(Release_Plan!$G$5:$G$40,MATCH(A23,Release_Plan!$A$5:$A$40,0)),0)</x:f>
        <x:v>0</x:v>
      </x:c>
      <x:c r="D23" s="414" t="n">
        <x:f>IFERROR(INDEX(Release_Plan!$H$5:$H$40,MATCH(A23,Release_Plan!$A$5:$A$40,0)),0)</x:f>
        <x:v>0</x:v>
      </x:c>
      <x:c r="E23" s="414" t="n">
        <x:f>IFERROR(INDEX(Release_Plan!$I$5:$I$40,MATCH(A23,Release_Plan!$A$5:$A$40,0)),0)</x:f>
        <x:v>0</x:v>
      </x:c>
      <x:c r="F23" s="411" t="n">
        <x:f>COUNTIFS(Defects!$B$5:$B$500,A23,Defects!$K$5:$K$500,"&lt;&gt;Closed")</x:f>
        <x:v>0</x:v>
      </x:c>
      <x:c r="G23" s="411" t="str">
        <x:f>IFERROR(INDEX(Release_Plan!$E$5:$E$40,MATCH(A23,Release_Plan!$A$5:$A$40,0)),"")</x:f>
        <x:v>Backlog</x:v>
      </x:c>
      <x:c r="H23" s="373"/>
      <x:c r="I23" s="373"/>
      <x:c r="J23" s="373"/>
      <x:c r="K23" s="373"/>
      <x:c r="L23" s="373"/>
      <x:c r="M23" s="373"/>
      <x:c r="N23" s="373"/>
      <x:c r="O23" s="373"/>
      <x:c r="P23" s="373"/>
      <x:c r="Q23" s="373"/>
      <x:c r="R23" s="373"/>
      <x:c r="S23" s="373"/>
      <x:c r="T23" s="373"/>
      <x:c r="U23" s="373"/>
      <x:c r="V23" s="373"/>
      <x:c r="W23" s="373"/>
      <x:c r="X23" s="373"/>
      <x:c r="Y23" s="373"/>
      <x:c r="Z23" s="373"/>
    </x:row>
    <x:row r="24">
      <x:c r="A24" s="411" t="str">
        <x:v>v0.1.7</x:v>
      </x:c>
      <x:c r="B24" s="414" t="n">
        <x:f>IFERROR(INDEX(Release_Plan!$F$5:$F$40,MATCH(A24,Release_Plan!$A$5:$A$40,0)),0)</x:f>
        <x:v>0</x:v>
      </x:c>
      <x:c r="C24" s="414" t="n">
        <x:f>IFERROR(INDEX(Release_Plan!$G$5:$G$40,MATCH(A24,Release_Plan!$A$5:$A$40,0)),0)</x:f>
        <x:v>0</x:v>
      </x:c>
      <x:c r="D24" s="414" t="n">
        <x:f>IFERROR(INDEX(Release_Plan!$H$5:$H$40,MATCH(A24,Release_Plan!$A$5:$A$40,0)),0)</x:f>
        <x:v>0</x:v>
      </x:c>
      <x:c r="E24" s="414" t="n">
        <x:f>IFERROR(INDEX(Release_Plan!$I$5:$I$40,MATCH(A24,Release_Plan!$A$5:$A$40,0)),0)</x:f>
        <x:v>0</x:v>
      </x:c>
      <x:c r="F24" s="411" t="n">
        <x:f>COUNTIFS(Defects!$B$5:$B$500,A24,Defects!$K$5:$K$500,"&lt;&gt;Closed")</x:f>
        <x:v>0</x:v>
      </x:c>
      <x:c r="G24" s="411" t="str">
        <x:f>IFERROR(INDEX(Release_Plan!$E$5:$E$40,MATCH(A24,Release_Plan!$A$5:$A$40,0)),"")</x:f>
        <x:v>Backlog</x:v>
      </x:c>
      <x:c r="H24" s="373"/>
      <x:c r="I24" s="406" t="str">
        <x:v>FEATURE STATUS</x:v>
      </x:c>
      <x:c r="J24" s="406"/>
      <x:c r="K24" s="406"/>
      <x:c r="L24" s="406"/>
      <x:c r="M24" s="406"/>
      <x:c r="N24" s="406"/>
      <x:c r="O24" s="373"/>
      <x:c r="P24" s="373"/>
      <x:c r="Q24" s="373"/>
      <x:c r="R24" s="373"/>
      <x:c r="S24" s="373"/>
      <x:c r="T24" s="373"/>
      <x:c r="U24" s="373"/>
      <x:c r="V24" s="373"/>
      <x:c r="W24" s="373"/>
      <x:c r="X24" s="373"/>
      <x:c r="Y24" s="373"/>
      <x:c r="Z24" s="373"/>
    </x:row>
    <x:row r="25">
      <x:c r="A25" s="411" t="str">
        <x:v>v0.1.8</x:v>
      </x:c>
      <x:c r="B25" s="414" t="n">
        <x:f>IFERROR(INDEX(Release_Plan!$F$5:$F$40,MATCH(A25,Release_Plan!$A$5:$A$40,0)),0)</x:f>
        <x:v>0</x:v>
      </x:c>
      <x:c r="C25" s="414" t="n">
        <x:f>IFERROR(INDEX(Release_Plan!$G$5:$G$40,MATCH(A25,Release_Plan!$A$5:$A$40,0)),0)</x:f>
        <x:v>0</x:v>
      </x:c>
      <x:c r="D25" s="414" t="n">
        <x:f>IFERROR(INDEX(Release_Plan!$H$5:$H$40,MATCH(A25,Release_Plan!$A$5:$A$40,0)),0)</x:f>
        <x:v>0</x:v>
      </x:c>
      <x:c r="E25" s="414" t="n">
        <x:f>IFERROR(INDEX(Release_Plan!$I$5:$I$40,MATCH(A25,Release_Plan!$A$5:$A$40,0)),0)</x:f>
        <x:v>0</x:v>
      </x:c>
      <x:c r="F25" s="411" t="n">
        <x:f>COUNTIFS(Defects!$B$5:$B$500,A25,Defects!$K$5:$K$500,"&lt;&gt;Closed")</x:f>
        <x:v>1</x:v>
      </x:c>
      <x:c r="G25" s="411" t="str">
        <x:f>IFERROR(INDEX(Release_Plan!$E$5:$E$40,MATCH(A25,Release_Plan!$A$5:$A$40,0)),"")</x:f>
        <x:v>Backlog</x:v>
      </x:c>
      <x:c r="H25" s="373"/>
      <x:c r="I25" s="409" t="str">
        <x:v>Status</x:v>
      </x:c>
      <x:c r="J25" s="410" t="str">
        <x:v>Count</x:v>
      </x:c>
      <x:c r="K25" s="373"/>
      <x:c r="L25" s="373"/>
      <x:c r="M25" s="373"/>
      <x:c r="N25" s="373"/>
      <x:c r="O25" s="373"/>
      <x:c r="P25" s="373"/>
      <x:c r="Q25" s="373"/>
      <x:c r="R25" s="373"/>
      <x:c r="S25" s="373"/>
      <x:c r="T25" s="373"/>
      <x:c r="U25" s="373"/>
      <x:c r="V25" s="373"/>
      <x:c r="W25" s="373"/>
      <x:c r="X25" s="373"/>
      <x:c r="Y25" s="373"/>
      <x:c r="Z25" s="373"/>
    </x:row>
    <x:row r="26">
      <x:c r="A26" s="411" t="str">
        <x:v>v0.1.9</x:v>
      </x:c>
      <x:c r="B26" s="414" t="n">
        <x:f>IFERROR(INDEX(Release_Plan!$F$5:$F$40,MATCH(A26,Release_Plan!$A$5:$A$40,0)),0)</x:f>
        <x:v>0</x:v>
      </x:c>
      <x:c r="C26" s="414" t="n">
        <x:f>IFERROR(INDEX(Release_Plan!$G$5:$G$40,MATCH(A26,Release_Plan!$A$5:$A$40,0)),0)</x:f>
        <x:v>0</x:v>
      </x:c>
      <x:c r="D26" s="414" t="n">
        <x:f>IFERROR(INDEX(Release_Plan!$H$5:$H$40,MATCH(A26,Release_Plan!$A$5:$A$40,0)),0)</x:f>
        <x:v>0</x:v>
      </x:c>
      <x:c r="E26" s="414" t="n">
        <x:f>IFERROR(INDEX(Release_Plan!$I$5:$I$40,MATCH(A26,Release_Plan!$A$5:$A$40,0)),0)</x:f>
        <x:v>0</x:v>
      </x:c>
      <x:c r="F26" s="411" t="n">
        <x:f>COUNTIFS(Defects!$B$5:$B$500,A26,Defects!$K$5:$K$500,"&lt;&gt;Closed")</x:f>
        <x:v>1</x:v>
      </x:c>
      <x:c r="G26" s="411" t="str">
        <x:f>IFERROR(INDEX(Release_Plan!$E$5:$E$40,MATCH(A26,Release_Plan!$A$5:$A$40,0)),"")</x:f>
        <x:v>Backlog</x:v>
      </x:c>
      <x:c r="H26" s="373"/>
      <x:c r="I26" s="411" t="str">
        <x:v>Backlog</x:v>
      </x:c>
      <x:c r="J26" s="411" t="n">
        <x:f>COUNTIF(Features!$I$5:$I$500,I26)</x:f>
        <x:v>125</x:v>
      </x:c>
      <x:c r="K26" s="373"/>
      <x:c r="L26" s="373"/>
      <x:c r="M26" s="373"/>
      <x:c r="N26" s="373"/>
      <x:c r="O26" s="373"/>
      <x:c r="P26" s="373"/>
      <x:c r="Q26" s="373"/>
      <x:c r="R26" s="373"/>
      <x:c r="S26" s="373"/>
      <x:c r="T26" s="373"/>
      <x:c r="U26" s="373"/>
      <x:c r="V26" s="373"/>
      <x:c r="W26" s="373"/>
      <x:c r="X26" s="373"/>
      <x:c r="Y26" s="373"/>
      <x:c r="Z26" s="373"/>
    </x:row>
    <x:row r="27">
      <x:c r="A27" s="411" t="str">
        <x:v>v0.1.10</x:v>
      </x:c>
      <x:c r="B27" s="414" t="n">
        <x:f>IFERROR(INDEX(Release_Plan!$F$5:$F$40,MATCH(A27,Release_Plan!$A$5:$A$40,0)),0)</x:f>
        <x:v>0</x:v>
      </x:c>
      <x:c r="C27" s="414" t="n">
        <x:f>IFERROR(INDEX(Release_Plan!$G$5:$G$40,MATCH(A27,Release_Plan!$A$5:$A$40,0)),0)</x:f>
        <x:v>0</x:v>
      </x:c>
      <x:c r="D27" s="414" t="n">
        <x:f>IFERROR(INDEX(Release_Plan!$H$5:$H$40,MATCH(A27,Release_Plan!$A$5:$A$40,0)),0)</x:f>
        <x:v>0</x:v>
      </x:c>
      <x:c r="E27" s="414" t="n">
        <x:f>IFERROR(INDEX(Release_Plan!$I$5:$I$40,MATCH(A27,Release_Plan!$A$5:$A$40,0)),0)</x:f>
        <x:v>0</x:v>
      </x:c>
      <x:c r="F27" s="411" t="n">
        <x:f>COUNTIFS(Defects!$B$5:$B$500,A27,Defects!$K$5:$K$500,"&lt;&gt;Closed")</x:f>
        <x:v>0</x:v>
      </x:c>
      <x:c r="G27" s="411" t="str">
        <x:f>IFERROR(INDEX(Release_Plan!$E$5:$E$40,MATCH(A27,Release_Plan!$A$5:$A$40,0)),"")</x:f>
        <x:v>Backlog</x:v>
      </x:c>
      <x:c r="H27" s="373"/>
      <x:c r="I27" s="411" t="str">
        <x:v>Ready</x:v>
      </x:c>
      <x:c r="J27" s="411" t="n">
        <x:f>COUNTIF(Features!$I$5:$I$500,I27)</x:f>
        <x:v>0</x:v>
      </x:c>
      <x:c r="K27" s="373"/>
      <x:c r="L27" s="373"/>
      <x:c r="M27" s="373"/>
      <x:c r="N27" s="373"/>
      <x:c r="O27" s="373"/>
      <x:c r="P27" s="373"/>
      <x:c r="Q27" s="373"/>
      <x:c r="R27" s="373"/>
      <x:c r="S27" s="373"/>
      <x:c r="T27" s="373"/>
      <x:c r="U27" s="373"/>
      <x:c r="V27" s="373"/>
      <x:c r="W27" s="373"/>
      <x:c r="X27" s="373"/>
      <x:c r="Y27" s="373"/>
      <x:c r="Z27" s="373"/>
    </x:row>
    <x:row r="28">
      <x:c r="A28" s="411" t="str">
        <x:v>v0.1.11</x:v>
      </x:c>
      <x:c r="B28" s="414" t="n">
        <x:f>IFERROR(INDEX(Release_Plan!$F$5:$F$40,MATCH(A28,Release_Plan!$A$5:$A$40,0)),0)</x:f>
        <x:v>0</x:v>
      </x:c>
      <x:c r="C28" s="414" t="n">
        <x:f>IFERROR(INDEX(Release_Plan!$G$5:$G$40,MATCH(A28,Release_Plan!$A$5:$A$40,0)),0)</x:f>
        <x:v>0</x:v>
      </x:c>
      <x:c r="D28" s="414" t="n">
        <x:f>IFERROR(INDEX(Release_Plan!$H$5:$H$40,MATCH(A28,Release_Plan!$A$5:$A$40,0)),0)</x:f>
        <x:v>0</x:v>
      </x:c>
      <x:c r="E28" s="414" t="n">
        <x:f>IFERROR(INDEX(Release_Plan!$I$5:$I$40,MATCH(A28,Release_Plan!$A$5:$A$40,0)),0)</x:f>
        <x:v>0</x:v>
      </x:c>
      <x:c r="F28" s="411" t="n">
        <x:f>COUNTIFS(Defects!$B$5:$B$500,A28,Defects!$K$5:$K$500,"&lt;&gt;Closed")</x:f>
        <x:v>0</x:v>
      </x:c>
      <x:c r="G28" s="411" t="str">
        <x:f>IFERROR(INDEX(Release_Plan!$E$5:$E$40,MATCH(A28,Release_Plan!$A$5:$A$40,0)),"")</x:f>
        <x:v>Backlog</x:v>
      </x:c>
      <x:c r="H28" s="373"/>
      <x:c r="I28" s="411" t="str">
        <x:v>In Progress</x:v>
      </x:c>
      <x:c r="J28" s="411" t="n">
        <x:f>COUNTIF(Features!$I$5:$I$500,I28)</x:f>
        <x:v>1</x:v>
      </x:c>
      <x:c r="K28" s="373"/>
      <x:c r="L28" s="373"/>
      <x:c r="M28" s="373"/>
      <x:c r="N28" s="373"/>
      <x:c r="O28" s="373"/>
      <x:c r="P28" s="373"/>
      <x:c r="Q28" s="373"/>
      <x:c r="R28" s="373"/>
      <x:c r="S28" s="373"/>
      <x:c r="T28" s="373"/>
      <x:c r="U28" s="373"/>
      <x:c r="V28" s="373"/>
      <x:c r="W28" s="373"/>
      <x:c r="X28" s="373"/>
      <x:c r="Y28" s="373"/>
      <x:c r="Z28" s="373"/>
    </x:row>
    <x:row r="29">
      <x:c r="A29" s="411" t="str">
        <x:v>v0.1.12</x:v>
      </x:c>
      <x:c r="B29" s="414" t="n">
        <x:f>IFERROR(INDEX(Release_Plan!$F$5:$F$40,MATCH(A29,Release_Plan!$A$5:$A$40,0)),0)</x:f>
        <x:v>0</x:v>
      </x:c>
      <x:c r="C29" s="414" t="n">
        <x:f>IFERROR(INDEX(Release_Plan!$G$5:$G$40,MATCH(A29,Release_Plan!$A$5:$A$40,0)),0)</x:f>
        <x:v>0</x:v>
      </x:c>
      <x:c r="D29" s="414" t="n">
        <x:f>IFERROR(INDEX(Release_Plan!$H$5:$H$40,MATCH(A29,Release_Plan!$A$5:$A$40,0)),0)</x:f>
        <x:v>0</x:v>
      </x:c>
      <x:c r="E29" s="414" t="n">
        <x:f>IFERROR(INDEX(Release_Plan!$I$5:$I$40,MATCH(A29,Release_Plan!$A$5:$A$40,0)),0)</x:f>
        <x:v>0</x:v>
      </x:c>
      <x:c r="F29" s="411" t="n">
        <x:f>COUNTIFS(Defects!$B$5:$B$500,A29,Defects!$K$5:$K$500,"&lt;&gt;Closed")</x:f>
        <x:v>0</x:v>
      </x:c>
      <x:c r="G29" s="411" t="str">
        <x:f>IFERROR(INDEX(Release_Plan!$E$5:$E$40,MATCH(A29,Release_Plan!$A$5:$A$40,0)),"")</x:f>
        <x:v>Backlog</x:v>
      </x:c>
      <x:c r="H29" s="373"/>
      <x:c r="I29" s="411" t="str">
        <x:v>Blocked</x:v>
      </x:c>
      <x:c r="J29" s="411" t="n">
        <x:f>COUNTIF(Features!$I$5:$I$500,I29)</x:f>
        <x:v>0</x:v>
      </x:c>
      <x:c r="K29" s="373"/>
      <x:c r="L29" s="373"/>
      <x:c r="M29" s="373"/>
      <x:c r="N29" s="373"/>
      <x:c r="O29" s="373"/>
      <x:c r="P29" s="373"/>
      <x:c r="Q29" s="373"/>
      <x:c r="R29" s="373"/>
      <x:c r="S29" s="373"/>
      <x:c r="T29" s="373"/>
      <x:c r="U29" s="373"/>
      <x:c r="V29" s="373"/>
      <x:c r="W29" s="373"/>
      <x:c r="X29" s="373"/>
      <x:c r="Y29" s="373"/>
      <x:c r="Z29" s="373"/>
    </x:row>
    <x:row r="30">
      <x:c r="A30" s="411" t="str">
        <x:v>v0.2.0</x:v>
      </x:c>
      <x:c r="B30" s="414" t="n">
        <x:f>IFERROR(INDEX(Release_Plan!$F$5:$F$40,MATCH(A30,Release_Plan!$A$5:$A$40,0)),0)</x:f>
        <x:v>0</x:v>
      </x:c>
      <x:c r="C30" s="414" t="n">
        <x:f>IFERROR(INDEX(Release_Plan!$G$5:$G$40,MATCH(A30,Release_Plan!$A$5:$A$40,0)),0)</x:f>
        <x:v>0</x:v>
      </x:c>
      <x:c r="D30" s="414" t="n">
        <x:f>IFERROR(INDEX(Release_Plan!$H$5:$H$40,MATCH(A30,Release_Plan!$A$5:$A$40,0)),0)</x:f>
        <x:v>0</x:v>
      </x:c>
      <x:c r="E30" s="414" t="n">
        <x:f>IFERROR(INDEX(Release_Plan!$I$5:$I$40,MATCH(A30,Release_Plan!$A$5:$A$40,0)),0)</x:f>
        <x:v>0</x:v>
      </x:c>
      <x:c r="F30" s="411" t="n">
        <x:f>COUNTIFS(Defects!$B$5:$B$500,A30,Defects!$K$5:$K$500,"&lt;&gt;Closed")</x:f>
        <x:v>0</x:v>
      </x:c>
      <x:c r="G30" s="411" t="str">
        <x:f>IFERROR(INDEX(Release_Plan!$E$5:$E$40,MATCH(A30,Release_Plan!$A$5:$A$40,0)),"")</x:f>
        <x:v>Backlog</x:v>
      </x:c>
      <x:c r="H30" s="373"/>
      <x:c r="I30" s="411" t="str">
        <x:v>In Review</x:v>
      </x:c>
      <x:c r="J30" s="411" t="n">
        <x:f>COUNTIF(Features!$I$5:$I$500,I30)</x:f>
        <x:v>0</x:v>
      </x:c>
      <x:c r="K30" s="373"/>
      <x:c r="L30" s="373"/>
      <x:c r="M30" s="373"/>
      <x:c r="N30" s="373"/>
      <x:c r="O30" s="373"/>
      <x:c r="P30" s="373"/>
      <x:c r="Q30" s="373"/>
      <x:c r="R30" s="373"/>
      <x:c r="S30" s="373"/>
      <x:c r="T30" s="373"/>
      <x:c r="U30" s="373"/>
      <x:c r="V30" s="373"/>
      <x:c r="W30" s="373"/>
      <x:c r="X30" s="373"/>
      <x:c r="Y30" s="373"/>
      <x:c r="Z30" s="373"/>
    </x:row>
    <x:row r="31">
      <x:c r="A31" s="411" t="str">
        <x:v>v0.2.1</x:v>
      </x:c>
      <x:c r="B31" s="414" t="n">
        <x:f>IFERROR(INDEX(Release_Plan!$F$5:$F$40,MATCH(A31,Release_Plan!$A$5:$A$40,0)),0)</x:f>
        <x:v>0</x:v>
      </x:c>
      <x:c r="C31" s="414" t="n">
        <x:f>IFERROR(INDEX(Release_Plan!$G$5:$G$40,MATCH(A31,Release_Plan!$A$5:$A$40,0)),0)</x:f>
        <x:v>0</x:v>
      </x:c>
      <x:c r="D31" s="414" t="n">
        <x:f>IFERROR(INDEX(Release_Plan!$H$5:$H$40,MATCH(A31,Release_Plan!$A$5:$A$40,0)),0)</x:f>
        <x:v>0</x:v>
      </x:c>
      <x:c r="E31" s="414" t="n">
        <x:f>IFERROR(INDEX(Release_Plan!$I$5:$I$40,MATCH(A31,Release_Plan!$A$5:$A$40,0)),0)</x:f>
        <x:v>0</x:v>
      </x:c>
      <x:c r="F31" s="411" t="n">
        <x:f>COUNTIFS(Defects!$B$5:$B$500,A31,Defects!$K$5:$K$500,"&lt;&gt;Closed")</x:f>
        <x:v>0</x:v>
      </x:c>
      <x:c r="G31" s="411" t="str">
        <x:f>IFERROR(INDEX(Release_Plan!$E$5:$E$40,MATCH(A31,Release_Plan!$A$5:$A$40,0)),"")</x:f>
        <x:v>Backlog</x:v>
      </x:c>
      <x:c r="H31" s="373"/>
      <x:c r="I31" s="412" t="str">
        <x:v>Done</x:v>
      </x:c>
      <x:c r="J31" s="412" t="n">
        <x:f>COUNTIF(Features!$I$5:$I$500,I31)</x:f>
        <x:v>0</x:v>
      </x:c>
      <x:c r="K31" s="373"/>
      <x:c r="L31" s="373"/>
      <x:c r="M31" s="373"/>
      <x:c r="N31" s="373"/>
      <x:c r="O31" s="373"/>
      <x:c r="P31" s="373"/>
      <x:c r="Q31" s="373"/>
      <x:c r="R31" s="373"/>
      <x:c r="S31" s="373"/>
      <x:c r="T31" s="373"/>
      <x:c r="U31" s="373"/>
      <x:c r="V31" s="373"/>
      <x:c r="W31" s="373"/>
      <x:c r="X31" s="373"/>
      <x:c r="Y31" s="373"/>
      <x:c r="Z31" s="373"/>
    </x:row>
    <x:row r="32">
      <x:c r="A32" s="411" t="str">
        <x:v>v0.2.2</x:v>
      </x:c>
      <x:c r="B32" s="414" t="n">
        <x:f>IFERROR(INDEX(Release_Plan!$F$5:$F$40,MATCH(A32,Release_Plan!$A$5:$A$40,0)),0)</x:f>
        <x:v>0</x:v>
      </x:c>
      <x:c r="C32" s="414" t="n">
        <x:f>IFERROR(INDEX(Release_Plan!$G$5:$G$40,MATCH(A32,Release_Plan!$A$5:$A$40,0)),0)</x:f>
        <x:v>0</x:v>
      </x:c>
      <x:c r="D32" s="414" t="n">
        <x:f>IFERROR(INDEX(Release_Plan!$H$5:$H$40,MATCH(A32,Release_Plan!$A$5:$A$40,0)),0)</x:f>
        <x:v>0</x:v>
      </x:c>
      <x:c r="E32" s="414" t="n">
        <x:f>IFERROR(INDEX(Release_Plan!$I$5:$I$40,MATCH(A32,Release_Plan!$A$5:$A$40,0)),0)</x:f>
        <x:v>0</x:v>
      </x:c>
      <x:c r="F32" s="411" t="n">
        <x:f>COUNTIFS(Defects!$B$5:$B$500,A32,Defects!$K$5:$K$500,"&lt;&gt;Closed")</x:f>
        <x:v>1</x:v>
      </x:c>
      <x:c r="G32" s="411" t="str">
        <x:f>IFERROR(INDEX(Release_Plan!$E$5:$E$40,MATCH(A32,Release_Plan!$A$5:$A$40,0)),"")</x:f>
        <x:v>Backlog</x:v>
      </x:c>
      <x:c r="H32" s="373"/>
      <x:c r="I32" s="373"/>
      <x:c r="J32" s="373"/>
      <x:c r="K32" s="373"/>
      <x:c r="L32" s="373"/>
      <x:c r="M32" s="373"/>
      <x:c r="N32" s="373"/>
      <x:c r="O32" s="373"/>
      <x:c r="P32" s="373"/>
      <x:c r="Q32" s="373"/>
      <x:c r="R32" s="373"/>
      <x:c r="S32" s="373"/>
      <x:c r="T32" s="373"/>
      <x:c r="U32" s="373"/>
      <x:c r="V32" s="373"/>
      <x:c r="W32" s="373"/>
      <x:c r="X32" s="373"/>
      <x:c r="Y32" s="373"/>
      <x:c r="Z32" s="373"/>
    </x:row>
    <x:row r="33">
      <x:c r="A33" s="411" t="str">
        <x:v>v0.2.3</x:v>
      </x:c>
      <x:c r="B33" s="414" t="n">
        <x:f>IFERROR(INDEX(Release_Plan!$F$5:$F$40,MATCH(A33,Release_Plan!$A$5:$A$40,0)),0)</x:f>
        <x:v>0</x:v>
      </x:c>
      <x:c r="C33" s="414" t="n">
        <x:f>IFERROR(INDEX(Release_Plan!$G$5:$G$40,MATCH(A33,Release_Plan!$A$5:$A$40,0)),0)</x:f>
        <x:v>0</x:v>
      </x:c>
      <x:c r="D33" s="414" t="n">
        <x:f>IFERROR(INDEX(Release_Plan!$H$5:$H$40,MATCH(A33,Release_Plan!$A$5:$A$40,0)),0)</x:f>
        <x:v>0</x:v>
      </x:c>
      <x:c r="E33" s="414" t="n">
        <x:f>IFERROR(INDEX(Release_Plan!$I$5:$I$40,MATCH(A33,Release_Plan!$A$5:$A$40,0)),0)</x:f>
        <x:v>0</x:v>
      </x:c>
      <x:c r="F33" s="411" t="n">
        <x:f>COUNTIFS(Defects!$B$5:$B$500,A33,Defects!$K$5:$K$500,"&lt;&gt;Closed")</x:f>
        <x:v>0</x:v>
      </x:c>
      <x:c r="G33" s="411" t="str">
        <x:f>IFERROR(INDEX(Release_Plan!$E$5:$E$40,MATCH(A33,Release_Plan!$A$5:$A$40,0)),"")</x:f>
        <x:v>Backlog</x:v>
      </x:c>
      <x:c r="H33" s="373"/>
      <x:c r="I33" s="373"/>
      <x:c r="J33" s="373"/>
      <x:c r="K33" s="373"/>
      <x:c r="L33" s="373"/>
      <x:c r="M33" s="373"/>
      <x:c r="N33" s="373"/>
      <x:c r="O33" s="373"/>
      <x:c r="P33" s="373"/>
      <x:c r="Q33" s="373"/>
      <x:c r="R33" s="373"/>
      <x:c r="S33" s="373"/>
      <x:c r="T33" s="373"/>
      <x:c r="U33" s="373"/>
      <x:c r="V33" s="373"/>
      <x:c r="W33" s="373"/>
      <x:c r="X33" s="373"/>
      <x:c r="Y33" s="373"/>
      <x:c r="Z33" s="373"/>
    </x:row>
    <x:row r="34">
      <x:c r="A34" s="411" t="str">
        <x:v>v0.2.4</x:v>
      </x:c>
      <x:c r="B34" s="414" t="n">
        <x:f>IFERROR(INDEX(Release_Plan!$F$5:$F$40,MATCH(A34,Release_Plan!$A$5:$A$40,0)),0)</x:f>
        <x:v>0</x:v>
      </x:c>
      <x:c r="C34" s="414" t="n">
        <x:f>IFERROR(INDEX(Release_Plan!$G$5:$G$40,MATCH(A34,Release_Plan!$A$5:$A$40,0)),0)</x:f>
        <x:v>0</x:v>
      </x:c>
      <x:c r="D34" s="414" t="n">
        <x:f>IFERROR(INDEX(Release_Plan!$H$5:$H$40,MATCH(A34,Release_Plan!$A$5:$A$40,0)),0)</x:f>
        <x:v>0</x:v>
      </x:c>
      <x:c r="E34" s="414" t="n">
        <x:f>IFERROR(INDEX(Release_Plan!$I$5:$I$40,MATCH(A34,Release_Plan!$A$5:$A$40,0)),0)</x:f>
        <x:v>0</x:v>
      </x:c>
      <x:c r="F34" s="411" t="n">
        <x:f>COUNTIFS(Defects!$B$5:$B$500,A34,Defects!$K$5:$K$500,"&lt;&gt;Closed")</x:f>
        <x:v>0</x:v>
      </x:c>
      <x:c r="G34" s="411" t="str">
        <x:f>IFERROR(INDEX(Release_Plan!$E$5:$E$40,MATCH(A34,Release_Plan!$A$5:$A$40,0)),"")</x:f>
        <x:v>Backlog</x:v>
      </x:c>
      <x:c r="H34" s="373"/>
      <x:c r="I34" s="373"/>
      <x:c r="J34" s="373"/>
      <x:c r="K34" s="373"/>
      <x:c r="L34" s="373"/>
      <x:c r="M34" s="373"/>
      <x:c r="N34" s="373"/>
      <x:c r="O34" s="373"/>
      <x:c r="P34" s="373"/>
      <x:c r="Q34" s="373"/>
      <x:c r="R34" s="373"/>
      <x:c r="S34" s="373"/>
      <x:c r="T34" s="373"/>
      <x:c r="U34" s="373"/>
      <x:c r="V34" s="373"/>
      <x:c r="W34" s="373"/>
      <x:c r="X34" s="373"/>
      <x:c r="Y34" s="373"/>
      <x:c r="Z34" s="373"/>
    </x:row>
    <x:row r="35">
      <x:c r="A35" s="411" t="str">
        <x:v>v0.2.5</x:v>
      </x:c>
      <x:c r="B35" s="414" t="n">
        <x:f>IFERROR(INDEX(Release_Plan!$F$5:$F$40,MATCH(A35,Release_Plan!$A$5:$A$40,0)),0)</x:f>
        <x:v>0</x:v>
      </x:c>
      <x:c r="C35" s="414" t="n">
        <x:f>IFERROR(INDEX(Release_Plan!$G$5:$G$40,MATCH(A35,Release_Plan!$A$5:$A$40,0)),0)</x:f>
        <x:v>0</x:v>
      </x:c>
      <x:c r="D35" s="414" t="n">
        <x:f>IFERROR(INDEX(Release_Plan!$H$5:$H$40,MATCH(A35,Release_Plan!$A$5:$A$40,0)),0)</x:f>
        <x:v>0</x:v>
      </x:c>
      <x:c r="E35" s="414" t="n">
        <x:f>IFERROR(INDEX(Release_Plan!$I$5:$I$40,MATCH(A35,Release_Plan!$A$5:$A$40,0)),0)</x:f>
        <x:v>0</x:v>
      </x:c>
      <x:c r="F35" s="411" t="n">
        <x:f>COUNTIFS(Defects!$B$5:$B$500,A35,Defects!$K$5:$K$500,"&lt;&gt;Closed")</x:f>
        <x:v>0</x:v>
      </x:c>
      <x:c r="G35" s="411" t="str">
        <x:f>IFERROR(INDEX(Release_Plan!$E$5:$E$40,MATCH(A35,Release_Plan!$A$5:$A$40,0)),"")</x:f>
        <x:v>Backlog</x:v>
      </x:c>
      <x:c r="H35" s="373"/>
      <x:c r="I35" s="373"/>
      <x:c r="J35" s="373"/>
      <x:c r="K35" s="373"/>
      <x:c r="L35" s="373"/>
      <x:c r="M35" s="373"/>
      <x:c r="N35" s="373"/>
      <x:c r="O35" s="373"/>
      <x:c r="P35" s="373"/>
      <x:c r="Q35" s="373"/>
      <x:c r="R35" s="373"/>
      <x:c r="S35" s="373"/>
      <x:c r="T35" s="373"/>
      <x:c r="U35" s="373"/>
      <x:c r="V35" s="373"/>
      <x:c r="W35" s="373"/>
      <x:c r="X35" s="373"/>
      <x:c r="Y35" s="373"/>
      <x:c r="Z35" s="373"/>
    </x:row>
    <x:row r="36">
      <x:c r="A36" s="411" t="str">
        <x:v>v0.2.6</x:v>
      </x:c>
      <x:c r="B36" s="414" t="n">
        <x:f>IFERROR(INDEX(Release_Plan!$F$5:$F$40,MATCH(A36,Release_Plan!$A$5:$A$40,0)),0)</x:f>
        <x:v>0</x:v>
      </x:c>
      <x:c r="C36" s="414" t="n">
        <x:f>IFERROR(INDEX(Release_Plan!$G$5:$G$40,MATCH(A36,Release_Plan!$A$5:$A$40,0)),0)</x:f>
        <x:v>0</x:v>
      </x:c>
      <x:c r="D36" s="414" t="n">
        <x:f>IFERROR(INDEX(Release_Plan!$H$5:$H$40,MATCH(A36,Release_Plan!$A$5:$A$40,0)),0)</x:f>
        <x:v>0</x:v>
      </x:c>
      <x:c r="E36" s="414" t="n">
        <x:f>IFERROR(INDEX(Release_Plan!$I$5:$I$40,MATCH(A36,Release_Plan!$A$5:$A$40,0)),0)</x:f>
        <x:v>0</x:v>
      </x:c>
      <x:c r="F36" s="411" t="n">
        <x:f>COUNTIFS(Defects!$B$5:$B$500,A36,Defects!$K$5:$K$500,"&lt;&gt;Closed")</x:f>
        <x:v>0</x:v>
      </x:c>
      <x:c r="G36" s="411" t="str">
        <x:f>IFERROR(INDEX(Release_Plan!$E$5:$E$40,MATCH(A36,Release_Plan!$A$5:$A$40,0)),"")</x:f>
        <x:v>Backlog</x:v>
      </x:c>
      <x:c r="H36" s="373"/>
      <x:c r="I36" s="373"/>
      <x:c r="J36" s="373"/>
      <x:c r="K36" s="373"/>
      <x:c r="L36" s="373"/>
      <x:c r="M36" s="373"/>
      <x:c r="N36" s="373"/>
      <x:c r="O36" s="373"/>
      <x:c r="P36" s="373"/>
      <x:c r="Q36" s="373"/>
      <x:c r="R36" s="373"/>
      <x:c r="S36" s="373"/>
      <x:c r="T36" s="373"/>
      <x:c r="U36" s="373"/>
      <x:c r="V36" s="373"/>
      <x:c r="W36" s="373"/>
      <x:c r="X36" s="373"/>
      <x:c r="Y36" s="373"/>
      <x:c r="Z36" s="373"/>
    </x:row>
    <x:row r="37">
      <x:c r="A37" s="411" t="str">
        <x:v>v0.2.7</x:v>
      </x:c>
      <x:c r="B37" s="414" t="n">
        <x:f>IFERROR(INDEX(Release_Plan!$F$5:$F$40,MATCH(A37,Release_Plan!$A$5:$A$40,0)),0)</x:f>
        <x:v>0</x:v>
      </x:c>
      <x:c r="C37" s="414" t="n">
        <x:f>IFERROR(INDEX(Release_Plan!$G$5:$G$40,MATCH(A37,Release_Plan!$A$5:$A$40,0)),0)</x:f>
        <x:v>0</x:v>
      </x:c>
      <x:c r="D37" s="414" t="n">
        <x:f>IFERROR(INDEX(Release_Plan!$H$5:$H$40,MATCH(A37,Release_Plan!$A$5:$A$40,0)),0)</x:f>
        <x:v>0</x:v>
      </x:c>
      <x:c r="E37" s="414" t="n">
        <x:f>IFERROR(INDEX(Release_Plan!$I$5:$I$40,MATCH(A37,Release_Plan!$A$5:$A$40,0)),0)</x:f>
        <x:v>0</x:v>
      </x:c>
      <x:c r="F37" s="411" t="n">
        <x:f>COUNTIFS(Defects!$B$5:$B$500,A37,Defects!$K$5:$K$500,"&lt;&gt;Closed")</x:f>
        <x:v>1</x:v>
      </x:c>
      <x:c r="G37" s="411" t="str">
        <x:f>IFERROR(INDEX(Release_Plan!$E$5:$E$40,MATCH(A37,Release_Plan!$A$5:$A$40,0)),"")</x:f>
        <x:v>Backlog</x:v>
      </x:c>
      <x:c r="H37" s="373"/>
      <x:c r="I37" s="373"/>
      <x:c r="J37" s="373"/>
      <x:c r="K37" s="373"/>
      <x:c r="L37" s="373"/>
      <x:c r="M37" s="373"/>
      <x:c r="N37" s="373"/>
      <x:c r="O37" s="373"/>
      <x:c r="P37" s="373"/>
      <x:c r="Q37" s="373"/>
      <x:c r="R37" s="373"/>
      <x:c r="S37" s="373"/>
      <x:c r="T37" s="373"/>
      <x:c r="U37" s="373"/>
      <x:c r="V37" s="373"/>
      <x:c r="W37" s="373"/>
      <x:c r="X37" s="373"/>
      <x:c r="Y37" s="373"/>
      <x:c r="Z37" s="373"/>
    </x:row>
    <x:row r="38">
      <x:c r="A38" s="412" t="str">
        <x:v>v0.3.0</x:v>
      </x:c>
      <x:c r="B38" s="415" t="n">
        <x:f>IFERROR(INDEX(Release_Plan!$F$5:$F$40,MATCH(A38,Release_Plan!$A$5:$A$40,0)),0)</x:f>
        <x:v>0</x:v>
      </x:c>
      <x:c r="C38" s="415" t="n">
        <x:f>IFERROR(INDEX(Release_Plan!$G$5:$G$40,MATCH(A38,Release_Plan!$A$5:$A$40,0)),0)</x:f>
        <x:v>0</x:v>
      </x:c>
      <x:c r="D38" s="415" t="n">
        <x:f>IFERROR(INDEX(Release_Plan!$H$5:$H$40,MATCH(A38,Release_Plan!$A$5:$A$40,0)),0)</x:f>
        <x:v>0</x:v>
      </x:c>
      <x:c r="E38" s="415" t="n">
        <x:f>IFERROR(INDEX(Release_Plan!$I$5:$I$40,MATCH(A38,Release_Plan!$A$5:$A$40,0)),0)</x:f>
        <x:v>0</x:v>
      </x:c>
      <x:c r="F38" s="412" t="n">
        <x:f>COUNTIFS(Defects!$B$5:$B$500,A38,Defects!$K$5:$K$500,"&lt;&gt;Closed")</x:f>
        <x:v>0</x:v>
      </x:c>
      <x:c r="G38" s="412" t="str">
        <x:f>IFERROR(INDEX(Release_Plan!$E$5:$E$40,MATCH(A38,Release_Plan!$A$5:$A$40,0)),"")</x:f>
        <x:v>Backlog</x:v>
      </x:c>
      <x:c r="H38" s="373"/>
      <x:c r="I38" s="373"/>
      <x:c r="J38" s="373"/>
      <x:c r="K38" s="373"/>
      <x:c r="L38" s="373"/>
      <x:c r="M38" s="373"/>
      <x:c r="N38" s="373"/>
      <x:c r="O38" s="373"/>
      <x:c r="P38" s="373"/>
      <x:c r="Q38" s="373"/>
      <x:c r="R38" s="373"/>
      <x:c r="S38" s="373"/>
      <x:c r="T38" s="373"/>
      <x:c r="U38" s="373"/>
      <x:c r="V38" s="373"/>
      <x:c r="W38" s="373"/>
      <x:c r="X38" s="373"/>
      <x:c r="Y38" s="373"/>
      <x:c r="Z38" s="373"/>
    </x:row>
    <x:row r="39">
      <x:c r="A39" s="373"/>
      <x:c r="B39" s="373"/>
      <x:c r="C39" s="373"/>
      <x:c r="D39" s="373"/>
      <x:c r="E39" s="373"/>
      <x:c r="F39" s="373"/>
      <x:c r="G39" s="373"/>
      <x:c r="H39" s="373"/>
      <x:c r="I39" s="373"/>
      <x:c r="J39" s="373"/>
      <x:c r="K39" s="373"/>
      <x:c r="L39" s="373"/>
      <x:c r="M39" s="373"/>
      <x:c r="N39" s="373"/>
      <x:c r="O39" s="373"/>
      <x:c r="P39" s="373"/>
      <x:c r="Q39" s="373"/>
      <x:c r="R39" s="373"/>
      <x:c r="S39" s="373"/>
      <x:c r="T39" s="373"/>
      <x:c r="U39" s="373"/>
      <x:c r="V39" s="373"/>
      <x:c r="W39" s="373"/>
      <x:c r="X39" s="373"/>
      <x:c r="Y39" s="373"/>
      <x:c r="Z39" s="373"/>
    </x:row>
    <x:row r="40">
      <x:c r="A40" s="373"/>
      <x:c r="B40" s="373"/>
      <x:c r="C40" s="373"/>
      <x:c r="D40" s="373"/>
      <x:c r="E40" s="373"/>
      <x:c r="F40" s="373"/>
      <x:c r="G40" s="373"/>
      <x:c r="H40" s="373"/>
      <x:c r="I40" s="373"/>
      <x:c r="J40" s="373"/>
      <x:c r="K40" s="373"/>
      <x:c r="L40" s="373"/>
      <x:c r="M40" s="373"/>
      <x:c r="N40" s="373"/>
      <x:c r="O40" s="373"/>
      <x:c r="P40" s="373"/>
      <x:c r="Q40" s="373"/>
      <x:c r="R40" s="373"/>
      <x:c r="S40" s="373"/>
      <x:c r="T40" s="373"/>
      <x:c r="U40" s="373"/>
      <x:c r="V40" s="373"/>
      <x:c r="W40" s="373"/>
      <x:c r="X40" s="373"/>
      <x:c r="Y40" s="373"/>
      <x:c r="Z40" s="373"/>
    </x:row>
    <x:row r="41">
      <x:c r="A41" s="373"/>
      <x:c r="B41" s="373"/>
      <x:c r="C41" s="373"/>
      <x:c r="D41" s="373"/>
      <x:c r="E41" s="373"/>
      <x:c r="F41" s="373"/>
      <x:c r="G41" s="373"/>
      <x:c r="H41" s="373"/>
      <x:c r="I41" s="373"/>
      <x:c r="J41" s="373"/>
      <x:c r="K41" s="373"/>
      <x:c r="L41" s="373"/>
      <x:c r="M41" s="373"/>
      <x:c r="N41" s="373"/>
      <x:c r="O41" s="373"/>
      <x:c r="P41" s="373"/>
      <x:c r="Q41" s="373"/>
      <x:c r="R41" s="373"/>
      <x:c r="S41" s="373"/>
      <x:c r="T41" s="373"/>
      <x:c r="U41" s="373"/>
      <x:c r="V41" s="373"/>
      <x:c r="W41" s="373"/>
      <x:c r="X41" s="373"/>
      <x:c r="Y41" s="373"/>
      <x:c r="Z41" s="373"/>
    </x:row>
    <x:row r="42">
      <x:c r="A42" s="373"/>
      <x:c r="B42" s="373"/>
      <x:c r="C42" s="373"/>
      <x:c r="D42" s="373"/>
      <x:c r="E42" s="373"/>
      <x:c r="F42" s="373"/>
      <x:c r="G42" s="373"/>
      <x:c r="H42" s="373"/>
      <x:c r="I42" s="373"/>
      <x:c r="J42" s="373"/>
      <x:c r="K42" s="373"/>
      <x:c r="L42" s="373"/>
      <x:c r="M42" s="373"/>
      <x:c r="N42" s="373"/>
      <x:c r="O42" s="373"/>
      <x:c r="P42" s="373"/>
      <x:c r="Q42" s="373"/>
      <x:c r="R42" s="373"/>
      <x:c r="S42" s="373"/>
      <x:c r="T42" s="373"/>
      <x:c r="U42" s="373"/>
      <x:c r="V42" s="373"/>
      <x:c r="W42" s="373"/>
      <x:c r="X42" s="373"/>
      <x:c r="Y42" s="373"/>
      <x:c r="Z42" s="373"/>
    </x:row>
    <x:row r="43">
      <x:c r="A43" s="373"/>
      <x:c r="B43" s="373"/>
      <x:c r="C43" s="373"/>
      <x:c r="D43" s="373"/>
      <x:c r="E43" s="373"/>
      <x:c r="F43" s="373"/>
      <x:c r="G43" s="373"/>
      <x:c r="H43" s="373"/>
      <x:c r="I43" s="373"/>
      <x:c r="J43" s="373"/>
      <x:c r="K43" s="373"/>
      <x:c r="L43" s="373"/>
      <x:c r="M43" s="373"/>
      <x:c r="N43" s="373"/>
      <x:c r="O43" s="373"/>
      <x:c r="P43" s="373"/>
      <x:c r="Q43" s="373"/>
      <x:c r="R43" s="373"/>
      <x:c r="S43" s="373"/>
      <x:c r="T43" s="373"/>
      <x:c r="U43" s="373"/>
      <x:c r="V43" s="373"/>
      <x:c r="W43" s="373"/>
      <x:c r="X43" s="373"/>
      <x:c r="Y43" s="373"/>
      <x:c r="Z43" s="373"/>
    </x:row>
    <x:row r="44">
      <x:c r="A44" s="373"/>
      <x:c r="B44" s="373"/>
      <x:c r="C44" s="373"/>
      <x:c r="D44" s="373"/>
      <x:c r="E44" s="373"/>
      <x:c r="F44" s="373"/>
      <x:c r="G44" s="373"/>
      <x:c r="H44" s="373"/>
      <x:c r="I44" s="373"/>
      <x:c r="J44" s="373"/>
      <x:c r="K44" s="373"/>
      <x:c r="L44" s="373"/>
      <x:c r="M44" s="373"/>
      <x:c r="N44" s="373"/>
      <x:c r="O44" s="373"/>
      <x:c r="P44" s="373"/>
      <x:c r="Q44" s="373"/>
      <x:c r="R44" s="373"/>
      <x:c r="S44" s="373"/>
      <x:c r="T44" s="373"/>
      <x:c r="U44" s="373"/>
      <x:c r="V44" s="373"/>
      <x:c r="W44" s="373"/>
      <x:c r="X44" s="373"/>
      <x:c r="Y44" s="373"/>
      <x:c r="Z44" s="373"/>
    </x:row>
    <x:row r="45">
      <x:c r="A45" s="373"/>
      <x:c r="B45" s="373"/>
      <x:c r="C45" s="373"/>
      <x:c r="D45" s="373"/>
      <x:c r="E45" s="373"/>
      <x:c r="F45" s="373"/>
      <x:c r="G45" s="373"/>
      <x:c r="H45" s="373"/>
      <x:c r="I45" s="373"/>
      <x:c r="J45" s="373"/>
      <x:c r="K45" s="373"/>
      <x:c r="L45" s="373"/>
      <x:c r="M45" s="373"/>
      <x:c r="N45" s="373"/>
      <x:c r="O45" s="373"/>
      <x:c r="P45" s="373"/>
      <x:c r="Q45" s="373"/>
      <x:c r="R45" s="373"/>
      <x:c r="S45" s="373"/>
      <x:c r="T45" s="373"/>
      <x:c r="U45" s="373"/>
      <x:c r="V45" s="373"/>
      <x:c r="W45" s="373"/>
      <x:c r="X45" s="373"/>
      <x:c r="Y45" s="373"/>
      <x:c r="Z45" s="373"/>
    </x:row>
    <x:row r="46">
      <x:c r="A46" s="373"/>
      <x:c r="B46" s="373"/>
      <x:c r="C46" s="373"/>
      <x:c r="D46" s="373"/>
      <x:c r="E46" s="373"/>
      <x:c r="F46" s="373"/>
      <x:c r="G46" s="373"/>
      <x:c r="H46" s="373"/>
      <x:c r="I46" s="373"/>
      <x:c r="J46" s="373"/>
      <x:c r="K46" s="373"/>
      <x:c r="L46" s="373"/>
      <x:c r="M46" s="373"/>
      <x:c r="N46" s="373"/>
      <x:c r="O46" s="373"/>
      <x:c r="P46" s="373"/>
      <x:c r="Q46" s="373"/>
      <x:c r="R46" s="373"/>
      <x:c r="S46" s="373"/>
      <x:c r="T46" s="373"/>
      <x:c r="U46" s="373"/>
      <x:c r="V46" s="373"/>
      <x:c r="W46" s="373"/>
      <x:c r="X46" s="373"/>
      <x:c r="Y46" s="373"/>
      <x:c r="Z46" s="373"/>
    </x:row>
    <x:row r="47">
      <x:c r="A47" s="373"/>
      <x:c r="B47" s="373"/>
      <x:c r="C47" s="373"/>
      <x:c r="D47" s="373"/>
      <x:c r="E47" s="373"/>
      <x:c r="F47" s="373"/>
      <x:c r="G47" s="373"/>
      <x:c r="H47" s="373"/>
      <x:c r="I47" s="373"/>
      <x:c r="J47" s="373"/>
      <x:c r="K47" s="373"/>
      <x:c r="L47" s="373"/>
      <x:c r="M47" s="373"/>
      <x:c r="N47" s="373"/>
      <x:c r="O47" s="373"/>
      <x:c r="P47" s="373"/>
      <x:c r="Q47" s="373"/>
      <x:c r="R47" s="373"/>
      <x:c r="S47" s="373"/>
      <x:c r="T47" s="373"/>
      <x:c r="U47" s="373"/>
      <x:c r="V47" s="373"/>
      <x:c r="W47" s="373"/>
      <x:c r="X47" s="373"/>
      <x:c r="Y47" s="373"/>
      <x:c r="Z47" s="373"/>
    </x:row>
    <x:row r="48">
      <x:c r="A48" s="373"/>
      <x:c r="B48" s="373"/>
      <x:c r="C48" s="373"/>
      <x:c r="D48" s="373"/>
      <x:c r="E48" s="373"/>
      <x:c r="F48" s="373"/>
      <x:c r="G48" s="373"/>
      <x:c r="H48" s="373"/>
      <x:c r="I48" s="373"/>
      <x:c r="J48" s="373"/>
      <x:c r="K48" s="373"/>
      <x:c r="L48" s="373"/>
      <x:c r="M48" s="373"/>
      <x:c r="N48" s="373"/>
      <x:c r="O48" s="373"/>
      <x:c r="P48" s="373"/>
      <x:c r="Q48" s="373"/>
      <x:c r="R48" s="373"/>
      <x:c r="S48" s="373"/>
      <x:c r="T48" s="373"/>
      <x:c r="U48" s="373"/>
      <x:c r="V48" s="373"/>
      <x:c r="W48" s="373"/>
      <x:c r="X48" s="373"/>
      <x:c r="Y48" s="373"/>
      <x:c r="Z48" s="373"/>
    </x:row>
    <x:row r="49">
      <x:c r="A49" s="373"/>
      <x:c r="B49" s="373"/>
      <x:c r="C49" s="373"/>
      <x:c r="D49" s="373"/>
      <x:c r="E49" s="373"/>
      <x:c r="F49" s="373"/>
      <x:c r="G49" s="373"/>
      <x:c r="H49" s="373"/>
      <x:c r="I49" s="373"/>
      <x:c r="J49" s="373"/>
      <x:c r="K49" s="373"/>
      <x:c r="L49" s="373"/>
      <x:c r="M49" s="373"/>
      <x:c r="N49" s="373"/>
      <x:c r="O49" s="373"/>
      <x:c r="P49" s="373"/>
      <x:c r="Q49" s="373"/>
      <x:c r="R49" s="373"/>
      <x:c r="S49" s="373"/>
      <x:c r="T49" s="373"/>
      <x:c r="U49" s="373"/>
      <x:c r="V49" s="373"/>
      <x:c r="W49" s="373"/>
      <x:c r="X49" s="373"/>
      <x:c r="Y49" s="373"/>
      <x:c r="Z49" s="373"/>
    </x:row>
    <x:row r="50">
      <x:c r="A50" s="373"/>
      <x:c r="B50" s="373"/>
      <x:c r="C50" s="373"/>
      <x:c r="D50" s="373"/>
      <x:c r="E50" s="373"/>
      <x:c r="F50" s="373"/>
      <x:c r="G50" s="373"/>
      <x:c r="H50" s="373"/>
      <x:c r="I50" s="373"/>
      <x:c r="J50" s="373"/>
      <x:c r="K50" s="373"/>
      <x:c r="L50" s="373"/>
      <x:c r="M50" s="373"/>
      <x:c r="N50" s="373"/>
      <x:c r="O50" s="373"/>
      <x:c r="P50" s="373"/>
      <x:c r="Q50" s="373"/>
      <x:c r="R50" s="373"/>
      <x:c r="S50" s="373"/>
      <x:c r="T50" s="373"/>
      <x:c r="U50" s="373"/>
      <x:c r="V50" s="373"/>
      <x:c r="W50" s="373"/>
      <x:c r="X50" s="373"/>
      <x:c r="Y50" s="373"/>
      <x:c r="Z50" s="373"/>
    </x:row>
    <x:row r="51">
      <x:c r="A51" s="373"/>
      <x:c r="B51" s="373"/>
      <x:c r="C51" s="373"/>
      <x:c r="D51" s="373"/>
      <x:c r="E51" s="373"/>
      <x:c r="F51" s="373"/>
      <x:c r="G51" s="373"/>
      <x:c r="H51" s="373"/>
      <x:c r="I51" s="373"/>
      <x:c r="J51" s="373"/>
      <x:c r="K51" s="373"/>
      <x:c r="L51" s="373"/>
      <x:c r="M51" s="373"/>
      <x:c r="N51" s="373"/>
      <x:c r="O51" s="373"/>
      <x:c r="P51" s="373"/>
      <x:c r="Q51" s="373"/>
      <x:c r="R51" s="373"/>
      <x:c r="S51" s="373"/>
      <x:c r="T51" s="373"/>
      <x:c r="U51" s="373"/>
      <x:c r="V51" s="373"/>
      <x:c r="W51" s="373"/>
      <x:c r="X51" s="373"/>
      <x:c r="Y51" s="373"/>
      <x:c r="Z51" s="373"/>
    </x:row>
    <x:row r="52">
      <x:c r="A52" s="373"/>
      <x:c r="B52" s="373"/>
      <x:c r="C52" s="373"/>
      <x:c r="D52" s="373"/>
      <x:c r="E52" s="373"/>
      <x:c r="F52" s="373"/>
      <x:c r="G52" s="373"/>
      <x:c r="H52" s="373"/>
      <x:c r="I52" s="373"/>
      <x:c r="J52" s="373"/>
      <x:c r="K52" s="373"/>
      <x:c r="L52" s="373"/>
      <x:c r="M52" s="373"/>
      <x:c r="N52" s="373"/>
      <x:c r="O52" s="373"/>
      <x:c r="P52" s="373"/>
      <x:c r="Q52" s="373"/>
      <x:c r="R52" s="373"/>
      <x:c r="S52" s="373"/>
      <x:c r="T52" s="373"/>
      <x:c r="U52" s="373"/>
      <x:c r="V52" s="373"/>
      <x:c r="W52" s="373"/>
      <x:c r="X52" s="373"/>
      <x:c r="Y52" s="373"/>
      <x:c r="Z52" s="373"/>
    </x:row>
    <x:row r="53">
      <x:c r="A53" s="373"/>
      <x:c r="B53" s="373"/>
      <x:c r="C53" s="373"/>
      <x:c r="D53" s="373"/>
      <x:c r="E53" s="373"/>
      <x:c r="F53" s="373"/>
      <x:c r="G53" s="373"/>
      <x:c r="H53" s="373"/>
      <x:c r="I53" s="373"/>
      <x:c r="J53" s="373"/>
      <x:c r="K53" s="373"/>
      <x:c r="L53" s="373"/>
      <x:c r="M53" s="373"/>
      <x:c r="N53" s="373"/>
      <x:c r="O53" s="373"/>
      <x:c r="P53" s="373"/>
      <x:c r="Q53" s="373"/>
      <x:c r="R53" s="373"/>
      <x:c r="S53" s="373"/>
      <x:c r="T53" s="373"/>
      <x:c r="U53" s="373"/>
      <x:c r="V53" s="373"/>
      <x:c r="W53" s="373"/>
      <x:c r="X53" s="373"/>
      <x:c r="Y53" s="373"/>
      <x:c r="Z53" s="373"/>
    </x:row>
    <x:row r="54">
      <x:c r="A54" s="373"/>
      <x:c r="B54" s="373"/>
      <x:c r="C54" s="373"/>
      <x:c r="D54" s="373"/>
      <x:c r="E54" s="373"/>
      <x:c r="F54" s="373"/>
      <x:c r="G54" s="373"/>
      <x:c r="H54" s="373"/>
      <x:c r="I54" s="373"/>
      <x:c r="J54" s="373"/>
      <x:c r="K54" s="373"/>
      <x:c r="L54" s="373"/>
      <x:c r="M54" s="373"/>
      <x:c r="N54" s="373"/>
      <x:c r="O54" s="373"/>
      <x:c r="P54" s="373"/>
      <x:c r="Q54" s="373"/>
      <x:c r="R54" s="373"/>
      <x:c r="S54" s="373"/>
      <x:c r="T54" s="373"/>
      <x:c r="U54" s="373"/>
      <x:c r="V54" s="373"/>
      <x:c r="W54" s="373"/>
      <x:c r="X54" s="373"/>
      <x:c r="Y54" s="373"/>
      <x:c r="Z54" s="373"/>
    </x:row>
    <x:row r="55">
      <x:c r="A55" s="373"/>
      <x:c r="B55" s="373"/>
      <x:c r="C55" s="373"/>
      <x:c r="D55" s="373"/>
      <x:c r="E55" s="373"/>
      <x:c r="F55" s="373"/>
      <x:c r="G55" s="373"/>
      <x:c r="H55" s="373"/>
      <x:c r="I55" s="373"/>
      <x:c r="J55" s="373"/>
      <x:c r="K55" s="373"/>
      <x:c r="L55" s="373"/>
      <x:c r="M55" s="373"/>
      <x:c r="N55" s="373"/>
      <x:c r="O55" s="373"/>
      <x:c r="P55" s="373"/>
      <x:c r="Q55" s="373"/>
      <x:c r="R55" s="373"/>
      <x:c r="S55" s="373"/>
      <x:c r="T55" s="373"/>
      <x:c r="U55" s="373"/>
      <x:c r="V55" s="373"/>
      <x:c r="W55" s="373"/>
      <x:c r="X55" s="373"/>
      <x:c r="Y55" s="373"/>
      <x:c r="Z55" s="373"/>
    </x:row>
    <x:row r="56">
      <x:c r="A56" s="373"/>
      <x:c r="B56" s="373"/>
      <x:c r="C56" s="373"/>
      <x:c r="D56" s="373"/>
      <x:c r="E56" s="373"/>
      <x:c r="F56" s="373"/>
      <x:c r="G56" s="373"/>
      <x:c r="H56" s="373"/>
      <x:c r="I56" s="373"/>
      <x:c r="J56" s="373"/>
      <x:c r="K56" s="373"/>
      <x:c r="L56" s="373"/>
      <x:c r="M56" s="373"/>
      <x:c r="N56" s="373"/>
      <x:c r="O56" s="373"/>
      <x:c r="P56" s="373"/>
      <x:c r="Q56" s="373"/>
      <x:c r="R56" s="373"/>
      <x:c r="S56" s="373"/>
      <x:c r="T56" s="373"/>
      <x:c r="U56" s="373"/>
      <x:c r="V56" s="373"/>
      <x:c r="W56" s="373"/>
      <x:c r="X56" s="373"/>
      <x:c r="Y56" s="373"/>
      <x:c r="Z56" s="373"/>
    </x:row>
    <x:row r="57">
      <x:c r="A57" s="373"/>
      <x:c r="B57" s="373"/>
      <x:c r="C57" s="373"/>
      <x:c r="D57" s="373"/>
      <x:c r="E57" s="373"/>
      <x:c r="F57" s="373"/>
      <x:c r="G57" s="373"/>
      <x:c r="H57" s="373"/>
      <x:c r="I57" s="373"/>
      <x:c r="J57" s="373"/>
      <x:c r="K57" s="373"/>
      <x:c r="L57" s="373"/>
      <x:c r="M57" s="373"/>
      <x:c r="N57" s="373"/>
      <x:c r="O57" s="373"/>
      <x:c r="P57" s="373"/>
      <x:c r="Q57" s="373"/>
      <x:c r="R57" s="373"/>
      <x:c r="S57" s="373"/>
      <x:c r="T57" s="373"/>
      <x:c r="U57" s="373"/>
      <x:c r="V57" s="373"/>
      <x:c r="W57" s="373"/>
      <x:c r="X57" s="373"/>
      <x:c r="Y57" s="373"/>
      <x:c r="Z57" s="373"/>
    </x:row>
    <x:row r="58">
      <x:c r="A58" s="373"/>
      <x:c r="B58" s="373"/>
      <x:c r="C58" s="373"/>
      <x:c r="D58" s="373"/>
      <x:c r="E58" s="373"/>
      <x:c r="F58" s="373"/>
      <x:c r="G58" s="373"/>
      <x:c r="H58" s="373"/>
      <x:c r="I58" s="373"/>
      <x:c r="J58" s="373"/>
      <x:c r="K58" s="373"/>
      <x:c r="L58" s="373"/>
      <x:c r="M58" s="373"/>
      <x:c r="N58" s="373"/>
      <x:c r="O58" s="373"/>
      <x:c r="P58" s="373"/>
      <x:c r="Q58" s="373"/>
      <x:c r="R58" s="373"/>
      <x:c r="S58" s="373"/>
      <x:c r="T58" s="373"/>
      <x:c r="U58" s="373"/>
      <x:c r="V58" s="373"/>
      <x:c r="W58" s="373"/>
      <x:c r="X58" s="373"/>
      <x:c r="Y58" s="373"/>
      <x:c r="Z58" s="373"/>
    </x:row>
    <x:row r="59">
      <x:c r="A59" s="373"/>
      <x:c r="B59" s="373"/>
      <x:c r="C59" s="373"/>
      <x:c r="D59" s="373"/>
      <x:c r="E59" s="373"/>
      <x:c r="F59" s="373"/>
      <x:c r="G59" s="373"/>
      <x:c r="H59" s="373"/>
      <x:c r="I59" s="373"/>
      <x:c r="J59" s="373"/>
      <x:c r="K59" s="373"/>
      <x:c r="L59" s="373"/>
      <x:c r="M59" s="373"/>
      <x:c r="N59" s="373"/>
      <x:c r="O59" s="373"/>
      <x:c r="P59" s="373"/>
      <x:c r="Q59" s="373"/>
      <x:c r="R59" s="373"/>
      <x:c r="S59" s="373"/>
      <x:c r="T59" s="373"/>
      <x:c r="U59" s="373"/>
      <x:c r="V59" s="373"/>
      <x:c r="W59" s="373"/>
      <x:c r="X59" s="373"/>
      <x:c r="Y59" s="373"/>
      <x:c r="Z59" s="373"/>
    </x:row>
    <x:row r="60">
      <x:c r="A60" s="373"/>
      <x:c r="B60" s="373"/>
      <x:c r="C60" s="373"/>
      <x:c r="D60" s="373"/>
      <x:c r="E60" s="373"/>
      <x:c r="F60" s="373"/>
      <x:c r="G60" s="373"/>
      <x:c r="H60" s="373"/>
      <x:c r="I60" s="373"/>
      <x:c r="J60" s="373"/>
      <x:c r="K60" s="373"/>
      <x:c r="L60" s="373"/>
      <x:c r="M60" s="373"/>
      <x:c r="N60" s="373"/>
      <x:c r="O60" s="373"/>
      <x:c r="P60" s="373"/>
      <x:c r="Q60" s="373"/>
      <x:c r="R60" s="373"/>
      <x:c r="S60" s="373"/>
      <x:c r="T60" s="373"/>
      <x:c r="U60" s="373"/>
      <x:c r="V60" s="373"/>
      <x:c r="W60" s="373"/>
      <x:c r="X60" s="373"/>
      <x:c r="Y60" s="373"/>
      <x:c r="Z60" s="373"/>
    </x:row>
    <x:row r="61">
      <x:c r="A61" s="373"/>
      <x:c r="B61" s="373"/>
      <x:c r="C61" s="373"/>
      <x:c r="D61" s="373"/>
      <x:c r="E61" s="373"/>
      <x:c r="F61" s="373"/>
      <x:c r="G61" s="373"/>
      <x:c r="H61" s="373"/>
      <x:c r="I61" s="373"/>
      <x:c r="J61" s="373"/>
      <x:c r="K61" s="373"/>
      <x:c r="L61" s="373"/>
      <x:c r="M61" s="373"/>
      <x:c r="N61" s="373"/>
      <x:c r="O61" s="373"/>
      <x:c r="P61" s="373"/>
      <x:c r="Q61" s="373"/>
      <x:c r="R61" s="373"/>
      <x:c r="S61" s="373"/>
      <x:c r="T61" s="373"/>
      <x:c r="U61" s="373"/>
      <x:c r="V61" s="373"/>
      <x:c r="W61" s="373"/>
      <x:c r="X61" s="373"/>
      <x:c r="Y61" s="373"/>
      <x:c r="Z61" s="373"/>
    </x:row>
    <x:row r="62">
      <x:c r="A62" s="373"/>
      <x:c r="B62" s="373"/>
      <x:c r="C62" s="373"/>
      <x:c r="D62" s="373"/>
      <x:c r="E62" s="373"/>
      <x:c r="F62" s="373"/>
      <x:c r="G62" s="373"/>
      <x:c r="H62" s="373"/>
      <x:c r="I62" s="373"/>
      <x:c r="J62" s="373"/>
      <x:c r="K62" s="373"/>
      <x:c r="L62" s="373"/>
      <x:c r="M62" s="373"/>
      <x:c r="N62" s="373"/>
      <x:c r="O62" s="373"/>
      <x:c r="P62" s="373"/>
      <x:c r="Q62" s="373"/>
      <x:c r="R62" s="373"/>
      <x:c r="S62" s="373"/>
      <x:c r="T62" s="373"/>
      <x:c r="U62" s="373"/>
      <x:c r="V62" s="373"/>
      <x:c r="W62" s="373"/>
      <x:c r="X62" s="373"/>
      <x:c r="Y62" s="373"/>
      <x:c r="Z62" s="373"/>
    </x:row>
    <x:row r="63">
      <x:c r="A63" s="373"/>
      <x:c r="B63" s="373"/>
      <x:c r="C63" s="373"/>
      <x:c r="D63" s="373"/>
      <x:c r="E63" s="373"/>
      <x:c r="F63" s="373"/>
      <x:c r="G63" s="373"/>
      <x:c r="H63" s="373"/>
      <x:c r="I63" s="373"/>
      <x:c r="J63" s="373"/>
      <x:c r="K63" s="373"/>
      <x:c r="L63" s="373"/>
      <x:c r="M63" s="373"/>
      <x:c r="N63" s="373"/>
      <x:c r="O63" s="373"/>
      <x:c r="P63" s="373"/>
      <x:c r="Q63" s="373"/>
      <x:c r="R63" s="373"/>
      <x:c r="S63" s="373"/>
      <x:c r="T63" s="373"/>
      <x:c r="U63" s="373"/>
      <x:c r="V63" s="373"/>
      <x:c r="W63" s="373"/>
      <x:c r="X63" s="373"/>
      <x:c r="Y63" s="373"/>
      <x:c r="Z63" s="373"/>
    </x:row>
    <x:row r="64">
      <x:c r="A64" s="373"/>
      <x:c r="B64" s="373"/>
      <x:c r="C64" s="373"/>
      <x:c r="D64" s="373"/>
      <x:c r="E64" s="373"/>
      <x:c r="F64" s="373"/>
      <x:c r="G64" s="373"/>
      <x:c r="H64" s="373"/>
      <x:c r="I64" s="373"/>
      <x:c r="J64" s="373"/>
      <x:c r="K64" s="373"/>
      <x:c r="L64" s="373"/>
      <x:c r="M64" s="373"/>
      <x:c r="N64" s="373"/>
      <x:c r="O64" s="373"/>
      <x:c r="P64" s="373"/>
      <x:c r="Q64" s="373"/>
      <x:c r="R64" s="373"/>
      <x:c r="S64" s="373"/>
      <x:c r="T64" s="373"/>
      <x:c r="U64" s="373"/>
      <x:c r="V64" s="373"/>
      <x:c r="W64" s="373"/>
      <x:c r="X64" s="373"/>
      <x:c r="Y64" s="373"/>
      <x:c r="Z64" s="373"/>
    </x:row>
    <x:row r="65">
      <x:c r="A65" s="373"/>
      <x:c r="B65" s="373"/>
      <x:c r="C65" s="373"/>
      <x:c r="D65" s="373"/>
      <x:c r="E65" s="373"/>
      <x:c r="F65" s="373"/>
      <x:c r="G65" s="373"/>
      <x:c r="H65" s="373"/>
      <x:c r="I65" s="373"/>
      <x:c r="J65" s="373"/>
      <x:c r="K65" s="373"/>
      <x:c r="L65" s="373"/>
      <x:c r="M65" s="373"/>
      <x:c r="N65" s="373"/>
      <x:c r="O65" s="373"/>
      <x:c r="P65" s="373"/>
      <x:c r="Q65" s="373"/>
      <x:c r="R65" s="373"/>
      <x:c r="S65" s="373"/>
      <x:c r="T65" s="373"/>
      <x:c r="U65" s="373"/>
      <x:c r="V65" s="373"/>
      <x:c r="W65" s="373"/>
      <x:c r="X65" s="373"/>
      <x:c r="Y65" s="373"/>
      <x:c r="Z65" s="373"/>
    </x:row>
    <x:row r="66">
      <x:c r="A66" s="373"/>
      <x:c r="B66" s="373"/>
      <x:c r="C66" s="373"/>
      <x:c r="D66" s="373"/>
      <x:c r="E66" s="373"/>
      <x:c r="F66" s="373"/>
      <x:c r="G66" s="373"/>
      <x:c r="H66" s="373"/>
      <x:c r="I66" s="373"/>
      <x:c r="J66" s="373"/>
      <x:c r="K66" s="373"/>
      <x:c r="L66" s="373"/>
      <x:c r="M66" s="373"/>
      <x:c r="N66" s="373"/>
      <x:c r="O66" s="373"/>
      <x:c r="P66" s="373"/>
      <x:c r="Q66" s="373"/>
      <x:c r="R66" s="373"/>
      <x:c r="S66" s="373"/>
      <x:c r="T66" s="373"/>
      <x:c r="U66" s="373"/>
      <x:c r="V66" s="373"/>
      <x:c r="W66" s="373"/>
      <x:c r="X66" s="373"/>
      <x:c r="Y66" s="373"/>
      <x:c r="Z66" s="373"/>
    </x:row>
    <x:row r="67">
      <x:c r="A67" s="373"/>
      <x:c r="B67" s="373"/>
      <x:c r="C67" s="373"/>
      <x:c r="D67" s="373"/>
      <x:c r="E67" s="373"/>
      <x:c r="F67" s="373"/>
      <x:c r="G67" s="373"/>
      <x:c r="H67" s="373"/>
      <x:c r="I67" s="373"/>
      <x:c r="J67" s="373"/>
      <x:c r="K67" s="373"/>
      <x:c r="L67" s="373"/>
      <x:c r="M67" s="373"/>
      <x:c r="N67" s="373"/>
      <x:c r="O67" s="373"/>
      <x:c r="P67" s="373"/>
      <x:c r="Q67" s="373"/>
      <x:c r="R67" s="373"/>
      <x:c r="S67" s="373"/>
      <x:c r="T67" s="373"/>
      <x:c r="U67" s="373"/>
      <x:c r="V67" s="373"/>
      <x:c r="W67" s="373"/>
      <x:c r="X67" s="373"/>
      <x:c r="Y67" s="373"/>
      <x:c r="Z67" s="373"/>
    </x:row>
    <x:row r="68">
      <x:c r="A68" s="373"/>
      <x:c r="B68" s="373"/>
      <x:c r="C68" s="373"/>
      <x:c r="D68" s="373"/>
      <x:c r="E68" s="373"/>
      <x:c r="F68" s="373"/>
      <x:c r="G68" s="373"/>
      <x:c r="H68" s="373"/>
      <x:c r="I68" s="373"/>
      <x:c r="J68" s="373"/>
      <x:c r="K68" s="373"/>
      <x:c r="L68" s="373"/>
      <x:c r="M68" s="373"/>
      <x:c r="N68" s="373"/>
      <x:c r="O68" s="373"/>
      <x:c r="P68" s="373"/>
      <x:c r="Q68" s="373"/>
      <x:c r="R68" s="373"/>
      <x:c r="S68" s="373"/>
      <x:c r="T68" s="373"/>
      <x:c r="U68" s="373"/>
      <x:c r="V68" s="373"/>
      <x:c r="W68" s="373"/>
      <x:c r="X68" s="373"/>
      <x:c r="Y68" s="373"/>
      <x:c r="Z68" s="373"/>
    </x:row>
    <x:row r="69">
      <x:c r="A69" s="373"/>
      <x:c r="B69" s="373"/>
      <x:c r="C69" s="373"/>
      <x:c r="D69" s="373"/>
      <x:c r="E69" s="373"/>
      <x:c r="F69" s="373"/>
      <x:c r="G69" s="373"/>
      <x:c r="H69" s="373"/>
      <x:c r="I69" s="373"/>
      <x:c r="J69" s="373"/>
      <x:c r="K69" s="373"/>
      <x:c r="L69" s="373"/>
      <x:c r="M69" s="373"/>
      <x:c r="N69" s="373"/>
      <x:c r="O69" s="373"/>
      <x:c r="P69" s="373"/>
      <x:c r="Q69" s="373"/>
      <x:c r="R69" s="373"/>
      <x:c r="S69" s="373"/>
      <x:c r="T69" s="373"/>
      <x:c r="U69" s="373"/>
      <x:c r="V69" s="373"/>
      <x:c r="W69" s="373"/>
      <x:c r="X69" s="373"/>
      <x:c r="Y69" s="373"/>
      <x:c r="Z69" s="373"/>
    </x:row>
    <x:row r="70">
      <x:c r="A70" s="373"/>
      <x:c r="B70" s="373"/>
      <x:c r="C70" s="373"/>
      <x:c r="D70" s="373"/>
      <x:c r="E70" s="373"/>
      <x:c r="F70" s="373"/>
      <x:c r="G70" s="373"/>
      <x:c r="H70" s="373"/>
      <x:c r="I70" s="373"/>
      <x:c r="J70" s="373"/>
      <x:c r="K70" s="373"/>
      <x:c r="L70" s="373"/>
      <x:c r="M70" s="373"/>
      <x:c r="N70" s="373"/>
      <x:c r="O70" s="373"/>
      <x:c r="P70" s="373"/>
      <x:c r="Q70" s="373"/>
      <x:c r="R70" s="373"/>
      <x:c r="S70" s="373"/>
      <x:c r="T70" s="373"/>
      <x:c r="U70" s="373"/>
      <x:c r="V70" s="373"/>
      <x:c r="W70" s="373"/>
      <x:c r="X70" s="373"/>
      <x:c r="Y70" s="373"/>
      <x:c r="Z70" s="373"/>
    </x:row>
    <x:row r="71">
      <x:c r="A71" s="373"/>
      <x:c r="B71" s="373"/>
      <x:c r="C71" s="373"/>
      <x:c r="D71" s="373"/>
      <x:c r="E71" s="373"/>
      <x:c r="F71" s="373"/>
      <x:c r="G71" s="373"/>
      <x:c r="H71" s="373"/>
      <x:c r="I71" s="373"/>
      <x:c r="J71" s="373"/>
      <x:c r="K71" s="373"/>
      <x:c r="L71" s="373"/>
      <x:c r="M71" s="373"/>
      <x:c r="N71" s="373"/>
      <x:c r="O71" s="373"/>
      <x:c r="P71" s="373"/>
      <x:c r="Q71" s="373"/>
      <x:c r="R71" s="373"/>
      <x:c r="S71" s="373"/>
      <x:c r="T71" s="373"/>
      <x:c r="U71" s="373"/>
      <x:c r="V71" s="373"/>
      <x:c r="W71" s="373"/>
      <x:c r="X71" s="373"/>
      <x:c r="Y71" s="373"/>
      <x:c r="Z71" s="373"/>
    </x:row>
    <x:row r="72">
      <x:c r="A72" s="373"/>
      <x:c r="B72" s="373"/>
      <x:c r="C72" s="373"/>
      <x:c r="D72" s="373"/>
      <x:c r="E72" s="373"/>
      <x:c r="F72" s="373"/>
      <x:c r="G72" s="373"/>
      <x:c r="H72" s="373"/>
      <x:c r="I72" s="373"/>
      <x:c r="J72" s="373"/>
      <x:c r="K72" s="373"/>
      <x:c r="L72" s="373"/>
      <x:c r="M72" s="373"/>
      <x:c r="N72" s="373"/>
      <x:c r="O72" s="373"/>
      <x:c r="P72" s="373"/>
      <x:c r="Q72" s="373"/>
      <x:c r="R72" s="373"/>
      <x:c r="S72" s="373"/>
      <x:c r="T72" s="373"/>
      <x:c r="U72" s="373"/>
      <x:c r="V72" s="373"/>
      <x:c r="W72" s="373"/>
      <x:c r="X72" s="373"/>
      <x:c r="Y72" s="373"/>
      <x:c r="Z72" s="373"/>
    </x:row>
    <x:row r="73">
      <x:c r="A73" s="373"/>
      <x:c r="B73" s="373"/>
      <x:c r="C73" s="373"/>
      <x:c r="D73" s="373"/>
      <x:c r="E73" s="373"/>
      <x:c r="F73" s="373"/>
      <x:c r="G73" s="373"/>
      <x:c r="H73" s="373"/>
      <x:c r="I73" s="373"/>
      <x:c r="J73" s="373"/>
      <x:c r="K73" s="373"/>
      <x:c r="L73" s="373"/>
      <x:c r="M73" s="373"/>
      <x:c r="N73" s="373"/>
      <x:c r="O73" s="373"/>
      <x:c r="P73" s="373"/>
      <x:c r="Q73" s="373"/>
      <x:c r="R73" s="373"/>
      <x:c r="S73" s="373"/>
      <x:c r="T73" s="373"/>
      <x:c r="U73" s="373"/>
      <x:c r="V73" s="373"/>
      <x:c r="W73" s="373"/>
      <x:c r="X73" s="373"/>
      <x:c r="Y73" s="373"/>
      <x:c r="Z73" s="373"/>
    </x:row>
    <x:row r="74">
      <x:c r="A74" s="373"/>
      <x:c r="B74" s="373"/>
      <x:c r="C74" s="373"/>
      <x:c r="D74" s="373"/>
      <x:c r="E74" s="373"/>
      <x:c r="F74" s="373"/>
      <x:c r="G74" s="373"/>
      <x:c r="H74" s="373"/>
      <x:c r="I74" s="373"/>
      <x:c r="J74" s="373"/>
      <x:c r="K74" s="373"/>
      <x:c r="L74" s="373"/>
      <x:c r="M74" s="373"/>
      <x:c r="N74" s="373"/>
      <x:c r="O74" s="373"/>
      <x:c r="P74" s="373"/>
      <x:c r="Q74" s="373"/>
      <x:c r="R74" s="373"/>
      <x:c r="S74" s="373"/>
      <x:c r="T74" s="373"/>
      <x:c r="U74" s="373"/>
      <x:c r="V74" s="373"/>
      <x:c r="W74" s="373"/>
      <x:c r="X74" s="373"/>
      <x:c r="Y74" s="373"/>
      <x:c r="Z74" s="373"/>
    </x:row>
    <x:row r="75">
      <x:c r="A75" s="373"/>
      <x:c r="B75" s="373"/>
      <x:c r="C75" s="373"/>
      <x:c r="D75" s="373"/>
      <x:c r="E75" s="373"/>
      <x:c r="F75" s="373"/>
      <x:c r="G75" s="373"/>
      <x:c r="H75" s="373"/>
      <x:c r="I75" s="373"/>
      <x:c r="J75" s="373"/>
      <x:c r="K75" s="373"/>
      <x:c r="L75" s="373"/>
      <x:c r="M75" s="373"/>
      <x:c r="N75" s="373"/>
      <x:c r="O75" s="373"/>
      <x:c r="P75" s="373"/>
      <x:c r="Q75" s="373"/>
      <x:c r="R75" s="373"/>
      <x:c r="S75" s="373"/>
      <x:c r="T75" s="373"/>
      <x:c r="U75" s="373"/>
      <x:c r="V75" s="373"/>
      <x:c r="W75" s="373"/>
      <x:c r="X75" s="373"/>
      <x:c r="Y75" s="373"/>
      <x:c r="Z75" s="373"/>
    </x:row>
    <x:row r="76">
      <x:c r="A76" s="373"/>
      <x:c r="B76" s="373"/>
      <x:c r="C76" s="373"/>
      <x:c r="D76" s="373"/>
      <x:c r="E76" s="373"/>
      <x:c r="F76" s="373"/>
      <x:c r="G76" s="373"/>
      <x:c r="H76" s="373"/>
      <x:c r="I76" s="373"/>
      <x:c r="J76" s="373"/>
      <x:c r="K76" s="373"/>
      <x:c r="L76" s="373"/>
      <x:c r="M76" s="373"/>
      <x:c r="N76" s="373"/>
      <x:c r="O76" s="373"/>
      <x:c r="P76" s="373"/>
      <x:c r="Q76" s="373"/>
      <x:c r="R76" s="373"/>
      <x:c r="S76" s="373"/>
      <x:c r="T76" s="373"/>
      <x:c r="U76" s="373"/>
      <x:c r="V76" s="373"/>
      <x:c r="W76" s="373"/>
      <x:c r="X76" s="373"/>
      <x:c r="Y76" s="373"/>
      <x:c r="Z76" s="373"/>
    </x:row>
    <x:row r="77">
      <x:c r="A77" s="373"/>
      <x:c r="B77" s="373"/>
      <x:c r="C77" s="373"/>
      <x:c r="D77" s="373"/>
      <x:c r="E77" s="373"/>
      <x:c r="F77" s="373"/>
      <x:c r="G77" s="373"/>
      <x:c r="H77" s="373"/>
      <x:c r="I77" s="373"/>
      <x:c r="J77" s="373"/>
      <x:c r="K77" s="373"/>
      <x:c r="L77" s="373"/>
      <x:c r="M77" s="373"/>
      <x:c r="N77" s="373"/>
      <x:c r="O77" s="373"/>
      <x:c r="P77" s="373"/>
      <x:c r="Q77" s="373"/>
      <x:c r="R77" s="373"/>
      <x:c r="S77" s="373"/>
      <x:c r="T77" s="373"/>
      <x:c r="U77" s="373"/>
      <x:c r="V77" s="373"/>
      <x:c r="W77" s="373"/>
      <x:c r="X77" s="373"/>
      <x:c r="Y77" s="373"/>
      <x:c r="Z77" s="373"/>
    </x:row>
    <x:row r="78">
      <x:c r="A78" s="373"/>
      <x:c r="B78" s="373"/>
      <x:c r="C78" s="373"/>
      <x:c r="D78" s="373"/>
      <x:c r="E78" s="373"/>
      <x:c r="F78" s="373"/>
      <x:c r="G78" s="373"/>
      <x:c r="H78" s="373"/>
      <x:c r="I78" s="373"/>
      <x:c r="J78" s="373"/>
      <x:c r="K78" s="373"/>
      <x:c r="L78" s="373"/>
      <x:c r="M78" s="373"/>
      <x:c r="N78" s="373"/>
      <x:c r="O78" s="373"/>
      <x:c r="P78" s="373"/>
      <x:c r="Q78" s="373"/>
      <x:c r="R78" s="373"/>
      <x:c r="S78" s="373"/>
      <x:c r="T78" s="373"/>
      <x:c r="U78" s="373"/>
      <x:c r="V78" s="373"/>
      <x:c r="W78" s="373"/>
      <x:c r="X78" s="373"/>
      <x:c r="Y78" s="373"/>
      <x:c r="Z78" s="373"/>
    </x:row>
    <x:row r="79">
      <x:c r="A79" s="373"/>
      <x:c r="B79" s="373"/>
      <x:c r="C79" s="373"/>
      <x:c r="D79" s="373"/>
      <x:c r="E79" s="373"/>
      <x:c r="F79" s="373"/>
      <x:c r="G79" s="373"/>
      <x:c r="H79" s="373"/>
      <x:c r="I79" s="373"/>
      <x:c r="J79" s="373"/>
      <x:c r="K79" s="373"/>
      <x:c r="L79" s="373"/>
      <x:c r="M79" s="373"/>
      <x:c r="N79" s="373"/>
      <x:c r="O79" s="373"/>
      <x:c r="P79" s="373"/>
      <x:c r="Q79" s="373"/>
      <x:c r="R79" s="373"/>
      <x:c r="S79" s="373"/>
      <x:c r="T79" s="373"/>
      <x:c r="U79" s="373"/>
      <x:c r="V79" s="373"/>
      <x:c r="W79" s="373"/>
      <x:c r="X79" s="373"/>
      <x:c r="Y79" s="373"/>
      <x:c r="Z79" s="373"/>
    </x:row>
    <x:row r="80">
      <x:c r="A80" s="373"/>
      <x:c r="B80" s="373"/>
      <x:c r="C80" s="373"/>
      <x:c r="D80" s="373"/>
      <x:c r="E80" s="373"/>
      <x:c r="F80" s="373"/>
      <x:c r="G80" s="373"/>
      <x:c r="H80" s="373"/>
      <x:c r="I80" s="373"/>
      <x:c r="J80" s="373"/>
      <x:c r="K80" s="373"/>
      <x:c r="L80" s="373"/>
      <x:c r="M80" s="373"/>
      <x:c r="N80" s="373"/>
      <x:c r="O80" s="373"/>
      <x:c r="P80" s="373"/>
      <x:c r="Q80" s="373"/>
      <x:c r="R80" s="373"/>
      <x:c r="S80" s="373"/>
      <x:c r="T80" s="373"/>
      <x:c r="U80" s="373"/>
      <x:c r="V80" s="373"/>
      <x:c r="W80" s="373"/>
      <x:c r="X80" s="373"/>
      <x:c r="Y80" s="373"/>
      <x:c r="Z80" s="373"/>
    </x:row>
    <x:row r="81">
      <x:c r="A81" s="373"/>
      <x:c r="B81" s="373"/>
      <x:c r="C81" s="373"/>
      <x:c r="D81" s="373"/>
      <x:c r="E81" s="373"/>
      <x:c r="F81" s="373"/>
      <x:c r="G81" s="373"/>
      <x:c r="H81" s="373"/>
      <x:c r="I81" s="373"/>
      <x:c r="J81" s="373"/>
      <x:c r="K81" s="373"/>
      <x:c r="L81" s="373"/>
      <x:c r="M81" s="373"/>
      <x:c r="N81" s="373"/>
      <x:c r="O81" s="373"/>
      <x:c r="P81" s="373"/>
      <x:c r="Q81" s="373"/>
      <x:c r="R81" s="373"/>
      <x:c r="S81" s="373"/>
      <x:c r="T81" s="373"/>
      <x:c r="U81" s="373"/>
      <x:c r="V81" s="373"/>
      <x:c r="W81" s="373"/>
      <x:c r="X81" s="373"/>
      <x:c r="Y81" s="373"/>
      <x:c r="Z81" s="373"/>
    </x:row>
    <x:row r="82">
      <x:c r="A82" s="373"/>
      <x:c r="B82" s="373"/>
      <x:c r="C82" s="373"/>
      <x:c r="D82" s="373"/>
      <x:c r="E82" s="373"/>
      <x:c r="F82" s="373"/>
      <x:c r="G82" s="373"/>
      <x:c r="H82" s="373"/>
      <x:c r="I82" s="373"/>
      <x:c r="J82" s="373"/>
      <x:c r="K82" s="373"/>
      <x:c r="L82" s="373"/>
      <x:c r="M82" s="373"/>
      <x:c r="N82" s="373"/>
      <x:c r="O82" s="373"/>
      <x:c r="P82" s="373"/>
      <x:c r="Q82" s="373"/>
      <x:c r="R82" s="373"/>
      <x:c r="S82" s="373"/>
      <x:c r="T82" s="373"/>
      <x:c r="U82" s="373"/>
      <x:c r="V82" s="373"/>
      <x:c r="W82" s="373"/>
      <x:c r="X82" s="373"/>
      <x:c r="Y82" s="373"/>
      <x:c r="Z82" s="373"/>
    </x:row>
    <x:row r="83">
      <x:c r="A83" s="373"/>
      <x:c r="B83" s="373"/>
      <x:c r="C83" s="373"/>
      <x:c r="D83" s="373"/>
      <x:c r="E83" s="373"/>
      <x:c r="F83" s="373"/>
      <x:c r="G83" s="373"/>
      <x:c r="H83" s="373"/>
      <x:c r="I83" s="373"/>
      <x:c r="J83" s="373"/>
      <x:c r="K83" s="373"/>
      <x:c r="L83" s="373"/>
      <x:c r="M83" s="373"/>
      <x:c r="N83" s="373"/>
      <x:c r="O83" s="373"/>
      <x:c r="P83" s="373"/>
      <x:c r="Q83" s="373"/>
      <x:c r="R83" s="373"/>
      <x:c r="S83" s="373"/>
      <x:c r="T83" s="373"/>
      <x:c r="U83" s="373"/>
      <x:c r="V83" s="373"/>
      <x:c r="W83" s="373"/>
      <x:c r="X83" s="373"/>
      <x:c r="Y83" s="373"/>
      <x:c r="Z83" s="373"/>
    </x:row>
    <x:row r="84">
      <x:c r="A84" s="373"/>
      <x:c r="B84" s="373"/>
      <x:c r="C84" s="373"/>
      <x:c r="D84" s="373"/>
      <x:c r="E84" s="373"/>
      <x:c r="F84" s="373"/>
      <x:c r="G84" s="373"/>
      <x:c r="H84" s="373"/>
      <x:c r="I84" s="373"/>
      <x:c r="J84" s="373"/>
      <x:c r="K84" s="373"/>
      <x:c r="L84" s="373"/>
      <x:c r="M84" s="373"/>
      <x:c r="N84" s="373"/>
      <x:c r="O84" s="373"/>
      <x:c r="P84" s="373"/>
      <x:c r="Q84" s="373"/>
      <x:c r="R84" s="373"/>
      <x:c r="S84" s="373"/>
      <x:c r="T84" s="373"/>
      <x:c r="U84" s="373"/>
      <x:c r="V84" s="373"/>
      <x:c r="W84" s="373"/>
      <x:c r="X84" s="373"/>
      <x:c r="Y84" s="373"/>
      <x:c r="Z84" s="373"/>
    </x:row>
    <x:row r="85">
      <x:c r="A85" s="373"/>
      <x:c r="B85" s="373"/>
      <x:c r="C85" s="373"/>
      <x:c r="D85" s="373"/>
      <x:c r="E85" s="373"/>
      <x:c r="F85" s="373"/>
      <x:c r="G85" s="373"/>
      <x:c r="H85" s="373"/>
      <x:c r="I85" s="373"/>
      <x:c r="J85" s="373"/>
      <x:c r="K85" s="373"/>
      <x:c r="L85" s="373"/>
      <x:c r="M85" s="373"/>
      <x:c r="N85" s="373"/>
      <x:c r="O85" s="373"/>
      <x:c r="P85" s="373"/>
      <x:c r="Q85" s="373"/>
      <x:c r="R85" s="373"/>
      <x:c r="S85" s="373"/>
      <x:c r="T85" s="373"/>
      <x:c r="U85" s="373"/>
      <x:c r="V85" s="373"/>
      <x:c r="W85" s="373"/>
      <x:c r="X85" s="373"/>
      <x:c r="Y85" s="373"/>
      <x:c r="Z85" s="373"/>
    </x:row>
    <x:row r="86">
      <x:c r="A86" s="373"/>
      <x:c r="B86" s="373"/>
      <x:c r="C86" s="373"/>
      <x:c r="D86" s="373"/>
      <x:c r="E86" s="373"/>
      <x:c r="F86" s="373"/>
      <x:c r="G86" s="373"/>
      <x:c r="H86" s="373"/>
      <x:c r="I86" s="373"/>
      <x:c r="J86" s="373"/>
      <x:c r="K86" s="373"/>
      <x:c r="L86" s="373"/>
      <x:c r="M86" s="373"/>
      <x:c r="N86" s="373"/>
      <x:c r="O86" s="373"/>
      <x:c r="P86" s="373"/>
      <x:c r="Q86" s="373"/>
      <x:c r="R86" s="373"/>
      <x:c r="S86" s="373"/>
      <x:c r="T86" s="373"/>
      <x:c r="U86" s="373"/>
      <x:c r="V86" s="373"/>
      <x:c r="W86" s="373"/>
      <x:c r="X86" s="373"/>
      <x:c r="Y86" s="373"/>
      <x:c r="Z86" s="373"/>
    </x:row>
    <x:row r="87">
      <x:c r="A87" s="373"/>
      <x:c r="B87" s="373"/>
      <x:c r="C87" s="373"/>
      <x:c r="D87" s="373"/>
      <x:c r="E87" s="373"/>
      <x:c r="F87" s="373"/>
      <x:c r="G87" s="373"/>
      <x:c r="H87" s="373"/>
      <x:c r="I87" s="373"/>
      <x:c r="J87" s="373"/>
      <x:c r="K87" s="373"/>
      <x:c r="L87" s="373"/>
      <x:c r="M87" s="373"/>
      <x:c r="N87" s="373"/>
      <x:c r="O87" s="373"/>
      <x:c r="P87" s="373"/>
      <x:c r="Q87" s="373"/>
      <x:c r="R87" s="373"/>
      <x:c r="S87" s="373"/>
      <x:c r="T87" s="373"/>
      <x:c r="U87" s="373"/>
      <x:c r="V87" s="373"/>
      <x:c r="W87" s="373"/>
      <x:c r="X87" s="373"/>
      <x:c r="Y87" s="373"/>
      <x:c r="Z87" s="373"/>
    </x:row>
    <x:row r="88">
      <x:c r="A88" s="373"/>
      <x:c r="B88" s="373"/>
      <x:c r="C88" s="373"/>
      <x:c r="D88" s="373"/>
      <x:c r="E88" s="373"/>
      <x:c r="F88" s="373"/>
      <x:c r="G88" s="373"/>
      <x:c r="H88" s="373"/>
      <x:c r="I88" s="373"/>
      <x:c r="J88" s="373"/>
      <x:c r="K88" s="373"/>
      <x:c r="L88" s="373"/>
      <x:c r="M88" s="373"/>
      <x:c r="N88" s="373"/>
      <x:c r="O88" s="373"/>
      <x:c r="P88" s="373"/>
      <x:c r="Q88" s="373"/>
      <x:c r="R88" s="373"/>
      <x:c r="S88" s="373"/>
      <x:c r="T88" s="373"/>
      <x:c r="U88" s="373"/>
      <x:c r="V88" s="373"/>
      <x:c r="W88" s="373"/>
      <x:c r="X88" s="373"/>
      <x:c r="Y88" s="373"/>
      <x:c r="Z88" s="373"/>
    </x:row>
    <x:row r="89">
      <x:c r="A89" s="373"/>
      <x:c r="B89" s="373"/>
      <x:c r="C89" s="373"/>
      <x:c r="D89" s="373"/>
      <x:c r="E89" s="373"/>
      <x:c r="F89" s="373"/>
      <x:c r="G89" s="373"/>
      <x:c r="H89" s="373"/>
      <x:c r="I89" s="373"/>
      <x:c r="J89" s="373"/>
      <x:c r="K89" s="373"/>
      <x:c r="L89" s="373"/>
      <x:c r="M89" s="373"/>
      <x:c r="N89" s="373"/>
      <x:c r="O89" s="373"/>
      <x:c r="P89" s="373"/>
      <x:c r="Q89" s="373"/>
      <x:c r="R89" s="373"/>
      <x:c r="S89" s="373"/>
      <x:c r="T89" s="373"/>
      <x:c r="U89" s="373"/>
      <x:c r="V89" s="373"/>
      <x:c r="W89" s="373"/>
      <x:c r="X89" s="373"/>
      <x:c r="Y89" s="373"/>
      <x:c r="Z89" s="373"/>
    </x:row>
    <x:row r="90">
      <x:c r="A90" s="373"/>
      <x:c r="B90" s="373"/>
      <x:c r="C90" s="373"/>
      <x:c r="D90" s="373"/>
      <x:c r="E90" s="373"/>
      <x:c r="F90" s="373"/>
      <x:c r="G90" s="373"/>
      <x:c r="H90" s="373"/>
      <x:c r="I90" s="373"/>
      <x:c r="J90" s="373"/>
      <x:c r="K90" s="373"/>
      <x:c r="L90" s="373"/>
      <x:c r="M90" s="373"/>
      <x:c r="N90" s="373"/>
      <x:c r="O90" s="373"/>
      <x:c r="P90" s="373"/>
      <x:c r="Q90" s="373"/>
      <x:c r="R90" s="373"/>
      <x:c r="S90" s="373"/>
      <x:c r="T90" s="373"/>
      <x:c r="U90" s="373"/>
      <x:c r="V90" s="373"/>
      <x:c r="W90" s="373"/>
      <x:c r="X90" s="373"/>
      <x:c r="Y90" s="373"/>
      <x:c r="Z90" s="373"/>
    </x:row>
    <x:row r="91">
      <x:c r="A91" s="373"/>
      <x:c r="B91" s="373"/>
      <x:c r="C91" s="373"/>
      <x:c r="D91" s="373"/>
      <x:c r="E91" s="373"/>
      <x:c r="F91" s="373"/>
      <x:c r="G91" s="373"/>
      <x:c r="H91" s="373"/>
      <x:c r="I91" s="373"/>
      <x:c r="J91" s="373"/>
      <x:c r="K91" s="373"/>
      <x:c r="L91" s="373"/>
      <x:c r="M91" s="373"/>
      <x:c r="N91" s="373"/>
      <x:c r="O91" s="373"/>
      <x:c r="P91" s="373"/>
      <x:c r="Q91" s="373"/>
      <x:c r="R91" s="373"/>
      <x:c r="S91" s="373"/>
      <x:c r="T91" s="373"/>
      <x:c r="U91" s="373"/>
      <x:c r="V91" s="373"/>
      <x:c r="W91" s="373"/>
      <x:c r="X91" s="373"/>
      <x:c r="Y91" s="373"/>
      <x:c r="Z91" s="373"/>
    </x:row>
    <x:row r="92">
      <x:c r="A92" s="373"/>
      <x:c r="B92" s="373"/>
      <x:c r="C92" s="373"/>
      <x:c r="D92" s="373"/>
      <x:c r="E92" s="373"/>
      <x:c r="F92" s="373"/>
      <x:c r="G92" s="373"/>
      <x:c r="H92" s="373"/>
      <x:c r="I92" s="373"/>
      <x:c r="J92" s="373"/>
      <x:c r="K92" s="373"/>
      <x:c r="L92" s="373"/>
      <x:c r="M92" s="373"/>
      <x:c r="N92" s="373"/>
      <x:c r="O92" s="373"/>
      <x:c r="P92" s="373"/>
      <x:c r="Q92" s="373"/>
      <x:c r="R92" s="373"/>
      <x:c r="S92" s="373"/>
      <x:c r="T92" s="373"/>
      <x:c r="U92" s="373"/>
      <x:c r="V92" s="373"/>
      <x:c r="W92" s="373"/>
      <x:c r="X92" s="373"/>
      <x:c r="Y92" s="373"/>
      <x:c r="Z92" s="373"/>
    </x:row>
    <x:row r="93">
      <x:c r="A93" s="373"/>
      <x:c r="B93" s="373"/>
      <x:c r="C93" s="373"/>
      <x:c r="D93" s="373"/>
      <x:c r="E93" s="373"/>
      <x:c r="F93" s="373"/>
      <x:c r="G93" s="373"/>
      <x:c r="H93" s="373"/>
      <x:c r="I93" s="373"/>
      <x:c r="J93" s="373"/>
      <x:c r="K93" s="373"/>
      <x:c r="L93" s="373"/>
      <x:c r="M93" s="373"/>
      <x:c r="N93" s="373"/>
      <x:c r="O93" s="373"/>
      <x:c r="P93" s="373"/>
      <x:c r="Q93" s="373"/>
      <x:c r="R93" s="373"/>
      <x:c r="S93" s="373"/>
      <x:c r="T93" s="373"/>
      <x:c r="U93" s="373"/>
      <x:c r="V93" s="373"/>
      <x:c r="W93" s="373"/>
      <x:c r="X93" s="373"/>
      <x:c r="Y93" s="373"/>
      <x:c r="Z93" s="373"/>
    </x:row>
    <x:row r="94">
      <x:c r="A94" s="373"/>
      <x:c r="B94" s="373"/>
      <x:c r="C94" s="373"/>
      <x:c r="D94" s="373"/>
      <x:c r="E94" s="373"/>
      <x:c r="F94" s="373"/>
      <x:c r="G94" s="373"/>
      <x:c r="H94" s="373"/>
      <x:c r="I94" s="373"/>
      <x:c r="J94" s="373"/>
      <x:c r="K94" s="373"/>
      <x:c r="L94" s="373"/>
      <x:c r="M94" s="373"/>
      <x:c r="N94" s="373"/>
      <x:c r="O94" s="373"/>
      <x:c r="P94" s="373"/>
      <x:c r="Q94" s="373"/>
      <x:c r="R94" s="373"/>
      <x:c r="S94" s="373"/>
      <x:c r="T94" s="373"/>
      <x:c r="U94" s="373"/>
      <x:c r="V94" s="373"/>
      <x:c r="W94" s="373"/>
      <x:c r="X94" s="373"/>
      <x:c r="Y94" s="373"/>
      <x:c r="Z94" s="373"/>
    </x:row>
    <x:row r="95">
      <x:c r="A95" s="373"/>
      <x:c r="B95" s="373"/>
      <x:c r="C95" s="373"/>
      <x:c r="D95" s="373"/>
      <x:c r="E95" s="373"/>
      <x:c r="F95" s="373"/>
      <x:c r="G95" s="373"/>
      <x:c r="H95" s="373"/>
      <x:c r="I95" s="373"/>
      <x:c r="J95" s="373"/>
      <x:c r="K95" s="373"/>
      <x:c r="L95" s="373"/>
      <x:c r="M95" s="373"/>
      <x:c r="N95" s="373"/>
      <x:c r="O95" s="373"/>
      <x:c r="P95" s="373"/>
      <x:c r="Q95" s="373"/>
      <x:c r="R95" s="373"/>
      <x:c r="S95" s="373"/>
      <x:c r="T95" s="373"/>
      <x:c r="U95" s="373"/>
      <x:c r="V95" s="373"/>
      <x:c r="W95" s="373"/>
      <x:c r="X95" s="373"/>
      <x:c r="Y95" s="373"/>
      <x:c r="Z95" s="373"/>
    </x:row>
    <x:row r="96">
      <x:c r="A96" s="373"/>
      <x:c r="B96" s="373"/>
      <x:c r="C96" s="373"/>
      <x:c r="D96" s="373"/>
      <x:c r="E96" s="373"/>
      <x:c r="F96" s="373"/>
      <x:c r="G96" s="373"/>
      <x:c r="H96" s="373"/>
      <x:c r="I96" s="373"/>
      <x:c r="J96" s="373"/>
      <x:c r="K96" s="373"/>
      <x:c r="L96" s="373"/>
      <x:c r="M96" s="373"/>
      <x:c r="N96" s="373"/>
      <x:c r="O96" s="373"/>
      <x:c r="P96" s="373"/>
      <x:c r="Q96" s="373"/>
      <x:c r="R96" s="373"/>
      <x:c r="S96" s="373"/>
      <x:c r="T96" s="373"/>
      <x:c r="U96" s="373"/>
      <x:c r="V96" s="373"/>
      <x:c r="W96" s="373"/>
      <x:c r="X96" s="373"/>
      <x:c r="Y96" s="373"/>
      <x:c r="Z96" s="373"/>
    </x:row>
    <x:row r="97">
      <x:c r="A97" s="373"/>
      <x:c r="B97" s="373"/>
      <x:c r="C97" s="373"/>
      <x:c r="D97" s="373"/>
      <x:c r="E97" s="373"/>
      <x:c r="F97" s="373"/>
      <x:c r="G97" s="373"/>
      <x:c r="H97" s="373"/>
      <x:c r="I97" s="373"/>
      <x:c r="J97" s="373"/>
      <x:c r="K97" s="373"/>
      <x:c r="L97" s="373"/>
      <x:c r="M97" s="373"/>
      <x:c r="N97" s="373"/>
      <x:c r="O97" s="373"/>
      <x:c r="P97" s="373"/>
      <x:c r="Q97" s="373"/>
      <x:c r="R97" s="373"/>
      <x:c r="S97" s="373"/>
      <x:c r="T97" s="373"/>
      <x:c r="U97" s="373"/>
      <x:c r="V97" s="373"/>
      <x:c r="W97" s="373"/>
      <x:c r="X97" s="373"/>
      <x:c r="Y97" s="373"/>
      <x:c r="Z97" s="373"/>
    </x:row>
    <x:row r="98">
      <x:c r="A98" s="373"/>
      <x:c r="B98" s="373"/>
      <x:c r="C98" s="373"/>
      <x:c r="D98" s="373"/>
      <x:c r="E98" s="373"/>
      <x:c r="F98" s="373"/>
      <x:c r="G98" s="373"/>
      <x:c r="H98" s="373"/>
      <x:c r="I98" s="373"/>
      <x:c r="J98" s="373"/>
      <x:c r="K98" s="373"/>
      <x:c r="L98" s="373"/>
      <x:c r="M98" s="373"/>
      <x:c r="N98" s="373"/>
      <x:c r="O98" s="373"/>
      <x:c r="P98" s="373"/>
      <x:c r="Q98" s="373"/>
      <x:c r="R98" s="373"/>
      <x:c r="S98" s="373"/>
      <x:c r="T98" s="373"/>
      <x:c r="U98" s="373"/>
      <x:c r="V98" s="373"/>
      <x:c r="W98" s="373"/>
      <x:c r="X98" s="373"/>
      <x:c r="Y98" s="373"/>
      <x:c r="Z98" s="373"/>
    </x:row>
    <x:row r="99">
      <x:c r="A99" s="373"/>
      <x:c r="B99" s="373"/>
      <x:c r="C99" s="373"/>
      <x:c r="D99" s="373"/>
      <x:c r="E99" s="373"/>
      <x:c r="F99" s="373"/>
      <x:c r="G99" s="373"/>
      <x:c r="H99" s="373"/>
      <x:c r="I99" s="373"/>
      <x:c r="J99" s="373"/>
      <x:c r="K99" s="373"/>
      <x:c r="L99" s="373"/>
      <x:c r="M99" s="373"/>
      <x:c r="N99" s="373"/>
      <x:c r="O99" s="373"/>
      <x:c r="P99" s="373"/>
      <x:c r="Q99" s="373"/>
      <x:c r="R99" s="373"/>
      <x:c r="S99" s="373"/>
      <x:c r="T99" s="373"/>
      <x:c r="U99" s="373"/>
      <x:c r="V99" s="373"/>
      <x:c r="W99" s="373"/>
      <x:c r="X99" s="373"/>
      <x:c r="Y99" s="373"/>
      <x:c r="Z99" s="373"/>
    </x:row>
    <x:row r="100">
      <x:c r="A100" s="373"/>
      <x:c r="B100" s="373"/>
      <x:c r="C100" s="373"/>
      <x:c r="D100" s="373"/>
      <x:c r="E100" s="373"/>
      <x:c r="F100" s="373"/>
      <x:c r="G100" s="373"/>
      <x:c r="H100" s="373"/>
      <x:c r="I100" s="373"/>
      <x:c r="J100" s="373"/>
      <x:c r="K100" s="373"/>
      <x:c r="L100" s="373"/>
      <x:c r="M100" s="373"/>
      <x:c r="N100" s="373"/>
      <x:c r="O100" s="373"/>
      <x:c r="P100" s="373"/>
      <x:c r="Q100" s="373"/>
      <x:c r="R100" s="373"/>
      <x:c r="S100" s="373"/>
      <x:c r="T100" s="373"/>
      <x:c r="U100" s="373"/>
      <x:c r="V100" s="373"/>
      <x:c r="W100" s="373"/>
      <x:c r="X100" s="373"/>
      <x:c r="Y100" s="373"/>
      <x:c r="Z100" s="373"/>
    </x:row>
    <x:row r="101">
      <x:c r="A101" s="373"/>
      <x:c r="B101" s="373"/>
      <x:c r="C101" s="373"/>
      <x:c r="D101" s="373"/>
      <x:c r="E101" s="373"/>
      <x:c r="F101" s="373"/>
      <x:c r="G101" s="373"/>
      <x:c r="H101" s="373"/>
      <x:c r="I101" s="373"/>
      <x:c r="J101" s="373"/>
      <x:c r="K101" s="373"/>
      <x:c r="L101" s="373"/>
      <x:c r="M101" s="373"/>
      <x:c r="N101" s="373"/>
      <x:c r="O101" s="373"/>
      <x:c r="P101" s="373"/>
      <x:c r="Q101" s="373"/>
      <x:c r="R101" s="373"/>
      <x:c r="S101" s="373"/>
      <x:c r="T101" s="373"/>
      <x:c r="U101" s="373"/>
      <x:c r="V101" s="373"/>
      <x:c r="W101" s="373"/>
      <x:c r="X101" s="373"/>
      <x:c r="Y101" s="373"/>
      <x:c r="Z101" s="373"/>
    </x:row>
    <x:row r="102">
      <x:c r="A102" s="373"/>
      <x:c r="B102" s="373"/>
      <x:c r="C102" s="373"/>
      <x:c r="D102" s="373"/>
      <x:c r="E102" s="373"/>
      <x:c r="F102" s="373"/>
      <x:c r="G102" s="373"/>
      <x:c r="H102" s="373"/>
      <x:c r="I102" s="373"/>
      <x:c r="J102" s="373"/>
      <x:c r="K102" s="373"/>
      <x:c r="L102" s="373"/>
      <x:c r="M102" s="373"/>
      <x:c r="N102" s="373"/>
      <x:c r="O102" s="373"/>
      <x:c r="P102" s="373"/>
      <x:c r="Q102" s="373"/>
      <x:c r="R102" s="373"/>
      <x:c r="S102" s="373"/>
      <x:c r="T102" s="373"/>
      <x:c r="U102" s="373"/>
      <x:c r="V102" s="373"/>
      <x:c r="W102" s="373"/>
      <x:c r="X102" s="373"/>
      <x:c r="Y102" s="373"/>
      <x:c r="Z102" s="373"/>
    </x:row>
    <x:row r="103">
      <x:c r="A103" s="373"/>
      <x:c r="B103" s="373"/>
      <x:c r="C103" s="373"/>
      <x:c r="D103" s="373"/>
      <x:c r="E103" s="373"/>
      <x:c r="F103" s="373"/>
      <x:c r="G103" s="373"/>
      <x:c r="H103" s="373"/>
      <x:c r="I103" s="373"/>
      <x:c r="J103" s="373"/>
      <x:c r="K103" s="373"/>
      <x:c r="L103" s="373"/>
      <x:c r="M103" s="373"/>
      <x:c r="N103" s="373"/>
      <x:c r="O103" s="373"/>
      <x:c r="P103" s="373"/>
      <x:c r="Q103" s="373"/>
      <x:c r="R103" s="373"/>
      <x:c r="S103" s="373"/>
      <x:c r="T103" s="373"/>
      <x:c r="U103" s="373"/>
      <x:c r="V103" s="373"/>
      <x:c r="W103" s="373"/>
      <x:c r="X103" s="373"/>
      <x:c r="Y103" s="373"/>
      <x:c r="Z103" s="373"/>
    </x:row>
    <x:row r="104">
      <x:c r="A104" s="373"/>
      <x:c r="B104" s="373"/>
      <x:c r="C104" s="373"/>
      <x:c r="D104" s="373"/>
      <x:c r="E104" s="373"/>
      <x:c r="F104" s="373"/>
      <x:c r="G104" s="373"/>
      <x:c r="H104" s="373"/>
      <x:c r="I104" s="373"/>
      <x:c r="J104" s="373"/>
      <x:c r="K104" s="373"/>
      <x:c r="L104" s="373"/>
      <x:c r="M104" s="373"/>
      <x:c r="N104" s="373"/>
      <x:c r="O104" s="373"/>
      <x:c r="P104" s="373"/>
      <x:c r="Q104" s="373"/>
      <x:c r="R104" s="373"/>
      <x:c r="S104" s="373"/>
      <x:c r="T104" s="373"/>
      <x:c r="U104" s="373"/>
      <x:c r="V104" s="373"/>
      <x:c r="W104" s="373"/>
      <x:c r="X104" s="373"/>
      <x:c r="Y104" s="373"/>
      <x:c r="Z104" s="373"/>
    </x:row>
    <x:row r="105">
      <x:c r="A105" s="373"/>
      <x:c r="B105" s="373"/>
      <x:c r="C105" s="373"/>
      <x:c r="D105" s="373"/>
      <x:c r="E105" s="373"/>
      <x:c r="F105" s="373"/>
      <x:c r="G105" s="373"/>
      <x:c r="H105" s="373"/>
      <x:c r="I105" s="373"/>
      <x:c r="J105" s="373"/>
      <x:c r="K105" s="373"/>
      <x:c r="L105" s="373"/>
      <x:c r="M105" s="373"/>
      <x:c r="N105" s="373"/>
      <x:c r="O105" s="373"/>
      <x:c r="P105" s="373"/>
      <x:c r="Q105" s="373"/>
      <x:c r="R105" s="373"/>
      <x:c r="S105" s="373"/>
      <x:c r="T105" s="373"/>
      <x:c r="U105" s="373"/>
      <x:c r="V105" s="373"/>
      <x:c r="W105" s="373"/>
      <x:c r="X105" s="373"/>
      <x:c r="Y105" s="373"/>
      <x:c r="Z105" s="373"/>
    </x:row>
    <x:row r="106">
      <x:c r="A106" s="373"/>
      <x:c r="B106" s="373"/>
      <x:c r="C106" s="373"/>
      <x:c r="D106" s="373"/>
      <x:c r="E106" s="373"/>
      <x:c r="F106" s="373"/>
      <x:c r="G106" s="373"/>
      <x:c r="H106" s="373"/>
      <x:c r="I106" s="373"/>
      <x:c r="J106" s="373"/>
      <x:c r="K106" s="373"/>
      <x:c r="L106" s="373"/>
      <x:c r="M106" s="373"/>
      <x:c r="N106" s="373"/>
      <x:c r="O106" s="373"/>
      <x:c r="P106" s="373"/>
      <x:c r="Q106" s="373"/>
      <x:c r="R106" s="373"/>
      <x:c r="S106" s="373"/>
      <x:c r="T106" s="373"/>
      <x:c r="U106" s="373"/>
      <x:c r="V106" s="373"/>
      <x:c r="W106" s="373"/>
      <x:c r="X106" s="373"/>
      <x:c r="Y106" s="373"/>
      <x:c r="Z106" s="373"/>
    </x:row>
    <x:row r="107">
      <x:c r="A107" s="373"/>
      <x:c r="B107" s="373"/>
      <x:c r="C107" s="373"/>
      <x:c r="D107" s="373"/>
      <x:c r="E107" s="373"/>
      <x:c r="F107" s="373"/>
      <x:c r="G107" s="373"/>
      <x:c r="H107" s="373"/>
      <x:c r="I107" s="373"/>
      <x:c r="J107" s="373"/>
      <x:c r="K107" s="373"/>
      <x:c r="L107" s="373"/>
      <x:c r="M107" s="373"/>
      <x:c r="N107" s="373"/>
      <x:c r="O107" s="373"/>
      <x:c r="P107" s="373"/>
      <x:c r="Q107" s="373"/>
      <x:c r="R107" s="373"/>
      <x:c r="S107" s="373"/>
      <x:c r="T107" s="373"/>
      <x:c r="U107" s="373"/>
      <x:c r="V107" s="373"/>
      <x:c r="W107" s="373"/>
      <x:c r="X107" s="373"/>
      <x:c r="Y107" s="373"/>
      <x:c r="Z107" s="373"/>
    </x:row>
    <x:row r="108">
      <x:c r="A108" s="373"/>
      <x:c r="B108" s="373"/>
      <x:c r="C108" s="373"/>
      <x:c r="D108" s="373"/>
      <x:c r="E108" s="373"/>
      <x:c r="F108" s="373"/>
      <x:c r="G108" s="373"/>
      <x:c r="H108" s="373"/>
      <x:c r="I108" s="373"/>
      <x:c r="J108" s="373"/>
      <x:c r="K108" s="373"/>
      <x:c r="L108" s="373"/>
      <x:c r="M108" s="373"/>
      <x:c r="N108" s="373"/>
      <x:c r="O108" s="373"/>
      <x:c r="P108" s="373"/>
      <x:c r="Q108" s="373"/>
      <x:c r="R108" s="373"/>
      <x:c r="S108" s="373"/>
      <x:c r="T108" s="373"/>
      <x:c r="U108" s="373"/>
      <x:c r="V108" s="373"/>
      <x:c r="W108" s="373"/>
      <x:c r="X108" s="373"/>
      <x:c r="Y108" s="373"/>
      <x:c r="Z108" s="373"/>
    </x:row>
    <x:row r="109">
      <x:c r="A109" s="373"/>
      <x:c r="B109" s="373"/>
      <x:c r="C109" s="373"/>
      <x:c r="D109" s="373"/>
      <x:c r="E109" s="373"/>
      <x:c r="F109" s="373"/>
      <x:c r="G109" s="373"/>
      <x:c r="H109" s="373"/>
      <x:c r="I109" s="373"/>
      <x:c r="J109" s="373"/>
      <x:c r="K109" s="373"/>
      <x:c r="L109" s="373"/>
      <x:c r="M109" s="373"/>
      <x:c r="N109" s="373"/>
      <x:c r="O109" s="373"/>
      <x:c r="P109" s="373"/>
      <x:c r="Q109" s="373"/>
      <x:c r="R109" s="373"/>
      <x:c r="S109" s="373"/>
      <x:c r="T109" s="373"/>
      <x:c r="U109" s="373"/>
      <x:c r="V109" s="373"/>
      <x:c r="W109" s="373"/>
      <x:c r="X109" s="373"/>
      <x:c r="Y109" s="373"/>
      <x:c r="Z109" s="373"/>
    </x:row>
    <x:row r="110">
      <x:c r="A110" s="373"/>
      <x:c r="B110" s="373"/>
      <x:c r="C110" s="373"/>
      <x:c r="D110" s="373"/>
      <x:c r="E110" s="373"/>
      <x:c r="F110" s="373"/>
      <x:c r="G110" s="373"/>
      <x:c r="H110" s="373"/>
      <x:c r="I110" s="373"/>
      <x:c r="J110" s="373"/>
      <x:c r="K110" s="373"/>
      <x:c r="L110" s="373"/>
      <x:c r="M110" s="373"/>
      <x:c r="N110" s="373"/>
      <x:c r="O110" s="373"/>
      <x:c r="P110" s="373"/>
      <x:c r="Q110" s="373"/>
      <x:c r="R110" s="373"/>
      <x:c r="S110" s="373"/>
      <x:c r="T110" s="373"/>
      <x:c r="U110" s="373"/>
      <x:c r="V110" s="373"/>
      <x:c r="W110" s="373"/>
      <x:c r="X110" s="373"/>
      <x:c r="Y110" s="373"/>
      <x:c r="Z110" s="373"/>
    </x:row>
    <x:row r="111">
      <x:c r="A111" s="373"/>
      <x:c r="B111" s="373"/>
      <x:c r="C111" s="373"/>
      <x:c r="D111" s="373"/>
      <x:c r="E111" s="373"/>
      <x:c r="F111" s="373"/>
      <x:c r="G111" s="373"/>
      <x:c r="H111" s="373"/>
      <x:c r="I111" s="373"/>
      <x:c r="J111" s="373"/>
      <x:c r="K111" s="373"/>
      <x:c r="L111" s="373"/>
      <x:c r="M111" s="373"/>
      <x:c r="N111" s="373"/>
      <x:c r="O111" s="373"/>
      <x:c r="P111" s="373"/>
      <x:c r="Q111" s="373"/>
      <x:c r="R111" s="373"/>
      <x:c r="S111" s="373"/>
      <x:c r="T111" s="373"/>
      <x:c r="U111" s="373"/>
      <x:c r="V111" s="373"/>
      <x:c r="W111" s="373"/>
      <x:c r="X111" s="373"/>
      <x:c r="Y111" s="373"/>
      <x:c r="Z111" s="373"/>
    </x:row>
    <x:row r="112">
      <x:c r="A112" s="373"/>
      <x:c r="B112" s="373"/>
      <x:c r="C112" s="373"/>
      <x:c r="D112" s="373"/>
      <x:c r="E112" s="373"/>
      <x:c r="F112" s="373"/>
      <x:c r="G112" s="373"/>
      <x:c r="H112" s="373"/>
      <x:c r="I112" s="373"/>
      <x:c r="J112" s="373"/>
      <x:c r="K112" s="373"/>
      <x:c r="L112" s="373"/>
      <x:c r="M112" s="373"/>
      <x:c r="N112" s="373"/>
      <x:c r="O112" s="373"/>
      <x:c r="P112" s="373"/>
      <x:c r="Q112" s="373"/>
      <x:c r="R112" s="373"/>
      <x:c r="S112" s="373"/>
      <x:c r="T112" s="373"/>
      <x:c r="U112" s="373"/>
      <x:c r="V112" s="373"/>
      <x:c r="W112" s="373"/>
      <x:c r="X112" s="373"/>
      <x:c r="Y112" s="373"/>
      <x:c r="Z112" s="373"/>
    </x:row>
    <x:row r="113">
      <x:c r="A113" s="373"/>
      <x:c r="B113" s="373"/>
      <x:c r="C113" s="373"/>
      <x:c r="D113" s="373"/>
      <x:c r="E113" s="373"/>
      <x:c r="F113" s="373"/>
      <x:c r="G113" s="373"/>
      <x:c r="H113" s="373"/>
      <x:c r="I113" s="373"/>
      <x:c r="J113" s="373"/>
      <x:c r="K113" s="373"/>
      <x:c r="L113" s="373"/>
      <x:c r="M113" s="373"/>
      <x:c r="N113" s="373"/>
      <x:c r="O113" s="373"/>
      <x:c r="P113" s="373"/>
      <x:c r="Q113" s="373"/>
      <x:c r="R113" s="373"/>
      <x:c r="S113" s="373"/>
      <x:c r="T113" s="373"/>
      <x:c r="U113" s="373"/>
      <x:c r="V113" s="373"/>
      <x:c r="W113" s="373"/>
      <x:c r="X113" s="373"/>
      <x:c r="Y113" s="373"/>
      <x:c r="Z113" s="373"/>
    </x:row>
    <x:row r="114">
      <x:c r="A114" s="373"/>
      <x:c r="B114" s="373"/>
      <x:c r="C114" s="373"/>
      <x:c r="D114" s="373"/>
      <x:c r="E114" s="373"/>
      <x:c r="F114" s="373"/>
      <x:c r="G114" s="373"/>
      <x:c r="H114" s="373"/>
      <x:c r="I114" s="373"/>
      <x:c r="J114" s="373"/>
      <x:c r="K114" s="373"/>
      <x:c r="L114" s="373"/>
      <x:c r="M114" s="373"/>
      <x:c r="N114" s="373"/>
      <x:c r="O114" s="373"/>
      <x:c r="P114" s="373"/>
      <x:c r="Q114" s="373"/>
      <x:c r="R114" s="373"/>
      <x:c r="S114" s="373"/>
      <x:c r="T114" s="373"/>
      <x:c r="U114" s="373"/>
      <x:c r="V114" s="373"/>
      <x:c r="W114" s="373"/>
      <x:c r="X114" s="373"/>
      <x:c r="Y114" s="373"/>
      <x:c r="Z114" s="373"/>
    </x:row>
    <x:row r="115">
      <x:c r="A115" s="373"/>
      <x:c r="B115" s="373"/>
      <x:c r="C115" s="373"/>
      <x:c r="D115" s="373"/>
      <x:c r="E115" s="373"/>
      <x:c r="F115" s="373"/>
      <x:c r="G115" s="373"/>
      <x:c r="H115" s="373"/>
      <x:c r="I115" s="373"/>
      <x:c r="J115" s="373"/>
      <x:c r="K115" s="373"/>
      <x:c r="L115" s="373"/>
      <x:c r="M115" s="373"/>
      <x:c r="N115" s="373"/>
      <x:c r="O115" s="373"/>
      <x:c r="P115" s="373"/>
      <x:c r="Q115" s="373"/>
      <x:c r="R115" s="373"/>
      <x:c r="S115" s="373"/>
      <x:c r="T115" s="373"/>
      <x:c r="U115" s="373"/>
      <x:c r="V115" s="373"/>
      <x:c r="W115" s="373"/>
      <x:c r="X115" s="373"/>
      <x:c r="Y115" s="373"/>
      <x:c r="Z115" s="373"/>
    </x:row>
    <x:row r="116">
      <x:c r="A116" s="373"/>
      <x:c r="B116" s="373"/>
      <x:c r="C116" s="373"/>
      <x:c r="D116" s="373"/>
      <x:c r="E116" s="373"/>
      <x:c r="F116" s="373"/>
      <x:c r="G116" s="373"/>
      <x:c r="H116" s="373"/>
      <x:c r="I116" s="373"/>
      <x:c r="J116" s="373"/>
      <x:c r="K116" s="373"/>
      <x:c r="L116" s="373"/>
      <x:c r="M116" s="373"/>
      <x:c r="N116" s="373"/>
      <x:c r="O116" s="373"/>
      <x:c r="P116" s="373"/>
      <x:c r="Q116" s="373"/>
      <x:c r="R116" s="373"/>
      <x:c r="S116" s="373"/>
      <x:c r="T116" s="373"/>
      <x:c r="U116" s="373"/>
      <x:c r="V116" s="373"/>
      <x:c r="W116" s="373"/>
      <x:c r="X116" s="373"/>
      <x:c r="Y116" s="373"/>
      <x:c r="Z116" s="373"/>
    </x:row>
    <x:row r="117">
      <x:c r="A117" s="373"/>
      <x:c r="B117" s="373"/>
      <x:c r="C117" s="373"/>
      <x:c r="D117" s="373"/>
      <x:c r="E117" s="373"/>
      <x:c r="F117" s="373"/>
      <x:c r="G117" s="373"/>
      <x:c r="H117" s="373"/>
      <x:c r="I117" s="373"/>
      <x:c r="J117" s="373"/>
      <x:c r="K117" s="373"/>
      <x:c r="L117" s="373"/>
      <x:c r="M117" s="373"/>
      <x:c r="N117" s="373"/>
      <x:c r="O117" s="373"/>
      <x:c r="P117" s="373"/>
      <x:c r="Q117" s="373"/>
      <x:c r="R117" s="373"/>
      <x:c r="S117" s="373"/>
      <x:c r="T117" s="373"/>
      <x:c r="U117" s="373"/>
      <x:c r="V117" s="373"/>
      <x:c r="W117" s="373"/>
      <x:c r="X117" s="373"/>
      <x:c r="Y117" s="373"/>
      <x:c r="Z117" s="373"/>
    </x:row>
    <x:row r="118">
      <x:c r="A118" s="373"/>
      <x:c r="B118" s="373"/>
      <x:c r="C118" s="373"/>
      <x:c r="D118" s="373"/>
      <x:c r="E118" s="373"/>
      <x:c r="F118" s="373"/>
      <x:c r="G118" s="373"/>
      <x:c r="H118" s="373"/>
      <x:c r="I118" s="373"/>
      <x:c r="J118" s="373"/>
      <x:c r="K118" s="373"/>
      <x:c r="L118" s="373"/>
      <x:c r="M118" s="373"/>
      <x:c r="N118" s="373"/>
      <x:c r="O118" s="373"/>
      <x:c r="P118" s="373"/>
      <x:c r="Q118" s="373"/>
      <x:c r="R118" s="373"/>
      <x:c r="S118" s="373"/>
      <x:c r="T118" s="373"/>
      <x:c r="U118" s="373"/>
      <x:c r="V118" s="373"/>
      <x:c r="W118" s="373"/>
      <x:c r="X118" s="373"/>
      <x:c r="Y118" s="373"/>
      <x:c r="Z118" s="373"/>
    </x:row>
    <x:row r="119">
      <x:c r="A119" s="373"/>
      <x:c r="B119" s="373"/>
      <x:c r="C119" s="373"/>
      <x:c r="D119" s="373"/>
      <x:c r="E119" s="373"/>
      <x:c r="F119" s="373"/>
      <x:c r="G119" s="373"/>
      <x:c r="H119" s="373"/>
      <x:c r="I119" s="373"/>
      <x:c r="J119" s="373"/>
      <x:c r="K119" s="373"/>
      <x:c r="L119" s="373"/>
      <x:c r="M119" s="373"/>
      <x:c r="N119" s="373"/>
      <x:c r="O119" s="373"/>
      <x:c r="P119" s="373"/>
      <x:c r="Q119" s="373"/>
      <x:c r="R119" s="373"/>
      <x:c r="S119" s="373"/>
      <x:c r="T119" s="373"/>
      <x:c r="U119" s="373"/>
      <x:c r="V119" s="373"/>
      <x:c r="W119" s="373"/>
      <x:c r="X119" s="373"/>
      <x:c r="Y119" s="373"/>
      <x:c r="Z119" s="373"/>
    </x:row>
    <x:row r="120">
      <x:c r="A120" s="373"/>
      <x:c r="B120" s="373"/>
      <x:c r="C120" s="373"/>
      <x:c r="D120" s="373"/>
      <x:c r="E120" s="373"/>
      <x:c r="F120" s="373"/>
      <x:c r="G120" s="373"/>
      <x:c r="H120" s="373"/>
      <x:c r="I120" s="373"/>
      <x:c r="J120" s="373"/>
      <x:c r="K120" s="373"/>
      <x:c r="L120" s="373"/>
      <x:c r="M120" s="373"/>
      <x:c r="N120" s="373"/>
      <x:c r="O120" s="373"/>
      <x:c r="P120" s="373"/>
      <x:c r="Q120" s="373"/>
      <x:c r="R120" s="373"/>
      <x:c r="S120" s="373"/>
      <x:c r="T120" s="373"/>
      <x:c r="U120" s="373"/>
      <x:c r="V120" s="373"/>
      <x:c r="W120" s="373"/>
      <x:c r="X120" s="373"/>
      <x:c r="Y120" s="373"/>
      <x:c r="Z120" s="373"/>
    </x:row>
    <x:row r="121">
      <x:c r="A121" s="373"/>
      <x:c r="B121" s="373"/>
      <x:c r="C121" s="373"/>
      <x:c r="D121" s="373"/>
      <x:c r="E121" s="373"/>
      <x:c r="F121" s="373"/>
      <x:c r="G121" s="373"/>
      <x:c r="H121" s="373"/>
      <x:c r="I121" s="373"/>
      <x:c r="J121" s="373"/>
      <x:c r="K121" s="373"/>
      <x:c r="L121" s="373"/>
      <x:c r="M121" s="373"/>
      <x:c r="N121" s="373"/>
      <x:c r="O121" s="373"/>
      <x:c r="P121" s="373"/>
      <x:c r="Q121" s="373"/>
      <x:c r="R121" s="373"/>
      <x:c r="S121" s="373"/>
      <x:c r="T121" s="373"/>
      <x:c r="U121" s="373"/>
      <x:c r="V121" s="373"/>
      <x:c r="W121" s="373"/>
      <x:c r="X121" s="373"/>
      <x:c r="Y121" s="373"/>
      <x:c r="Z121" s="373"/>
    </x:row>
    <x:row r="122">
      <x:c r="A122" s="373"/>
      <x:c r="B122" s="373"/>
      <x:c r="C122" s="373"/>
      <x:c r="D122" s="373"/>
      <x:c r="E122" s="373"/>
      <x:c r="F122" s="373"/>
      <x:c r="G122" s="373"/>
      <x:c r="H122" s="373"/>
      <x:c r="I122" s="373"/>
      <x:c r="J122" s="373"/>
      <x:c r="K122" s="373"/>
      <x:c r="L122" s="373"/>
      <x:c r="M122" s="373"/>
      <x:c r="N122" s="373"/>
      <x:c r="O122" s="373"/>
      <x:c r="P122" s="373"/>
      <x:c r="Q122" s="373"/>
      <x:c r="R122" s="373"/>
      <x:c r="S122" s="373"/>
      <x:c r="T122" s="373"/>
      <x:c r="U122" s="373"/>
      <x:c r="V122" s="373"/>
      <x:c r="W122" s="373"/>
      <x:c r="X122" s="373"/>
      <x:c r="Y122" s="373"/>
      <x:c r="Z122" s="373"/>
    </x:row>
    <x:row r="123">
      <x:c r="A123" s="373"/>
      <x:c r="B123" s="373"/>
      <x:c r="C123" s="373"/>
      <x:c r="D123" s="373"/>
      <x:c r="E123" s="373"/>
      <x:c r="F123" s="373"/>
      <x:c r="G123" s="373"/>
      <x:c r="H123" s="373"/>
      <x:c r="I123" s="373"/>
      <x:c r="J123" s="373"/>
      <x:c r="K123" s="373"/>
      <x:c r="L123" s="373"/>
      <x:c r="M123" s="373"/>
      <x:c r="N123" s="373"/>
      <x:c r="O123" s="373"/>
      <x:c r="P123" s="373"/>
      <x:c r="Q123" s="373"/>
      <x:c r="R123" s="373"/>
      <x:c r="S123" s="373"/>
      <x:c r="T123" s="373"/>
      <x:c r="U123" s="373"/>
      <x:c r="V123" s="373"/>
      <x:c r="W123" s="373"/>
      <x:c r="X123" s="373"/>
      <x:c r="Y123" s="373"/>
      <x:c r="Z123" s="373"/>
    </x:row>
    <x:row r="124">
      <x:c r="A124" s="373"/>
      <x:c r="B124" s="373"/>
      <x:c r="C124" s="373"/>
      <x:c r="D124" s="373"/>
      <x:c r="E124" s="373"/>
      <x:c r="F124" s="373"/>
      <x:c r="G124" s="373"/>
      <x:c r="H124" s="373"/>
      <x:c r="I124" s="373"/>
      <x:c r="J124" s="373"/>
      <x:c r="K124" s="373"/>
      <x:c r="L124" s="373"/>
      <x:c r="M124" s="373"/>
      <x:c r="N124" s="373"/>
      <x:c r="O124" s="373"/>
      <x:c r="P124" s="373"/>
      <x:c r="Q124" s="373"/>
      <x:c r="R124" s="373"/>
      <x:c r="S124" s="373"/>
      <x:c r="T124" s="373"/>
      <x:c r="U124" s="373"/>
      <x:c r="V124" s="373"/>
      <x:c r="W124" s="373"/>
      <x:c r="X124" s="373"/>
      <x:c r="Y124" s="373"/>
      <x:c r="Z124" s="373"/>
    </x:row>
    <x:row r="125">
      <x:c r="A125" s="373"/>
      <x:c r="B125" s="373"/>
      <x:c r="C125" s="373"/>
      <x:c r="D125" s="373"/>
      <x:c r="E125" s="373"/>
      <x:c r="F125" s="373"/>
      <x:c r="G125" s="373"/>
      <x:c r="H125" s="373"/>
      <x:c r="I125" s="373"/>
      <x:c r="J125" s="373"/>
      <x:c r="K125" s="373"/>
      <x:c r="L125" s="373"/>
      <x:c r="M125" s="373"/>
      <x:c r="N125" s="373"/>
      <x:c r="O125" s="373"/>
      <x:c r="P125" s="373"/>
      <x:c r="Q125" s="373"/>
      <x:c r="R125" s="373"/>
      <x:c r="S125" s="373"/>
      <x:c r="T125" s="373"/>
      <x:c r="U125" s="373"/>
      <x:c r="V125" s="373"/>
      <x:c r="W125" s="373"/>
      <x:c r="X125" s="373"/>
      <x:c r="Y125" s="373"/>
      <x:c r="Z125" s="373"/>
    </x:row>
    <x:row r="126">
      <x:c r="A126" s="373"/>
      <x:c r="B126" s="373"/>
      <x:c r="C126" s="373"/>
      <x:c r="D126" s="373"/>
      <x:c r="E126" s="373"/>
      <x:c r="F126" s="373"/>
      <x:c r="G126" s="373"/>
      <x:c r="H126" s="373"/>
      <x:c r="I126" s="373"/>
      <x:c r="J126" s="373"/>
      <x:c r="K126" s="373"/>
      <x:c r="L126" s="373"/>
      <x:c r="M126" s="373"/>
      <x:c r="N126" s="373"/>
      <x:c r="O126" s="373"/>
      <x:c r="P126" s="373"/>
      <x:c r="Q126" s="373"/>
      <x:c r="R126" s="373"/>
      <x:c r="S126" s="373"/>
      <x:c r="T126" s="373"/>
      <x:c r="U126" s="373"/>
      <x:c r="V126" s="373"/>
      <x:c r="W126" s="373"/>
      <x:c r="X126" s="373"/>
      <x:c r="Y126" s="373"/>
      <x:c r="Z126" s="373"/>
    </x:row>
    <x:row r="127">
      <x:c r="A127" s="373"/>
      <x:c r="B127" s="373"/>
      <x:c r="C127" s="373"/>
      <x:c r="D127" s="373"/>
      <x:c r="E127" s="373"/>
      <x:c r="F127" s="373"/>
      <x:c r="G127" s="373"/>
      <x:c r="H127" s="373"/>
      <x:c r="I127" s="373"/>
      <x:c r="J127" s="373"/>
      <x:c r="K127" s="373"/>
      <x:c r="L127" s="373"/>
      <x:c r="M127" s="373"/>
      <x:c r="N127" s="373"/>
      <x:c r="O127" s="373"/>
      <x:c r="P127" s="373"/>
      <x:c r="Q127" s="373"/>
      <x:c r="R127" s="373"/>
      <x:c r="S127" s="373"/>
      <x:c r="T127" s="373"/>
      <x:c r="U127" s="373"/>
      <x:c r="V127" s="373"/>
      <x:c r="W127" s="373"/>
      <x:c r="X127" s="373"/>
      <x:c r="Y127" s="373"/>
      <x:c r="Z127" s="373"/>
    </x:row>
    <x:row r="128">
      <x:c r="A128" s="373"/>
      <x:c r="B128" s="373"/>
      <x:c r="C128" s="373"/>
      <x:c r="D128" s="373"/>
      <x:c r="E128" s="373"/>
      <x:c r="F128" s="373"/>
      <x:c r="G128" s="373"/>
      <x:c r="H128" s="373"/>
      <x:c r="I128" s="373"/>
      <x:c r="J128" s="373"/>
      <x:c r="K128" s="373"/>
      <x:c r="L128" s="373"/>
      <x:c r="M128" s="373"/>
      <x:c r="N128" s="373"/>
      <x:c r="O128" s="373"/>
      <x:c r="P128" s="373"/>
      <x:c r="Q128" s="373"/>
      <x:c r="R128" s="373"/>
      <x:c r="S128" s="373"/>
      <x:c r="T128" s="373"/>
      <x:c r="U128" s="373"/>
      <x:c r="V128" s="373"/>
      <x:c r="W128" s="373"/>
      <x:c r="X128" s="373"/>
      <x:c r="Y128" s="373"/>
      <x:c r="Z128" s="373"/>
    </x:row>
    <x:row r="129">
      <x:c r="A129" s="373"/>
      <x:c r="B129" s="373"/>
      <x:c r="C129" s="373"/>
      <x:c r="D129" s="373"/>
      <x:c r="E129" s="373"/>
      <x:c r="F129" s="373"/>
      <x:c r="G129" s="373"/>
      <x:c r="H129" s="373"/>
      <x:c r="I129" s="373"/>
      <x:c r="J129" s="373"/>
      <x:c r="K129" s="373"/>
      <x:c r="L129" s="373"/>
      <x:c r="M129" s="373"/>
      <x:c r="N129" s="373"/>
      <x:c r="O129" s="373"/>
      <x:c r="P129" s="373"/>
      <x:c r="Q129" s="373"/>
      <x:c r="R129" s="373"/>
      <x:c r="S129" s="373"/>
      <x:c r="T129" s="373"/>
      <x:c r="U129" s="373"/>
      <x:c r="V129" s="373"/>
      <x:c r="W129" s="373"/>
      <x:c r="X129" s="373"/>
      <x:c r="Y129" s="373"/>
      <x:c r="Z129" s="373"/>
    </x:row>
    <x:row r="130">
      <x:c r="A130" s="373"/>
      <x:c r="B130" s="373"/>
      <x:c r="C130" s="373"/>
      <x:c r="D130" s="373"/>
      <x:c r="E130" s="373"/>
      <x:c r="F130" s="373"/>
      <x:c r="G130" s="373"/>
      <x:c r="H130" s="373"/>
      <x:c r="I130" s="373"/>
      <x:c r="J130" s="373"/>
      <x:c r="K130" s="373"/>
      <x:c r="L130" s="373"/>
      <x:c r="M130" s="373"/>
      <x:c r="N130" s="373"/>
      <x:c r="O130" s="373"/>
      <x:c r="P130" s="373"/>
      <x:c r="Q130" s="373"/>
      <x:c r="R130" s="373"/>
      <x:c r="S130" s="373"/>
      <x:c r="T130" s="373"/>
      <x:c r="U130" s="373"/>
      <x:c r="V130" s="373"/>
      <x:c r="W130" s="373"/>
      <x:c r="X130" s="373"/>
      <x:c r="Y130" s="373"/>
      <x:c r="Z130" s="373"/>
    </x:row>
    <x:row r="131">
      <x:c r="A131" s="373"/>
      <x:c r="B131" s="373"/>
      <x:c r="C131" s="373"/>
      <x:c r="D131" s="373"/>
      <x:c r="E131" s="373"/>
      <x:c r="F131" s="373"/>
      <x:c r="G131" s="373"/>
      <x:c r="H131" s="373"/>
      <x:c r="I131" s="373"/>
      <x:c r="J131" s="373"/>
      <x:c r="K131" s="373"/>
      <x:c r="L131" s="373"/>
      <x:c r="M131" s="373"/>
      <x:c r="N131" s="373"/>
      <x:c r="O131" s="373"/>
      <x:c r="P131" s="373"/>
      <x:c r="Q131" s="373"/>
      <x:c r="R131" s="373"/>
      <x:c r="S131" s="373"/>
      <x:c r="T131" s="373"/>
      <x:c r="U131" s="373"/>
      <x:c r="V131" s="373"/>
      <x:c r="W131" s="373"/>
      <x:c r="X131" s="373"/>
      <x:c r="Y131" s="373"/>
      <x:c r="Z131" s="373"/>
    </x:row>
    <x:row r="132">
      <x:c r="A132" s="373"/>
      <x:c r="B132" s="373"/>
      <x:c r="C132" s="373"/>
      <x:c r="D132" s="373"/>
      <x:c r="E132" s="373"/>
      <x:c r="F132" s="373"/>
      <x:c r="G132" s="373"/>
      <x:c r="H132" s="373"/>
      <x:c r="I132" s="373"/>
      <x:c r="J132" s="373"/>
      <x:c r="K132" s="373"/>
      <x:c r="L132" s="373"/>
      <x:c r="M132" s="373"/>
      <x:c r="N132" s="373"/>
      <x:c r="O132" s="373"/>
      <x:c r="P132" s="373"/>
      <x:c r="Q132" s="373"/>
      <x:c r="R132" s="373"/>
      <x:c r="S132" s="373"/>
      <x:c r="T132" s="373"/>
      <x:c r="U132" s="373"/>
      <x:c r="V132" s="373"/>
      <x:c r="W132" s="373"/>
      <x:c r="X132" s="373"/>
      <x:c r="Y132" s="373"/>
      <x:c r="Z132" s="373"/>
    </x:row>
    <x:row r="133">
      <x:c r="A133" s="373"/>
      <x:c r="B133" s="373"/>
      <x:c r="C133" s="373"/>
      <x:c r="D133" s="373"/>
      <x:c r="E133" s="373"/>
      <x:c r="F133" s="373"/>
      <x:c r="G133" s="373"/>
      <x:c r="H133" s="373"/>
      <x:c r="I133" s="373"/>
      <x:c r="J133" s="373"/>
      <x:c r="K133" s="373"/>
      <x:c r="L133" s="373"/>
      <x:c r="M133" s="373"/>
      <x:c r="N133" s="373"/>
      <x:c r="O133" s="373"/>
      <x:c r="P133" s="373"/>
      <x:c r="Q133" s="373"/>
      <x:c r="R133" s="373"/>
      <x:c r="S133" s="373"/>
      <x:c r="T133" s="373"/>
      <x:c r="U133" s="373"/>
      <x:c r="V133" s="373"/>
      <x:c r="W133" s="373"/>
      <x:c r="X133" s="373"/>
      <x:c r="Y133" s="373"/>
      <x:c r="Z133" s="373"/>
    </x:row>
    <x:row r="134">
      <x:c r="A134" s="373"/>
      <x:c r="B134" s="373"/>
      <x:c r="C134" s="373"/>
      <x:c r="D134" s="373"/>
      <x:c r="E134" s="373"/>
      <x:c r="F134" s="373"/>
      <x:c r="G134" s="373"/>
      <x:c r="H134" s="373"/>
      <x:c r="I134" s="373"/>
      <x:c r="J134" s="373"/>
      <x:c r="K134" s="373"/>
      <x:c r="L134" s="373"/>
      <x:c r="M134" s="373"/>
      <x:c r="N134" s="373"/>
      <x:c r="O134" s="373"/>
      <x:c r="P134" s="373"/>
      <x:c r="Q134" s="373"/>
      <x:c r="R134" s="373"/>
      <x:c r="S134" s="373"/>
      <x:c r="T134" s="373"/>
      <x:c r="U134" s="373"/>
      <x:c r="V134" s="373"/>
      <x:c r="W134" s="373"/>
      <x:c r="X134" s="373"/>
      <x:c r="Y134" s="373"/>
      <x:c r="Z134" s="373"/>
    </x:row>
    <x:row r="135">
      <x:c r="A135" s="373"/>
      <x:c r="B135" s="373"/>
      <x:c r="C135" s="373"/>
      <x:c r="D135" s="373"/>
      <x:c r="E135" s="373"/>
      <x:c r="F135" s="373"/>
      <x:c r="G135" s="373"/>
      <x:c r="H135" s="373"/>
      <x:c r="I135" s="373"/>
      <x:c r="J135" s="373"/>
      <x:c r="K135" s="373"/>
      <x:c r="L135" s="373"/>
      <x:c r="M135" s="373"/>
      <x:c r="N135" s="373"/>
      <x:c r="O135" s="373"/>
      <x:c r="P135" s="373"/>
      <x:c r="Q135" s="373"/>
      <x:c r="R135" s="373"/>
      <x:c r="S135" s="373"/>
      <x:c r="T135" s="373"/>
      <x:c r="U135" s="373"/>
      <x:c r="V135" s="373"/>
      <x:c r="W135" s="373"/>
      <x:c r="X135" s="373"/>
      <x:c r="Y135" s="373"/>
      <x:c r="Z135" s="373"/>
    </x:row>
    <x:row r="136">
      <x:c r="A136" s="373"/>
      <x:c r="B136" s="373"/>
      <x:c r="C136" s="373"/>
      <x:c r="D136" s="373"/>
      <x:c r="E136" s="373"/>
      <x:c r="F136" s="373"/>
      <x:c r="G136" s="373"/>
      <x:c r="H136" s="373"/>
      <x:c r="I136" s="373"/>
      <x:c r="J136" s="373"/>
      <x:c r="K136" s="373"/>
      <x:c r="L136" s="373"/>
      <x:c r="M136" s="373"/>
      <x:c r="N136" s="373"/>
      <x:c r="O136" s="373"/>
      <x:c r="P136" s="373"/>
      <x:c r="Q136" s="373"/>
      <x:c r="R136" s="373"/>
      <x:c r="S136" s="373"/>
      <x:c r="T136" s="373"/>
      <x:c r="U136" s="373"/>
      <x:c r="V136" s="373"/>
      <x:c r="W136" s="373"/>
      <x:c r="X136" s="373"/>
      <x:c r="Y136" s="373"/>
      <x:c r="Z136" s="373"/>
    </x:row>
    <x:row r="137">
      <x:c r="A137" s="373"/>
      <x:c r="B137" s="373"/>
      <x:c r="C137" s="373"/>
      <x:c r="D137" s="373"/>
      <x:c r="E137" s="373"/>
      <x:c r="F137" s="373"/>
      <x:c r="G137" s="373"/>
      <x:c r="H137" s="373"/>
      <x:c r="I137" s="373"/>
      <x:c r="J137" s="373"/>
      <x:c r="K137" s="373"/>
      <x:c r="L137" s="373"/>
      <x:c r="M137" s="373"/>
      <x:c r="N137" s="373"/>
      <x:c r="O137" s="373"/>
      <x:c r="P137" s="373"/>
      <x:c r="Q137" s="373"/>
      <x:c r="R137" s="373"/>
      <x:c r="S137" s="373"/>
      <x:c r="T137" s="373"/>
      <x:c r="U137" s="373"/>
      <x:c r="V137" s="373"/>
      <x:c r="W137" s="373"/>
      <x:c r="X137" s="373"/>
      <x:c r="Y137" s="373"/>
      <x:c r="Z137" s="373"/>
    </x:row>
    <x:row r="138">
      <x:c r="A138" s="373"/>
      <x:c r="B138" s="373"/>
      <x:c r="C138" s="373"/>
      <x:c r="D138" s="373"/>
      <x:c r="E138" s="373"/>
      <x:c r="F138" s="373"/>
      <x:c r="G138" s="373"/>
      <x:c r="H138" s="373"/>
      <x:c r="I138" s="373"/>
      <x:c r="J138" s="373"/>
      <x:c r="K138" s="373"/>
      <x:c r="L138" s="373"/>
      <x:c r="M138" s="373"/>
      <x:c r="N138" s="373"/>
      <x:c r="O138" s="373"/>
      <x:c r="P138" s="373"/>
      <x:c r="Q138" s="373"/>
      <x:c r="R138" s="373"/>
      <x:c r="S138" s="373"/>
      <x:c r="T138" s="373"/>
      <x:c r="U138" s="373"/>
      <x:c r="V138" s="373"/>
      <x:c r="W138" s="373"/>
      <x:c r="X138" s="373"/>
      <x:c r="Y138" s="373"/>
      <x:c r="Z138" s="373"/>
    </x:row>
    <x:row r="139">
      <x:c r="A139" s="373"/>
      <x:c r="B139" s="373"/>
      <x:c r="C139" s="373"/>
      <x:c r="D139" s="373"/>
      <x:c r="E139" s="373"/>
      <x:c r="F139" s="373"/>
      <x:c r="G139" s="373"/>
      <x:c r="H139" s="373"/>
      <x:c r="I139" s="373"/>
      <x:c r="J139" s="373"/>
      <x:c r="K139" s="373"/>
      <x:c r="L139" s="373"/>
      <x:c r="M139" s="373"/>
      <x:c r="N139" s="373"/>
      <x:c r="O139" s="373"/>
      <x:c r="P139" s="373"/>
      <x:c r="Q139" s="373"/>
      <x:c r="R139" s="373"/>
      <x:c r="S139" s="373"/>
      <x:c r="T139" s="373"/>
      <x:c r="U139" s="373"/>
      <x:c r="V139" s="373"/>
      <x:c r="W139" s="373"/>
      <x:c r="X139" s="373"/>
      <x:c r="Y139" s="373"/>
      <x:c r="Z139" s="373"/>
    </x:row>
    <x:row r="140">
      <x:c r="A140" s="373"/>
      <x:c r="B140" s="373"/>
      <x:c r="C140" s="373"/>
      <x:c r="D140" s="373"/>
      <x:c r="E140" s="373"/>
      <x:c r="F140" s="373"/>
      <x:c r="G140" s="373"/>
      <x:c r="H140" s="373"/>
      <x:c r="I140" s="373"/>
      <x:c r="J140" s="373"/>
      <x:c r="K140" s="373"/>
      <x:c r="L140" s="373"/>
      <x:c r="M140" s="373"/>
      <x:c r="N140" s="373"/>
      <x:c r="O140" s="373"/>
      <x:c r="P140" s="373"/>
      <x:c r="Q140" s="373"/>
      <x:c r="R140" s="373"/>
      <x:c r="S140" s="373"/>
      <x:c r="T140" s="373"/>
      <x:c r="U140" s="373"/>
      <x:c r="V140" s="373"/>
      <x:c r="W140" s="373"/>
      <x:c r="X140" s="373"/>
      <x:c r="Y140" s="373"/>
      <x:c r="Z140" s="373"/>
    </x:row>
    <x:row r="141">
      <x:c r="A141" s="373"/>
      <x:c r="B141" s="373"/>
      <x:c r="C141" s="373"/>
      <x:c r="D141" s="373"/>
      <x:c r="E141" s="373"/>
      <x:c r="F141" s="373"/>
      <x:c r="G141" s="373"/>
      <x:c r="H141" s="373"/>
      <x:c r="I141" s="373"/>
      <x:c r="J141" s="373"/>
      <x:c r="K141" s="373"/>
      <x:c r="L141" s="373"/>
      <x:c r="M141" s="373"/>
      <x:c r="N141" s="373"/>
      <x:c r="O141" s="373"/>
      <x:c r="P141" s="373"/>
      <x:c r="Q141" s="373"/>
      <x:c r="R141" s="373"/>
      <x:c r="S141" s="373"/>
      <x:c r="T141" s="373"/>
      <x:c r="U141" s="373"/>
      <x:c r="V141" s="373"/>
      <x:c r="W141" s="373"/>
      <x:c r="X141" s="373"/>
      <x:c r="Y141" s="373"/>
      <x:c r="Z141" s="373"/>
    </x:row>
    <x:row r="142">
      <x:c r="A142" s="373"/>
      <x:c r="B142" s="373"/>
      <x:c r="C142" s="373"/>
      <x:c r="D142" s="373"/>
      <x:c r="E142" s="373"/>
      <x:c r="F142" s="373"/>
      <x:c r="G142" s="373"/>
      <x:c r="H142" s="373"/>
      <x:c r="I142" s="373"/>
      <x:c r="J142" s="373"/>
      <x:c r="K142" s="373"/>
      <x:c r="L142" s="373"/>
      <x:c r="M142" s="373"/>
      <x:c r="N142" s="373"/>
      <x:c r="O142" s="373"/>
      <x:c r="P142" s="373"/>
      <x:c r="Q142" s="373"/>
      <x:c r="R142" s="373"/>
      <x:c r="S142" s="373"/>
      <x:c r="T142" s="373"/>
      <x:c r="U142" s="373"/>
      <x:c r="V142" s="373"/>
      <x:c r="W142" s="373"/>
      <x:c r="X142" s="373"/>
      <x:c r="Y142" s="373"/>
      <x:c r="Z142" s="373"/>
    </x:row>
    <x:row r="143">
      <x:c r="A143" s="373"/>
      <x:c r="B143" s="373"/>
      <x:c r="C143" s="373"/>
      <x:c r="D143" s="373"/>
      <x:c r="E143" s="373"/>
      <x:c r="F143" s="373"/>
      <x:c r="G143" s="373"/>
      <x:c r="H143" s="373"/>
      <x:c r="I143" s="373"/>
      <x:c r="J143" s="373"/>
      <x:c r="K143" s="373"/>
      <x:c r="L143" s="373"/>
      <x:c r="M143" s="373"/>
      <x:c r="N143" s="373"/>
      <x:c r="O143" s="373"/>
      <x:c r="P143" s="373"/>
      <x:c r="Q143" s="373"/>
      <x:c r="R143" s="373"/>
      <x:c r="S143" s="373"/>
      <x:c r="T143" s="373"/>
      <x:c r="U143" s="373"/>
      <x:c r="V143" s="373"/>
      <x:c r="W143" s="373"/>
      <x:c r="X143" s="373"/>
      <x:c r="Y143" s="373"/>
      <x:c r="Z143" s="373"/>
    </x:row>
    <x:row r="144">
      <x:c r="A144" s="373"/>
      <x:c r="B144" s="373"/>
      <x:c r="C144" s="373"/>
      <x:c r="D144" s="373"/>
      <x:c r="E144" s="373"/>
      <x:c r="F144" s="373"/>
      <x:c r="G144" s="373"/>
      <x:c r="H144" s="373"/>
      <x:c r="I144" s="373"/>
      <x:c r="J144" s="373"/>
      <x:c r="K144" s="373"/>
      <x:c r="L144" s="373"/>
      <x:c r="M144" s="373"/>
      <x:c r="N144" s="373"/>
      <x:c r="O144" s="373"/>
      <x:c r="P144" s="373"/>
      <x:c r="Q144" s="373"/>
      <x:c r="R144" s="373"/>
      <x:c r="S144" s="373"/>
      <x:c r="T144" s="373"/>
      <x:c r="U144" s="373"/>
      <x:c r="V144" s="373"/>
      <x:c r="W144" s="373"/>
      <x:c r="X144" s="373"/>
      <x:c r="Y144" s="373"/>
      <x:c r="Z144" s="373"/>
    </x:row>
    <x:row r="145">
      <x:c r="A145" s="373"/>
      <x:c r="B145" s="373"/>
      <x:c r="C145" s="373"/>
      <x:c r="D145" s="373"/>
      <x:c r="E145" s="373"/>
      <x:c r="F145" s="373"/>
      <x:c r="G145" s="373"/>
      <x:c r="H145" s="373"/>
      <x:c r="I145" s="373"/>
      <x:c r="J145" s="373"/>
      <x:c r="K145" s="373"/>
      <x:c r="L145" s="373"/>
      <x:c r="M145" s="373"/>
      <x:c r="N145" s="373"/>
      <x:c r="O145" s="373"/>
      <x:c r="P145" s="373"/>
      <x:c r="Q145" s="373"/>
      <x:c r="R145" s="373"/>
      <x:c r="S145" s="373"/>
      <x:c r="T145" s="373"/>
      <x:c r="U145" s="373"/>
      <x:c r="V145" s="373"/>
      <x:c r="W145" s="373"/>
      <x:c r="X145" s="373"/>
      <x:c r="Y145" s="373"/>
      <x:c r="Z145" s="373"/>
    </x:row>
    <x:row r="146">
      <x:c r="A146" s="373"/>
      <x:c r="B146" s="373"/>
      <x:c r="C146" s="373"/>
      <x:c r="D146" s="373"/>
      <x:c r="E146" s="373"/>
      <x:c r="F146" s="373"/>
      <x:c r="G146" s="373"/>
      <x:c r="H146" s="373"/>
      <x:c r="I146" s="373"/>
      <x:c r="J146" s="373"/>
      <x:c r="K146" s="373"/>
      <x:c r="L146" s="373"/>
      <x:c r="M146" s="373"/>
      <x:c r="N146" s="373"/>
      <x:c r="O146" s="373"/>
      <x:c r="P146" s="373"/>
      <x:c r="Q146" s="373"/>
      <x:c r="R146" s="373"/>
      <x:c r="S146" s="373"/>
      <x:c r="T146" s="373"/>
      <x:c r="U146" s="373"/>
      <x:c r="V146" s="373"/>
      <x:c r="W146" s="373"/>
      <x:c r="X146" s="373"/>
      <x:c r="Y146" s="373"/>
      <x:c r="Z146" s="373"/>
    </x:row>
    <x:row r="147">
      <x:c r="A147" s="373"/>
      <x:c r="B147" s="373"/>
      <x:c r="C147" s="373"/>
      <x:c r="D147" s="373"/>
      <x:c r="E147" s="373"/>
      <x:c r="F147" s="373"/>
      <x:c r="G147" s="373"/>
      <x:c r="H147" s="373"/>
      <x:c r="I147" s="373"/>
      <x:c r="J147" s="373"/>
      <x:c r="K147" s="373"/>
      <x:c r="L147" s="373"/>
      <x:c r="M147" s="373"/>
      <x:c r="N147" s="373"/>
      <x:c r="O147" s="373"/>
      <x:c r="P147" s="373"/>
      <x:c r="Q147" s="373"/>
      <x:c r="R147" s="373"/>
      <x:c r="S147" s="373"/>
      <x:c r="T147" s="373"/>
      <x:c r="U147" s="373"/>
      <x:c r="V147" s="373"/>
      <x:c r="W147" s="373"/>
      <x:c r="X147" s="373"/>
      <x:c r="Y147" s="373"/>
      <x:c r="Z147" s="373"/>
    </x:row>
    <x:row r="148">
      <x:c r="A148" s="373"/>
      <x:c r="B148" s="373"/>
      <x:c r="C148" s="373"/>
      <x:c r="D148" s="373"/>
      <x:c r="E148" s="373"/>
      <x:c r="F148" s="373"/>
      <x:c r="G148" s="373"/>
      <x:c r="H148" s="373"/>
      <x:c r="I148" s="373"/>
      <x:c r="J148" s="373"/>
      <x:c r="K148" s="373"/>
      <x:c r="L148" s="373"/>
      <x:c r="M148" s="373"/>
      <x:c r="N148" s="373"/>
      <x:c r="O148" s="373"/>
      <x:c r="P148" s="373"/>
      <x:c r="Q148" s="373"/>
      <x:c r="R148" s="373"/>
      <x:c r="S148" s="373"/>
      <x:c r="T148" s="373"/>
      <x:c r="U148" s="373"/>
      <x:c r="V148" s="373"/>
      <x:c r="W148" s="373"/>
      <x:c r="X148" s="373"/>
      <x:c r="Y148" s="373"/>
      <x:c r="Z148" s="373"/>
    </x:row>
    <x:row r="149">
      <x:c r="A149" s="373"/>
      <x:c r="B149" s="373"/>
      <x:c r="C149" s="373"/>
      <x:c r="D149" s="373"/>
      <x:c r="E149" s="373"/>
      <x:c r="F149" s="373"/>
      <x:c r="G149" s="373"/>
      <x:c r="H149" s="373"/>
      <x:c r="I149" s="373"/>
      <x:c r="J149" s="373"/>
      <x:c r="K149" s="373"/>
      <x:c r="L149" s="373"/>
      <x:c r="M149" s="373"/>
      <x:c r="N149" s="373"/>
      <x:c r="O149" s="373"/>
      <x:c r="P149" s="373"/>
      <x:c r="Q149" s="373"/>
      <x:c r="R149" s="373"/>
      <x:c r="S149" s="373"/>
      <x:c r="T149" s="373"/>
      <x:c r="U149" s="373"/>
      <x:c r="V149" s="373"/>
      <x:c r="W149" s="373"/>
      <x:c r="X149" s="373"/>
      <x:c r="Y149" s="373"/>
      <x:c r="Z149" s="373"/>
    </x:row>
    <x:row r="150">
      <x:c r="A150" s="373"/>
      <x:c r="B150" s="373"/>
      <x:c r="C150" s="373"/>
      <x:c r="D150" s="373"/>
      <x:c r="E150" s="373"/>
      <x:c r="F150" s="373"/>
      <x:c r="G150" s="373"/>
      <x:c r="H150" s="373"/>
      <x:c r="I150" s="373"/>
      <x:c r="J150" s="373"/>
      <x:c r="K150" s="373"/>
      <x:c r="L150" s="373"/>
      <x:c r="M150" s="373"/>
      <x:c r="N150" s="373"/>
      <x:c r="O150" s="373"/>
      <x:c r="P150" s="373"/>
      <x:c r="Q150" s="373"/>
      <x:c r="R150" s="373"/>
      <x:c r="S150" s="373"/>
      <x:c r="T150" s="373"/>
      <x:c r="U150" s="373"/>
      <x:c r="V150" s="373"/>
      <x:c r="W150" s="373"/>
      <x:c r="X150" s="373"/>
      <x:c r="Y150" s="373"/>
      <x:c r="Z150" s="373"/>
    </x:row>
    <x:row r="151">
      <x:c r="A151" s="373"/>
      <x:c r="B151" s="373"/>
      <x:c r="C151" s="373"/>
      <x:c r="D151" s="373"/>
      <x:c r="E151" s="373"/>
      <x:c r="F151" s="373"/>
      <x:c r="G151" s="373"/>
      <x:c r="H151" s="373"/>
      <x:c r="I151" s="373"/>
      <x:c r="J151" s="373"/>
      <x:c r="K151" s="373"/>
      <x:c r="L151" s="373"/>
      <x:c r="M151" s="373"/>
      <x:c r="N151" s="373"/>
      <x:c r="O151" s="373"/>
      <x:c r="P151" s="373"/>
      <x:c r="Q151" s="373"/>
      <x:c r="R151" s="373"/>
      <x:c r="S151" s="373"/>
      <x:c r="T151" s="373"/>
      <x:c r="U151" s="373"/>
      <x:c r="V151" s="373"/>
      <x:c r="W151" s="373"/>
      <x:c r="X151" s="373"/>
      <x:c r="Y151" s="373"/>
      <x:c r="Z151" s="373"/>
    </x:row>
    <x:row r="152">
      <x:c r="A152" s="373"/>
      <x:c r="B152" s="373"/>
      <x:c r="C152" s="373"/>
      <x:c r="D152" s="373"/>
      <x:c r="E152" s="373"/>
      <x:c r="F152" s="373"/>
      <x:c r="G152" s="373"/>
      <x:c r="H152" s="373"/>
      <x:c r="I152" s="373"/>
      <x:c r="J152" s="373"/>
      <x:c r="K152" s="373"/>
      <x:c r="L152" s="373"/>
      <x:c r="M152" s="373"/>
      <x:c r="N152" s="373"/>
      <x:c r="O152" s="373"/>
      <x:c r="P152" s="373"/>
      <x:c r="Q152" s="373"/>
      <x:c r="R152" s="373"/>
      <x:c r="S152" s="373"/>
      <x:c r="T152" s="373"/>
      <x:c r="U152" s="373"/>
      <x:c r="V152" s="373"/>
      <x:c r="W152" s="373"/>
      <x:c r="X152" s="373"/>
      <x:c r="Y152" s="373"/>
      <x:c r="Z152" s="373"/>
    </x:row>
    <x:row r="153">
      <x:c r="A153" s="373"/>
      <x:c r="B153" s="373"/>
      <x:c r="C153" s="373"/>
      <x:c r="D153" s="373"/>
      <x:c r="E153" s="373"/>
      <x:c r="F153" s="373"/>
      <x:c r="G153" s="373"/>
      <x:c r="H153" s="373"/>
      <x:c r="I153" s="373"/>
      <x:c r="J153" s="373"/>
      <x:c r="K153" s="373"/>
      <x:c r="L153" s="373"/>
      <x:c r="M153" s="373"/>
      <x:c r="N153" s="373"/>
      <x:c r="O153" s="373"/>
      <x:c r="P153" s="373"/>
      <x:c r="Q153" s="373"/>
      <x:c r="R153" s="373"/>
      <x:c r="S153" s="373"/>
      <x:c r="T153" s="373"/>
      <x:c r="U153" s="373"/>
      <x:c r="V153" s="373"/>
      <x:c r="W153" s="373"/>
      <x:c r="X153" s="373"/>
      <x:c r="Y153" s="373"/>
      <x:c r="Z153" s="373"/>
    </x:row>
    <x:row r="154">
      <x:c r="A154" s="373"/>
      <x:c r="B154" s="373"/>
      <x:c r="C154" s="373"/>
      <x:c r="D154" s="373"/>
      <x:c r="E154" s="373"/>
      <x:c r="F154" s="373"/>
      <x:c r="G154" s="373"/>
      <x:c r="H154" s="373"/>
      <x:c r="I154" s="373"/>
      <x:c r="J154" s="373"/>
      <x:c r="K154" s="373"/>
      <x:c r="L154" s="373"/>
      <x:c r="M154" s="373"/>
      <x:c r="N154" s="373"/>
      <x:c r="O154" s="373"/>
      <x:c r="P154" s="373"/>
      <x:c r="Q154" s="373"/>
      <x:c r="R154" s="373"/>
      <x:c r="S154" s="373"/>
      <x:c r="T154" s="373"/>
      <x:c r="U154" s="373"/>
      <x:c r="V154" s="373"/>
      <x:c r="W154" s="373"/>
      <x:c r="X154" s="373"/>
      <x:c r="Y154" s="373"/>
      <x:c r="Z154" s="373"/>
    </x:row>
    <x:row r="155">
      <x:c r="A155" s="373"/>
      <x:c r="B155" s="373"/>
      <x:c r="C155" s="373"/>
      <x:c r="D155" s="373"/>
      <x:c r="E155" s="373"/>
      <x:c r="F155" s="373"/>
      <x:c r="G155" s="373"/>
      <x:c r="H155" s="373"/>
      <x:c r="I155" s="373"/>
      <x:c r="J155" s="373"/>
      <x:c r="K155" s="373"/>
      <x:c r="L155" s="373"/>
      <x:c r="M155" s="373"/>
      <x:c r="N155" s="373"/>
      <x:c r="O155" s="373"/>
      <x:c r="P155" s="373"/>
      <x:c r="Q155" s="373"/>
      <x:c r="R155" s="373"/>
      <x:c r="S155" s="373"/>
      <x:c r="T155" s="373"/>
      <x:c r="U155" s="373"/>
      <x:c r="V155" s="373"/>
      <x:c r="W155" s="373"/>
      <x:c r="X155" s="373"/>
      <x:c r="Y155" s="373"/>
      <x:c r="Z155" s="373"/>
    </x:row>
    <x:row r="156">
      <x:c r="A156" s="373"/>
      <x:c r="B156" s="373"/>
      <x:c r="C156" s="373"/>
      <x:c r="D156" s="373"/>
      <x:c r="E156" s="373"/>
      <x:c r="F156" s="373"/>
      <x:c r="G156" s="373"/>
      <x:c r="H156" s="373"/>
      <x:c r="I156" s="373"/>
      <x:c r="J156" s="373"/>
      <x:c r="K156" s="373"/>
      <x:c r="L156" s="373"/>
      <x:c r="M156" s="373"/>
      <x:c r="N156" s="373"/>
      <x:c r="O156" s="373"/>
      <x:c r="P156" s="373"/>
      <x:c r="Q156" s="373"/>
      <x:c r="R156" s="373"/>
      <x:c r="S156" s="373"/>
      <x:c r="T156" s="373"/>
      <x:c r="U156" s="373"/>
      <x:c r="V156" s="373"/>
      <x:c r="W156" s="373"/>
      <x:c r="X156" s="373"/>
      <x:c r="Y156" s="373"/>
      <x:c r="Z156" s="373"/>
    </x:row>
    <x:row r="157">
      <x:c r="A157" s="373"/>
      <x:c r="B157" s="373"/>
      <x:c r="C157" s="373"/>
      <x:c r="D157" s="373"/>
      <x:c r="E157" s="373"/>
      <x:c r="F157" s="373"/>
      <x:c r="G157" s="373"/>
      <x:c r="H157" s="373"/>
      <x:c r="I157" s="373"/>
      <x:c r="J157" s="373"/>
      <x:c r="K157" s="373"/>
      <x:c r="L157" s="373"/>
      <x:c r="M157" s="373"/>
      <x:c r="N157" s="373"/>
      <x:c r="O157" s="373"/>
      <x:c r="P157" s="373"/>
      <x:c r="Q157" s="373"/>
      <x:c r="R157" s="373"/>
      <x:c r="S157" s="373"/>
      <x:c r="T157" s="373"/>
      <x:c r="U157" s="373"/>
      <x:c r="V157" s="373"/>
      <x:c r="W157" s="373"/>
      <x:c r="X157" s="373"/>
      <x:c r="Y157" s="373"/>
      <x:c r="Z157" s="373"/>
    </x:row>
    <x:row r="158">
      <x:c r="A158" s="373"/>
      <x:c r="B158" s="373"/>
      <x:c r="C158" s="373"/>
      <x:c r="D158" s="373"/>
      <x:c r="E158" s="373"/>
      <x:c r="F158" s="373"/>
      <x:c r="G158" s="373"/>
      <x:c r="H158" s="373"/>
      <x:c r="I158" s="373"/>
      <x:c r="J158" s="373"/>
      <x:c r="K158" s="373"/>
      <x:c r="L158" s="373"/>
      <x:c r="M158" s="373"/>
      <x:c r="N158" s="373"/>
      <x:c r="O158" s="373"/>
      <x:c r="P158" s="373"/>
      <x:c r="Q158" s="373"/>
      <x:c r="R158" s="373"/>
      <x:c r="S158" s="373"/>
      <x:c r="T158" s="373"/>
      <x:c r="U158" s="373"/>
      <x:c r="V158" s="373"/>
      <x:c r="W158" s="373"/>
      <x:c r="X158" s="373"/>
      <x:c r="Y158" s="373"/>
      <x:c r="Z158" s="373"/>
    </x:row>
    <x:row r="159">
      <x:c r="A159" s="373"/>
      <x:c r="B159" s="373"/>
      <x:c r="C159" s="373"/>
      <x:c r="D159" s="373"/>
      <x:c r="E159" s="373"/>
      <x:c r="F159" s="373"/>
      <x:c r="G159" s="373"/>
      <x:c r="H159" s="373"/>
      <x:c r="I159" s="373"/>
      <x:c r="J159" s="373"/>
      <x:c r="K159" s="373"/>
      <x:c r="L159" s="373"/>
      <x:c r="M159" s="373"/>
      <x:c r="N159" s="373"/>
      <x:c r="O159" s="373"/>
      <x:c r="P159" s="373"/>
      <x:c r="Q159" s="373"/>
      <x:c r="R159" s="373"/>
      <x:c r="S159" s="373"/>
      <x:c r="T159" s="373"/>
      <x:c r="U159" s="373"/>
      <x:c r="V159" s="373"/>
      <x:c r="W159" s="373"/>
      <x:c r="X159" s="373"/>
      <x:c r="Y159" s="373"/>
      <x:c r="Z159" s="373"/>
    </x:row>
    <x:row r="160">
      <x:c r="A160" s="373"/>
      <x:c r="B160" s="373"/>
      <x:c r="C160" s="373"/>
      <x:c r="D160" s="373"/>
      <x:c r="E160" s="373"/>
      <x:c r="F160" s="373"/>
      <x:c r="G160" s="373"/>
      <x:c r="H160" s="373"/>
      <x:c r="I160" s="373"/>
      <x:c r="J160" s="373"/>
      <x:c r="K160" s="373"/>
      <x:c r="L160" s="373"/>
      <x:c r="M160" s="373"/>
      <x:c r="N160" s="373"/>
      <x:c r="O160" s="373"/>
      <x:c r="P160" s="373"/>
      <x:c r="Q160" s="373"/>
      <x:c r="R160" s="373"/>
      <x:c r="S160" s="373"/>
      <x:c r="T160" s="373"/>
      <x:c r="U160" s="373"/>
      <x:c r="V160" s="373"/>
      <x:c r="W160" s="373"/>
      <x:c r="X160" s="373"/>
      <x:c r="Y160" s="373"/>
      <x:c r="Z160" s="373"/>
    </x:row>
    <x:row r="161">
      <x:c r="A161" s="373"/>
      <x:c r="B161" s="373"/>
      <x:c r="C161" s="373"/>
      <x:c r="D161" s="373"/>
      <x:c r="E161" s="373"/>
      <x:c r="F161" s="373"/>
      <x:c r="G161" s="373"/>
      <x:c r="H161" s="373"/>
      <x:c r="I161" s="373"/>
      <x:c r="J161" s="373"/>
      <x:c r="K161" s="373"/>
      <x:c r="L161" s="373"/>
      <x:c r="M161" s="373"/>
      <x:c r="N161" s="373"/>
      <x:c r="O161" s="373"/>
      <x:c r="P161" s="373"/>
      <x:c r="Q161" s="373"/>
      <x:c r="R161" s="373"/>
      <x:c r="S161" s="373"/>
      <x:c r="T161" s="373"/>
      <x:c r="U161" s="373"/>
      <x:c r="V161" s="373"/>
      <x:c r="W161" s="373"/>
      <x:c r="X161" s="373"/>
      <x:c r="Y161" s="373"/>
      <x:c r="Z161" s="373"/>
    </x:row>
    <x:row r="162">
      <x:c r="A162" s="373"/>
      <x:c r="B162" s="373"/>
      <x:c r="C162" s="373"/>
      <x:c r="D162" s="373"/>
      <x:c r="E162" s="373"/>
      <x:c r="F162" s="373"/>
      <x:c r="G162" s="373"/>
      <x:c r="H162" s="373"/>
      <x:c r="I162" s="373"/>
      <x:c r="J162" s="373"/>
      <x:c r="K162" s="373"/>
      <x:c r="L162" s="373"/>
      <x:c r="M162" s="373"/>
      <x:c r="N162" s="373"/>
      <x:c r="O162" s="373"/>
      <x:c r="P162" s="373"/>
      <x:c r="Q162" s="373"/>
      <x:c r="R162" s="373"/>
      <x:c r="S162" s="373"/>
      <x:c r="T162" s="373"/>
      <x:c r="U162" s="373"/>
      <x:c r="V162" s="373"/>
      <x:c r="W162" s="373"/>
      <x:c r="X162" s="373"/>
      <x:c r="Y162" s="373"/>
      <x:c r="Z162" s="373"/>
    </x:row>
    <x:row r="163">
      <x:c r="A163" s="373"/>
      <x:c r="B163" s="373"/>
      <x:c r="C163" s="373"/>
      <x:c r="D163" s="373"/>
      <x:c r="E163" s="373"/>
      <x:c r="F163" s="373"/>
      <x:c r="G163" s="373"/>
      <x:c r="H163" s="373"/>
      <x:c r="I163" s="373"/>
      <x:c r="J163" s="373"/>
      <x:c r="K163" s="373"/>
      <x:c r="L163" s="373"/>
      <x:c r="M163" s="373"/>
      <x:c r="N163" s="373"/>
      <x:c r="O163" s="373"/>
      <x:c r="P163" s="373"/>
      <x:c r="Q163" s="373"/>
      <x:c r="R163" s="373"/>
      <x:c r="S163" s="373"/>
      <x:c r="T163" s="373"/>
      <x:c r="U163" s="373"/>
      <x:c r="V163" s="373"/>
      <x:c r="W163" s="373"/>
      <x:c r="X163" s="373"/>
      <x:c r="Y163" s="373"/>
      <x:c r="Z163" s="373"/>
    </x:row>
    <x:row r="164">
      <x:c r="A164" s="373"/>
      <x:c r="B164" s="373"/>
      <x:c r="C164" s="373"/>
      <x:c r="D164" s="373"/>
      <x:c r="E164" s="373"/>
      <x:c r="F164" s="373"/>
      <x:c r="G164" s="373"/>
      <x:c r="H164" s="373"/>
      <x:c r="I164" s="373"/>
      <x:c r="J164" s="373"/>
      <x:c r="K164" s="373"/>
      <x:c r="L164" s="373"/>
      <x:c r="M164" s="373"/>
      <x:c r="N164" s="373"/>
      <x:c r="O164" s="373"/>
      <x:c r="P164" s="373"/>
      <x:c r="Q164" s="373"/>
      <x:c r="R164" s="373"/>
      <x:c r="S164" s="373"/>
      <x:c r="T164" s="373"/>
      <x:c r="U164" s="373"/>
      <x:c r="V164" s="373"/>
      <x:c r="W164" s="373"/>
      <x:c r="X164" s="373"/>
      <x:c r="Y164" s="373"/>
      <x:c r="Z164" s="373"/>
    </x:row>
    <x:row r="165">
      <x:c r="A165" s="373"/>
      <x:c r="B165" s="373"/>
      <x:c r="C165" s="373"/>
      <x:c r="D165" s="373"/>
      <x:c r="E165" s="373"/>
      <x:c r="F165" s="373"/>
      <x:c r="G165" s="373"/>
      <x:c r="H165" s="373"/>
      <x:c r="I165" s="373"/>
      <x:c r="J165" s="373"/>
      <x:c r="K165" s="373"/>
      <x:c r="L165" s="373"/>
      <x:c r="M165" s="373"/>
      <x:c r="N165" s="373"/>
      <x:c r="O165" s="373"/>
      <x:c r="P165" s="373"/>
      <x:c r="Q165" s="373"/>
      <x:c r="R165" s="373"/>
      <x:c r="S165" s="373"/>
      <x:c r="T165" s="373"/>
      <x:c r="U165" s="373"/>
      <x:c r="V165" s="373"/>
      <x:c r="W165" s="373"/>
      <x:c r="X165" s="373"/>
      <x:c r="Y165" s="373"/>
      <x:c r="Z165" s="373"/>
    </x:row>
    <x:row r="166">
      <x:c r="A166" s="373"/>
      <x:c r="B166" s="373"/>
      <x:c r="C166" s="373"/>
      <x:c r="D166" s="373"/>
      <x:c r="E166" s="373"/>
      <x:c r="F166" s="373"/>
      <x:c r="G166" s="373"/>
      <x:c r="H166" s="373"/>
      <x:c r="I166" s="373"/>
      <x:c r="J166" s="373"/>
      <x:c r="K166" s="373"/>
      <x:c r="L166" s="373"/>
      <x:c r="M166" s="373"/>
      <x:c r="N166" s="373"/>
      <x:c r="O166" s="373"/>
      <x:c r="P166" s="373"/>
      <x:c r="Q166" s="373"/>
      <x:c r="R166" s="373"/>
      <x:c r="S166" s="373"/>
      <x:c r="T166" s="373"/>
      <x:c r="U166" s="373"/>
      <x:c r="V166" s="373"/>
      <x:c r="W166" s="373"/>
      <x:c r="X166" s="373"/>
      <x:c r="Y166" s="373"/>
      <x:c r="Z166" s="373"/>
    </x:row>
    <x:row r="167">
      <x:c r="A167" s="373"/>
      <x:c r="B167" s="373"/>
      <x:c r="C167" s="373"/>
      <x:c r="D167" s="373"/>
      <x:c r="E167" s="373"/>
      <x:c r="F167" s="373"/>
      <x:c r="G167" s="373"/>
      <x:c r="H167" s="373"/>
      <x:c r="I167" s="373"/>
      <x:c r="J167" s="373"/>
      <x:c r="K167" s="373"/>
      <x:c r="L167" s="373"/>
      <x:c r="M167" s="373"/>
      <x:c r="N167" s="373"/>
      <x:c r="O167" s="373"/>
      <x:c r="P167" s="373"/>
      <x:c r="Q167" s="373"/>
      <x:c r="R167" s="373"/>
      <x:c r="S167" s="373"/>
      <x:c r="T167" s="373"/>
      <x:c r="U167" s="373"/>
      <x:c r="V167" s="373"/>
      <x:c r="W167" s="373"/>
      <x:c r="X167" s="373"/>
      <x:c r="Y167" s="373"/>
      <x:c r="Z167" s="373"/>
    </x:row>
    <x:row r="168">
      <x:c r="A168" s="373"/>
      <x:c r="B168" s="373"/>
      <x:c r="C168" s="373"/>
      <x:c r="D168" s="373"/>
      <x:c r="E168" s="373"/>
      <x:c r="F168" s="373"/>
      <x:c r="G168" s="373"/>
      <x:c r="H168" s="373"/>
      <x:c r="I168" s="373"/>
      <x:c r="J168" s="373"/>
      <x:c r="K168" s="373"/>
      <x:c r="L168" s="373"/>
      <x:c r="M168" s="373"/>
      <x:c r="N168" s="373"/>
      <x:c r="O168" s="373"/>
      <x:c r="P168" s="373"/>
      <x:c r="Q168" s="373"/>
      <x:c r="R168" s="373"/>
      <x:c r="S168" s="373"/>
      <x:c r="T168" s="373"/>
      <x:c r="U168" s="373"/>
      <x:c r="V168" s="373"/>
      <x:c r="W168" s="373"/>
      <x:c r="X168" s="373"/>
      <x:c r="Y168" s="373"/>
      <x:c r="Z168" s="373"/>
    </x:row>
    <x:row r="169">
      <x:c r="A169" s="373"/>
      <x:c r="B169" s="373"/>
      <x:c r="C169" s="373"/>
      <x:c r="D169" s="373"/>
      <x:c r="E169" s="373"/>
      <x:c r="F169" s="373"/>
      <x:c r="G169" s="373"/>
      <x:c r="H169" s="373"/>
      <x:c r="I169" s="373"/>
      <x:c r="J169" s="373"/>
      <x:c r="K169" s="373"/>
      <x:c r="L169" s="373"/>
      <x:c r="M169" s="373"/>
      <x:c r="N169" s="373"/>
      <x:c r="O169" s="373"/>
      <x:c r="P169" s="373"/>
      <x:c r="Q169" s="373"/>
      <x:c r="R169" s="373"/>
      <x:c r="S169" s="373"/>
      <x:c r="T169" s="373"/>
      <x:c r="U169" s="373"/>
      <x:c r="V169" s="373"/>
      <x:c r="W169" s="373"/>
      <x:c r="X169" s="373"/>
      <x:c r="Y169" s="373"/>
      <x:c r="Z169" s="373"/>
    </x:row>
    <x:row r="170">
      <x:c r="A170" s="373"/>
      <x:c r="B170" s="373"/>
      <x:c r="C170" s="373"/>
      <x:c r="D170" s="373"/>
      <x:c r="E170" s="373"/>
      <x:c r="F170" s="373"/>
      <x:c r="G170" s="373"/>
      <x:c r="H170" s="373"/>
      <x:c r="I170" s="373"/>
      <x:c r="J170" s="373"/>
      <x:c r="K170" s="373"/>
      <x:c r="L170" s="373"/>
      <x:c r="M170" s="373"/>
      <x:c r="N170" s="373"/>
      <x:c r="O170" s="373"/>
      <x:c r="P170" s="373"/>
      <x:c r="Q170" s="373"/>
      <x:c r="R170" s="373"/>
      <x:c r="S170" s="373"/>
      <x:c r="T170" s="373"/>
      <x:c r="U170" s="373"/>
      <x:c r="V170" s="373"/>
      <x:c r="W170" s="373"/>
      <x:c r="X170" s="373"/>
      <x:c r="Y170" s="373"/>
      <x:c r="Z170" s="373"/>
    </x:row>
    <x:row r="171">
      <x:c r="A171" s="373"/>
      <x:c r="B171" s="373"/>
      <x:c r="C171" s="373"/>
      <x:c r="D171" s="373"/>
      <x:c r="E171" s="373"/>
      <x:c r="F171" s="373"/>
      <x:c r="G171" s="373"/>
      <x:c r="H171" s="373"/>
      <x:c r="I171" s="373"/>
      <x:c r="J171" s="373"/>
      <x:c r="K171" s="373"/>
      <x:c r="L171" s="373"/>
      <x:c r="M171" s="373"/>
      <x:c r="N171" s="373"/>
      <x:c r="O171" s="373"/>
      <x:c r="P171" s="373"/>
      <x:c r="Q171" s="373"/>
      <x:c r="R171" s="373"/>
      <x:c r="S171" s="373"/>
      <x:c r="T171" s="373"/>
      <x:c r="U171" s="373"/>
      <x:c r="V171" s="373"/>
      <x:c r="W171" s="373"/>
      <x:c r="X171" s="373"/>
      <x:c r="Y171" s="373"/>
      <x:c r="Z171" s="373"/>
    </x:row>
    <x:row r="172">
      <x:c r="A172" s="373"/>
      <x:c r="B172" s="373"/>
      <x:c r="C172" s="373"/>
      <x:c r="D172" s="373"/>
      <x:c r="E172" s="373"/>
      <x:c r="F172" s="373"/>
      <x:c r="G172" s="373"/>
      <x:c r="H172" s="373"/>
      <x:c r="I172" s="373"/>
      <x:c r="J172" s="373"/>
      <x:c r="K172" s="373"/>
      <x:c r="L172" s="373"/>
      <x:c r="M172" s="373"/>
      <x:c r="N172" s="373"/>
      <x:c r="O172" s="373"/>
      <x:c r="P172" s="373"/>
      <x:c r="Q172" s="373"/>
      <x:c r="R172" s="373"/>
      <x:c r="S172" s="373"/>
      <x:c r="T172" s="373"/>
      <x:c r="U172" s="373"/>
      <x:c r="V172" s="373"/>
      <x:c r="W172" s="373"/>
      <x:c r="X172" s="373"/>
      <x:c r="Y172" s="373"/>
      <x:c r="Z172" s="373"/>
    </x:row>
    <x:row r="173">
      <x:c r="A173" s="373"/>
      <x:c r="B173" s="373"/>
      <x:c r="C173" s="373"/>
      <x:c r="D173" s="373"/>
      <x:c r="E173" s="373"/>
      <x:c r="F173" s="373"/>
      <x:c r="G173" s="373"/>
      <x:c r="H173" s="373"/>
      <x:c r="I173" s="373"/>
      <x:c r="J173" s="373"/>
      <x:c r="K173" s="373"/>
      <x:c r="L173" s="373"/>
      <x:c r="M173" s="373"/>
      <x:c r="N173" s="373"/>
      <x:c r="O173" s="373"/>
      <x:c r="P173" s="373"/>
      <x:c r="Q173" s="373"/>
      <x:c r="R173" s="373"/>
      <x:c r="S173" s="373"/>
      <x:c r="T173" s="373"/>
      <x:c r="U173" s="373"/>
      <x:c r="V173" s="373"/>
      <x:c r="W173" s="373"/>
      <x:c r="X173" s="373"/>
      <x:c r="Y173" s="373"/>
      <x:c r="Z173" s="373"/>
    </x:row>
    <x:row r="174">
      <x:c r="A174" s="373"/>
      <x:c r="B174" s="373"/>
      <x:c r="C174" s="373"/>
      <x:c r="D174" s="373"/>
      <x:c r="E174" s="373"/>
      <x:c r="F174" s="373"/>
      <x:c r="G174" s="373"/>
      <x:c r="H174" s="373"/>
      <x:c r="I174" s="373"/>
      <x:c r="J174" s="373"/>
      <x:c r="K174" s="373"/>
      <x:c r="L174" s="373"/>
      <x:c r="M174" s="373"/>
      <x:c r="N174" s="373"/>
      <x:c r="O174" s="373"/>
      <x:c r="P174" s="373"/>
      <x:c r="Q174" s="373"/>
      <x:c r="R174" s="373"/>
      <x:c r="S174" s="373"/>
      <x:c r="T174" s="373"/>
      <x:c r="U174" s="373"/>
      <x:c r="V174" s="373"/>
      <x:c r="W174" s="373"/>
      <x:c r="X174" s="373"/>
      <x:c r="Y174" s="373"/>
      <x:c r="Z174" s="373"/>
    </x:row>
    <x:row r="175">
      <x:c r="A175" s="373"/>
      <x:c r="B175" s="373"/>
      <x:c r="C175" s="373"/>
      <x:c r="D175" s="373"/>
      <x:c r="E175" s="373"/>
      <x:c r="F175" s="373"/>
      <x:c r="G175" s="373"/>
      <x:c r="H175" s="373"/>
      <x:c r="I175" s="373"/>
      <x:c r="J175" s="373"/>
      <x:c r="K175" s="373"/>
      <x:c r="L175" s="373"/>
      <x:c r="M175" s="373"/>
      <x:c r="N175" s="373"/>
      <x:c r="O175" s="373"/>
      <x:c r="P175" s="373"/>
      <x:c r="Q175" s="373"/>
      <x:c r="R175" s="373"/>
      <x:c r="S175" s="373"/>
      <x:c r="T175" s="373"/>
      <x:c r="U175" s="373"/>
      <x:c r="V175" s="373"/>
      <x:c r="W175" s="373"/>
      <x:c r="X175" s="373"/>
      <x:c r="Y175" s="373"/>
      <x:c r="Z175" s="373"/>
    </x:row>
    <x:row r="176">
      <x:c r="A176" s="373"/>
      <x:c r="B176" s="373"/>
      <x:c r="C176" s="373"/>
      <x:c r="D176" s="373"/>
      <x:c r="E176" s="373"/>
      <x:c r="F176" s="373"/>
      <x:c r="G176" s="373"/>
      <x:c r="H176" s="373"/>
      <x:c r="I176" s="373"/>
      <x:c r="J176" s="373"/>
      <x:c r="K176" s="373"/>
      <x:c r="L176" s="373"/>
      <x:c r="M176" s="373"/>
      <x:c r="N176" s="373"/>
      <x:c r="O176" s="373"/>
      <x:c r="P176" s="373"/>
      <x:c r="Q176" s="373"/>
      <x:c r="R176" s="373"/>
      <x:c r="S176" s="373"/>
      <x:c r="T176" s="373"/>
      <x:c r="U176" s="373"/>
      <x:c r="V176" s="373"/>
      <x:c r="W176" s="373"/>
      <x:c r="X176" s="373"/>
      <x:c r="Y176" s="373"/>
      <x:c r="Z176" s="373"/>
    </x:row>
    <x:row r="177">
      <x:c r="A177" s="373"/>
      <x:c r="B177" s="373"/>
      <x:c r="C177" s="373"/>
      <x:c r="D177" s="373"/>
      <x:c r="E177" s="373"/>
      <x:c r="F177" s="373"/>
      <x:c r="G177" s="373"/>
      <x:c r="H177" s="373"/>
      <x:c r="I177" s="373"/>
      <x:c r="J177" s="373"/>
      <x:c r="K177" s="373"/>
      <x:c r="L177" s="373"/>
      <x:c r="M177" s="373"/>
      <x:c r="N177" s="373"/>
      <x:c r="O177" s="373"/>
      <x:c r="P177" s="373"/>
      <x:c r="Q177" s="373"/>
      <x:c r="R177" s="373"/>
      <x:c r="S177" s="373"/>
      <x:c r="T177" s="373"/>
      <x:c r="U177" s="373"/>
      <x:c r="V177" s="373"/>
      <x:c r="W177" s="373"/>
      <x:c r="X177" s="373"/>
      <x:c r="Y177" s="373"/>
      <x:c r="Z177" s="373"/>
    </x:row>
    <x:row r="178">
      <x:c r="A178" s="373"/>
      <x:c r="B178" s="373"/>
      <x:c r="C178" s="373"/>
      <x:c r="D178" s="373"/>
      <x:c r="E178" s="373"/>
      <x:c r="F178" s="373"/>
      <x:c r="G178" s="373"/>
      <x:c r="H178" s="373"/>
      <x:c r="I178" s="373"/>
      <x:c r="J178" s="373"/>
      <x:c r="K178" s="373"/>
      <x:c r="L178" s="373"/>
      <x:c r="M178" s="373"/>
      <x:c r="N178" s="373"/>
      <x:c r="O178" s="373"/>
      <x:c r="P178" s="373"/>
      <x:c r="Q178" s="373"/>
      <x:c r="R178" s="373"/>
      <x:c r="S178" s="373"/>
      <x:c r="T178" s="373"/>
      <x:c r="U178" s="373"/>
      <x:c r="V178" s="373"/>
      <x:c r="W178" s="373"/>
      <x:c r="X178" s="373"/>
      <x:c r="Y178" s="373"/>
      <x:c r="Z178" s="373"/>
    </x:row>
    <x:row r="179">
      <x:c r="A179" s="373"/>
      <x:c r="B179" s="373"/>
      <x:c r="C179" s="373"/>
      <x:c r="D179" s="373"/>
      <x:c r="E179" s="373"/>
      <x:c r="F179" s="373"/>
      <x:c r="G179" s="373"/>
      <x:c r="H179" s="373"/>
      <x:c r="I179" s="373"/>
      <x:c r="J179" s="373"/>
      <x:c r="K179" s="373"/>
      <x:c r="L179" s="373"/>
      <x:c r="M179" s="373"/>
      <x:c r="N179" s="373"/>
      <x:c r="O179" s="373"/>
      <x:c r="P179" s="373"/>
      <x:c r="Q179" s="373"/>
      <x:c r="R179" s="373"/>
      <x:c r="S179" s="373"/>
      <x:c r="T179" s="373"/>
      <x:c r="U179" s="373"/>
      <x:c r="V179" s="373"/>
      <x:c r="W179" s="373"/>
      <x:c r="X179" s="373"/>
      <x:c r="Y179" s="373"/>
      <x:c r="Z179" s="373"/>
    </x:row>
    <x:row r="180">
      <x:c r="A180" s="373"/>
      <x:c r="B180" s="373"/>
      <x:c r="C180" s="373"/>
      <x:c r="D180" s="373"/>
      <x:c r="E180" s="373"/>
      <x:c r="F180" s="373"/>
      <x:c r="G180" s="373"/>
      <x:c r="H180" s="373"/>
      <x:c r="I180" s="373"/>
      <x:c r="J180" s="373"/>
      <x:c r="K180" s="373"/>
      <x:c r="L180" s="373"/>
      <x:c r="M180" s="373"/>
      <x:c r="N180" s="373"/>
      <x:c r="O180" s="373"/>
      <x:c r="P180" s="373"/>
      <x:c r="Q180" s="373"/>
      <x:c r="R180" s="373"/>
      <x:c r="S180" s="373"/>
      <x:c r="T180" s="373"/>
      <x:c r="U180" s="373"/>
      <x:c r="V180" s="373"/>
      <x:c r="W180" s="373"/>
      <x:c r="X180" s="373"/>
      <x:c r="Y180" s="373"/>
      <x:c r="Z180" s="373"/>
    </x:row>
    <x:row r="181">
      <x:c r="A181" s="373"/>
      <x:c r="B181" s="373"/>
      <x:c r="C181" s="373"/>
      <x:c r="D181" s="373"/>
      <x:c r="E181" s="373"/>
      <x:c r="F181" s="373"/>
      <x:c r="G181" s="373"/>
      <x:c r="H181" s="373"/>
      <x:c r="I181" s="373"/>
      <x:c r="J181" s="373"/>
      <x:c r="K181" s="373"/>
      <x:c r="L181" s="373"/>
      <x:c r="M181" s="373"/>
      <x:c r="N181" s="373"/>
      <x:c r="O181" s="373"/>
      <x:c r="P181" s="373"/>
      <x:c r="Q181" s="373"/>
      <x:c r="R181" s="373"/>
      <x:c r="S181" s="373"/>
      <x:c r="T181" s="373"/>
      <x:c r="U181" s="373"/>
      <x:c r="V181" s="373"/>
      <x:c r="W181" s="373"/>
      <x:c r="X181" s="373"/>
      <x:c r="Y181" s="373"/>
      <x:c r="Z181" s="373"/>
    </x:row>
    <x:row r="182">
      <x:c r="A182" s="373"/>
      <x:c r="B182" s="373"/>
      <x:c r="C182" s="373"/>
      <x:c r="D182" s="373"/>
      <x:c r="E182" s="373"/>
      <x:c r="F182" s="373"/>
      <x:c r="G182" s="373"/>
      <x:c r="H182" s="373"/>
      <x:c r="I182" s="373"/>
      <x:c r="J182" s="373"/>
      <x:c r="K182" s="373"/>
      <x:c r="L182" s="373"/>
      <x:c r="M182" s="373"/>
      <x:c r="N182" s="373"/>
      <x:c r="O182" s="373"/>
      <x:c r="P182" s="373"/>
      <x:c r="Q182" s="373"/>
      <x:c r="R182" s="373"/>
      <x:c r="S182" s="373"/>
      <x:c r="T182" s="373"/>
      <x:c r="U182" s="373"/>
      <x:c r="V182" s="373"/>
      <x:c r="W182" s="373"/>
      <x:c r="X182" s="373"/>
      <x:c r="Y182" s="373"/>
      <x:c r="Z182" s="373"/>
    </x:row>
    <x:row r="183">
      <x:c r="A183" s="373"/>
      <x:c r="B183" s="373"/>
      <x:c r="C183" s="373"/>
      <x:c r="D183" s="373"/>
      <x:c r="E183" s="373"/>
      <x:c r="F183" s="373"/>
      <x:c r="G183" s="373"/>
      <x:c r="H183" s="373"/>
      <x:c r="I183" s="373"/>
      <x:c r="J183" s="373"/>
      <x:c r="K183" s="373"/>
      <x:c r="L183" s="373"/>
      <x:c r="M183" s="373"/>
      <x:c r="N183" s="373"/>
      <x:c r="O183" s="373"/>
      <x:c r="P183" s="373"/>
      <x:c r="Q183" s="373"/>
      <x:c r="R183" s="373"/>
      <x:c r="S183" s="373"/>
      <x:c r="T183" s="373"/>
      <x:c r="U183" s="373"/>
      <x:c r="V183" s="373"/>
      <x:c r="W183" s="373"/>
      <x:c r="X183" s="373"/>
      <x:c r="Y183" s="373"/>
      <x:c r="Z183" s="373"/>
    </x:row>
    <x:row r="184">
      <x:c r="A184" s="373"/>
      <x:c r="B184" s="373"/>
      <x:c r="C184" s="373"/>
      <x:c r="D184" s="373"/>
      <x:c r="E184" s="373"/>
      <x:c r="F184" s="373"/>
      <x:c r="G184" s="373"/>
      <x:c r="H184" s="373"/>
      <x:c r="I184" s="373"/>
      <x:c r="J184" s="373"/>
      <x:c r="K184" s="373"/>
      <x:c r="L184" s="373"/>
      <x:c r="M184" s="373"/>
      <x:c r="N184" s="373"/>
      <x:c r="O184" s="373"/>
      <x:c r="P184" s="373"/>
      <x:c r="Q184" s="373"/>
      <x:c r="R184" s="373"/>
      <x:c r="S184" s="373"/>
      <x:c r="T184" s="373"/>
      <x:c r="U184" s="373"/>
      <x:c r="V184" s="373"/>
      <x:c r="W184" s="373"/>
      <x:c r="X184" s="373"/>
      <x:c r="Y184" s="373"/>
      <x:c r="Z184" s="373"/>
    </x:row>
    <x:row r="185">
      <x:c r="A185" s="373"/>
      <x:c r="B185" s="373"/>
      <x:c r="C185" s="373"/>
      <x:c r="D185" s="373"/>
      <x:c r="E185" s="373"/>
      <x:c r="F185" s="373"/>
      <x:c r="G185" s="373"/>
      <x:c r="H185" s="373"/>
      <x:c r="I185" s="373"/>
      <x:c r="J185" s="373"/>
      <x:c r="K185" s="373"/>
      <x:c r="L185" s="373"/>
      <x:c r="M185" s="373"/>
      <x:c r="N185" s="373"/>
      <x:c r="O185" s="373"/>
      <x:c r="P185" s="373"/>
      <x:c r="Q185" s="373"/>
      <x:c r="R185" s="373"/>
      <x:c r="S185" s="373"/>
      <x:c r="T185" s="373"/>
      <x:c r="U185" s="373"/>
      <x:c r="V185" s="373"/>
      <x:c r="W185" s="373"/>
      <x:c r="X185" s="373"/>
      <x:c r="Y185" s="373"/>
      <x:c r="Z185" s="373"/>
    </x:row>
    <x:row r="186">
      <x:c r="A186" s="373"/>
      <x:c r="B186" s="373"/>
      <x:c r="C186" s="373"/>
      <x:c r="D186" s="373"/>
      <x:c r="E186" s="373"/>
      <x:c r="F186" s="373"/>
      <x:c r="G186" s="373"/>
      <x:c r="H186" s="373"/>
      <x:c r="I186" s="373"/>
      <x:c r="J186" s="373"/>
      <x:c r="K186" s="373"/>
      <x:c r="L186" s="373"/>
      <x:c r="M186" s="373"/>
      <x:c r="N186" s="373"/>
      <x:c r="O186" s="373"/>
      <x:c r="P186" s="373"/>
      <x:c r="Q186" s="373"/>
      <x:c r="R186" s="373"/>
      <x:c r="S186" s="373"/>
      <x:c r="T186" s="373"/>
      <x:c r="U186" s="373"/>
      <x:c r="V186" s="373"/>
      <x:c r="W186" s="373"/>
      <x:c r="X186" s="373"/>
      <x:c r="Y186" s="373"/>
      <x:c r="Z186" s="373"/>
    </x:row>
    <x:row r="187">
      <x:c r="A187" s="373"/>
      <x:c r="B187" s="373"/>
      <x:c r="C187" s="373"/>
      <x:c r="D187" s="373"/>
      <x:c r="E187" s="373"/>
      <x:c r="F187" s="373"/>
      <x:c r="G187" s="373"/>
      <x:c r="H187" s="373"/>
      <x:c r="I187" s="373"/>
      <x:c r="J187" s="373"/>
      <x:c r="K187" s="373"/>
      <x:c r="L187" s="373"/>
      <x:c r="M187" s="373"/>
      <x:c r="N187" s="373"/>
      <x:c r="O187" s="373"/>
      <x:c r="P187" s="373"/>
      <x:c r="Q187" s="373"/>
      <x:c r="R187" s="373"/>
      <x:c r="S187" s="373"/>
      <x:c r="T187" s="373"/>
      <x:c r="U187" s="373"/>
      <x:c r="V187" s="373"/>
      <x:c r="W187" s="373"/>
      <x:c r="X187" s="373"/>
      <x:c r="Y187" s="373"/>
      <x:c r="Z187" s="373"/>
    </x:row>
    <x:row r="188">
      <x:c r="A188" s="373"/>
      <x:c r="B188" s="373"/>
      <x:c r="C188" s="373"/>
      <x:c r="D188" s="373"/>
      <x:c r="E188" s="373"/>
      <x:c r="F188" s="373"/>
      <x:c r="G188" s="373"/>
      <x:c r="H188" s="373"/>
      <x:c r="I188" s="373"/>
      <x:c r="J188" s="373"/>
      <x:c r="K188" s="373"/>
      <x:c r="L188" s="373"/>
      <x:c r="M188" s="373"/>
      <x:c r="N188" s="373"/>
      <x:c r="O188" s="373"/>
      <x:c r="P188" s="373"/>
      <x:c r="Q188" s="373"/>
      <x:c r="R188" s="373"/>
      <x:c r="S188" s="373"/>
      <x:c r="T188" s="373"/>
      <x:c r="U188" s="373"/>
      <x:c r="V188" s="373"/>
      <x:c r="W188" s="373"/>
      <x:c r="X188" s="373"/>
      <x:c r="Y188" s="373"/>
      <x:c r="Z188" s="373"/>
    </x:row>
    <x:row r="189">
      <x:c r="A189" s="373"/>
      <x:c r="B189" s="373"/>
      <x:c r="C189" s="373"/>
      <x:c r="D189" s="373"/>
      <x:c r="E189" s="373"/>
      <x:c r="F189" s="373"/>
      <x:c r="G189" s="373"/>
      <x:c r="H189" s="373"/>
      <x:c r="I189" s="373"/>
      <x:c r="J189" s="373"/>
      <x:c r="K189" s="373"/>
      <x:c r="L189" s="373"/>
      <x:c r="M189" s="373"/>
      <x:c r="N189" s="373"/>
      <x:c r="O189" s="373"/>
      <x:c r="P189" s="373"/>
      <x:c r="Q189" s="373"/>
      <x:c r="R189" s="373"/>
      <x:c r="S189" s="373"/>
      <x:c r="T189" s="373"/>
      <x:c r="U189" s="373"/>
      <x:c r="V189" s="373"/>
      <x:c r="W189" s="373"/>
      <x:c r="X189" s="373"/>
      <x:c r="Y189" s="373"/>
      <x:c r="Z189" s="373"/>
    </x:row>
    <x:row r="190">
      <x:c r="A190" s="373"/>
      <x:c r="B190" s="373"/>
      <x:c r="C190" s="373"/>
      <x:c r="D190" s="373"/>
      <x:c r="E190" s="373"/>
      <x:c r="F190" s="373"/>
      <x:c r="G190" s="373"/>
      <x:c r="H190" s="373"/>
      <x:c r="I190" s="373"/>
      <x:c r="J190" s="373"/>
      <x:c r="K190" s="373"/>
      <x:c r="L190" s="373"/>
      <x:c r="M190" s="373"/>
      <x:c r="N190" s="373"/>
      <x:c r="O190" s="373"/>
      <x:c r="P190" s="373"/>
      <x:c r="Q190" s="373"/>
      <x:c r="R190" s="373"/>
      <x:c r="S190" s="373"/>
      <x:c r="T190" s="373"/>
      <x:c r="U190" s="373"/>
      <x:c r="V190" s="373"/>
      <x:c r="W190" s="373"/>
      <x:c r="X190" s="373"/>
      <x:c r="Y190" s="373"/>
      <x:c r="Z190" s="373"/>
    </x:row>
    <x:row r="191">
      <x:c r="A191" s="373"/>
      <x:c r="B191" s="373"/>
      <x:c r="C191" s="373"/>
      <x:c r="D191" s="373"/>
      <x:c r="E191" s="373"/>
      <x:c r="F191" s="373"/>
      <x:c r="G191" s="373"/>
      <x:c r="H191" s="373"/>
      <x:c r="I191" s="373"/>
      <x:c r="J191" s="373"/>
      <x:c r="K191" s="373"/>
      <x:c r="L191" s="373"/>
      <x:c r="M191" s="373"/>
      <x:c r="N191" s="373"/>
      <x:c r="O191" s="373"/>
      <x:c r="P191" s="373"/>
      <x:c r="Q191" s="373"/>
      <x:c r="R191" s="373"/>
      <x:c r="S191" s="373"/>
      <x:c r="T191" s="373"/>
      <x:c r="U191" s="373"/>
      <x:c r="V191" s="373"/>
      <x:c r="W191" s="373"/>
      <x:c r="X191" s="373"/>
      <x:c r="Y191" s="373"/>
      <x:c r="Z191" s="373"/>
    </x:row>
    <x:row r="192">
      <x:c r="A192" s="373"/>
      <x:c r="B192" s="373"/>
      <x:c r="C192" s="373"/>
      <x:c r="D192" s="373"/>
      <x:c r="E192" s="373"/>
      <x:c r="F192" s="373"/>
      <x:c r="G192" s="373"/>
      <x:c r="H192" s="373"/>
      <x:c r="I192" s="373"/>
      <x:c r="J192" s="373"/>
      <x:c r="K192" s="373"/>
      <x:c r="L192" s="373"/>
      <x:c r="M192" s="373"/>
      <x:c r="N192" s="373"/>
      <x:c r="O192" s="373"/>
      <x:c r="P192" s="373"/>
      <x:c r="Q192" s="373"/>
      <x:c r="R192" s="373"/>
      <x:c r="S192" s="373"/>
      <x:c r="T192" s="373"/>
      <x:c r="U192" s="373"/>
      <x:c r="V192" s="373"/>
      <x:c r="W192" s="373"/>
      <x:c r="X192" s="373"/>
      <x:c r="Y192" s="373"/>
      <x:c r="Z192" s="373"/>
    </x:row>
    <x:row r="193">
      <x:c r="A193" s="373"/>
      <x:c r="B193" s="373"/>
      <x:c r="C193" s="373"/>
      <x:c r="D193" s="373"/>
      <x:c r="E193" s="373"/>
      <x:c r="F193" s="373"/>
      <x:c r="G193" s="373"/>
      <x:c r="H193" s="373"/>
      <x:c r="I193" s="373"/>
      <x:c r="J193" s="373"/>
      <x:c r="K193" s="373"/>
      <x:c r="L193" s="373"/>
      <x:c r="M193" s="373"/>
      <x:c r="N193" s="373"/>
      <x:c r="O193" s="373"/>
      <x:c r="P193" s="373"/>
      <x:c r="Q193" s="373"/>
      <x:c r="R193" s="373"/>
      <x:c r="S193" s="373"/>
      <x:c r="T193" s="373"/>
      <x:c r="U193" s="373"/>
      <x:c r="V193" s="373"/>
      <x:c r="W193" s="373"/>
      <x:c r="X193" s="373"/>
      <x:c r="Y193" s="373"/>
      <x:c r="Z193" s="373"/>
    </x:row>
    <x:row r="194">
      <x:c r="A194" s="373"/>
      <x:c r="B194" s="373"/>
      <x:c r="C194" s="373"/>
      <x:c r="D194" s="373"/>
      <x:c r="E194" s="373"/>
      <x:c r="F194" s="373"/>
      <x:c r="G194" s="373"/>
      <x:c r="H194" s="373"/>
      <x:c r="I194" s="373"/>
      <x:c r="J194" s="373"/>
      <x:c r="K194" s="373"/>
      <x:c r="L194" s="373"/>
      <x:c r="M194" s="373"/>
      <x:c r="N194" s="373"/>
      <x:c r="O194" s="373"/>
      <x:c r="P194" s="373"/>
      <x:c r="Q194" s="373"/>
      <x:c r="R194" s="373"/>
      <x:c r="S194" s="373"/>
      <x:c r="T194" s="373"/>
      <x:c r="U194" s="373"/>
      <x:c r="V194" s="373"/>
      <x:c r="W194" s="373"/>
      <x:c r="X194" s="373"/>
      <x:c r="Y194" s="373"/>
      <x:c r="Z194" s="373"/>
    </x:row>
    <x:row r="195">
      <x:c r="A195" s="373"/>
      <x:c r="B195" s="373"/>
      <x:c r="C195" s="373"/>
      <x:c r="D195" s="373"/>
      <x:c r="E195" s="373"/>
      <x:c r="F195" s="373"/>
      <x:c r="G195" s="373"/>
      <x:c r="H195" s="373"/>
      <x:c r="I195" s="373"/>
      <x:c r="J195" s="373"/>
      <x:c r="K195" s="373"/>
      <x:c r="L195" s="373"/>
      <x:c r="M195" s="373"/>
      <x:c r="N195" s="373"/>
      <x:c r="O195" s="373"/>
      <x:c r="P195" s="373"/>
      <x:c r="Q195" s="373"/>
      <x:c r="R195" s="373"/>
      <x:c r="S195" s="373"/>
      <x:c r="T195" s="373"/>
      <x:c r="U195" s="373"/>
      <x:c r="V195" s="373"/>
      <x:c r="W195" s="373"/>
      <x:c r="X195" s="373"/>
      <x:c r="Y195" s="373"/>
      <x:c r="Z195" s="373"/>
    </x:row>
    <x:row r="196">
      <x:c r="A196" s="373"/>
      <x:c r="B196" s="373"/>
      <x:c r="C196" s="373"/>
      <x:c r="D196" s="373"/>
      <x:c r="E196" s="373"/>
      <x:c r="F196" s="373"/>
      <x:c r="G196" s="373"/>
      <x:c r="H196" s="373"/>
      <x:c r="I196" s="373"/>
      <x:c r="J196" s="373"/>
      <x:c r="K196" s="373"/>
      <x:c r="L196" s="373"/>
      <x:c r="M196" s="373"/>
      <x:c r="N196" s="373"/>
      <x:c r="O196" s="373"/>
      <x:c r="P196" s="373"/>
      <x:c r="Q196" s="373"/>
      <x:c r="R196" s="373"/>
      <x:c r="S196" s="373"/>
      <x:c r="T196" s="373"/>
      <x:c r="U196" s="373"/>
      <x:c r="V196" s="373"/>
      <x:c r="W196" s="373"/>
      <x:c r="X196" s="373"/>
      <x:c r="Y196" s="373"/>
      <x:c r="Z196" s="373"/>
    </x:row>
    <x:row r="197">
      <x:c r="A197" s="373"/>
      <x:c r="B197" s="373"/>
      <x:c r="C197" s="373"/>
      <x:c r="D197" s="373"/>
      <x:c r="E197" s="373"/>
      <x:c r="F197" s="373"/>
      <x:c r="G197" s="373"/>
      <x:c r="H197" s="373"/>
      <x:c r="I197" s="373"/>
      <x:c r="J197" s="373"/>
      <x:c r="K197" s="373"/>
      <x:c r="L197" s="373"/>
      <x:c r="M197" s="373"/>
      <x:c r="N197" s="373"/>
      <x:c r="O197" s="373"/>
      <x:c r="P197" s="373"/>
      <x:c r="Q197" s="373"/>
      <x:c r="R197" s="373"/>
      <x:c r="S197" s="373"/>
      <x:c r="T197" s="373"/>
      <x:c r="U197" s="373"/>
      <x:c r="V197" s="373"/>
      <x:c r="W197" s="373"/>
      <x:c r="X197" s="373"/>
      <x:c r="Y197" s="373"/>
      <x:c r="Z197" s="373"/>
    </x:row>
    <x:row r="198">
      <x:c r="A198" s="373"/>
      <x:c r="B198" s="373"/>
      <x:c r="C198" s="373"/>
      <x:c r="D198" s="373"/>
      <x:c r="E198" s="373"/>
      <x:c r="F198" s="373"/>
      <x:c r="G198" s="373"/>
      <x:c r="H198" s="373"/>
      <x:c r="I198" s="373"/>
      <x:c r="J198" s="373"/>
      <x:c r="K198" s="373"/>
      <x:c r="L198" s="373"/>
      <x:c r="M198" s="373"/>
      <x:c r="N198" s="373"/>
      <x:c r="O198" s="373"/>
      <x:c r="P198" s="373"/>
      <x:c r="Q198" s="373"/>
      <x:c r="R198" s="373"/>
      <x:c r="S198" s="373"/>
      <x:c r="T198" s="373"/>
      <x:c r="U198" s="373"/>
      <x:c r="V198" s="373"/>
      <x:c r="W198" s="373"/>
      <x:c r="X198" s="373"/>
      <x:c r="Y198" s="373"/>
      <x:c r="Z198" s="373"/>
    </x:row>
    <x:row r="199">
      <x:c r="A199" s="373"/>
      <x:c r="B199" s="373"/>
      <x:c r="C199" s="373"/>
      <x:c r="D199" s="373"/>
      <x:c r="E199" s="373"/>
      <x:c r="F199" s="373"/>
      <x:c r="G199" s="373"/>
      <x:c r="H199" s="373"/>
      <x:c r="I199" s="373"/>
      <x:c r="J199" s="373"/>
      <x:c r="K199" s="373"/>
      <x:c r="L199" s="373"/>
      <x:c r="M199" s="373"/>
      <x:c r="N199" s="373"/>
      <x:c r="O199" s="373"/>
      <x:c r="P199" s="373"/>
      <x:c r="Q199" s="373"/>
      <x:c r="R199" s="373"/>
      <x:c r="S199" s="373"/>
      <x:c r="T199" s="373"/>
      <x:c r="U199" s="373"/>
      <x:c r="V199" s="373"/>
      <x:c r="W199" s="373"/>
      <x:c r="X199" s="373"/>
      <x:c r="Y199" s="373"/>
      <x:c r="Z199" s="373"/>
    </x:row>
    <x:row r="200">
      <x:c r="A200" s="373"/>
      <x:c r="B200" s="373"/>
      <x:c r="C200" s="373"/>
      <x:c r="D200" s="373"/>
      <x:c r="E200" s="373"/>
      <x:c r="F200" s="373"/>
      <x:c r="G200" s="373"/>
      <x:c r="H200" s="373"/>
      <x:c r="I200" s="373"/>
      <x:c r="J200" s="373"/>
      <x:c r="K200" s="373"/>
      <x:c r="L200" s="373"/>
      <x:c r="M200" s="373"/>
      <x:c r="N200" s="373"/>
      <x:c r="O200" s="373"/>
      <x:c r="P200" s="373"/>
      <x:c r="Q200" s="373"/>
      <x:c r="R200" s="373"/>
      <x:c r="S200" s="373"/>
      <x:c r="T200" s="373"/>
      <x:c r="U200" s="373"/>
      <x:c r="V200" s="373"/>
      <x:c r="W200" s="373"/>
      <x:c r="X200" s="373"/>
      <x:c r="Y200" s="373"/>
      <x:c r="Z200" s="373"/>
    </x:row>
    <x:row r="201">
      <x:c r="A201" s="373"/>
      <x:c r="B201" s="373"/>
      <x:c r="C201" s="373"/>
      <x:c r="D201" s="373"/>
      <x:c r="E201" s="373"/>
      <x:c r="F201" s="373"/>
      <x:c r="G201" s="373"/>
      <x:c r="H201" s="373"/>
      <x:c r="I201" s="373"/>
      <x:c r="J201" s="373"/>
      <x:c r="K201" s="373"/>
      <x:c r="L201" s="373"/>
      <x:c r="M201" s="373"/>
      <x:c r="N201" s="373"/>
      <x:c r="O201" s="373"/>
      <x:c r="P201" s="373"/>
      <x:c r="Q201" s="373"/>
      <x:c r="R201" s="373"/>
      <x:c r="S201" s="373"/>
      <x:c r="T201" s="373"/>
      <x:c r="U201" s="373"/>
      <x:c r="V201" s="373"/>
      <x:c r="W201" s="373"/>
      <x:c r="X201" s="373"/>
      <x:c r="Y201" s="373"/>
      <x:c r="Z201" s="373"/>
    </x:row>
    <x:row r="202">
      <x:c r="A202" s="373"/>
      <x:c r="B202" s="373"/>
      <x:c r="C202" s="373"/>
      <x:c r="D202" s="373"/>
      <x:c r="E202" s="373"/>
      <x:c r="F202" s="373"/>
      <x:c r="G202" s="373"/>
      <x:c r="H202" s="373"/>
      <x:c r="I202" s="373"/>
      <x:c r="J202" s="373"/>
      <x:c r="K202" s="373"/>
      <x:c r="L202" s="373"/>
      <x:c r="M202" s="373"/>
      <x:c r="N202" s="373"/>
      <x:c r="O202" s="373"/>
      <x:c r="P202" s="373"/>
      <x:c r="Q202" s="373"/>
      <x:c r="R202" s="373"/>
      <x:c r="S202" s="373"/>
      <x:c r="T202" s="373"/>
      <x:c r="U202" s="373"/>
      <x:c r="V202" s="373"/>
      <x:c r="W202" s="373"/>
      <x:c r="X202" s="373"/>
      <x:c r="Y202" s="373"/>
      <x:c r="Z202" s="373"/>
    </x:row>
    <x:row r="203">
      <x:c r="A203" s="373"/>
      <x:c r="B203" s="373"/>
      <x:c r="C203" s="373"/>
      <x:c r="D203" s="373"/>
      <x:c r="E203" s="373"/>
      <x:c r="F203" s="373"/>
      <x:c r="G203" s="373"/>
      <x:c r="H203" s="373"/>
      <x:c r="I203" s="373"/>
      <x:c r="J203" s="373"/>
      <x:c r="K203" s="373"/>
      <x:c r="L203" s="373"/>
      <x:c r="M203" s="373"/>
      <x:c r="N203" s="373"/>
      <x:c r="O203" s="373"/>
      <x:c r="P203" s="373"/>
      <x:c r="Q203" s="373"/>
      <x:c r="R203" s="373"/>
      <x:c r="S203" s="373"/>
      <x:c r="T203" s="373"/>
      <x:c r="U203" s="373"/>
      <x:c r="V203" s="373"/>
      <x:c r="W203" s="373"/>
      <x:c r="X203" s="373"/>
      <x:c r="Y203" s="373"/>
      <x:c r="Z203" s="373"/>
    </x:row>
    <x:row r="204">
      <x:c r="A204" s="373"/>
      <x:c r="B204" s="373"/>
      <x:c r="C204" s="373"/>
      <x:c r="D204" s="373"/>
      <x:c r="E204" s="373"/>
      <x:c r="F204" s="373"/>
      <x:c r="G204" s="373"/>
      <x:c r="H204" s="373"/>
      <x:c r="I204" s="373"/>
      <x:c r="J204" s="373"/>
      <x:c r="K204" s="373"/>
      <x:c r="L204" s="373"/>
      <x:c r="M204" s="373"/>
      <x:c r="N204" s="373"/>
      <x:c r="O204" s="373"/>
      <x:c r="P204" s="373"/>
      <x:c r="Q204" s="373"/>
      <x:c r="R204" s="373"/>
      <x:c r="S204" s="373"/>
      <x:c r="T204" s="373"/>
      <x:c r="U204" s="373"/>
      <x:c r="V204" s="373"/>
      <x:c r="W204" s="373"/>
      <x:c r="X204" s="373"/>
      <x:c r="Y204" s="373"/>
      <x:c r="Z204" s="373"/>
    </x:row>
    <x:row r="205">
      <x:c r="A205" s="373"/>
      <x:c r="B205" s="373"/>
      <x:c r="C205" s="373"/>
      <x:c r="D205" s="373"/>
      <x:c r="E205" s="373"/>
      <x:c r="F205" s="373"/>
      <x:c r="G205" s="373"/>
      <x:c r="H205" s="373"/>
      <x:c r="I205" s="373"/>
      <x:c r="J205" s="373"/>
      <x:c r="K205" s="373"/>
      <x:c r="L205" s="373"/>
      <x:c r="M205" s="373"/>
      <x:c r="N205" s="373"/>
      <x:c r="O205" s="373"/>
      <x:c r="P205" s="373"/>
      <x:c r="Q205" s="373"/>
      <x:c r="R205" s="373"/>
      <x:c r="S205" s="373"/>
      <x:c r="T205" s="373"/>
      <x:c r="U205" s="373"/>
      <x:c r="V205" s="373"/>
      <x:c r="W205" s="373"/>
      <x:c r="X205" s="373"/>
      <x:c r="Y205" s="373"/>
      <x:c r="Z205" s="373"/>
    </x:row>
    <x:row r="206">
      <x:c r="A206" s="373"/>
      <x:c r="B206" s="373"/>
      <x:c r="C206" s="373"/>
      <x:c r="D206" s="373"/>
      <x:c r="E206" s="373"/>
      <x:c r="F206" s="373"/>
      <x:c r="G206" s="373"/>
      <x:c r="H206" s="373"/>
      <x:c r="I206" s="373"/>
      <x:c r="J206" s="373"/>
      <x:c r="K206" s="373"/>
      <x:c r="L206" s="373"/>
      <x:c r="M206" s="373"/>
      <x:c r="N206" s="373"/>
      <x:c r="O206" s="373"/>
      <x:c r="P206" s="373"/>
      <x:c r="Q206" s="373"/>
      <x:c r="R206" s="373"/>
      <x:c r="S206" s="373"/>
      <x:c r="T206" s="373"/>
      <x:c r="U206" s="373"/>
      <x:c r="V206" s="373"/>
      <x:c r="W206" s="373"/>
      <x:c r="X206" s="373"/>
      <x:c r="Y206" s="373"/>
      <x:c r="Z206" s="373"/>
    </x:row>
    <x:row r="207">
      <x:c r="A207" s="373"/>
      <x:c r="B207" s="373"/>
      <x:c r="C207" s="373"/>
      <x:c r="D207" s="373"/>
      <x:c r="E207" s="373"/>
      <x:c r="F207" s="373"/>
      <x:c r="G207" s="373"/>
      <x:c r="H207" s="373"/>
      <x:c r="I207" s="373"/>
      <x:c r="J207" s="373"/>
      <x:c r="K207" s="373"/>
      <x:c r="L207" s="373"/>
      <x:c r="M207" s="373"/>
      <x:c r="N207" s="373"/>
      <x:c r="O207" s="373"/>
      <x:c r="P207" s="373"/>
      <x:c r="Q207" s="373"/>
      <x:c r="R207" s="373"/>
      <x:c r="S207" s="373"/>
      <x:c r="T207" s="373"/>
      <x:c r="U207" s="373"/>
      <x:c r="V207" s="373"/>
      <x:c r="W207" s="373"/>
      <x:c r="X207" s="373"/>
      <x:c r="Y207" s="373"/>
      <x:c r="Z207" s="373"/>
    </x:row>
    <x:row r="208">
      <x:c r="A208" s="373"/>
      <x:c r="B208" s="373"/>
      <x:c r="C208" s="373"/>
      <x:c r="D208" s="373"/>
      <x:c r="E208" s="373"/>
      <x:c r="F208" s="373"/>
      <x:c r="G208" s="373"/>
      <x:c r="H208" s="373"/>
      <x:c r="I208" s="373"/>
      <x:c r="J208" s="373"/>
      <x:c r="K208" s="373"/>
      <x:c r="L208" s="373"/>
      <x:c r="M208" s="373"/>
      <x:c r="N208" s="373"/>
      <x:c r="O208" s="373"/>
      <x:c r="P208" s="373"/>
      <x:c r="Q208" s="373"/>
      <x:c r="R208" s="373"/>
      <x:c r="S208" s="373"/>
      <x:c r="T208" s="373"/>
      <x:c r="U208" s="373"/>
      <x:c r="V208" s="373"/>
      <x:c r="W208" s="373"/>
      <x:c r="X208" s="373"/>
      <x:c r="Y208" s="373"/>
      <x:c r="Z208" s="373"/>
    </x:row>
    <x:row r="209">
      <x:c r="A209" s="373"/>
      <x:c r="B209" s="373"/>
      <x:c r="C209" s="373"/>
      <x:c r="D209" s="373"/>
      <x:c r="E209" s="373"/>
      <x:c r="F209" s="373"/>
      <x:c r="G209" s="373"/>
      <x:c r="H209" s="373"/>
      <x:c r="I209" s="373"/>
      <x:c r="J209" s="373"/>
      <x:c r="K209" s="373"/>
      <x:c r="L209" s="373"/>
      <x:c r="M209" s="373"/>
      <x:c r="N209" s="373"/>
      <x:c r="O209" s="373"/>
      <x:c r="P209" s="373"/>
      <x:c r="Q209" s="373"/>
      <x:c r="R209" s="373"/>
      <x:c r="S209" s="373"/>
      <x:c r="T209" s="373"/>
      <x:c r="U209" s="373"/>
      <x:c r="V209" s="373"/>
      <x:c r="W209" s="373"/>
      <x:c r="X209" s="373"/>
      <x:c r="Y209" s="373"/>
      <x:c r="Z209" s="373"/>
    </x:row>
    <x:row r="210">
      <x:c r="A210" s="373"/>
      <x:c r="B210" s="373"/>
      <x:c r="C210" s="373"/>
      <x:c r="D210" s="373"/>
      <x:c r="E210" s="373"/>
      <x:c r="F210" s="373"/>
      <x:c r="G210" s="373"/>
      <x:c r="H210" s="373"/>
      <x:c r="I210" s="373"/>
      <x:c r="J210" s="373"/>
      <x:c r="K210" s="373"/>
      <x:c r="L210" s="373"/>
      <x:c r="M210" s="373"/>
      <x:c r="N210" s="373"/>
      <x:c r="O210" s="373"/>
      <x:c r="P210" s="373"/>
      <x:c r="Q210" s="373"/>
      <x:c r="R210" s="373"/>
      <x:c r="S210" s="373"/>
      <x:c r="T210" s="373"/>
      <x:c r="U210" s="373"/>
      <x:c r="V210" s="373"/>
      <x:c r="W210" s="373"/>
      <x:c r="X210" s="373"/>
      <x:c r="Y210" s="373"/>
      <x:c r="Z210" s="373"/>
    </x:row>
    <x:row r="211">
      <x:c r="A211" s="373"/>
      <x:c r="B211" s="373"/>
      <x:c r="C211" s="373"/>
      <x:c r="D211" s="373"/>
      <x:c r="E211" s="373"/>
      <x:c r="F211" s="373"/>
      <x:c r="G211" s="373"/>
      <x:c r="H211" s="373"/>
      <x:c r="I211" s="373"/>
      <x:c r="J211" s="373"/>
      <x:c r="K211" s="373"/>
      <x:c r="L211" s="373"/>
      <x:c r="M211" s="373"/>
      <x:c r="N211" s="373"/>
      <x:c r="O211" s="373"/>
      <x:c r="P211" s="373"/>
      <x:c r="Q211" s="373"/>
      <x:c r="R211" s="373"/>
      <x:c r="S211" s="373"/>
      <x:c r="T211" s="373"/>
      <x:c r="U211" s="373"/>
      <x:c r="V211" s="373"/>
      <x:c r="W211" s="373"/>
      <x:c r="X211" s="373"/>
      <x:c r="Y211" s="373"/>
      <x:c r="Z211" s="373"/>
    </x:row>
    <x:row r="212">
      <x:c r="A212" s="373"/>
      <x:c r="B212" s="373"/>
      <x:c r="C212" s="373"/>
      <x:c r="D212" s="373"/>
      <x:c r="E212" s="373"/>
      <x:c r="F212" s="373"/>
      <x:c r="G212" s="373"/>
      <x:c r="H212" s="373"/>
      <x:c r="I212" s="373"/>
      <x:c r="J212" s="373"/>
      <x:c r="K212" s="373"/>
      <x:c r="L212" s="373"/>
      <x:c r="M212" s="373"/>
      <x:c r="N212" s="373"/>
      <x:c r="O212" s="373"/>
      <x:c r="P212" s="373"/>
      <x:c r="Q212" s="373"/>
      <x:c r="R212" s="373"/>
      <x:c r="S212" s="373"/>
      <x:c r="T212" s="373"/>
      <x:c r="U212" s="373"/>
      <x:c r="V212" s="373"/>
      <x:c r="W212" s="373"/>
      <x:c r="X212" s="373"/>
      <x:c r="Y212" s="373"/>
      <x:c r="Z212" s="373"/>
    </x:row>
    <x:row r="213">
      <x:c r="A213" s="373"/>
      <x:c r="B213" s="373"/>
      <x:c r="C213" s="373"/>
      <x:c r="D213" s="373"/>
      <x:c r="E213" s="373"/>
      <x:c r="F213" s="373"/>
      <x:c r="G213" s="373"/>
      <x:c r="H213" s="373"/>
      <x:c r="I213" s="373"/>
      <x:c r="J213" s="373"/>
      <x:c r="K213" s="373"/>
      <x:c r="L213" s="373"/>
      <x:c r="M213" s="373"/>
      <x:c r="N213" s="373"/>
      <x:c r="O213" s="373"/>
      <x:c r="P213" s="373"/>
      <x:c r="Q213" s="373"/>
      <x:c r="R213" s="373"/>
      <x:c r="S213" s="373"/>
      <x:c r="T213" s="373"/>
      <x:c r="U213" s="373"/>
      <x:c r="V213" s="373"/>
      <x:c r="W213" s="373"/>
      <x:c r="X213" s="373"/>
      <x:c r="Y213" s="373"/>
      <x:c r="Z213" s="373"/>
    </x:row>
    <x:row r="214">
      <x:c r="A214" s="373"/>
      <x:c r="B214" s="373"/>
      <x:c r="C214" s="373"/>
      <x:c r="D214" s="373"/>
      <x:c r="E214" s="373"/>
      <x:c r="F214" s="373"/>
      <x:c r="G214" s="373"/>
      <x:c r="H214" s="373"/>
      <x:c r="I214" s="373"/>
      <x:c r="J214" s="373"/>
      <x:c r="K214" s="373"/>
      <x:c r="L214" s="373"/>
      <x:c r="M214" s="373"/>
      <x:c r="N214" s="373"/>
      <x:c r="O214" s="373"/>
      <x:c r="P214" s="373"/>
      <x:c r="Q214" s="373"/>
      <x:c r="R214" s="373"/>
      <x:c r="S214" s="373"/>
      <x:c r="T214" s="373"/>
      <x:c r="U214" s="373"/>
      <x:c r="V214" s="373"/>
      <x:c r="W214" s="373"/>
      <x:c r="X214" s="373"/>
      <x:c r="Y214" s="373"/>
      <x:c r="Z214" s="373"/>
    </x:row>
    <x:row r="215">
      <x:c r="A215" s="373"/>
      <x:c r="B215" s="373"/>
      <x:c r="C215" s="373"/>
      <x:c r="D215" s="373"/>
      <x:c r="E215" s="373"/>
      <x:c r="F215" s="373"/>
      <x:c r="G215" s="373"/>
      <x:c r="H215" s="373"/>
      <x:c r="I215" s="373"/>
      <x:c r="J215" s="373"/>
      <x:c r="K215" s="373"/>
      <x:c r="L215" s="373"/>
      <x:c r="M215" s="373"/>
      <x:c r="N215" s="373"/>
      <x:c r="O215" s="373"/>
      <x:c r="P215" s="373"/>
      <x:c r="Q215" s="373"/>
      <x:c r="R215" s="373"/>
      <x:c r="S215" s="373"/>
      <x:c r="T215" s="373"/>
      <x:c r="U215" s="373"/>
      <x:c r="V215" s="373"/>
      <x:c r="W215" s="373"/>
      <x:c r="X215" s="373"/>
      <x:c r="Y215" s="373"/>
      <x:c r="Z215" s="373"/>
    </x:row>
    <x:row r="216">
      <x:c r="A216" s="373"/>
      <x:c r="B216" s="373"/>
      <x:c r="C216" s="373"/>
      <x:c r="D216" s="373"/>
      <x:c r="E216" s="373"/>
      <x:c r="F216" s="373"/>
      <x:c r="G216" s="373"/>
      <x:c r="H216" s="373"/>
      <x:c r="I216" s="373"/>
      <x:c r="J216" s="373"/>
      <x:c r="K216" s="373"/>
      <x:c r="L216" s="373"/>
      <x:c r="M216" s="373"/>
      <x:c r="N216" s="373"/>
      <x:c r="O216" s="373"/>
      <x:c r="P216" s="373"/>
      <x:c r="Q216" s="373"/>
      <x:c r="R216" s="373"/>
      <x:c r="S216" s="373"/>
      <x:c r="T216" s="373"/>
      <x:c r="U216" s="373"/>
      <x:c r="V216" s="373"/>
      <x:c r="W216" s="373"/>
      <x:c r="X216" s="373"/>
      <x:c r="Y216" s="373"/>
      <x:c r="Z216" s="373"/>
    </x:row>
    <x:row r="217">
      <x:c r="A217" s="373"/>
      <x:c r="B217" s="373"/>
      <x:c r="C217" s="373"/>
      <x:c r="D217" s="373"/>
      <x:c r="E217" s="373"/>
      <x:c r="F217" s="373"/>
      <x:c r="G217" s="373"/>
      <x:c r="H217" s="373"/>
      <x:c r="I217" s="373"/>
      <x:c r="J217" s="373"/>
      <x:c r="K217" s="373"/>
      <x:c r="L217" s="373"/>
      <x:c r="M217" s="373"/>
      <x:c r="N217" s="373"/>
      <x:c r="O217" s="373"/>
      <x:c r="P217" s="373"/>
      <x:c r="Q217" s="373"/>
      <x:c r="R217" s="373"/>
      <x:c r="S217" s="373"/>
      <x:c r="T217" s="373"/>
      <x:c r="U217" s="373"/>
      <x:c r="V217" s="373"/>
      <x:c r="W217" s="373"/>
      <x:c r="X217" s="373"/>
      <x:c r="Y217" s="373"/>
      <x:c r="Z217" s="373"/>
    </x:row>
    <x:row r="218">
      <x:c r="A218" s="373"/>
      <x:c r="B218" s="373"/>
      <x:c r="C218" s="373"/>
      <x:c r="D218" s="373"/>
      <x:c r="E218" s="373"/>
      <x:c r="F218" s="373"/>
      <x:c r="G218" s="373"/>
      <x:c r="H218" s="373"/>
      <x:c r="I218" s="373"/>
      <x:c r="J218" s="373"/>
      <x:c r="K218" s="373"/>
      <x:c r="L218" s="373"/>
      <x:c r="M218" s="373"/>
      <x:c r="N218" s="373"/>
      <x:c r="O218" s="373"/>
      <x:c r="P218" s="373"/>
      <x:c r="Q218" s="373"/>
      <x:c r="R218" s="373"/>
      <x:c r="S218" s="373"/>
      <x:c r="T218" s="373"/>
      <x:c r="U218" s="373"/>
      <x:c r="V218" s="373"/>
      <x:c r="W218" s="373"/>
      <x:c r="X218" s="373"/>
      <x:c r="Y218" s="373"/>
      <x:c r="Z218" s="373"/>
    </x:row>
    <x:row r="219">
      <x:c r="A219" s="373"/>
      <x:c r="B219" s="373"/>
      <x:c r="C219" s="373"/>
      <x:c r="D219" s="373"/>
      <x:c r="E219" s="373"/>
      <x:c r="F219" s="373"/>
      <x:c r="G219" s="373"/>
      <x:c r="H219" s="373"/>
      <x:c r="I219" s="373"/>
      <x:c r="J219" s="373"/>
      <x:c r="K219" s="373"/>
      <x:c r="L219" s="373"/>
      <x:c r="M219" s="373"/>
      <x:c r="N219" s="373"/>
      <x:c r="O219" s="373"/>
      <x:c r="P219" s="373"/>
      <x:c r="Q219" s="373"/>
      <x:c r="R219" s="373"/>
      <x:c r="S219" s="373"/>
      <x:c r="T219" s="373"/>
      <x:c r="U219" s="373"/>
      <x:c r="V219" s="373"/>
      <x:c r="W219" s="373"/>
      <x:c r="X219" s="373"/>
      <x:c r="Y219" s="373"/>
      <x:c r="Z219" s="373"/>
    </x:row>
    <x:row r="220">
      <x:c r="A220" s="373"/>
      <x:c r="B220" s="373"/>
      <x:c r="C220" s="373"/>
      <x:c r="D220" s="373"/>
      <x:c r="E220" s="373"/>
      <x:c r="F220" s="373"/>
      <x:c r="G220" s="373"/>
      <x:c r="H220" s="373"/>
      <x:c r="I220" s="373"/>
      <x:c r="J220" s="373"/>
      <x:c r="K220" s="373"/>
      <x:c r="L220" s="373"/>
      <x:c r="M220" s="373"/>
      <x:c r="N220" s="373"/>
      <x:c r="O220" s="373"/>
      <x:c r="P220" s="373"/>
      <x:c r="Q220" s="373"/>
      <x:c r="R220" s="373"/>
      <x:c r="S220" s="373"/>
      <x:c r="T220" s="373"/>
      <x:c r="U220" s="373"/>
      <x:c r="V220" s="373"/>
      <x:c r="W220" s="373"/>
      <x:c r="X220" s="373"/>
      <x:c r="Y220" s="373"/>
      <x:c r="Z220" s="373"/>
    </x:row>
    <x:row r="221">
      <x:c r="A221" s="373"/>
      <x:c r="B221" s="373"/>
      <x:c r="C221" s="373"/>
      <x:c r="D221" s="373"/>
      <x:c r="E221" s="373"/>
      <x:c r="F221" s="373"/>
      <x:c r="G221" s="373"/>
      <x:c r="H221" s="373"/>
      <x:c r="I221" s="373"/>
      <x:c r="J221" s="373"/>
      <x:c r="K221" s="373"/>
      <x:c r="L221" s="373"/>
      <x:c r="M221" s="373"/>
      <x:c r="N221" s="373"/>
      <x:c r="O221" s="373"/>
      <x:c r="P221" s="373"/>
      <x:c r="Q221" s="373"/>
      <x:c r="R221" s="373"/>
      <x:c r="S221" s="373"/>
      <x:c r="T221" s="373"/>
      <x:c r="U221" s="373"/>
      <x:c r="V221" s="373"/>
      <x:c r="W221" s="373"/>
      <x:c r="X221" s="373"/>
      <x:c r="Y221" s="373"/>
      <x:c r="Z221" s="373"/>
    </x:row>
    <x:row r="222">
      <x:c r="A222" s="373"/>
      <x:c r="B222" s="373"/>
      <x:c r="C222" s="373"/>
      <x:c r="D222" s="373"/>
      <x:c r="E222" s="373"/>
      <x:c r="F222" s="373"/>
      <x:c r="G222" s="373"/>
      <x:c r="H222" s="373"/>
      <x:c r="I222" s="373"/>
      <x:c r="J222" s="373"/>
      <x:c r="K222" s="373"/>
      <x:c r="L222" s="373"/>
      <x:c r="M222" s="373"/>
      <x:c r="N222" s="373"/>
      <x:c r="O222" s="373"/>
      <x:c r="P222" s="373"/>
      <x:c r="Q222" s="373"/>
      <x:c r="R222" s="373"/>
      <x:c r="S222" s="373"/>
      <x:c r="T222" s="373"/>
      <x:c r="U222" s="373"/>
      <x:c r="V222" s="373"/>
      <x:c r="W222" s="373"/>
      <x:c r="X222" s="373"/>
      <x:c r="Y222" s="373"/>
      <x:c r="Z222" s="373"/>
    </x:row>
    <x:row r="223">
      <x:c r="A223" s="373"/>
      <x:c r="B223" s="373"/>
      <x:c r="C223" s="373"/>
      <x:c r="D223" s="373"/>
      <x:c r="E223" s="373"/>
      <x:c r="F223" s="373"/>
      <x:c r="G223" s="373"/>
      <x:c r="H223" s="373"/>
      <x:c r="I223" s="373"/>
      <x:c r="J223" s="373"/>
      <x:c r="K223" s="373"/>
      <x:c r="L223" s="373"/>
      <x:c r="M223" s="373"/>
      <x:c r="N223" s="373"/>
      <x:c r="O223" s="373"/>
      <x:c r="P223" s="373"/>
      <x:c r="Q223" s="373"/>
      <x:c r="R223" s="373"/>
      <x:c r="S223" s="373"/>
      <x:c r="T223" s="373"/>
      <x:c r="U223" s="373"/>
      <x:c r="V223" s="373"/>
      <x:c r="W223" s="373"/>
      <x:c r="X223" s="373"/>
      <x:c r="Y223" s="373"/>
      <x:c r="Z223" s="373"/>
    </x:row>
    <x:row r="224">
      <x:c r="A224" s="373"/>
      <x:c r="B224" s="373"/>
      <x:c r="C224" s="373"/>
      <x:c r="D224" s="373"/>
      <x:c r="E224" s="373"/>
      <x:c r="F224" s="373"/>
      <x:c r="G224" s="373"/>
      <x:c r="H224" s="373"/>
      <x:c r="I224" s="373"/>
      <x:c r="J224" s="373"/>
      <x:c r="K224" s="373"/>
      <x:c r="L224" s="373"/>
      <x:c r="M224" s="373"/>
      <x:c r="N224" s="373"/>
      <x:c r="O224" s="373"/>
      <x:c r="P224" s="373"/>
      <x:c r="Q224" s="373"/>
      <x:c r="R224" s="373"/>
      <x:c r="S224" s="373"/>
      <x:c r="T224" s="373"/>
      <x:c r="U224" s="373"/>
      <x:c r="V224" s="373"/>
      <x:c r="W224" s="373"/>
      <x:c r="X224" s="373"/>
      <x:c r="Y224" s="373"/>
      <x:c r="Z224" s="373"/>
    </x:row>
    <x:row r="225">
      <x:c r="A225" s="373"/>
      <x:c r="B225" s="373"/>
      <x:c r="C225" s="373"/>
      <x:c r="D225" s="373"/>
      <x:c r="E225" s="373"/>
      <x:c r="F225" s="373"/>
      <x:c r="G225" s="373"/>
      <x:c r="H225" s="373"/>
      <x:c r="I225" s="373"/>
      <x:c r="J225" s="373"/>
      <x:c r="K225" s="373"/>
      <x:c r="L225" s="373"/>
      <x:c r="M225" s="373"/>
      <x:c r="N225" s="373"/>
      <x:c r="O225" s="373"/>
      <x:c r="P225" s="373"/>
      <x:c r="Q225" s="373"/>
      <x:c r="R225" s="373"/>
      <x:c r="S225" s="373"/>
      <x:c r="T225" s="373"/>
      <x:c r="U225" s="373"/>
      <x:c r="V225" s="373"/>
      <x:c r="W225" s="373"/>
      <x:c r="X225" s="373"/>
      <x:c r="Y225" s="373"/>
      <x:c r="Z225" s="373"/>
    </x:row>
    <x:row r="226">
      <x:c r="A226" s="373"/>
      <x:c r="B226" s="373"/>
      <x:c r="C226" s="373"/>
      <x:c r="D226" s="373"/>
      <x:c r="E226" s="373"/>
      <x:c r="F226" s="373"/>
      <x:c r="G226" s="373"/>
      <x:c r="H226" s="373"/>
      <x:c r="I226" s="373"/>
      <x:c r="J226" s="373"/>
      <x:c r="K226" s="373"/>
      <x:c r="L226" s="373"/>
      <x:c r="M226" s="373"/>
      <x:c r="N226" s="373"/>
      <x:c r="O226" s="373"/>
      <x:c r="P226" s="373"/>
      <x:c r="Q226" s="373"/>
      <x:c r="R226" s="373"/>
      <x:c r="S226" s="373"/>
      <x:c r="T226" s="373"/>
      <x:c r="U226" s="373"/>
      <x:c r="V226" s="373"/>
      <x:c r="W226" s="373"/>
      <x:c r="X226" s="373"/>
      <x:c r="Y226" s="373"/>
      <x:c r="Z226" s="373"/>
    </x:row>
    <x:row r="227">
      <x:c r="A227" s="373"/>
      <x:c r="B227" s="373"/>
      <x:c r="C227" s="373"/>
      <x:c r="D227" s="373"/>
      <x:c r="E227" s="373"/>
      <x:c r="F227" s="373"/>
      <x:c r="G227" s="373"/>
      <x:c r="H227" s="373"/>
      <x:c r="I227" s="373"/>
      <x:c r="J227" s="373"/>
      <x:c r="K227" s="373"/>
      <x:c r="L227" s="373"/>
      <x:c r="M227" s="373"/>
      <x:c r="N227" s="373"/>
      <x:c r="O227" s="373"/>
      <x:c r="P227" s="373"/>
      <x:c r="Q227" s="373"/>
      <x:c r="R227" s="373"/>
      <x:c r="S227" s="373"/>
      <x:c r="T227" s="373"/>
      <x:c r="U227" s="373"/>
      <x:c r="V227" s="373"/>
      <x:c r="W227" s="373"/>
      <x:c r="X227" s="373"/>
      <x:c r="Y227" s="373"/>
      <x:c r="Z227" s="373"/>
    </x:row>
    <x:row r="228">
      <x:c r="A228" s="373"/>
      <x:c r="B228" s="373"/>
      <x:c r="C228" s="373"/>
      <x:c r="D228" s="373"/>
      <x:c r="E228" s="373"/>
      <x:c r="F228" s="373"/>
      <x:c r="G228" s="373"/>
      <x:c r="H228" s="373"/>
      <x:c r="I228" s="373"/>
      <x:c r="J228" s="373"/>
      <x:c r="K228" s="373"/>
      <x:c r="L228" s="373"/>
      <x:c r="M228" s="373"/>
      <x:c r="N228" s="373"/>
      <x:c r="O228" s="373"/>
      <x:c r="P228" s="373"/>
      <x:c r="Q228" s="373"/>
      <x:c r="R228" s="373"/>
      <x:c r="S228" s="373"/>
      <x:c r="T228" s="373"/>
      <x:c r="U228" s="373"/>
      <x:c r="V228" s="373"/>
      <x:c r="W228" s="373"/>
      <x:c r="X228" s="373"/>
      <x:c r="Y228" s="373"/>
      <x:c r="Z228" s="373"/>
    </x:row>
    <x:row r="229">
      <x:c r="A229" s="373"/>
      <x:c r="B229" s="373"/>
      <x:c r="C229" s="373"/>
      <x:c r="D229" s="373"/>
      <x:c r="E229" s="373"/>
      <x:c r="F229" s="373"/>
      <x:c r="G229" s="373"/>
      <x:c r="H229" s="373"/>
      <x:c r="I229" s="373"/>
      <x:c r="J229" s="373"/>
      <x:c r="K229" s="373"/>
      <x:c r="L229" s="373"/>
      <x:c r="M229" s="373"/>
      <x:c r="N229" s="373"/>
      <x:c r="O229" s="373"/>
      <x:c r="P229" s="373"/>
      <x:c r="Q229" s="373"/>
      <x:c r="R229" s="373"/>
      <x:c r="S229" s="373"/>
      <x:c r="T229" s="373"/>
      <x:c r="U229" s="373"/>
      <x:c r="V229" s="373"/>
      <x:c r="W229" s="373"/>
      <x:c r="X229" s="373"/>
      <x:c r="Y229" s="373"/>
      <x:c r="Z229" s="373"/>
    </x:row>
    <x:row r="230">
      <x:c r="A230" s="373"/>
      <x:c r="B230" s="373"/>
      <x:c r="C230" s="373"/>
      <x:c r="D230" s="373"/>
      <x:c r="E230" s="373"/>
      <x:c r="F230" s="373"/>
      <x:c r="G230" s="373"/>
      <x:c r="H230" s="373"/>
      <x:c r="I230" s="373"/>
      <x:c r="J230" s="373"/>
      <x:c r="K230" s="373"/>
      <x:c r="L230" s="373"/>
      <x:c r="M230" s="373"/>
      <x:c r="N230" s="373"/>
      <x:c r="O230" s="373"/>
      <x:c r="P230" s="373"/>
      <x:c r="Q230" s="373"/>
      <x:c r="R230" s="373"/>
      <x:c r="S230" s="373"/>
      <x:c r="T230" s="373"/>
      <x:c r="U230" s="373"/>
      <x:c r="V230" s="373"/>
      <x:c r="W230" s="373"/>
      <x:c r="X230" s="373"/>
      <x:c r="Y230" s="373"/>
      <x:c r="Z230" s="373"/>
    </x:row>
    <x:row r="231">
      <x:c r="A231" s="373"/>
      <x:c r="B231" s="373"/>
      <x:c r="C231" s="373"/>
      <x:c r="D231" s="373"/>
      <x:c r="E231" s="373"/>
      <x:c r="F231" s="373"/>
      <x:c r="G231" s="373"/>
      <x:c r="H231" s="373"/>
      <x:c r="I231" s="373"/>
      <x:c r="J231" s="373"/>
      <x:c r="K231" s="373"/>
      <x:c r="L231" s="373"/>
      <x:c r="M231" s="373"/>
      <x:c r="N231" s="373"/>
      <x:c r="O231" s="373"/>
      <x:c r="P231" s="373"/>
      <x:c r="Q231" s="373"/>
      <x:c r="R231" s="373"/>
      <x:c r="S231" s="373"/>
      <x:c r="T231" s="373"/>
      <x:c r="U231" s="373"/>
      <x:c r="V231" s="373"/>
      <x:c r="W231" s="373"/>
      <x:c r="X231" s="373"/>
      <x:c r="Y231" s="373"/>
      <x:c r="Z231" s="373"/>
    </x:row>
    <x:row r="232">
      <x:c r="A232" s="373"/>
      <x:c r="B232" s="373"/>
      <x:c r="C232" s="373"/>
      <x:c r="D232" s="373"/>
      <x:c r="E232" s="373"/>
      <x:c r="F232" s="373"/>
      <x:c r="G232" s="373"/>
      <x:c r="H232" s="373"/>
      <x:c r="I232" s="373"/>
      <x:c r="J232" s="373"/>
      <x:c r="K232" s="373"/>
      <x:c r="L232" s="373"/>
      <x:c r="M232" s="373"/>
      <x:c r="N232" s="373"/>
      <x:c r="O232" s="373"/>
      <x:c r="P232" s="373"/>
      <x:c r="Q232" s="373"/>
      <x:c r="R232" s="373"/>
      <x:c r="S232" s="373"/>
      <x:c r="T232" s="373"/>
      <x:c r="U232" s="373"/>
      <x:c r="V232" s="373"/>
      <x:c r="W232" s="373"/>
      <x:c r="X232" s="373"/>
      <x:c r="Y232" s="373"/>
      <x:c r="Z232" s="373"/>
    </x:row>
    <x:row r="233">
      <x:c r="A233" s="373"/>
      <x:c r="B233" s="373"/>
      <x:c r="C233" s="373"/>
      <x:c r="D233" s="373"/>
      <x:c r="E233" s="373"/>
      <x:c r="F233" s="373"/>
      <x:c r="G233" s="373"/>
      <x:c r="H233" s="373"/>
      <x:c r="I233" s="373"/>
      <x:c r="J233" s="373"/>
      <x:c r="K233" s="373"/>
      <x:c r="L233" s="373"/>
      <x:c r="M233" s="373"/>
      <x:c r="N233" s="373"/>
      <x:c r="O233" s="373"/>
      <x:c r="P233" s="373"/>
      <x:c r="Q233" s="373"/>
      <x:c r="R233" s="373"/>
      <x:c r="S233" s="373"/>
      <x:c r="T233" s="373"/>
      <x:c r="U233" s="373"/>
      <x:c r="V233" s="373"/>
      <x:c r="W233" s="373"/>
      <x:c r="X233" s="373"/>
      <x:c r="Y233" s="373"/>
      <x:c r="Z233" s="373"/>
    </x:row>
    <x:row r="234">
      <x:c r="A234" s="373"/>
      <x:c r="B234" s="373"/>
      <x:c r="C234" s="373"/>
      <x:c r="D234" s="373"/>
      <x:c r="E234" s="373"/>
      <x:c r="F234" s="373"/>
      <x:c r="G234" s="373"/>
      <x:c r="H234" s="373"/>
      <x:c r="I234" s="373"/>
      <x:c r="J234" s="373"/>
      <x:c r="K234" s="373"/>
      <x:c r="L234" s="373"/>
      <x:c r="M234" s="373"/>
      <x:c r="N234" s="373"/>
      <x:c r="O234" s="373"/>
      <x:c r="P234" s="373"/>
      <x:c r="Q234" s="373"/>
      <x:c r="R234" s="373"/>
      <x:c r="S234" s="373"/>
      <x:c r="T234" s="373"/>
      <x:c r="U234" s="373"/>
      <x:c r="V234" s="373"/>
      <x:c r="W234" s="373"/>
      <x:c r="X234" s="373"/>
      <x:c r="Y234" s="373"/>
      <x:c r="Z234" s="373"/>
    </x:row>
    <x:row r="235">
      <x:c r="A235" s="373"/>
      <x:c r="B235" s="373"/>
      <x:c r="C235" s="373"/>
      <x:c r="D235" s="373"/>
      <x:c r="E235" s="373"/>
      <x:c r="F235" s="373"/>
      <x:c r="G235" s="373"/>
      <x:c r="H235" s="373"/>
      <x:c r="I235" s="373"/>
      <x:c r="J235" s="373"/>
      <x:c r="K235" s="373"/>
      <x:c r="L235" s="373"/>
      <x:c r="M235" s="373"/>
      <x:c r="N235" s="373"/>
      <x:c r="O235" s="373"/>
      <x:c r="P235" s="373"/>
      <x:c r="Q235" s="373"/>
      <x:c r="R235" s="373"/>
      <x:c r="S235" s="373"/>
      <x:c r="T235" s="373"/>
      <x:c r="U235" s="373"/>
      <x:c r="V235" s="373"/>
      <x:c r="W235" s="373"/>
      <x:c r="X235" s="373"/>
      <x:c r="Y235" s="373"/>
      <x:c r="Z235" s="373"/>
    </x:row>
    <x:row r="236">
      <x:c r="A236" s="373"/>
      <x:c r="B236" s="373"/>
      <x:c r="C236" s="373"/>
      <x:c r="D236" s="373"/>
      <x:c r="E236" s="373"/>
      <x:c r="F236" s="373"/>
      <x:c r="G236" s="373"/>
      <x:c r="H236" s="373"/>
      <x:c r="I236" s="373"/>
      <x:c r="J236" s="373"/>
      <x:c r="K236" s="373"/>
      <x:c r="L236" s="373"/>
      <x:c r="M236" s="373"/>
      <x:c r="N236" s="373"/>
      <x:c r="O236" s="373"/>
      <x:c r="P236" s="373"/>
      <x:c r="Q236" s="373"/>
      <x:c r="R236" s="373"/>
      <x:c r="S236" s="373"/>
      <x:c r="T236" s="373"/>
      <x:c r="U236" s="373"/>
      <x:c r="V236" s="373"/>
      <x:c r="W236" s="373"/>
      <x:c r="X236" s="373"/>
      <x:c r="Y236" s="373"/>
      <x:c r="Z236" s="373"/>
    </x:row>
    <x:row r="237">
      <x:c r="A237" s="373"/>
      <x:c r="B237" s="373"/>
      <x:c r="C237" s="373"/>
      <x:c r="D237" s="373"/>
      <x:c r="E237" s="373"/>
      <x:c r="F237" s="373"/>
      <x:c r="G237" s="373"/>
      <x:c r="H237" s="373"/>
      <x:c r="I237" s="373"/>
      <x:c r="J237" s="373"/>
      <x:c r="K237" s="373"/>
      <x:c r="L237" s="373"/>
      <x:c r="M237" s="373"/>
      <x:c r="N237" s="373"/>
      <x:c r="O237" s="373"/>
      <x:c r="P237" s="373"/>
      <x:c r="Q237" s="373"/>
      <x:c r="R237" s="373"/>
      <x:c r="S237" s="373"/>
      <x:c r="T237" s="373"/>
      <x:c r="U237" s="373"/>
      <x:c r="V237" s="373"/>
      <x:c r="W237" s="373"/>
      <x:c r="X237" s="373"/>
      <x:c r="Y237" s="373"/>
      <x:c r="Z237" s="373"/>
    </x:row>
    <x:row r="238">
      <x:c r="A238" s="373"/>
      <x:c r="B238" s="373"/>
      <x:c r="C238" s="373"/>
      <x:c r="D238" s="373"/>
      <x:c r="E238" s="373"/>
      <x:c r="F238" s="373"/>
      <x:c r="G238" s="373"/>
      <x:c r="H238" s="373"/>
      <x:c r="I238" s="373"/>
      <x:c r="J238" s="373"/>
      <x:c r="K238" s="373"/>
      <x:c r="L238" s="373"/>
      <x:c r="M238" s="373"/>
      <x:c r="N238" s="373"/>
      <x:c r="O238" s="373"/>
      <x:c r="P238" s="373"/>
      <x:c r="Q238" s="373"/>
      <x:c r="R238" s="373"/>
      <x:c r="S238" s="373"/>
      <x:c r="T238" s="373"/>
      <x:c r="U238" s="373"/>
      <x:c r="V238" s="373"/>
      <x:c r="W238" s="373"/>
      <x:c r="X238" s="373"/>
      <x:c r="Y238" s="373"/>
      <x:c r="Z238" s="373"/>
    </x:row>
    <x:row r="239">
      <x:c r="A239" s="373"/>
      <x:c r="B239" s="373"/>
      <x:c r="C239" s="373"/>
      <x:c r="D239" s="373"/>
      <x:c r="E239" s="373"/>
      <x:c r="F239" s="373"/>
      <x:c r="G239" s="373"/>
      <x:c r="H239" s="373"/>
      <x:c r="I239" s="373"/>
      <x:c r="J239" s="373"/>
      <x:c r="K239" s="373"/>
      <x:c r="L239" s="373"/>
      <x:c r="M239" s="373"/>
      <x:c r="N239" s="373"/>
      <x:c r="O239" s="373"/>
      <x:c r="P239" s="373"/>
      <x:c r="Q239" s="373"/>
      <x:c r="R239" s="373"/>
      <x:c r="S239" s="373"/>
      <x:c r="T239" s="373"/>
      <x:c r="U239" s="373"/>
      <x:c r="V239" s="373"/>
      <x:c r="W239" s="373"/>
      <x:c r="X239" s="373"/>
      <x:c r="Y239" s="373"/>
      <x:c r="Z239" s="373"/>
    </x:row>
    <x:row r="240">
      <x:c r="A240" s="373"/>
      <x:c r="B240" s="373"/>
      <x:c r="C240" s="373"/>
      <x:c r="D240" s="373"/>
      <x:c r="E240" s="373"/>
      <x:c r="F240" s="373"/>
      <x:c r="G240" s="373"/>
      <x:c r="H240" s="373"/>
      <x:c r="I240" s="373"/>
      <x:c r="J240" s="373"/>
      <x:c r="K240" s="373"/>
      <x:c r="L240" s="373"/>
      <x:c r="M240" s="373"/>
      <x:c r="N240" s="373"/>
      <x:c r="O240" s="373"/>
      <x:c r="P240" s="373"/>
      <x:c r="Q240" s="373"/>
      <x:c r="R240" s="373"/>
      <x:c r="S240" s="373"/>
      <x:c r="T240" s="373"/>
      <x:c r="U240" s="373"/>
      <x:c r="V240" s="373"/>
      <x:c r="W240" s="373"/>
      <x:c r="X240" s="373"/>
      <x:c r="Y240" s="373"/>
      <x:c r="Z240" s="373"/>
    </x:row>
    <x:row r="241">
      <x:c r="A241" s="373"/>
      <x:c r="B241" s="373"/>
      <x:c r="C241" s="373"/>
      <x:c r="D241" s="373"/>
      <x:c r="E241" s="373"/>
      <x:c r="F241" s="373"/>
      <x:c r="G241" s="373"/>
      <x:c r="H241" s="373"/>
      <x:c r="I241" s="373"/>
      <x:c r="J241" s="373"/>
      <x:c r="K241" s="373"/>
      <x:c r="L241" s="373"/>
      <x:c r="M241" s="373"/>
      <x:c r="N241" s="373"/>
      <x:c r="O241" s="373"/>
      <x:c r="P241" s="373"/>
      <x:c r="Q241" s="373"/>
      <x:c r="R241" s="373"/>
      <x:c r="S241" s="373"/>
      <x:c r="T241" s="373"/>
      <x:c r="U241" s="373"/>
      <x:c r="V241" s="373"/>
      <x:c r="W241" s="373"/>
      <x:c r="X241" s="373"/>
      <x:c r="Y241" s="373"/>
      <x:c r="Z241" s="373"/>
    </x:row>
    <x:row r="242">
      <x:c r="A242" s="373"/>
      <x:c r="B242" s="373"/>
      <x:c r="C242" s="373"/>
      <x:c r="D242" s="373"/>
      <x:c r="E242" s="373"/>
      <x:c r="F242" s="373"/>
      <x:c r="G242" s="373"/>
      <x:c r="H242" s="373"/>
      <x:c r="I242" s="373"/>
      <x:c r="J242" s="373"/>
      <x:c r="K242" s="373"/>
      <x:c r="L242" s="373"/>
      <x:c r="M242" s="373"/>
      <x:c r="N242" s="373"/>
      <x:c r="O242" s="373"/>
      <x:c r="P242" s="373"/>
      <x:c r="Q242" s="373"/>
      <x:c r="R242" s="373"/>
      <x:c r="S242" s="373"/>
      <x:c r="T242" s="373"/>
      <x:c r="U242" s="373"/>
      <x:c r="V242" s="373"/>
      <x:c r="W242" s="373"/>
      <x:c r="X242" s="373"/>
      <x:c r="Y242" s="373"/>
      <x:c r="Z242" s="373"/>
    </x:row>
    <x:row r="243">
      <x:c r="A243" s="373"/>
      <x:c r="B243" s="373"/>
      <x:c r="C243" s="373"/>
      <x:c r="D243" s="373"/>
      <x:c r="E243" s="373"/>
      <x:c r="F243" s="373"/>
      <x:c r="G243" s="373"/>
      <x:c r="H243" s="373"/>
      <x:c r="I243" s="373"/>
      <x:c r="J243" s="373"/>
      <x:c r="K243" s="373"/>
      <x:c r="L243" s="373"/>
      <x:c r="M243" s="373"/>
      <x:c r="N243" s="373"/>
      <x:c r="O243" s="373"/>
      <x:c r="P243" s="373"/>
      <x:c r="Q243" s="373"/>
      <x:c r="R243" s="373"/>
      <x:c r="S243" s="373"/>
      <x:c r="T243" s="373"/>
      <x:c r="U243" s="373"/>
      <x:c r="V243" s="373"/>
      <x:c r="W243" s="373"/>
      <x:c r="X243" s="373"/>
      <x:c r="Y243" s="373"/>
      <x:c r="Z243" s="373"/>
    </x:row>
    <x:row r="244">
      <x:c r="A244" s="373"/>
      <x:c r="B244" s="373"/>
      <x:c r="C244" s="373"/>
      <x:c r="D244" s="373"/>
      <x:c r="E244" s="373"/>
      <x:c r="F244" s="373"/>
      <x:c r="G244" s="373"/>
      <x:c r="H244" s="373"/>
      <x:c r="I244" s="373"/>
      <x:c r="J244" s="373"/>
      <x:c r="K244" s="373"/>
      <x:c r="L244" s="373"/>
      <x:c r="M244" s="373"/>
      <x:c r="N244" s="373"/>
      <x:c r="O244" s="373"/>
      <x:c r="P244" s="373"/>
      <x:c r="Q244" s="373"/>
      <x:c r="R244" s="373"/>
      <x:c r="S244" s="373"/>
      <x:c r="T244" s="373"/>
      <x:c r="U244" s="373"/>
      <x:c r="V244" s="373"/>
      <x:c r="W244" s="373"/>
      <x:c r="X244" s="373"/>
      <x:c r="Y244" s="373"/>
      <x:c r="Z244" s="373"/>
    </x:row>
    <x:row r="245">
      <x:c r="A245" s="373"/>
      <x:c r="B245" s="373"/>
      <x:c r="C245" s="373"/>
      <x:c r="D245" s="373"/>
      <x:c r="E245" s="373"/>
      <x:c r="F245" s="373"/>
      <x:c r="G245" s="373"/>
      <x:c r="H245" s="373"/>
      <x:c r="I245" s="373"/>
      <x:c r="J245" s="373"/>
      <x:c r="K245" s="373"/>
      <x:c r="L245" s="373"/>
      <x:c r="M245" s="373"/>
      <x:c r="N245" s="373"/>
      <x:c r="O245" s="373"/>
      <x:c r="P245" s="373"/>
      <x:c r="Q245" s="373"/>
      <x:c r="R245" s="373"/>
      <x:c r="S245" s="373"/>
      <x:c r="T245" s="373"/>
      <x:c r="U245" s="373"/>
      <x:c r="V245" s="373"/>
      <x:c r="W245" s="373"/>
      <x:c r="X245" s="373"/>
      <x:c r="Y245" s="373"/>
      <x:c r="Z245" s="373"/>
    </x:row>
    <x:row r="246">
      <x:c r="A246" s="373"/>
      <x:c r="B246" s="373"/>
      <x:c r="C246" s="373"/>
      <x:c r="D246" s="373"/>
      <x:c r="E246" s="373"/>
      <x:c r="F246" s="373"/>
      <x:c r="G246" s="373"/>
      <x:c r="H246" s="373"/>
      <x:c r="I246" s="373"/>
      <x:c r="J246" s="373"/>
      <x:c r="K246" s="373"/>
      <x:c r="L246" s="373"/>
      <x:c r="M246" s="373"/>
      <x:c r="N246" s="373"/>
      <x:c r="O246" s="373"/>
      <x:c r="P246" s="373"/>
      <x:c r="Q246" s="373"/>
      <x:c r="R246" s="373"/>
      <x:c r="S246" s="373"/>
      <x:c r="T246" s="373"/>
      <x:c r="U246" s="373"/>
      <x:c r="V246" s="373"/>
      <x:c r="W246" s="373"/>
      <x:c r="X246" s="373"/>
      <x:c r="Y246" s="373"/>
      <x:c r="Z246" s="373"/>
    </x:row>
    <x:row r="247">
      <x:c r="A247" s="373"/>
      <x:c r="B247" s="373"/>
      <x:c r="C247" s="373"/>
      <x:c r="D247" s="373"/>
      <x:c r="E247" s="373"/>
      <x:c r="F247" s="373"/>
      <x:c r="G247" s="373"/>
      <x:c r="H247" s="373"/>
      <x:c r="I247" s="373"/>
      <x:c r="J247" s="373"/>
      <x:c r="K247" s="373"/>
      <x:c r="L247" s="373"/>
      <x:c r="M247" s="373"/>
      <x:c r="N247" s="373"/>
      <x:c r="O247" s="373"/>
      <x:c r="P247" s="373"/>
      <x:c r="Q247" s="373"/>
      <x:c r="R247" s="373"/>
      <x:c r="S247" s="373"/>
      <x:c r="T247" s="373"/>
      <x:c r="U247" s="373"/>
      <x:c r="V247" s="373"/>
      <x:c r="W247" s="373"/>
      <x:c r="X247" s="373"/>
      <x:c r="Y247" s="373"/>
      <x:c r="Z247" s="373"/>
    </x:row>
    <x:row r="248">
      <x:c r="A248" s="373"/>
      <x:c r="B248" s="373"/>
      <x:c r="C248" s="373"/>
      <x:c r="D248" s="373"/>
      <x:c r="E248" s="373"/>
      <x:c r="F248" s="373"/>
      <x:c r="G248" s="373"/>
      <x:c r="H248" s="373"/>
      <x:c r="I248" s="373"/>
      <x:c r="J248" s="373"/>
      <x:c r="K248" s="373"/>
      <x:c r="L248" s="373"/>
      <x:c r="M248" s="373"/>
      <x:c r="N248" s="373"/>
      <x:c r="O248" s="373"/>
      <x:c r="P248" s="373"/>
      <x:c r="Q248" s="373"/>
      <x:c r="R248" s="373"/>
      <x:c r="S248" s="373"/>
      <x:c r="T248" s="373"/>
      <x:c r="U248" s="373"/>
      <x:c r="V248" s="373"/>
      <x:c r="W248" s="373"/>
      <x:c r="X248" s="373"/>
      <x:c r="Y248" s="373"/>
      <x:c r="Z248" s="373"/>
    </x:row>
    <x:row r="249">
      <x:c r="A249" s="373"/>
      <x:c r="B249" s="373"/>
      <x:c r="C249" s="373"/>
      <x:c r="D249" s="373"/>
      <x:c r="E249" s="373"/>
      <x:c r="F249" s="373"/>
      <x:c r="G249" s="373"/>
      <x:c r="H249" s="373"/>
      <x:c r="I249" s="373"/>
      <x:c r="J249" s="373"/>
      <x:c r="K249" s="373"/>
      <x:c r="L249" s="373"/>
      <x:c r="M249" s="373"/>
      <x:c r="N249" s="373"/>
      <x:c r="O249" s="373"/>
      <x:c r="P249" s="373"/>
      <x:c r="Q249" s="373"/>
      <x:c r="R249" s="373"/>
      <x:c r="S249" s="373"/>
      <x:c r="T249" s="373"/>
      <x:c r="U249" s="373"/>
      <x:c r="V249" s="373"/>
      <x:c r="W249" s="373"/>
      <x:c r="X249" s="373"/>
      <x:c r="Y249" s="373"/>
      <x:c r="Z249" s="373"/>
    </x:row>
    <x:row r="250">
      <x:c r="A250" s="373"/>
      <x:c r="B250" s="373"/>
      <x:c r="C250" s="373"/>
      <x:c r="D250" s="373"/>
      <x:c r="E250" s="373"/>
      <x:c r="F250" s="373"/>
      <x:c r="G250" s="373"/>
      <x:c r="H250" s="373"/>
      <x:c r="I250" s="373"/>
      <x:c r="J250" s="373"/>
      <x:c r="K250" s="373"/>
      <x:c r="L250" s="373"/>
      <x:c r="M250" s="373"/>
      <x:c r="N250" s="373"/>
      <x:c r="O250" s="373"/>
      <x:c r="P250" s="373"/>
      <x:c r="Q250" s="373"/>
      <x:c r="R250" s="373"/>
      <x:c r="S250" s="373"/>
      <x:c r="T250" s="373"/>
      <x:c r="U250" s="373"/>
      <x:c r="V250" s="373"/>
      <x:c r="W250" s="373"/>
      <x:c r="X250" s="373"/>
      <x:c r="Y250" s="373"/>
      <x:c r="Z250" s="373"/>
    </x:row>
    <x:row r="251">
      <x:c r="A251" s="373"/>
      <x:c r="B251" s="373"/>
      <x:c r="C251" s="373"/>
      <x:c r="D251" s="373"/>
      <x:c r="E251" s="373"/>
      <x:c r="F251" s="373"/>
      <x:c r="G251" s="373"/>
      <x:c r="H251" s="373"/>
      <x:c r="I251" s="373"/>
      <x:c r="J251" s="373"/>
      <x:c r="K251" s="373"/>
      <x:c r="L251" s="373"/>
      <x:c r="M251" s="373"/>
      <x:c r="N251" s="373"/>
      <x:c r="O251" s="373"/>
      <x:c r="P251" s="373"/>
      <x:c r="Q251" s="373"/>
      <x:c r="R251" s="373"/>
      <x:c r="S251" s="373"/>
      <x:c r="T251" s="373"/>
      <x:c r="U251" s="373"/>
      <x:c r="V251" s="373"/>
      <x:c r="W251" s="373"/>
      <x:c r="X251" s="373"/>
      <x:c r="Y251" s="373"/>
      <x:c r="Z251" s="373"/>
    </x:row>
    <x:row r="252">
      <x:c r="A252" s="373"/>
      <x:c r="B252" s="373"/>
      <x:c r="C252" s="373"/>
      <x:c r="D252" s="373"/>
      <x:c r="E252" s="373"/>
      <x:c r="F252" s="373"/>
      <x:c r="G252" s="373"/>
      <x:c r="H252" s="373"/>
      <x:c r="I252" s="373"/>
      <x:c r="J252" s="373"/>
      <x:c r="K252" s="373"/>
      <x:c r="L252" s="373"/>
      <x:c r="M252" s="373"/>
      <x:c r="N252" s="373"/>
      <x:c r="O252" s="373"/>
      <x:c r="P252" s="373"/>
      <x:c r="Q252" s="373"/>
      <x:c r="R252" s="373"/>
      <x:c r="S252" s="373"/>
      <x:c r="T252" s="373"/>
      <x:c r="U252" s="373"/>
      <x:c r="V252" s="373"/>
      <x:c r="W252" s="373"/>
      <x:c r="X252" s="373"/>
      <x:c r="Y252" s="373"/>
      <x:c r="Z252" s="373"/>
    </x:row>
    <x:row r="253">
      <x:c r="A253" s="373"/>
      <x:c r="B253" s="373"/>
      <x:c r="C253" s="373"/>
      <x:c r="D253" s="373"/>
      <x:c r="E253" s="373"/>
      <x:c r="F253" s="373"/>
      <x:c r="G253" s="373"/>
      <x:c r="H253" s="373"/>
      <x:c r="I253" s="373"/>
      <x:c r="J253" s="373"/>
      <x:c r="K253" s="373"/>
      <x:c r="L253" s="373"/>
      <x:c r="M253" s="373"/>
      <x:c r="N253" s="373"/>
      <x:c r="O253" s="373"/>
      <x:c r="P253" s="373"/>
      <x:c r="Q253" s="373"/>
      <x:c r="R253" s="373"/>
      <x:c r="S253" s="373"/>
      <x:c r="T253" s="373"/>
      <x:c r="U253" s="373"/>
      <x:c r="V253" s="373"/>
      <x:c r="W253" s="373"/>
      <x:c r="X253" s="373"/>
      <x:c r="Y253" s="373"/>
      <x:c r="Z253" s="373"/>
    </x:row>
    <x:row r="254">
      <x:c r="A254" s="373"/>
      <x:c r="B254" s="373"/>
      <x:c r="C254" s="373"/>
      <x:c r="D254" s="373"/>
      <x:c r="E254" s="373"/>
      <x:c r="F254" s="373"/>
      <x:c r="G254" s="373"/>
      <x:c r="H254" s="373"/>
      <x:c r="I254" s="373"/>
      <x:c r="J254" s="373"/>
      <x:c r="K254" s="373"/>
      <x:c r="L254" s="373"/>
      <x:c r="M254" s="373"/>
      <x:c r="N254" s="373"/>
      <x:c r="O254" s="373"/>
      <x:c r="P254" s="373"/>
      <x:c r="Q254" s="373"/>
      <x:c r="R254" s="373"/>
      <x:c r="S254" s="373"/>
      <x:c r="T254" s="373"/>
      <x:c r="U254" s="373"/>
      <x:c r="V254" s="373"/>
      <x:c r="W254" s="373"/>
      <x:c r="X254" s="373"/>
      <x:c r="Y254" s="373"/>
      <x:c r="Z254" s="373"/>
    </x:row>
    <x:row r="255">
      <x:c r="A255" s="373"/>
      <x:c r="B255" s="373"/>
      <x:c r="C255" s="373"/>
      <x:c r="D255" s="373"/>
      <x:c r="E255" s="373"/>
      <x:c r="F255" s="373"/>
      <x:c r="G255" s="373"/>
      <x:c r="H255" s="373"/>
      <x:c r="I255" s="373"/>
      <x:c r="J255" s="373"/>
      <x:c r="K255" s="373"/>
      <x:c r="L255" s="373"/>
      <x:c r="M255" s="373"/>
      <x:c r="N255" s="373"/>
      <x:c r="O255" s="373"/>
      <x:c r="P255" s="373"/>
      <x:c r="Q255" s="373"/>
      <x:c r="R255" s="373"/>
      <x:c r="S255" s="373"/>
      <x:c r="T255" s="373"/>
      <x:c r="U255" s="373"/>
      <x:c r="V255" s="373"/>
      <x:c r="W255" s="373"/>
      <x:c r="X255" s="373"/>
      <x:c r="Y255" s="373"/>
      <x:c r="Z255" s="373"/>
    </x:row>
    <x:row r="256">
      <x:c r="A256" s="373"/>
      <x:c r="B256" s="373"/>
      <x:c r="C256" s="373"/>
      <x:c r="D256" s="373"/>
      <x:c r="E256" s="373"/>
      <x:c r="F256" s="373"/>
      <x:c r="G256" s="373"/>
      <x:c r="H256" s="373"/>
      <x:c r="I256" s="373"/>
      <x:c r="J256" s="373"/>
      <x:c r="K256" s="373"/>
      <x:c r="L256" s="373"/>
      <x:c r="M256" s="373"/>
      <x:c r="N256" s="373"/>
      <x:c r="O256" s="373"/>
      <x:c r="P256" s="373"/>
      <x:c r="Q256" s="373"/>
      <x:c r="R256" s="373"/>
      <x:c r="S256" s="373"/>
      <x:c r="T256" s="373"/>
      <x:c r="U256" s="373"/>
      <x:c r="V256" s="373"/>
      <x:c r="W256" s="373"/>
      <x:c r="X256" s="373"/>
      <x:c r="Y256" s="373"/>
      <x:c r="Z256" s="373"/>
    </x:row>
    <x:row r="257">
      <x:c r="A257" s="373"/>
      <x:c r="B257" s="373"/>
      <x:c r="C257" s="373"/>
      <x:c r="D257" s="373"/>
      <x:c r="E257" s="373"/>
      <x:c r="F257" s="373"/>
      <x:c r="G257" s="373"/>
      <x:c r="H257" s="373"/>
      <x:c r="I257" s="373"/>
      <x:c r="J257" s="373"/>
      <x:c r="K257" s="373"/>
      <x:c r="L257" s="373"/>
      <x:c r="M257" s="373"/>
      <x:c r="N257" s="373"/>
      <x:c r="O257" s="373"/>
      <x:c r="P257" s="373"/>
      <x:c r="Q257" s="373"/>
      <x:c r="R257" s="373"/>
      <x:c r="S257" s="373"/>
      <x:c r="T257" s="373"/>
      <x:c r="U257" s="373"/>
      <x:c r="V257" s="373"/>
      <x:c r="W257" s="373"/>
      <x:c r="X257" s="373"/>
      <x:c r="Y257" s="373"/>
      <x:c r="Z257" s="373"/>
    </x:row>
    <x:row r="258">
      <x:c r="A258" s="373"/>
      <x:c r="B258" s="373"/>
      <x:c r="C258" s="373"/>
      <x:c r="D258" s="373"/>
      <x:c r="E258" s="373"/>
      <x:c r="F258" s="373"/>
      <x:c r="G258" s="373"/>
      <x:c r="H258" s="373"/>
      <x:c r="I258" s="373"/>
      <x:c r="J258" s="373"/>
      <x:c r="K258" s="373"/>
      <x:c r="L258" s="373"/>
      <x:c r="M258" s="373"/>
      <x:c r="N258" s="373"/>
      <x:c r="O258" s="373"/>
      <x:c r="P258" s="373"/>
      <x:c r="Q258" s="373"/>
      <x:c r="R258" s="373"/>
      <x:c r="S258" s="373"/>
      <x:c r="T258" s="373"/>
      <x:c r="U258" s="373"/>
      <x:c r="V258" s="373"/>
      <x:c r="W258" s="373"/>
      <x:c r="X258" s="373"/>
      <x:c r="Y258" s="373"/>
      <x:c r="Z258" s="373"/>
    </x:row>
    <x:row r="259">
      <x:c r="A259" s="373"/>
      <x:c r="B259" s="373"/>
      <x:c r="C259" s="373"/>
      <x:c r="D259" s="373"/>
      <x:c r="E259" s="373"/>
      <x:c r="F259" s="373"/>
      <x:c r="G259" s="373"/>
      <x:c r="H259" s="373"/>
      <x:c r="I259" s="373"/>
      <x:c r="J259" s="373"/>
      <x:c r="K259" s="373"/>
      <x:c r="L259" s="373"/>
      <x:c r="M259" s="373"/>
      <x:c r="N259" s="373"/>
      <x:c r="O259" s="373"/>
      <x:c r="P259" s="373"/>
      <x:c r="Q259" s="373"/>
      <x:c r="R259" s="373"/>
      <x:c r="S259" s="373"/>
      <x:c r="T259" s="373"/>
      <x:c r="U259" s="373"/>
      <x:c r="V259" s="373"/>
      <x:c r="W259" s="373"/>
      <x:c r="X259" s="373"/>
      <x:c r="Y259" s="373"/>
      <x:c r="Z259" s="373"/>
    </x:row>
    <x:row r="260">
      <x:c r="A260" s="373"/>
      <x:c r="B260" s="373"/>
      <x:c r="C260" s="373"/>
      <x:c r="D260" s="373"/>
      <x:c r="E260" s="373"/>
      <x:c r="F260" s="373"/>
      <x:c r="G260" s="373"/>
      <x:c r="H260" s="373"/>
      <x:c r="I260" s="373"/>
      <x:c r="J260" s="373"/>
      <x:c r="K260" s="373"/>
      <x:c r="L260" s="373"/>
      <x:c r="M260" s="373"/>
      <x:c r="N260" s="373"/>
      <x:c r="O260" s="373"/>
      <x:c r="P260" s="373"/>
      <x:c r="Q260" s="373"/>
      <x:c r="R260" s="373"/>
      <x:c r="S260" s="373"/>
      <x:c r="T260" s="373"/>
      <x:c r="U260" s="373"/>
      <x:c r="V260" s="373"/>
      <x:c r="W260" s="373"/>
      <x:c r="X260" s="373"/>
      <x:c r="Y260" s="373"/>
      <x:c r="Z260" s="373"/>
    </x:row>
    <x:row r="261">
      <x:c r="A261" s="373"/>
      <x:c r="B261" s="373"/>
      <x:c r="C261" s="373"/>
      <x:c r="D261" s="373"/>
      <x:c r="E261" s="373"/>
      <x:c r="F261" s="373"/>
      <x:c r="G261" s="373"/>
      <x:c r="H261" s="373"/>
      <x:c r="I261" s="373"/>
      <x:c r="J261" s="373"/>
      <x:c r="K261" s="373"/>
      <x:c r="L261" s="373"/>
      <x:c r="M261" s="373"/>
      <x:c r="N261" s="373"/>
      <x:c r="O261" s="373"/>
      <x:c r="P261" s="373"/>
      <x:c r="Q261" s="373"/>
      <x:c r="R261" s="373"/>
      <x:c r="S261" s="373"/>
      <x:c r="T261" s="373"/>
      <x:c r="U261" s="373"/>
      <x:c r="V261" s="373"/>
      <x:c r="W261" s="373"/>
      <x:c r="X261" s="373"/>
      <x:c r="Y261" s="373"/>
      <x:c r="Z261" s="373"/>
    </x:row>
    <x:row r="262">
      <x:c r="A262" s="373"/>
      <x:c r="B262" s="373"/>
      <x:c r="C262" s="373"/>
      <x:c r="D262" s="373"/>
      <x:c r="E262" s="373"/>
      <x:c r="F262" s="373"/>
      <x:c r="G262" s="373"/>
      <x:c r="H262" s="373"/>
      <x:c r="I262" s="373"/>
      <x:c r="J262" s="373"/>
      <x:c r="K262" s="373"/>
      <x:c r="L262" s="373"/>
      <x:c r="M262" s="373"/>
      <x:c r="N262" s="373"/>
      <x:c r="O262" s="373"/>
      <x:c r="P262" s="373"/>
      <x:c r="Q262" s="373"/>
      <x:c r="R262" s="373"/>
      <x:c r="S262" s="373"/>
      <x:c r="T262" s="373"/>
      <x:c r="U262" s="373"/>
      <x:c r="V262" s="373"/>
      <x:c r="W262" s="373"/>
      <x:c r="X262" s="373"/>
      <x:c r="Y262" s="373"/>
      <x:c r="Z262" s="373"/>
    </x:row>
    <x:row r="263">
      <x:c r="A263" s="373"/>
      <x:c r="B263" s="373"/>
      <x:c r="C263" s="373"/>
      <x:c r="D263" s="373"/>
      <x:c r="E263" s="373"/>
      <x:c r="F263" s="373"/>
      <x:c r="G263" s="373"/>
      <x:c r="H263" s="373"/>
      <x:c r="I263" s="373"/>
      <x:c r="J263" s="373"/>
      <x:c r="K263" s="373"/>
      <x:c r="L263" s="373"/>
      <x:c r="M263" s="373"/>
      <x:c r="N263" s="373"/>
      <x:c r="O263" s="373"/>
      <x:c r="P263" s="373"/>
      <x:c r="Q263" s="373"/>
      <x:c r="R263" s="373"/>
      <x:c r="S263" s="373"/>
      <x:c r="T263" s="373"/>
      <x:c r="U263" s="373"/>
      <x:c r="V263" s="373"/>
      <x:c r="W263" s="373"/>
      <x:c r="X263" s="373"/>
      <x:c r="Y263" s="373"/>
      <x:c r="Z263" s="373"/>
    </x:row>
    <x:row r="264">
      <x:c r="A264" s="373"/>
      <x:c r="B264" s="373"/>
      <x:c r="C264" s="373"/>
      <x:c r="D264" s="373"/>
      <x:c r="E264" s="373"/>
      <x:c r="F264" s="373"/>
      <x:c r="G264" s="373"/>
      <x:c r="H264" s="373"/>
      <x:c r="I264" s="373"/>
      <x:c r="J264" s="373"/>
      <x:c r="K264" s="373"/>
      <x:c r="L264" s="373"/>
      <x:c r="M264" s="373"/>
      <x:c r="N264" s="373"/>
      <x:c r="O264" s="373"/>
      <x:c r="P264" s="373"/>
      <x:c r="Q264" s="373"/>
      <x:c r="R264" s="373"/>
      <x:c r="S264" s="373"/>
      <x:c r="T264" s="373"/>
      <x:c r="U264" s="373"/>
      <x:c r="V264" s="373"/>
      <x:c r="W264" s="373"/>
      <x:c r="X264" s="373"/>
      <x:c r="Y264" s="373"/>
      <x:c r="Z264" s="373"/>
    </x:row>
    <x:row r="265">
      <x:c r="A265" s="373"/>
      <x:c r="B265" s="373"/>
      <x:c r="C265" s="373"/>
      <x:c r="D265" s="373"/>
      <x:c r="E265" s="373"/>
      <x:c r="F265" s="373"/>
      <x:c r="G265" s="373"/>
      <x:c r="H265" s="373"/>
      <x:c r="I265" s="373"/>
      <x:c r="J265" s="373"/>
      <x:c r="K265" s="373"/>
      <x:c r="L265" s="373"/>
      <x:c r="M265" s="373"/>
      <x:c r="N265" s="373"/>
      <x:c r="O265" s="373"/>
      <x:c r="P265" s="373"/>
      <x:c r="Q265" s="373"/>
      <x:c r="R265" s="373"/>
      <x:c r="S265" s="373"/>
      <x:c r="T265" s="373"/>
      <x:c r="U265" s="373"/>
      <x:c r="V265" s="373"/>
      <x:c r="W265" s="373"/>
      <x:c r="X265" s="373"/>
      <x:c r="Y265" s="373"/>
      <x:c r="Z265" s="373"/>
    </x:row>
    <x:row r="266">
      <x:c r="A266" s="373"/>
      <x:c r="B266" s="373"/>
      <x:c r="C266" s="373"/>
      <x:c r="D266" s="373"/>
      <x:c r="E266" s="373"/>
      <x:c r="F266" s="373"/>
      <x:c r="G266" s="373"/>
      <x:c r="H266" s="373"/>
      <x:c r="I266" s="373"/>
      <x:c r="J266" s="373"/>
      <x:c r="K266" s="373"/>
      <x:c r="L266" s="373"/>
      <x:c r="M266" s="373"/>
      <x:c r="N266" s="373"/>
      <x:c r="O266" s="373"/>
      <x:c r="P266" s="373"/>
      <x:c r="Q266" s="373"/>
      <x:c r="R266" s="373"/>
      <x:c r="S266" s="373"/>
      <x:c r="T266" s="373"/>
      <x:c r="U266" s="373"/>
      <x:c r="V266" s="373"/>
      <x:c r="W266" s="373"/>
      <x:c r="X266" s="373"/>
      <x:c r="Y266" s="373"/>
      <x:c r="Z266" s="373"/>
    </x:row>
    <x:row r="267">
      <x:c r="A267" s="373"/>
      <x:c r="B267" s="373"/>
      <x:c r="C267" s="373"/>
      <x:c r="D267" s="373"/>
      <x:c r="E267" s="373"/>
      <x:c r="F267" s="373"/>
      <x:c r="G267" s="373"/>
      <x:c r="H267" s="373"/>
      <x:c r="I267" s="373"/>
      <x:c r="J267" s="373"/>
      <x:c r="K267" s="373"/>
      <x:c r="L267" s="373"/>
      <x:c r="M267" s="373"/>
      <x:c r="N267" s="373"/>
      <x:c r="O267" s="373"/>
      <x:c r="P267" s="373"/>
      <x:c r="Q267" s="373"/>
      <x:c r="R267" s="373"/>
      <x:c r="S267" s="373"/>
      <x:c r="T267" s="373"/>
      <x:c r="U267" s="373"/>
      <x:c r="V267" s="373"/>
      <x:c r="W267" s="373"/>
      <x:c r="X267" s="373"/>
      <x:c r="Y267" s="373"/>
      <x:c r="Z267" s="373"/>
    </x:row>
    <x:row r="268">
      <x:c r="A268" s="373"/>
      <x:c r="B268" s="373"/>
      <x:c r="C268" s="373"/>
      <x:c r="D268" s="373"/>
      <x:c r="E268" s="373"/>
      <x:c r="F268" s="373"/>
      <x:c r="G268" s="373"/>
      <x:c r="H268" s="373"/>
      <x:c r="I268" s="373"/>
      <x:c r="J268" s="373"/>
      <x:c r="K268" s="373"/>
      <x:c r="L268" s="373"/>
      <x:c r="M268" s="373"/>
      <x:c r="N268" s="373"/>
      <x:c r="O268" s="373"/>
      <x:c r="P268" s="373"/>
      <x:c r="Q268" s="373"/>
      <x:c r="R268" s="373"/>
      <x:c r="S268" s="373"/>
      <x:c r="T268" s="373"/>
      <x:c r="U268" s="373"/>
      <x:c r="V268" s="373"/>
      <x:c r="W268" s="373"/>
      <x:c r="X268" s="373"/>
      <x:c r="Y268" s="373"/>
      <x:c r="Z268" s="373"/>
    </x:row>
    <x:row r="269">
      <x:c r="A269" s="373"/>
      <x:c r="B269" s="373"/>
      <x:c r="C269" s="373"/>
      <x:c r="D269" s="373"/>
      <x:c r="E269" s="373"/>
      <x:c r="F269" s="373"/>
      <x:c r="G269" s="373"/>
      <x:c r="H269" s="373"/>
      <x:c r="I269" s="373"/>
      <x:c r="J269" s="373"/>
      <x:c r="K269" s="373"/>
      <x:c r="L269" s="373"/>
      <x:c r="M269" s="373"/>
      <x:c r="N269" s="373"/>
      <x:c r="O269" s="373"/>
      <x:c r="P269" s="373"/>
      <x:c r="Q269" s="373"/>
      <x:c r="R269" s="373"/>
      <x:c r="S269" s="373"/>
      <x:c r="T269" s="373"/>
      <x:c r="U269" s="373"/>
      <x:c r="V269" s="373"/>
      <x:c r="W269" s="373"/>
      <x:c r="X269" s="373"/>
      <x:c r="Y269" s="373"/>
      <x:c r="Z269" s="373"/>
    </x:row>
    <x:row r="270">
      <x:c r="A270" s="373"/>
      <x:c r="B270" s="373"/>
      <x:c r="C270" s="373"/>
      <x:c r="D270" s="373"/>
      <x:c r="E270" s="373"/>
      <x:c r="F270" s="373"/>
      <x:c r="G270" s="373"/>
      <x:c r="H270" s="373"/>
      <x:c r="I270" s="373"/>
      <x:c r="J270" s="373"/>
      <x:c r="K270" s="373"/>
      <x:c r="L270" s="373"/>
      <x:c r="M270" s="373"/>
      <x:c r="N270" s="373"/>
      <x:c r="O270" s="373"/>
      <x:c r="P270" s="373"/>
      <x:c r="Q270" s="373"/>
      <x:c r="R270" s="373"/>
      <x:c r="S270" s="373"/>
      <x:c r="T270" s="373"/>
      <x:c r="U270" s="373"/>
      <x:c r="V270" s="373"/>
      <x:c r="W270" s="373"/>
      <x:c r="X270" s="373"/>
      <x:c r="Y270" s="373"/>
      <x:c r="Z270" s="373"/>
    </x:row>
    <x:row r="271">
      <x:c r="A271" s="373"/>
      <x:c r="B271" s="373"/>
      <x:c r="C271" s="373"/>
      <x:c r="D271" s="373"/>
      <x:c r="E271" s="373"/>
      <x:c r="F271" s="373"/>
      <x:c r="G271" s="373"/>
      <x:c r="H271" s="373"/>
      <x:c r="I271" s="373"/>
      <x:c r="J271" s="373"/>
      <x:c r="K271" s="373"/>
      <x:c r="L271" s="373"/>
      <x:c r="M271" s="373"/>
      <x:c r="N271" s="373"/>
      <x:c r="O271" s="373"/>
      <x:c r="P271" s="373"/>
      <x:c r="Q271" s="373"/>
      <x:c r="R271" s="373"/>
      <x:c r="S271" s="373"/>
      <x:c r="T271" s="373"/>
      <x:c r="U271" s="373"/>
      <x:c r="V271" s="373"/>
      <x:c r="W271" s="373"/>
      <x:c r="X271" s="373"/>
      <x:c r="Y271" s="373"/>
      <x:c r="Z271" s="373"/>
    </x:row>
    <x:row r="272">
      <x:c r="A272" s="373"/>
      <x:c r="B272" s="373"/>
      <x:c r="C272" s="373"/>
      <x:c r="D272" s="373"/>
      <x:c r="E272" s="373"/>
      <x:c r="F272" s="373"/>
      <x:c r="G272" s="373"/>
      <x:c r="H272" s="373"/>
      <x:c r="I272" s="373"/>
      <x:c r="J272" s="373"/>
      <x:c r="K272" s="373"/>
      <x:c r="L272" s="373"/>
      <x:c r="M272" s="373"/>
      <x:c r="N272" s="373"/>
      <x:c r="O272" s="373"/>
      <x:c r="P272" s="373"/>
      <x:c r="Q272" s="373"/>
      <x:c r="R272" s="373"/>
      <x:c r="S272" s="373"/>
      <x:c r="T272" s="373"/>
      <x:c r="U272" s="373"/>
      <x:c r="V272" s="373"/>
      <x:c r="W272" s="373"/>
      <x:c r="X272" s="373"/>
      <x:c r="Y272" s="373"/>
      <x:c r="Z272" s="373"/>
    </x:row>
    <x:row r="273">
      <x:c r="A273" s="373"/>
      <x:c r="B273" s="373"/>
      <x:c r="C273" s="373"/>
      <x:c r="D273" s="373"/>
      <x:c r="E273" s="373"/>
      <x:c r="F273" s="373"/>
      <x:c r="G273" s="373"/>
      <x:c r="H273" s="373"/>
      <x:c r="I273" s="373"/>
      <x:c r="J273" s="373"/>
      <x:c r="K273" s="373"/>
      <x:c r="L273" s="373"/>
      <x:c r="M273" s="373"/>
      <x:c r="N273" s="373"/>
      <x:c r="O273" s="373"/>
      <x:c r="P273" s="373"/>
      <x:c r="Q273" s="373"/>
      <x:c r="R273" s="373"/>
      <x:c r="S273" s="373"/>
      <x:c r="T273" s="373"/>
      <x:c r="U273" s="373"/>
      <x:c r="V273" s="373"/>
      <x:c r="W273" s="373"/>
      <x:c r="X273" s="373"/>
      <x:c r="Y273" s="373"/>
      <x:c r="Z273" s="373"/>
    </x:row>
    <x:row r="274">
      <x:c r="A274" s="373"/>
      <x:c r="B274" s="373"/>
      <x:c r="C274" s="373"/>
      <x:c r="D274" s="373"/>
      <x:c r="E274" s="373"/>
      <x:c r="F274" s="373"/>
      <x:c r="G274" s="373"/>
      <x:c r="H274" s="373"/>
      <x:c r="I274" s="373"/>
      <x:c r="J274" s="373"/>
      <x:c r="K274" s="373"/>
      <x:c r="L274" s="373"/>
      <x:c r="M274" s="373"/>
      <x:c r="N274" s="373"/>
      <x:c r="O274" s="373"/>
      <x:c r="P274" s="373"/>
      <x:c r="Q274" s="373"/>
      <x:c r="R274" s="373"/>
      <x:c r="S274" s="373"/>
      <x:c r="T274" s="373"/>
      <x:c r="U274" s="373"/>
      <x:c r="V274" s="373"/>
      <x:c r="W274" s="373"/>
      <x:c r="X274" s="373"/>
      <x:c r="Y274" s="373"/>
      <x:c r="Z274" s="373"/>
    </x:row>
    <x:row r="275">
      <x:c r="A275" s="373"/>
      <x:c r="B275" s="373"/>
      <x:c r="C275" s="373"/>
      <x:c r="D275" s="373"/>
      <x:c r="E275" s="373"/>
      <x:c r="F275" s="373"/>
      <x:c r="G275" s="373"/>
      <x:c r="H275" s="373"/>
      <x:c r="I275" s="373"/>
      <x:c r="J275" s="373"/>
      <x:c r="K275" s="373"/>
      <x:c r="L275" s="373"/>
      <x:c r="M275" s="373"/>
      <x:c r="N275" s="373"/>
      <x:c r="O275" s="373"/>
      <x:c r="P275" s="373"/>
      <x:c r="Q275" s="373"/>
      <x:c r="R275" s="373"/>
      <x:c r="S275" s="373"/>
      <x:c r="T275" s="373"/>
      <x:c r="U275" s="373"/>
      <x:c r="V275" s="373"/>
      <x:c r="W275" s="373"/>
      <x:c r="X275" s="373"/>
      <x:c r="Y275" s="373"/>
      <x:c r="Z275" s="373"/>
    </x:row>
    <x:row r="276">
      <x:c r="A276" s="373"/>
      <x:c r="B276" s="373"/>
      <x:c r="C276" s="373"/>
      <x:c r="D276" s="373"/>
      <x:c r="E276" s="373"/>
      <x:c r="F276" s="373"/>
      <x:c r="G276" s="373"/>
      <x:c r="H276" s="373"/>
      <x:c r="I276" s="373"/>
      <x:c r="J276" s="373"/>
      <x:c r="K276" s="373"/>
      <x:c r="L276" s="373"/>
      <x:c r="M276" s="373"/>
      <x:c r="N276" s="373"/>
      <x:c r="O276" s="373"/>
      <x:c r="P276" s="373"/>
      <x:c r="Q276" s="373"/>
      <x:c r="R276" s="373"/>
      <x:c r="S276" s="373"/>
      <x:c r="T276" s="373"/>
      <x:c r="U276" s="373"/>
      <x:c r="V276" s="373"/>
      <x:c r="W276" s="373"/>
      <x:c r="X276" s="373"/>
      <x:c r="Y276" s="373"/>
      <x:c r="Z276" s="373"/>
    </x:row>
    <x:row r="277">
      <x:c r="A277" s="373"/>
      <x:c r="B277" s="373"/>
      <x:c r="C277" s="373"/>
      <x:c r="D277" s="373"/>
      <x:c r="E277" s="373"/>
      <x:c r="F277" s="373"/>
      <x:c r="G277" s="373"/>
      <x:c r="H277" s="373"/>
      <x:c r="I277" s="373"/>
      <x:c r="J277" s="373"/>
      <x:c r="K277" s="373"/>
      <x:c r="L277" s="373"/>
      <x:c r="M277" s="373"/>
      <x:c r="N277" s="373"/>
      <x:c r="O277" s="373"/>
      <x:c r="P277" s="373"/>
      <x:c r="Q277" s="373"/>
      <x:c r="R277" s="373"/>
      <x:c r="S277" s="373"/>
      <x:c r="T277" s="373"/>
      <x:c r="U277" s="373"/>
      <x:c r="V277" s="373"/>
      <x:c r="W277" s="373"/>
      <x:c r="X277" s="373"/>
      <x:c r="Y277" s="373"/>
      <x:c r="Z277" s="373"/>
    </x:row>
    <x:row r="278">
      <x:c r="A278" s="373"/>
      <x:c r="B278" s="373"/>
      <x:c r="C278" s="373"/>
      <x:c r="D278" s="373"/>
      <x:c r="E278" s="373"/>
      <x:c r="F278" s="373"/>
      <x:c r="G278" s="373"/>
      <x:c r="H278" s="373"/>
      <x:c r="I278" s="373"/>
      <x:c r="J278" s="373"/>
      <x:c r="K278" s="373"/>
      <x:c r="L278" s="373"/>
      <x:c r="M278" s="373"/>
      <x:c r="N278" s="373"/>
      <x:c r="O278" s="373"/>
      <x:c r="P278" s="373"/>
      <x:c r="Q278" s="373"/>
      <x:c r="R278" s="373"/>
      <x:c r="S278" s="373"/>
      <x:c r="T278" s="373"/>
      <x:c r="U278" s="373"/>
      <x:c r="V278" s="373"/>
      <x:c r="W278" s="373"/>
      <x:c r="X278" s="373"/>
      <x:c r="Y278" s="373"/>
      <x:c r="Z278" s="373"/>
    </x:row>
    <x:row r="279">
      <x:c r="A279" s="373"/>
      <x:c r="B279" s="373"/>
      <x:c r="C279" s="373"/>
      <x:c r="D279" s="373"/>
      <x:c r="E279" s="373"/>
      <x:c r="F279" s="373"/>
      <x:c r="G279" s="373"/>
      <x:c r="H279" s="373"/>
      <x:c r="I279" s="373"/>
      <x:c r="J279" s="373"/>
      <x:c r="K279" s="373"/>
      <x:c r="L279" s="373"/>
      <x:c r="M279" s="373"/>
      <x:c r="N279" s="373"/>
      <x:c r="O279" s="373"/>
      <x:c r="P279" s="373"/>
      <x:c r="Q279" s="373"/>
      <x:c r="R279" s="373"/>
      <x:c r="S279" s="373"/>
      <x:c r="T279" s="373"/>
      <x:c r="U279" s="373"/>
      <x:c r="V279" s="373"/>
      <x:c r="W279" s="373"/>
      <x:c r="X279" s="373"/>
      <x:c r="Y279" s="373"/>
      <x:c r="Z279" s="373"/>
    </x:row>
    <x:row r="280">
      <x:c r="A280" s="373"/>
      <x:c r="B280" s="373"/>
      <x:c r="C280" s="373"/>
      <x:c r="D280" s="373"/>
      <x:c r="E280" s="373"/>
      <x:c r="F280" s="373"/>
      <x:c r="G280" s="373"/>
      <x:c r="H280" s="373"/>
      <x:c r="I280" s="373"/>
      <x:c r="J280" s="373"/>
      <x:c r="K280" s="373"/>
      <x:c r="L280" s="373"/>
      <x:c r="M280" s="373"/>
      <x:c r="N280" s="373"/>
      <x:c r="O280" s="373"/>
      <x:c r="P280" s="373"/>
      <x:c r="Q280" s="373"/>
      <x:c r="R280" s="373"/>
      <x:c r="S280" s="373"/>
      <x:c r="T280" s="373"/>
      <x:c r="U280" s="373"/>
      <x:c r="V280" s="373"/>
      <x:c r="W280" s="373"/>
      <x:c r="X280" s="373"/>
      <x:c r="Y280" s="373"/>
      <x:c r="Z280" s="373"/>
    </x:row>
    <x:row r="281">
      <x:c r="A281" s="373"/>
      <x:c r="B281" s="373"/>
      <x:c r="C281" s="373"/>
      <x:c r="D281" s="373"/>
      <x:c r="E281" s="373"/>
      <x:c r="F281" s="373"/>
      <x:c r="G281" s="373"/>
      <x:c r="H281" s="373"/>
      <x:c r="I281" s="373"/>
      <x:c r="J281" s="373"/>
      <x:c r="K281" s="373"/>
      <x:c r="L281" s="373"/>
      <x:c r="M281" s="373"/>
      <x:c r="N281" s="373"/>
      <x:c r="O281" s="373"/>
      <x:c r="P281" s="373"/>
      <x:c r="Q281" s="373"/>
      <x:c r="R281" s="373"/>
      <x:c r="S281" s="373"/>
      <x:c r="T281" s="373"/>
      <x:c r="U281" s="373"/>
      <x:c r="V281" s="373"/>
      <x:c r="W281" s="373"/>
      <x:c r="X281" s="373"/>
      <x:c r="Y281" s="373"/>
      <x:c r="Z281" s="373"/>
    </x:row>
    <x:row r="282">
      <x:c r="A282" s="373"/>
      <x:c r="B282" s="373"/>
      <x:c r="C282" s="373"/>
      <x:c r="D282" s="373"/>
      <x:c r="E282" s="373"/>
      <x:c r="F282" s="373"/>
      <x:c r="G282" s="373"/>
      <x:c r="H282" s="373"/>
      <x:c r="I282" s="373"/>
      <x:c r="J282" s="373"/>
      <x:c r="K282" s="373"/>
      <x:c r="L282" s="373"/>
      <x:c r="M282" s="373"/>
      <x:c r="N282" s="373"/>
      <x:c r="O282" s="373"/>
      <x:c r="P282" s="373"/>
      <x:c r="Q282" s="373"/>
      <x:c r="R282" s="373"/>
      <x:c r="S282" s="373"/>
      <x:c r="T282" s="373"/>
      <x:c r="U282" s="373"/>
      <x:c r="V282" s="373"/>
      <x:c r="W282" s="373"/>
      <x:c r="X282" s="373"/>
      <x:c r="Y282" s="373"/>
      <x:c r="Z282" s="373"/>
    </x:row>
    <x:row r="283">
      <x:c r="A283" s="373"/>
      <x:c r="B283" s="373"/>
      <x:c r="C283" s="373"/>
      <x:c r="D283" s="373"/>
      <x:c r="E283" s="373"/>
      <x:c r="F283" s="373"/>
      <x:c r="G283" s="373"/>
      <x:c r="H283" s="373"/>
      <x:c r="I283" s="373"/>
      <x:c r="J283" s="373"/>
      <x:c r="K283" s="373"/>
      <x:c r="L283" s="373"/>
      <x:c r="M283" s="373"/>
      <x:c r="N283" s="373"/>
      <x:c r="O283" s="373"/>
      <x:c r="P283" s="373"/>
      <x:c r="Q283" s="373"/>
      <x:c r="R283" s="373"/>
      <x:c r="S283" s="373"/>
      <x:c r="T283" s="373"/>
      <x:c r="U283" s="373"/>
      <x:c r="V283" s="373"/>
      <x:c r="W283" s="373"/>
      <x:c r="X283" s="373"/>
      <x:c r="Y283" s="373"/>
      <x:c r="Z283" s="373"/>
    </x:row>
    <x:row r="284">
      <x:c r="A284" s="373"/>
      <x:c r="B284" s="373"/>
      <x:c r="C284" s="373"/>
      <x:c r="D284" s="373"/>
      <x:c r="E284" s="373"/>
      <x:c r="F284" s="373"/>
      <x:c r="G284" s="373"/>
      <x:c r="H284" s="373"/>
      <x:c r="I284" s="373"/>
      <x:c r="J284" s="373"/>
      <x:c r="K284" s="373"/>
      <x:c r="L284" s="373"/>
      <x:c r="M284" s="373"/>
      <x:c r="N284" s="373"/>
      <x:c r="O284" s="373"/>
      <x:c r="P284" s="373"/>
      <x:c r="Q284" s="373"/>
      <x:c r="R284" s="373"/>
      <x:c r="S284" s="373"/>
      <x:c r="T284" s="373"/>
      <x:c r="U284" s="373"/>
      <x:c r="V284" s="373"/>
      <x:c r="W284" s="373"/>
      <x:c r="X284" s="373"/>
      <x:c r="Y284" s="373"/>
      <x:c r="Z284" s="373"/>
    </x:row>
    <x:row r="285">
      <x:c r="A285" s="373"/>
      <x:c r="B285" s="373"/>
      <x:c r="C285" s="373"/>
      <x:c r="D285" s="373"/>
      <x:c r="E285" s="373"/>
      <x:c r="F285" s="373"/>
      <x:c r="G285" s="373"/>
      <x:c r="H285" s="373"/>
      <x:c r="I285" s="373"/>
      <x:c r="J285" s="373"/>
      <x:c r="K285" s="373"/>
      <x:c r="L285" s="373"/>
      <x:c r="M285" s="373"/>
      <x:c r="N285" s="373"/>
      <x:c r="O285" s="373"/>
      <x:c r="P285" s="373"/>
      <x:c r="Q285" s="373"/>
      <x:c r="R285" s="373"/>
      <x:c r="S285" s="373"/>
      <x:c r="T285" s="373"/>
      <x:c r="U285" s="373"/>
      <x:c r="V285" s="373"/>
      <x:c r="W285" s="373"/>
      <x:c r="X285" s="373"/>
      <x:c r="Y285" s="373"/>
      <x:c r="Z285" s="373"/>
    </x:row>
    <x:row r="286">
      <x:c r="A286" s="373"/>
      <x:c r="B286" s="373"/>
      <x:c r="C286" s="373"/>
      <x:c r="D286" s="373"/>
      <x:c r="E286" s="373"/>
      <x:c r="F286" s="373"/>
      <x:c r="G286" s="373"/>
      <x:c r="H286" s="373"/>
      <x:c r="I286" s="373"/>
      <x:c r="J286" s="373"/>
      <x:c r="K286" s="373"/>
      <x:c r="L286" s="373"/>
      <x:c r="M286" s="373"/>
      <x:c r="N286" s="373"/>
      <x:c r="O286" s="373"/>
      <x:c r="P286" s="373"/>
      <x:c r="Q286" s="373"/>
      <x:c r="R286" s="373"/>
      <x:c r="S286" s="373"/>
      <x:c r="T286" s="373"/>
      <x:c r="U286" s="373"/>
      <x:c r="V286" s="373"/>
      <x:c r="W286" s="373"/>
      <x:c r="X286" s="373"/>
      <x:c r="Y286" s="373"/>
      <x:c r="Z286" s="373"/>
    </x:row>
    <x:row r="287">
      <x:c r="A287" s="373"/>
      <x:c r="B287" s="373"/>
      <x:c r="C287" s="373"/>
      <x:c r="D287" s="373"/>
      <x:c r="E287" s="373"/>
      <x:c r="F287" s="373"/>
      <x:c r="G287" s="373"/>
      <x:c r="H287" s="373"/>
      <x:c r="I287" s="373"/>
      <x:c r="J287" s="373"/>
      <x:c r="K287" s="373"/>
      <x:c r="L287" s="373"/>
      <x:c r="M287" s="373"/>
      <x:c r="N287" s="373"/>
      <x:c r="O287" s="373"/>
      <x:c r="P287" s="373"/>
      <x:c r="Q287" s="373"/>
      <x:c r="R287" s="373"/>
      <x:c r="S287" s="373"/>
      <x:c r="T287" s="373"/>
      <x:c r="U287" s="373"/>
      <x:c r="V287" s="373"/>
      <x:c r="W287" s="373"/>
      <x:c r="X287" s="373"/>
      <x:c r="Y287" s="373"/>
      <x:c r="Z287" s="373"/>
    </x:row>
    <x:row r="288">
      <x:c r="A288" s="373"/>
      <x:c r="B288" s="373"/>
      <x:c r="C288" s="373"/>
      <x:c r="D288" s="373"/>
      <x:c r="E288" s="373"/>
      <x:c r="F288" s="373"/>
      <x:c r="G288" s="373"/>
      <x:c r="H288" s="373"/>
      <x:c r="I288" s="373"/>
      <x:c r="J288" s="373"/>
      <x:c r="K288" s="373"/>
      <x:c r="L288" s="373"/>
      <x:c r="M288" s="373"/>
      <x:c r="N288" s="373"/>
      <x:c r="O288" s="373"/>
      <x:c r="P288" s="373"/>
      <x:c r="Q288" s="373"/>
      <x:c r="R288" s="373"/>
      <x:c r="S288" s="373"/>
      <x:c r="T288" s="373"/>
      <x:c r="U288" s="373"/>
      <x:c r="V288" s="373"/>
      <x:c r="W288" s="373"/>
      <x:c r="X288" s="373"/>
      <x:c r="Y288" s="373"/>
      <x:c r="Z288" s="373"/>
    </x:row>
    <x:row r="289">
      <x:c r="A289" s="373"/>
      <x:c r="B289" s="373"/>
      <x:c r="C289" s="373"/>
      <x:c r="D289" s="373"/>
      <x:c r="E289" s="373"/>
      <x:c r="F289" s="373"/>
      <x:c r="G289" s="373"/>
      <x:c r="H289" s="373"/>
      <x:c r="I289" s="373"/>
      <x:c r="J289" s="373"/>
      <x:c r="K289" s="373"/>
      <x:c r="L289" s="373"/>
      <x:c r="M289" s="373"/>
      <x:c r="N289" s="373"/>
      <x:c r="O289" s="373"/>
      <x:c r="P289" s="373"/>
      <x:c r="Q289" s="373"/>
      <x:c r="R289" s="373"/>
      <x:c r="S289" s="373"/>
      <x:c r="T289" s="373"/>
      <x:c r="U289" s="373"/>
      <x:c r="V289" s="373"/>
      <x:c r="W289" s="373"/>
      <x:c r="X289" s="373"/>
      <x:c r="Y289" s="373"/>
      <x:c r="Z289" s="373"/>
    </x:row>
    <x:row r="290">
      <x:c r="A290" s="373"/>
      <x:c r="B290" s="373"/>
      <x:c r="C290" s="373"/>
      <x:c r="D290" s="373"/>
      <x:c r="E290" s="373"/>
      <x:c r="F290" s="373"/>
      <x:c r="G290" s="373"/>
      <x:c r="H290" s="373"/>
      <x:c r="I290" s="373"/>
      <x:c r="J290" s="373"/>
      <x:c r="K290" s="373"/>
      <x:c r="L290" s="373"/>
      <x:c r="M290" s="373"/>
      <x:c r="N290" s="373"/>
      <x:c r="O290" s="373"/>
      <x:c r="P290" s="373"/>
      <x:c r="Q290" s="373"/>
      <x:c r="R290" s="373"/>
      <x:c r="S290" s="373"/>
      <x:c r="T290" s="373"/>
      <x:c r="U290" s="373"/>
      <x:c r="V290" s="373"/>
      <x:c r="W290" s="373"/>
      <x:c r="X290" s="373"/>
      <x:c r="Y290" s="373"/>
      <x:c r="Z290" s="373"/>
    </x:row>
    <x:row r="291">
      <x:c r="A291" s="373"/>
      <x:c r="B291" s="373"/>
      <x:c r="C291" s="373"/>
      <x:c r="D291" s="373"/>
      <x:c r="E291" s="373"/>
      <x:c r="F291" s="373"/>
      <x:c r="G291" s="373"/>
      <x:c r="H291" s="373"/>
      <x:c r="I291" s="373"/>
      <x:c r="J291" s="373"/>
      <x:c r="K291" s="373"/>
      <x:c r="L291" s="373"/>
      <x:c r="M291" s="373"/>
      <x:c r="N291" s="373"/>
      <x:c r="O291" s="373"/>
      <x:c r="P291" s="373"/>
      <x:c r="Q291" s="373"/>
      <x:c r="R291" s="373"/>
      <x:c r="S291" s="373"/>
      <x:c r="T291" s="373"/>
      <x:c r="U291" s="373"/>
      <x:c r="V291" s="373"/>
      <x:c r="W291" s="373"/>
      <x:c r="X291" s="373"/>
      <x:c r="Y291" s="373"/>
      <x:c r="Z291" s="373"/>
    </x:row>
    <x:row r="292">
      <x:c r="A292" s="373"/>
      <x:c r="B292" s="373"/>
      <x:c r="C292" s="373"/>
      <x:c r="D292" s="373"/>
      <x:c r="E292" s="373"/>
      <x:c r="F292" s="373"/>
      <x:c r="G292" s="373"/>
      <x:c r="H292" s="373"/>
      <x:c r="I292" s="373"/>
      <x:c r="J292" s="373"/>
      <x:c r="K292" s="373"/>
      <x:c r="L292" s="373"/>
      <x:c r="M292" s="373"/>
      <x:c r="N292" s="373"/>
      <x:c r="O292" s="373"/>
      <x:c r="P292" s="373"/>
      <x:c r="Q292" s="373"/>
      <x:c r="R292" s="373"/>
      <x:c r="S292" s="373"/>
      <x:c r="T292" s="373"/>
      <x:c r="U292" s="373"/>
      <x:c r="V292" s="373"/>
      <x:c r="W292" s="373"/>
      <x:c r="X292" s="373"/>
      <x:c r="Y292" s="373"/>
      <x:c r="Z292" s="373"/>
    </x:row>
    <x:row r="293">
      <x:c r="A293" s="373"/>
      <x:c r="B293" s="373"/>
      <x:c r="C293" s="373"/>
      <x:c r="D293" s="373"/>
      <x:c r="E293" s="373"/>
      <x:c r="F293" s="373"/>
      <x:c r="G293" s="373"/>
      <x:c r="H293" s="373"/>
      <x:c r="I293" s="373"/>
      <x:c r="J293" s="373"/>
      <x:c r="K293" s="373"/>
      <x:c r="L293" s="373"/>
      <x:c r="M293" s="373"/>
      <x:c r="N293" s="373"/>
      <x:c r="O293" s="373"/>
      <x:c r="P293" s="373"/>
      <x:c r="Q293" s="373"/>
      <x:c r="R293" s="373"/>
      <x:c r="S293" s="373"/>
      <x:c r="T293" s="373"/>
      <x:c r="U293" s="373"/>
      <x:c r="V293" s="373"/>
      <x:c r="W293" s="373"/>
      <x:c r="X293" s="373"/>
      <x:c r="Y293" s="373"/>
      <x:c r="Z293" s="373"/>
    </x:row>
    <x:row r="294">
      <x:c r="A294" s="373"/>
      <x:c r="B294" s="373"/>
      <x:c r="C294" s="373"/>
      <x:c r="D294" s="373"/>
      <x:c r="E294" s="373"/>
      <x:c r="F294" s="373"/>
      <x:c r="G294" s="373"/>
      <x:c r="H294" s="373"/>
      <x:c r="I294" s="373"/>
      <x:c r="J294" s="373"/>
      <x:c r="K294" s="373"/>
      <x:c r="L294" s="373"/>
      <x:c r="M294" s="373"/>
      <x:c r="N294" s="373"/>
      <x:c r="O294" s="373"/>
      <x:c r="P294" s="373"/>
      <x:c r="Q294" s="373"/>
      <x:c r="R294" s="373"/>
      <x:c r="S294" s="373"/>
      <x:c r="T294" s="373"/>
      <x:c r="U294" s="373"/>
      <x:c r="V294" s="373"/>
      <x:c r="W294" s="373"/>
      <x:c r="X294" s="373"/>
      <x:c r="Y294" s="373"/>
      <x:c r="Z294" s="373"/>
    </x:row>
    <x:row r="295">
      <x:c r="A295" s="373"/>
      <x:c r="B295" s="373"/>
      <x:c r="C295" s="373"/>
      <x:c r="D295" s="373"/>
      <x:c r="E295" s="373"/>
      <x:c r="F295" s="373"/>
      <x:c r="G295" s="373"/>
      <x:c r="H295" s="373"/>
      <x:c r="I295" s="373"/>
      <x:c r="J295" s="373"/>
      <x:c r="K295" s="373"/>
      <x:c r="L295" s="373"/>
      <x:c r="M295" s="373"/>
      <x:c r="N295" s="373"/>
      <x:c r="O295" s="373"/>
      <x:c r="P295" s="373"/>
      <x:c r="Q295" s="373"/>
      <x:c r="R295" s="373"/>
      <x:c r="S295" s="373"/>
      <x:c r="T295" s="373"/>
      <x:c r="U295" s="373"/>
      <x:c r="V295" s="373"/>
      <x:c r="W295" s="373"/>
      <x:c r="X295" s="373"/>
      <x:c r="Y295" s="373"/>
      <x:c r="Z295" s="373"/>
    </x:row>
    <x:row r="296">
      <x:c r="A296" s="373"/>
      <x:c r="B296" s="373"/>
      <x:c r="C296" s="373"/>
      <x:c r="D296" s="373"/>
      <x:c r="E296" s="373"/>
      <x:c r="F296" s="373"/>
      <x:c r="G296" s="373"/>
      <x:c r="H296" s="373"/>
      <x:c r="I296" s="373"/>
      <x:c r="J296" s="373"/>
      <x:c r="K296" s="373"/>
      <x:c r="L296" s="373"/>
      <x:c r="M296" s="373"/>
      <x:c r="N296" s="373"/>
      <x:c r="O296" s="373"/>
      <x:c r="P296" s="373"/>
      <x:c r="Q296" s="373"/>
      <x:c r="R296" s="373"/>
      <x:c r="S296" s="373"/>
      <x:c r="T296" s="373"/>
      <x:c r="U296" s="373"/>
      <x:c r="V296" s="373"/>
      <x:c r="W296" s="373"/>
      <x:c r="X296" s="373"/>
      <x:c r="Y296" s="373"/>
      <x:c r="Z296" s="373"/>
    </x:row>
    <x:row r="297">
      <x:c r="A297" s="373"/>
      <x:c r="B297" s="373"/>
      <x:c r="C297" s="373"/>
      <x:c r="D297" s="373"/>
      <x:c r="E297" s="373"/>
      <x:c r="F297" s="373"/>
      <x:c r="G297" s="373"/>
      <x:c r="H297" s="373"/>
      <x:c r="I297" s="373"/>
      <x:c r="J297" s="373"/>
      <x:c r="K297" s="373"/>
      <x:c r="L297" s="373"/>
      <x:c r="M297" s="373"/>
      <x:c r="N297" s="373"/>
      <x:c r="O297" s="373"/>
      <x:c r="P297" s="373"/>
      <x:c r="Q297" s="373"/>
      <x:c r="R297" s="373"/>
      <x:c r="S297" s="373"/>
      <x:c r="T297" s="373"/>
      <x:c r="U297" s="373"/>
      <x:c r="V297" s="373"/>
      <x:c r="W297" s="373"/>
      <x:c r="X297" s="373"/>
      <x:c r="Y297" s="373"/>
      <x:c r="Z297" s="373"/>
    </x:row>
    <x:row r="298">
      <x:c r="A298" s="373"/>
      <x:c r="B298" s="373"/>
      <x:c r="C298" s="373"/>
      <x:c r="D298" s="373"/>
      <x:c r="E298" s="373"/>
      <x:c r="F298" s="373"/>
      <x:c r="G298" s="373"/>
      <x:c r="H298" s="373"/>
      <x:c r="I298" s="373"/>
      <x:c r="J298" s="373"/>
      <x:c r="K298" s="373"/>
      <x:c r="L298" s="373"/>
      <x:c r="M298" s="373"/>
      <x:c r="N298" s="373"/>
      <x:c r="O298" s="373"/>
      <x:c r="P298" s="373"/>
      <x:c r="Q298" s="373"/>
      <x:c r="R298" s="373"/>
      <x:c r="S298" s="373"/>
      <x:c r="T298" s="373"/>
      <x:c r="U298" s="373"/>
      <x:c r="V298" s="373"/>
      <x:c r="W298" s="373"/>
      <x:c r="X298" s="373"/>
      <x:c r="Y298" s="373"/>
      <x:c r="Z298" s="373"/>
    </x:row>
    <x:row r="299">
      <x:c r="A299" s="373"/>
      <x:c r="B299" s="373"/>
      <x:c r="C299" s="373"/>
      <x:c r="D299" s="373"/>
      <x:c r="E299" s="373"/>
      <x:c r="F299" s="373"/>
      <x:c r="G299" s="373"/>
      <x:c r="H299" s="373"/>
      <x:c r="I299" s="373"/>
      <x:c r="J299" s="373"/>
      <x:c r="K299" s="373"/>
      <x:c r="L299" s="373"/>
      <x:c r="M299" s="373"/>
      <x:c r="N299" s="373"/>
      <x:c r="O299" s="373"/>
      <x:c r="P299" s="373"/>
      <x:c r="Q299" s="373"/>
      <x:c r="R299" s="373"/>
      <x:c r="S299" s="373"/>
      <x:c r="T299" s="373"/>
      <x:c r="U299" s="373"/>
      <x:c r="V299" s="373"/>
      <x:c r="W299" s="373"/>
      <x:c r="X299" s="373"/>
      <x:c r="Y299" s="373"/>
      <x:c r="Z299" s="373"/>
    </x:row>
    <x:row r="300">
      <x:c r="A300" s="373"/>
      <x:c r="B300" s="373"/>
      <x:c r="C300" s="373"/>
      <x:c r="D300" s="373"/>
      <x:c r="E300" s="373"/>
      <x:c r="F300" s="373"/>
      <x:c r="G300" s="373"/>
      <x:c r="H300" s="373"/>
      <x:c r="I300" s="373"/>
      <x:c r="J300" s="373"/>
      <x:c r="K300" s="373"/>
      <x:c r="L300" s="373"/>
      <x:c r="M300" s="373"/>
      <x:c r="N300" s="373"/>
      <x:c r="O300" s="373"/>
      <x:c r="P300" s="373"/>
      <x:c r="Q300" s="373"/>
      <x:c r="R300" s="373"/>
      <x:c r="S300" s="373"/>
      <x:c r="T300" s="373"/>
      <x:c r="U300" s="373"/>
      <x:c r="V300" s="373"/>
      <x:c r="W300" s="373"/>
      <x:c r="X300" s="373"/>
      <x:c r="Y300" s="373"/>
      <x:c r="Z300" s="373"/>
    </x:row>
    <x:row r="301">
      <x:c r="A301" s="373"/>
      <x:c r="B301" s="373"/>
      <x:c r="C301" s="373"/>
      <x:c r="D301" s="373"/>
      <x:c r="E301" s="373"/>
      <x:c r="F301" s="373"/>
      <x:c r="G301" s="373"/>
      <x:c r="H301" s="373"/>
      <x:c r="I301" s="373"/>
      <x:c r="J301" s="373"/>
      <x:c r="K301" s="373"/>
      <x:c r="L301" s="373"/>
      <x:c r="M301" s="373"/>
      <x:c r="N301" s="373"/>
      <x:c r="O301" s="373"/>
      <x:c r="P301" s="373"/>
      <x:c r="Q301" s="373"/>
      <x:c r="R301" s="373"/>
      <x:c r="S301" s="373"/>
      <x:c r="T301" s="373"/>
      <x:c r="U301" s="373"/>
      <x:c r="V301" s="373"/>
      <x:c r="W301" s="373"/>
      <x:c r="X301" s="373"/>
      <x:c r="Y301" s="373"/>
      <x:c r="Z301" s="373"/>
    </x:row>
    <x:row r="302">
      <x:c r="A302" s="373"/>
      <x:c r="B302" s="373"/>
      <x:c r="C302" s="373"/>
      <x:c r="D302" s="373"/>
      <x:c r="E302" s="373"/>
      <x:c r="F302" s="373"/>
      <x:c r="G302" s="373"/>
      <x:c r="H302" s="373"/>
      <x:c r="I302" s="373"/>
      <x:c r="J302" s="373"/>
      <x:c r="K302" s="373"/>
      <x:c r="L302" s="373"/>
      <x:c r="M302" s="373"/>
      <x:c r="N302" s="373"/>
      <x:c r="O302" s="373"/>
      <x:c r="P302" s="373"/>
      <x:c r="Q302" s="373"/>
      <x:c r="R302" s="373"/>
      <x:c r="S302" s="373"/>
      <x:c r="T302" s="373"/>
      <x:c r="U302" s="373"/>
      <x:c r="V302" s="373"/>
      <x:c r="W302" s="373"/>
      <x:c r="X302" s="373"/>
      <x:c r="Y302" s="373"/>
      <x:c r="Z302" s="373"/>
    </x:row>
    <x:row r="303">
      <x:c r="A303" s="373"/>
      <x:c r="B303" s="373"/>
      <x:c r="C303" s="373"/>
      <x:c r="D303" s="373"/>
      <x:c r="E303" s="373"/>
      <x:c r="F303" s="373"/>
      <x:c r="G303" s="373"/>
      <x:c r="H303" s="373"/>
      <x:c r="I303" s="373"/>
      <x:c r="J303" s="373"/>
      <x:c r="K303" s="373"/>
      <x:c r="L303" s="373"/>
      <x:c r="M303" s="373"/>
      <x:c r="N303" s="373"/>
      <x:c r="O303" s="373"/>
      <x:c r="P303" s="373"/>
      <x:c r="Q303" s="373"/>
      <x:c r="R303" s="373"/>
      <x:c r="S303" s="373"/>
      <x:c r="T303" s="373"/>
      <x:c r="U303" s="373"/>
      <x:c r="V303" s="373"/>
      <x:c r="W303" s="373"/>
      <x:c r="X303" s="373"/>
      <x:c r="Y303" s="373"/>
      <x:c r="Z303" s="373"/>
    </x:row>
    <x:row r="304">
      <x:c r="A304" s="373"/>
      <x:c r="B304" s="373"/>
      <x:c r="C304" s="373"/>
      <x:c r="D304" s="373"/>
      <x:c r="E304" s="373"/>
      <x:c r="F304" s="373"/>
      <x:c r="G304" s="373"/>
      <x:c r="H304" s="373"/>
      <x:c r="I304" s="373"/>
      <x:c r="J304" s="373"/>
      <x:c r="K304" s="373"/>
      <x:c r="L304" s="373"/>
      <x:c r="M304" s="373"/>
      <x:c r="N304" s="373"/>
      <x:c r="O304" s="373"/>
      <x:c r="P304" s="373"/>
      <x:c r="Q304" s="373"/>
      <x:c r="R304" s="373"/>
      <x:c r="S304" s="373"/>
      <x:c r="T304" s="373"/>
      <x:c r="U304" s="373"/>
      <x:c r="V304" s="373"/>
      <x:c r="W304" s="373"/>
      <x:c r="X304" s="373"/>
      <x:c r="Y304" s="373"/>
      <x:c r="Z304" s="373"/>
    </x:row>
    <x:row r="305">
      <x:c r="A305" s="373"/>
      <x:c r="B305" s="373"/>
      <x:c r="C305" s="373"/>
      <x:c r="D305" s="373"/>
      <x:c r="E305" s="373"/>
      <x:c r="F305" s="373"/>
      <x:c r="G305" s="373"/>
      <x:c r="H305" s="373"/>
      <x:c r="I305" s="373"/>
      <x:c r="J305" s="373"/>
      <x:c r="K305" s="373"/>
      <x:c r="L305" s="373"/>
      <x:c r="M305" s="373"/>
      <x:c r="N305" s="373"/>
      <x:c r="O305" s="373"/>
      <x:c r="P305" s="373"/>
      <x:c r="Q305" s="373"/>
      <x:c r="R305" s="373"/>
      <x:c r="S305" s="373"/>
      <x:c r="T305" s="373"/>
      <x:c r="U305" s="373"/>
      <x:c r="V305" s="373"/>
      <x:c r="W305" s="373"/>
      <x:c r="X305" s="373"/>
      <x:c r="Y305" s="373"/>
      <x:c r="Z305" s="373"/>
    </x:row>
    <x:row r="306">
      <x:c r="A306" s="373"/>
      <x:c r="B306" s="373"/>
      <x:c r="C306" s="373"/>
      <x:c r="D306" s="373"/>
      <x:c r="E306" s="373"/>
      <x:c r="F306" s="373"/>
      <x:c r="G306" s="373"/>
      <x:c r="H306" s="373"/>
      <x:c r="I306" s="373"/>
      <x:c r="J306" s="373"/>
      <x:c r="K306" s="373"/>
      <x:c r="L306" s="373"/>
      <x:c r="M306" s="373"/>
      <x:c r="N306" s="373"/>
      <x:c r="O306" s="373"/>
      <x:c r="P306" s="373"/>
      <x:c r="Q306" s="373"/>
      <x:c r="R306" s="373"/>
      <x:c r="S306" s="373"/>
      <x:c r="T306" s="373"/>
      <x:c r="U306" s="373"/>
      <x:c r="V306" s="373"/>
      <x:c r="W306" s="373"/>
      <x:c r="X306" s="373"/>
      <x:c r="Y306" s="373"/>
      <x:c r="Z306" s="373"/>
    </x:row>
    <x:row r="307">
      <x:c r="A307" s="373"/>
      <x:c r="B307" s="373"/>
      <x:c r="C307" s="373"/>
      <x:c r="D307" s="373"/>
      <x:c r="E307" s="373"/>
      <x:c r="F307" s="373"/>
      <x:c r="G307" s="373"/>
      <x:c r="H307" s="373"/>
      <x:c r="I307" s="373"/>
      <x:c r="J307" s="373"/>
      <x:c r="K307" s="373"/>
      <x:c r="L307" s="373"/>
      <x:c r="M307" s="373"/>
      <x:c r="N307" s="373"/>
      <x:c r="O307" s="373"/>
      <x:c r="P307" s="373"/>
      <x:c r="Q307" s="373"/>
      <x:c r="R307" s="373"/>
      <x:c r="S307" s="373"/>
      <x:c r="T307" s="373"/>
      <x:c r="U307" s="373"/>
      <x:c r="V307" s="373"/>
      <x:c r="W307" s="373"/>
      <x:c r="X307" s="373"/>
      <x:c r="Y307" s="373"/>
      <x:c r="Z307" s="373"/>
    </x:row>
    <x:row r="308">
      <x:c r="A308" s="373"/>
      <x:c r="B308" s="373"/>
      <x:c r="C308" s="373"/>
      <x:c r="D308" s="373"/>
      <x:c r="E308" s="373"/>
      <x:c r="F308" s="373"/>
      <x:c r="G308" s="373"/>
      <x:c r="H308" s="373"/>
      <x:c r="I308" s="373"/>
      <x:c r="J308" s="373"/>
      <x:c r="K308" s="373"/>
      <x:c r="L308" s="373"/>
      <x:c r="M308" s="373"/>
      <x:c r="N308" s="373"/>
      <x:c r="O308" s="373"/>
      <x:c r="P308" s="373"/>
      <x:c r="Q308" s="373"/>
      <x:c r="R308" s="373"/>
      <x:c r="S308" s="373"/>
      <x:c r="T308" s="373"/>
      <x:c r="U308" s="373"/>
      <x:c r="V308" s="373"/>
      <x:c r="W308" s="373"/>
      <x:c r="X308" s="373"/>
      <x:c r="Y308" s="373"/>
      <x:c r="Z308" s="373"/>
    </x:row>
    <x:row r="309">
      <x:c r="A309" s="373"/>
      <x:c r="B309" s="373"/>
      <x:c r="C309" s="373"/>
      <x:c r="D309" s="373"/>
      <x:c r="E309" s="373"/>
      <x:c r="F309" s="373"/>
      <x:c r="G309" s="373"/>
      <x:c r="H309" s="373"/>
      <x:c r="I309" s="373"/>
      <x:c r="J309" s="373"/>
      <x:c r="K309" s="373"/>
      <x:c r="L309" s="373"/>
      <x:c r="M309" s="373"/>
      <x:c r="N309" s="373"/>
      <x:c r="O309" s="373"/>
      <x:c r="P309" s="373"/>
      <x:c r="Q309" s="373"/>
      <x:c r="R309" s="373"/>
      <x:c r="S309" s="373"/>
      <x:c r="T309" s="373"/>
      <x:c r="U309" s="373"/>
      <x:c r="V309" s="373"/>
      <x:c r="W309" s="373"/>
      <x:c r="X309" s="373"/>
      <x:c r="Y309" s="373"/>
      <x:c r="Z309" s="373"/>
    </x:row>
    <x:row r="310">
      <x:c r="A310" s="373"/>
      <x:c r="B310" s="373"/>
      <x:c r="C310" s="373"/>
      <x:c r="D310" s="373"/>
      <x:c r="E310" s="373"/>
      <x:c r="F310" s="373"/>
      <x:c r="G310" s="373"/>
      <x:c r="H310" s="373"/>
      <x:c r="I310" s="373"/>
      <x:c r="J310" s="373"/>
      <x:c r="K310" s="373"/>
      <x:c r="L310" s="373"/>
      <x:c r="M310" s="373"/>
      <x:c r="N310" s="373"/>
      <x:c r="O310" s="373"/>
      <x:c r="P310" s="373"/>
      <x:c r="Q310" s="373"/>
      <x:c r="R310" s="373"/>
      <x:c r="S310" s="373"/>
      <x:c r="T310" s="373"/>
      <x:c r="U310" s="373"/>
      <x:c r="V310" s="373"/>
      <x:c r="W310" s="373"/>
      <x:c r="X310" s="373"/>
      <x:c r="Y310" s="373"/>
      <x:c r="Z310" s="373"/>
    </x:row>
    <x:row r="311">
      <x:c r="A311" s="373"/>
      <x:c r="B311" s="373"/>
      <x:c r="C311" s="373"/>
      <x:c r="D311" s="373"/>
      <x:c r="E311" s="373"/>
      <x:c r="F311" s="373"/>
      <x:c r="G311" s="373"/>
      <x:c r="H311" s="373"/>
      <x:c r="I311" s="373"/>
      <x:c r="J311" s="373"/>
      <x:c r="K311" s="373"/>
      <x:c r="L311" s="373"/>
      <x:c r="M311" s="373"/>
      <x:c r="N311" s="373"/>
      <x:c r="O311" s="373"/>
      <x:c r="P311" s="373"/>
      <x:c r="Q311" s="373"/>
      <x:c r="R311" s="373"/>
      <x:c r="S311" s="373"/>
      <x:c r="T311" s="373"/>
      <x:c r="U311" s="373"/>
      <x:c r="V311" s="373"/>
      <x:c r="W311" s="373"/>
      <x:c r="X311" s="373"/>
      <x:c r="Y311" s="373"/>
      <x:c r="Z311" s="373"/>
    </x:row>
    <x:row r="312">
      <x:c r="A312" s="373"/>
      <x:c r="B312" s="373"/>
      <x:c r="C312" s="373"/>
      <x:c r="D312" s="373"/>
      <x:c r="E312" s="373"/>
      <x:c r="F312" s="373"/>
      <x:c r="G312" s="373"/>
      <x:c r="H312" s="373"/>
      <x:c r="I312" s="373"/>
      <x:c r="J312" s="373"/>
      <x:c r="K312" s="373"/>
      <x:c r="L312" s="373"/>
      <x:c r="M312" s="373"/>
      <x:c r="N312" s="373"/>
      <x:c r="O312" s="373"/>
      <x:c r="P312" s="373"/>
      <x:c r="Q312" s="373"/>
      <x:c r="R312" s="373"/>
      <x:c r="S312" s="373"/>
      <x:c r="T312" s="373"/>
      <x:c r="U312" s="373"/>
      <x:c r="V312" s="373"/>
      <x:c r="W312" s="373"/>
      <x:c r="X312" s="373"/>
      <x:c r="Y312" s="373"/>
      <x:c r="Z312" s="373"/>
    </x:row>
    <x:row r="313">
      <x:c r="A313" s="373"/>
      <x:c r="B313" s="373"/>
      <x:c r="C313" s="373"/>
      <x:c r="D313" s="373"/>
      <x:c r="E313" s="373"/>
      <x:c r="F313" s="373"/>
      <x:c r="G313" s="373"/>
      <x:c r="H313" s="373"/>
      <x:c r="I313" s="373"/>
      <x:c r="J313" s="373"/>
      <x:c r="K313" s="373"/>
      <x:c r="L313" s="373"/>
      <x:c r="M313" s="373"/>
      <x:c r="N313" s="373"/>
      <x:c r="O313" s="373"/>
      <x:c r="P313" s="373"/>
      <x:c r="Q313" s="373"/>
      <x:c r="R313" s="373"/>
      <x:c r="S313" s="373"/>
      <x:c r="T313" s="373"/>
      <x:c r="U313" s="373"/>
      <x:c r="V313" s="373"/>
      <x:c r="W313" s="373"/>
      <x:c r="X313" s="373"/>
      <x:c r="Y313" s="373"/>
      <x:c r="Z313" s="373"/>
    </x:row>
    <x:row r="314">
      <x:c r="A314" s="373"/>
      <x:c r="B314" s="373"/>
      <x:c r="C314" s="373"/>
      <x:c r="D314" s="373"/>
      <x:c r="E314" s="373"/>
      <x:c r="F314" s="373"/>
      <x:c r="G314" s="373"/>
      <x:c r="H314" s="373"/>
      <x:c r="I314" s="373"/>
      <x:c r="J314" s="373"/>
      <x:c r="K314" s="373"/>
      <x:c r="L314" s="373"/>
      <x:c r="M314" s="373"/>
      <x:c r="N314" s="373"/>
      <x:c r="O314" s="373"/>
      <x:c r="P314" s="373"/>
      <x:c r="Q314" s="373"/>
      <x:c r="R314" s="373"/>
      <x:c r="S314" s="373"/>
      <x:c r="T314" s="373"/>
      <x:c r="U314" s="373"/>
      <x:c r="V314" s="373"/>
      <x:c r="W314" s="373"/>
      <x:c r="X314" s="373"/>
      <x:c r="Y314" s="373"/>
      <x:c r="Z314" s="373"/>
    </x:row>
    <x:row r="315">
      <x:c r="A315" s="373"/>
      <x:c r="B315" s="373"/>
      <x:c r="C315" s="373"/>
      <x:c r="D315" s="373"/>
      <x:c r="E315" s="373"/>
      <x:c r="F315" s="373"/>
      <x:c r="G315" s="373"/>
      <x:c r="H315" s="373"/>
      <x:c r="I315" s="373"/>
      <x:c r="J315" s="373"/>
      <x:c r="K315" s="373"/>
      <x:c r="L315" s="373"/>
      <x:c r="M315" s="373"/>
      <x:c r="N315" s="373"/>
      <x:c r="O315" s="373"/>
      <x:c r="P315" s="373"/>
      <x:c r="Q315" s="373"/>
      <x:c r="R315" s="373"/>
      <x:c r="S315" s="373"/>
      <x:c r="T315" s="373"/>
      <x:c r="U315" s="373"/>
      <x:c r="V315" s="373"/>
      <x:c r="W315" s="373"/>
      <x:c r="X315" s="373"/>
      <x:c r="Y315" s="373"/>
      <x:c r="Z315" s="373"/>
    </x:row>
    <x:row r="316">
      <x:c r="A316" s="373"/>
      <x:c r="B316" s="373"/>
      <x:c r="C316" s="373"/>
      <x:c r="D316" s="373"/>
      <x:c r="E316" s="373"/>
      <x:c r="F316" s="373"/>
      <x:c r="G316" s="373"/>
      <x:c r="H316" s="373"/>
      <x:c r="I316" s="373"/>
      <x:c r="J316" s="373"/>
      <x:c r="K316" s="373"/>
      <x:c r="L316" s="373"/>
      <x:c r="M316" s="373"/>
      <x:c r="N316" s="373"/>
      <x:c r="O316" s="373"/>
      <x:c r="P316" s="373"/>
      <x:c r="Q316" s="373"/>
      <x:c r="R316" s="373"/>
      <x:c r="S316" s="373"/>
      <x:c r="T316" s="373"/>
      <x:c r="U316" s="373"/>
      <x:c r="V316" s="373"/>
      <x:c r="W316" s="373"/>
      <x:c r="X316" s="373"/>
      <x:c r="Y316" s="373"/>
      <x:c r="Z316" s="373"/>
    </x:row>
    <x:row r="317">
      <x:c r="A317" s="373"/>
      <x:c r="B317" s="373"/>
      <x:c r="C317" s="373"/>
      <x:c r="D317" s="373"/>
      <x:c r="E317" s="373"/>
      <x:c r="F317" s="373"/>
      <x:c r="G317" s="373"/>
      <x:c r="H317" s="373"/>
      <x:c r="I317" s="373"/>
      <x:c r="J317" s="373"/>
      <x:c r="K317" s="373"/>
      <x:c r="L317" s="373"/>
      <x:c r="M317" s="373"/>
      <x:c r="N317" s="373"/>
      <x:c r="O317" s="373"/>
      <x:c r="P317" s="373"/>
      <x:c r="Q317" s="373"/>
      <x:c r="R317" s="373"/>
      <x:c r="S317" s="373"/>
      <x:c r="T317" s="373"/>
      <x:c r="U317" s="373"/>
      <x:c r="V317" s="373"/>
      <x:c r="W317" s="373"/>
      <x:c r="X317" s="373"/>
      <x:c r="Y317" s="373"/>
      <x:c r="Z317" s="373"/>
    </x:row>
    <x:row r="318">
      <x:c r="A318" s="373"/>
      <x:c r="B318" s="373"/>
      <x:c r="C318" s="373"/>
      <x:c r="D318" s="373"/>
      <x:c r="E318" s="373"/>
      <x:c r="F318" s="373"/>
      <x:c r="G318" s="373"/>
      <x:c r="H318" s="373"/>
      <x:c r="I318" s="373"/>
      <x:c r="J318" s="373"/>
      <x:c r="K318" s="373"/>
      <x:c r="L318" s="373"/>
      <x:c r="M318" s="373"/>
      <x:c r="N318" s="373"/>
      <x:c r="O318" s="373"/>
      <x:c r="P318" s="373"/>
      <x:c r="Q318" s="373"/>
      <x:c r="R318" s="373"/>
      <x:c r="S318" s="373"/>
      <x:c r="T318" s="373"/>
      <x:c r="U318" s="373"/>
      <x:c r="V318" s="373"/>
      <x:c r="W318" s="373"/>
      <x:c r="X318" s="373"/>
      <x:c r="Y318" s="373"/>
      <x:c r="Z318" s="373"/>
    </x:row>
    <x:row r="319">
      <x:c r="A319" s="373"/>
      <x:c r="B319" s="373"/>
      <x:c r="C319" s="373"/>
      <x:c r="D319" s="373"/>
      <x:c r="E319" s="373"/>
      <x:c r="F319" s="373"/>
      <x:c r="G319" s="373"/>
      <x:c r="H319" s="373"/>
      <x:c r="I319" s="373"/>
      <x:c r="J319" s="373"/>
      <x:c r="K319" s="373"/>
      <x:c r="L319" s="373"/>
      <x:c r="M319" s="373"/>
      <x:c r="N319" s="373"/>
      <x:c r="O319" s="373"/>
      <x:c r="P319" s="373"/>
      <x:c r="Q319" s="373"/>
      <x:c r="R319" s="373"/>
      <x:c r="S319" s="373"/>
      <x:c r="T319" s="373"/>
      <x:c r="U319" s="373"/>
      <x:c r="V319" s="373"/>
      <x:c r="W319" s="373"/>
      <x:c r="X319" s="373"/>
      <x:c r="Y319" s="373"/>
      <x:c r="Z319" s="373"/>
    </x:row>
    <x:row r="320">
      <x:c r="A320" s="373"/>
      <x:c r="B320" s="373"/>
      <x:c r="C320" s="373"/>
      <x:c r="D320" s="373"/>
      <x:c r="E320" s="373"/>
      <x:c r="F320" s="373"/>
      <x:c r="G320" s="373"/>
      <x:c r="H320" s="373"/>
      <x:c r="I320" s="373"/>
      <x:c r="J320" s="373"/>
      <x:c r="K320" s="373"/>
      <x:c r="L320" s="373"/>
      <x:c r="M320" s="373"/>
      <x:c r="N320" s="373"/>
      <x:c r="O320" s="373"/>
      <x:c r="P320" s="373"/>
      <x:c r="Q320" s="373"/>
      <x:c r="R320" s="373"/>
      <x:c r="S320" s="373"/>
      <x:c r="T320" s="373"/>
      <x:c r="U320" s="373"/>
      <x:c r="V320" s="373"/>
      <x:c r="W320" s="373"/>
      <x:c r="X320" s="373"/>
      <x:c r="Y320" s="373"/>
      <x:c r="Z320" s="373"/>
    </x:row>
    <x:row r="321">
      <x:c r="A321" s="373"/>
      <x:c r="B321" s="373"/>
      <x:c r="C321" s="373"/>
      <x:c r="D321" s="373"/>
      <x:c r="E321" s="373"/>
      <x:c r="F321" s="373"/>
      <x:c r="G321" s="373"/>
      <x:c r="H321" s="373"/>
      <x:c r="I321" s="373"/>
      <x:c r="J321" s="373"/>
      <x:c r="K321" s="373"/>
      <x:c r="L321" s="373"/>
      <x:c r="M321" s="373"/>
      <x:c r="N321" s="373"/>
      <x:c r="O321" s="373"/>
      <x:c r="P321" s="373"/>
      <x:c r="Q321" s="373"/>
      <x:c r="R321" s="373"/>
      <x:c r="S321" s="373"/>
      <x:c r="T321" s="373"/>
      <x:c r="U321" s="373"/>
      <x:c r="V321" s="373"/>
      <x:c r="W321" s="373"/>
      <x:c r="X321" s="373"/>
      <x:c r="Y321" s="373"/>
      <x:c r="Z321" s="373"/>
    </x:row>
    <x:row r="322">
      <x:c r="A322" s="373"/>
      <x:c r="B322" s="373"/>
      <x:c r="C322" s="373"/>
      <x:c r="D322" s="373"/>
      <x:c r="E322" s="373"/>
      <x:c r="F322" s="373"/>
      <x:c r="G322" s="373"/>
      <x:c r="H322" s="373"/>
      <x:c r="I322" s="373"/>
      <x:c r="J322" s="373"/>
      <x:c r="K322" s="373"/>
      <x:c r="L322" s="373"/>
      <x:c r="M322" s="373"/>
      <x:c r="N322" s="373"/>
      <x:c r="O322" s="373"/>
      <x:c r="P322" s="373"/>
      <x:c r="Q322" s="373"/>
      <x:c r="R322" s="373"/>
      <x:c r="S322" s="373"/>
      <x:c r="T322" s="373"/>
      <x:c r="U322" s="373"/>
      <x:c r="V322" s="373"/>
      <x:c r="W322" s="373"/>
      <x:c r="X322" s="373"/>
      <x:c r="Y322" s="373"/>
      <x:c r="Z322" s="373"/>
    </x:row>
    <x:row r="323">
      <x:c r="A323" s="373"/>
      <x:c r="B323" s="373"/>
      <x:c r="C323" s="373"/>
      <x:c r="D323" s="373"/>
      <x:c r="E323" s="373"/>
      <x:c r="F323" s="373"/>
      <x:c r="G323" s="373"/>
      <x:c r="H323" s="373"/>
      <x:c r="I323" s="373"/>
      <x:c r="J323" s="373"/>
      <x:c r="K323" s="373"/>
      <x:c r="L323" s="373"/>
      <x:c r="M323" s="373"/>
      <x:c r="N323" s="373"/>
      <x:c r="O323" s="373"/>
      <x:c r="P323" s="373"/>
      <x:c r="Q323" s="373"/>
      <x:c r="R323" s="373"/>
      <x:c r="S323" s="373"/>
      <x:c r="T323" s="373"/>
      <x:c r="U323" s="373"/>
      <x:c r="V323" s="373"/>
      <x:c r="W323" s="373"/>
      <x:c r="X323" s="373"/>
      <x:c r="Y323" s="373"/>
      <x:c r="Z323" s="373"/>
    </x:row>
    <x:row r="324">
      <x:c r="A324" s="373"/>
      <x:c r="B324" s="373"/>
      <x:c r="C324" s="373"/>
      <x:c r="D324" s="373"/>
      <x:c r="E324" s="373"/>
      <x:c r="F324" s="373"/>
      <x:c r="G324" s="373"/>
      <x:c r="H324" s="373"/>
      <x:c r="I324" s="373"/>
      <x:c r="J324" s="373"/>
      <x:c r="K324" s="373"/>
      <x:c r="L324" s="373"/>
      <x:c r="M324" s="373"/>
      <x:c r="N324" s="373"/>
      <x:c r="O324" s="373"/>
      <x:c r="P324" s="373"/>
      <x:c r="Q324" s="373"/>
      <x:c r="R324" s="373"/>
      <x:c r="S324" s="373"/>
      <x:c r="T324" s="373"/>
      <x:c r="U324" s="373"/>
      <x:c r="V324" s="373"/>
      <x:c r="W324" s="373"/>
      <x:c r="X324" s="373"/>
      <x:c r="Y324" s="373"/>
      <x:c r="Z324" s="373"/>
    </x:row>
    <x:row r="325">
      <x:c r="A325" s="373"/>
      <x:c r="B325" s="373"/>
      <x:c r="C325" s="373"/>
      <x:c r="D325" s="373"/>
      <x:c r="E325" s="373"/>
      <x:c r="F325" s="373"/>
      <x:c r="G325" s="373"/>
      <x:c r="H325" s="373"/>
      <x:c r="I325" s="373"/>
      <x:c r="J325" s="373"/>
      <x:c r="K325" s="373"/>
      <x:c r="L325" s="373"/>
      <x:c r="M325" s="373"/>
      <x:c r="N325" s="373"/>
      <x:c r="O325" s="373"/>
      <x:c r="P325" s="373"/>
      <x:c r="Q325" s="373"/>
      <x:c r="R325" s="373"/>
      <x:c r="S325" s="373"/>
      <x:c r="T325" s="373"/>
      <x:c r="U325" s="373"/>
      <x:c r="V325" s="373"/>
      <x:c r="W325" s="373"/>
      <x:c r="X325" s="373"/>
      <x:c r="Y325" s="373"/>
      <x:c r="Z325" s="373"/>
    </x:row>
    <x:row r="326">
      <x:c r="A326" s="373"/>
      <x:c r="B326" s="373"/>
      <x:c r="C326" s="373"/>
      <x:c r="D326" s="373"/>
      <x:c r="E326" s="373"/>
      <x:c r="F326" s="373"/>
      <x:c r="G326" s="373"/>
      <x:c r="H326" s="373"/>
      <x:c r="I326" s="373"/>
      <x:c r="J326" s="373"/>
      <x:c r="K326" s="373"/>
      <x:c r="L326" s="373"/>
      <x:c r="M326" s="373"/>
      <x:c r="N326" s="373"/>
      <x:c r="O326" s="373"/>
      <x:c r="P326" s="373"/>
      <x:c r="Q326" s="373"/>
      <x:c r="R326" s="373"/>
      <x:c r="S326" s="373"/>
      <x:c r="T326" s="373"/>
      <x:c r="U326" s="373"/>
      <x:c r="V326" s="373"/>
      <x:c r="W326" s="373"/>
      <x:c r="X326" s="373"/>
      <x:c r="Y326" s="373"/>
      <x:c r="Z326" s="373"/>
    </x:row>
    <x:row r="327">
      <x:c r="A327" s="373"/>
      <x:c r="B327" s="373"/>
      <x:c r="C327" s="373"/>
      <x:c r="D327" s="373"/>
      <x:c r="E327" s="373"/>
      <x:c r="F327" s="373"/>
      <x:c r="G327" s="373"/>
      <x:c r="H327" s="373"/>
      <x:c r="I327" s="373"/>
      <x:c r="J327" s="373"/>
      <x:c r="K327" s="373"/>
      <x:c r="L327" s="373"/>
      <x:c r="M327" s="373"/>
      <x:c r="N327" s="373"/>
      <x:c r="O327" s="373"/>
      <x:c r="P327" s="373"/>
      <x:c r="Q327" s="373"/>
      <x:c r="R327" s="373"/>
      <x:c r="S327" s="373"/>
      <x:c r="T327" s="373"/>
      <x:c r="U327" s="373"/>
      <x:c r="V327" s="373"/>
      <x:c r="W327" s="373"/>
      <x:c r="X327" s="373"/>
      <x:c r="Y327" s="373"/>
      <x:c r="Z327" s="373"/>
    </x:row>
    <x:row r="328">
      <x:c r="A328" s="373"/>
      <x:c r="B328" s="373"/>
      <x:c r="C328" s="373"/>
      <x:c r="D328" s="373"/>
      <x:c r="E328" s="373"/>
      <x:c r="F328" s="373"/>
      <x:c r="G328" s="373"/>
      <x:c r="H328" s="373"/>
      <x:c r="I328" s="373"/>
      <x:c r="J328" s="373"/>
      <x:c r="K328" s="373"/>
      <x:c r="L328" s="373"/>
      <x:c r="M328" s="373"/>
      <x:c r="N328" s="373"/>
      <x:c r="O328" s="373"/>
      <x:c r="P328" s="373"/>
      <x:c r="Q328" s="373"/>
      <x:c r="R328" s="373"/>
      <x:c r="S328" s="373"/>
      <x:c r="T328" s="373"/>
      <x:c r="U328" s="373"/>
      <x:c r="V328" s="373"/>
      <x:c r="W328" s="373"/>
      <x:c r="X328" s="373"/>
      <x:c r="Y328" s="373"/>
      <x:c r="Z328" s="373"/>
    </x:row>
    <x:row r="329">
      <x:c r="A329" s="373"/>
      <x:c r="B329" s="373"/>
      <x:c r="C329" s="373"/>
      <x:c r="D329" s="373"/>
      <x:c r="E329" s="373"/>
      <x:c r="F329" s="373"/>
      <x:c r="G329" s="373"/>
      <x:c r="H329" s="373"/>
      <x:c r="I329" s="373"/>
      <x:c r="J329" s="373"/>
      <x:c r="K329" s="373"/>
      <x:c r="L329" s="373"/>
      <x:c r="M329" s="373"/>
      <x:c r="N329" s="373"/>
      <x:c r="O329" s="373"/>
      <x:c r="P329" s="373"/>
      <x:c r="Q329" s="373"/>
      <x:c r="R329" s="373"/>
      <x:c r="S329" s="373"/>
      <x:c r="T329" s="373"/>
      <x:c r="U329" s="373"/>
      <x:c r="V329" s="373"/>
      <x:c r="W329" s="373"/>
      <x:c r="X329" s="373"/>
      <x:c r="Y329" s="373"/>
      <x:c r="Z329" s="373"/>
    </x:row>
    <x:row r="330">
      <x:c r="A330" s="373"/>
      <x:c r="B330" s="373"/>
      <x:c r="C330" s="373"/>
      <x:c r="D330" s="373"/>
      <x:c r="E330" s="373"/>
      <x:c r="F330" s="373"/>
      <x:c r="G330" s="373"/>
      <x:c r="H330" s="373"/>
      <x:c r="I330" s="373"/>
      <x:c r="J330" s="373"/>
      <x:c r="K330" s="373"/>
      <x:c r="L330" s="373"/>
      <x:c r="M330" s="373"/>
      <x:c r="N330" s="373"/>
      <x:c r="O330" s="373"/>
      <x:c r="P330" s="373"/>
      <x:c r="Q330" s="373"/>
      <x:c r="R330" s="373"/>
      <x:c r="S330" s="373"/>
      <x:c r="T330" s="373"/>
      <x:c r="U330" s="373"/>
      <x:c r="V330" s="373"/>
      <x:c r="W330" s="373"/>
      <x:c r="X330" s="373"/>
      <x:c r="Y330" s="373"/>
      <x:c r="Z330" s="373"/>
    </x:row>
    <x:row r="331">
      <x:c r="A331" s="373"/>
      <x:c r="B331" s="373"/>
      <x:c r="C331" s="373"/>
      <x:c r="D331" s="373"/>
      <x:c r="E331" s="373"/>
      <x:c r="F331" s="373"/>
      <x:c r="G331" s="373"/>
      <x:c r="H331" s="373"/>
      <x:c r="I331" s="373"/>
      <x:c r="J331" s="373"/>
      <x:c r="K331" s="373"/>
      <x:c r="L331" s="373"/>
      <x:c r="M331" s="373"/>
      <x:c r="N331" s="373"/>
      <x:c r="O331" s="373"/>
      <x:c r="P331" s="373"/>
      <x:c r="Q331" s="373"/>
      <x:c r="R331" s="373"/>
      <x:c r="S331" s="373"/>
      <x:c r="T331" s="373"/>
      <x:c r="U331" s="373"/>
      <x:c r="V331" s="373"/>
      <x:c r="W331" s="373"/>
      <x:c r="X331" s="373"/>
      <x:c r="Y331" s="373"/>
      <x:c r="Z331" s="373"/>
    </x:row>
    <x:row r="332">
      <x:c r="A332" s="373"/>
      <x:c r="B332" s="373"/>
      <x:c r="C332" s="373"/>
      <x:c r="D332" s="373"/>
      <x:c r="E332" s="373"/>
      <x:c r="F332" s="373"/>
      <x:c r="G332" s="373"/>
      <x:c r="H332" s="373"/>
      <x:c r="I332" s="373"/>
      <x:c r="J332" s="373"/>
      <x:c r="K332" s="373"/>
      <x:c r="L332" s="373"/>
      <x:c r="M332" s="373"/>
      <x:c r="N332" s="373"/>
      <x:c r="O332" s="373"/>
      <x:c r="P332" s="373"/>
      <x:c r="Q332" s="373"/>
      <x:c r="R332" s="373"/>
      <x:c r="S332" s="373"/>
      <x:c r="T332" s="373"/>
      <x:c r="U332" s="373"/>
      <x:c r="V332" s="373"/>
      <x:c r="W332" s="373"/>
      <x:c r="X332" s="373"/>
      <x:c r="Y332" s="373"/>
      <x:c r="Z332" s="373"/>
    </x:row>
    <x:row r="333">
      <x:c r="A333" s="373"/>
      <x:c r="B333" s="373"/>
      <x:c r="C333" s="373"/>
      <x:c r="D333" s="373"/>
      <x:c r="E333" s="373"/>
      <x:c r="F333" s="373"/>
      <x:c r="G333" s="373"/>
      <x:c r="H333" s="373"/>
      <x:c r="I333" s="373"/>
      <x:c r="J333" s="373"/>
      <x:c r="K333" s="373"/>
      <x:c r="L333" s="373"/>
      <x:c r="M333" s="373"/>
      <x:c r="N333" s="373"/>
      <x:c r="O333" s="373"/>
      <x:c r="P333" s="373"/>
      <x:c r="Q333" s="373"/>
      <x:c r="R333" s="373"/>
      <x:c r="S333" s="373"/>
      <x:c r="T333" s="373"/>
      <x:c r="U333" s="373"/>
      <x:c r="V333" s="373"/>
      <x:c r="W333" s="373"/>
      <x:c r="X333" s="373"/>
      <x:c r="Y333" s="373"/>
      <x:c r="Z333" s="373"/>
    </x:row>
    <x:row r="334">
      <x:c r="A334" s="373"/>
      <x:c r="B334" s="373"/>
      <x:c r="C334" s="373"/>
      <x:c r="D334" s="373"/>
      <x:c r="E334" s="373"/>
      <x:c r="F334" s="373"/>
      <x:c r="G334" s="373"/>
      <x:c r="H334" s="373"/>
      <x:c r="I334" s="373"/>
      <x:c r="J334" s="373"/>
      <x:c r="K334" s="373"/>
      <x:c r="L334" s="373"/>
      <x:c r="M334" s="373"/>
      <x:c r="N334" s="373"/>
      <x:c r="O334" s="373"/>
      <x:c r="P334" s="373"/>
      <x:c r="Q334" s="373"/>
      <x:c r="R334" s="373"/>
      <x:c r="S334" s="373"/>
      <x:c r="T334" s="373"/>
      <x:c r="U334" s="373"/>
      <x:c r="V334" s="373"/>
      <x:c r="W334" s="373"/>
      <x:c r="X334" s="373"/>
      <x:c r="Y334" s="373"/>
      <x:c r="Z334" s="373"/>
    </x:row>
    <x:row r="335">
      <x:c r="A335" s="373"/>
      <x:c r="B335" s="373"/>
      <x:c r="C335" s="373"/>
      <x:c r="D335" s="373"/>
      <x:c r="E335" s="373"/>
      <x:c r="F335" s="373"/>
      <x:c r="G335" s="373"/>
      <x:c r="H335" s="373"/>
      <x:c r="I335" s="373"/>
      <x:c r="J335" s="373"/>
      <x:c r="K335" s="373"/>
      <x:c r="L335" s="373"/>
      <x:c r="M335" s="373"/>
      <x:c r="N335" s="373"/>
      <x:c r="O335" s="373"/>
      <x:c r="P335" s="373"/>
      <x:c r="Q335" s="373"/>
      <x:c r="R335" s="373"/>
      <x:c r="S335" s="373"/>
      <x:c r="T335" s="373"/>
      <x:c r="U335" s="373"/>
      <x:c r="V335" s="373"/>
      <x:c r="W335" s="373"/>
      <x:c r="X335" s="373"/>
      <x:c r="Y335" s="373"/>
      <x:c r="Z335" s="373"/>
    </x:row>
    <x:row r="336">
      <x:c r="A336" s="373"/>
      <x:c r="B336" s="373"/>
      <x:c r="C336" s="373"/>
      <x:c r="D336" s="373"/>
      <x:c r="E336" s="373"/>
      <x:c r="F336" s="373"/>
      <x:c r="G336" s="373"/>
      <x:c r="H336" s="373"/>
      <x:c r="I336" s="373"/>
      <x:c r="J336" s="373"/>
      <x:c r="K336" s="373"/>
      <x:c r="L336" s="373"/>
      <x:c r="M336" s="373"/>
      <x:c r="N336" s="373"/>
      <x:c r="O336" s="373"/>
      <x:c r="P336" s="373"/>
      <x:c r="Q336" s="373"/>
      <x:c r="R336" s="373"/>
      <x:c r="S336" s="373"/>
      <x:c r="T336" s="373"/>
      <x:c r="U336" s="373"/>
      <x:c r="V336" s="373"/>
      <x:c r="W336" s="373"/>
      <x:c r="X336" s="373"/>
      <x:c r="Y336" s="373"/>
      <x:c r="Z336" s="373"/>
    </x:row>
    <x:row r="337">
      <x:c r="A337" s="373"/>
      <x:c r="B337" s="373"/>
      <x:c r="C337" s="373"/>
      <x:c r="D337" s="373"/>
      <x:c r="E337" s="373"/>
      <x:c r="F337" s="373"/>
      <x:c r="G337" s="373"/>
      <x:c r="H337" s="373"/>
      <x:c r="I337" s="373"/>
      <x:c r="J337" s="373"/>
      <x:c r="K337" s="373"/>
      <x:c r="L337" s="373"/>
      <x:c r="M337" s="373"/>
      <x:c r="N337" s="373"/>
      <x:c r="O337" s="373"/>
      <x:c r="P337" s="373"/>
      <x:c r="Q337" s="373"/>
      <x:c r="R337" s="373"/>
      <x:c r="S337" s="373"/>
      <x:c r="T337" s="373"/>
      <x:c r="U337" s="373"/>
      <x:c r="V337" s="373"/>
      <x:c r="W337" s="373"/>
      <x:c r="X337" s="373"/>
      <x:c r="Y337" s="373"/>
      <x:c r="Z337" s="373"/>
    </x:row>
    <x:row r="338">
      <x:c r="A338" s="373"/>
      <x:c r="B338" s="373"/>
      <x:c r="C338" s="373"/>
      <x:c r="D338" s="373"/>
      <x:c r="E338" s="373"/>
      <x:c r="F338" s="373"/>
      <x:c r="G338" s="373"/>
      <x:c r="H338" s="373"/>
      <x:c r="I338" s="373"/>
      <x:c r="J338" s="373"/>
      <x:c r="K338" s="373"/>
      <x:c r="L338" s="373"/>
      <x:c r="M338" s="373"/>
      <x:c r="N338" s="373"/>
      <x:c r="O338" s="373"/>
      <x:c r="P338" s="373"/>
      <x:c r="Q338" s="373"/>
      <x:c r="R338" s="373"/>
      <x:c r="S338" s="373"/>
      <x:c r="T338" s="373"/>
      <x:c r="U338" s="373"/>
      <x:c r="V338" s="373"/>
      <x:c r="W338" s="373"/>
      <x:c r="X338" s="373"/>
      <x:c r="Y338" s="373"/>
      <x:c r="Z338" s="373"/>
    </x:row>
    <x:row r="339">
      <x:c r="A339" s="373"/>
      <x:c r="B339" s="373"/>
      <x:c r="C339" s="373"/>
      <x:c r="D339" s="373"/>
      <x:c r="E339" s="373"/>
      <x:c r="F339" s="373"/>
      <x:c r="G339" s="373"/>
      <x:c r="H339" s="373"/>
      <x:c r="I339" s="373"/>
      <x:c r="J339" s="373"/>
      <x:c r="K339" s="373"/>
      <x:c r="L339" s="373"/>
      <x:c r="M339" s="373"/>
      <x:c r="N339" s="373"/>
      <x:c r="O339" s="373"/>
      <x:c r="P339" s="373"/>
      <x:c r="Q339" s="373"/>
      <x:c r="R339" s="373"/>
      <x:c r="S339" s="373"/>
      <x:c r="T339" s="373"/>
      <x:c r="U339" s="373"/>
      <x:c r="V339" s="373"/>
      <x:c r="W339" s="373"/>
      <x:c r="X339" s="373"/>
      <x:c r="Y339" s="373"/>
      <x:c r="Z339" s="373"/>
    </x:row>
    <x:row r="340">
      <x:c r="A340" s="373"/>
      <x:c r="B340" s="373"/>
      <x:c r="C340" s="373"/>
      <x:c r="D340" s="373"/>
      <x:c r="E340" s="373"/>
      <x:c r="F340" s="373"/>
      <x:c r="G340" s="373"/>
      <x:c r="H340" s="373"/>
      <x:c r="I340" s="373"/>
      <x:c r="J340" s="373"/>
      <x:c r="K340" s="373"/>
      <x:c r="L340" s="373"/>
      <x:c r="M340" s="373"/>
      <x:c r="N340" s="373"/>
      <x:c r="O340" s="373"/>
      <x:c r="P340" s="373"/>
      <x:c r="Q340" s="373"/>
      <x:c r="R340" s="373"/>
      <x:c r="S340" s="373"/>
      <x:c r="T340" s="373"/>
      <x:c r="U340" s="373"/>
      <x:c r="V340" s="373"/>
      <x:c r="W340" s="373"/>
      <x:c r="X340" s="373"/>
      <x:c r="Y340" s="373"/>
      <x:c r="Z340" s="373"/>
    </x:row>
    <x:row r="341">
      <x:c r="A341" s="373"/>
      <x:c r="B341" s="373"/>
      <x:c r="C341" s="373"/>
      <x:c r="D341" s="373"/>
      <x:c r="E341" s="373"/>
      <x:c r="F341" s="373"/>
      <x:c r="G341" s="373"/>
      <x:c r="H341" s="373"/>
      <x:c r="I341" s="373"/>
      <x:c r="J341" s="373"/>
      <x:c r="K341" s="373"/>
      <x:c r="L341" s="373"/>
      <x:c r="M341" s="373"/>
      <x:c r="N341" s="373"/>
      <x:c r="O341" s="373"/>
      <x:c r="P341" s="373"/>
      <x:c r="Q341" s="373"/>
      <x:c r="R341" s="373"/>
      <x:c r="S341" s="373"/>
      <x:c r="T341" s="373"/>
      <x:c r="U341" s="373"/>
      <x:c r="V341" s="373"/>
      <x:c r="W341" s="373"/>
      <x:c r="X341" s="373"/>
      <x:c r="Y341" s="373"/>
      <x:c r="Z341" s="373"/>
    </x:row>
    <x:row r="342">
      <x:c r="A342" s="373"/>
      <x:c r="B342" s="373"/>
      <x:c r="C342" s="373"/>
      <x:c r="D342" s="373"/>
      <x:c r="E342" s="373"/>
      <x:c r="F342" s="373"/>
      <x:c r="G342" s="373"/>
      <x:c r="H342" s="373"/>
      <x:c r="I342" s="373"/>
      <x:c r="J342" s="373"/>
      <x:c r="K342" s="373"/>
      <x:c r="L342" s="373"/>
      <x:c r="M342" s="373"/>
      <x:c r="N342" s="373"/>
      <x:c r="O342" s="373"/>
      <x:c r="P342" s="373"/>
      <x:c r="Q342" s="373"/>
      <x:c r="R342" s="373"/>
      <x:c r="S342" s="373"/>
      <x:c r="T342" s="373"/>
      <x:c r="U342" s="373"/>
      <x:c r="V342" s="373"/>
      <x:c r="W342" s="373"/>
      <x:c r="X342" s="373"/>
      <x:c r="Y342" s="373"/>
      <x:c r="Z342" s="373"/>
    </x:row>
    <x:row r="343">
      <x:c r="A343" s="373"/>
      <x:c r="B343" s="373"/>
      <x:c r="C343" s="373"/>
      <x:c r="D343" s="373"/>
      <x:c r="E343" s="373"/>
      <x:c r="F343" s="373"/>
      <x:c r="G343" s="373"/>
      <x:c r="H343" s="373"/>
      <x:c r="I343" s="373"/>
      <x:c r="J343" s="373"/>
      <x:c r="K343" s="373"/>
      <x:c r="L343" s="373"/>
      <x:c r="M343" s="373"/>
      <x:c r="N343" s="373"/>
      <x:c r="O343" s="373"/>
      <x:c r="P343" s="373"/>
      <x:c r="Q343" s="373"/>
      <x:c r="R343" s="373"/>
      <x:c r="S343" s="373"/>
      <x:c r="T343" s="373"/>
      <x:c r="U343" s="373"/>
      <x:c r="V343" s="373"/>
      <x:c r="W343" s="373"/>
      <x:c r="X343" s="373"/>
      <x:c r="Y343" s="373"/>
      <x:c r="Z343" s="373"/>
    </x:row>
    <x:row r="344">
      <x:c r="A344" s="373"/>
      <x:c r="B344" s="373"/>
      <x:c r="C344" s="373"/>
      <x:c r="D344" s="373"/>
      <x:c r="E344" s="373"/>
      <x:c r="F344" s="373"/>
      <x:c r="G344" s="373"/>
      <x:c r="H344" s="373"/>
      <x:c r="I344" s="373"/>
      <x:c r="J344" s="373"/>
      <x:c r="K344" s="373"/>
      <x:c r="L344" s="373"/>
      <x:c r="M344" s="373"/>
      <x:c r="N344" s="373"/>
      <x:c r="O344" s="373"/>
      <x:c r="P344" s="373"/>
      <x:c r="Q344" s="373"/>
      <x:c r="R344" s="373"/>
      <x:c r="S344" s="373"/>
      <x:c r="T344" s="373"/>
      <x:c r="U344" s="373"/>
      <x:c r="V344" s="373"/>
      <x:c r="W344" s="373"/>
      <x:c r="X344" s="373"/>
      <x:c r="Y344" s="373"/>
      <x:c r="Z344" s="373"/>
    </x:row>
    <x:row r="345">
      <x:c r="A345" s="373"/>
      <x:c r="B345" s="373"/>
      <x:c r="C345" s="373"/>
      <x:c r="D345" s="373"/>
      <x:c r="E345" s="373"/>
      <x:c r="F345" s="373"/>
      <x:c r="G345" s="373"/>
      <x:c r="H345" s="373"/>
      <x:c r="I345" s="373"/>
      <x:c r="J345" s="373"/>
      <x:c r="K345" s="373"/>
      <x:c r="L345" s="373"/>
      <x:c r="M345" s="373"/>
      <x:c r="N345" s="373"/>
      <x:c r="O345" s="373"/>
      <x:c r="P345" s="373"/>
      <x:c r="Q345" s="373"/>
      <x:c r="R345" s="373"/>
      <x:c r="S345" s="373"/>
      <x:c r="T345" s="373"/>
      <x:c r="U345" s="373"/>
      <x:c r="V345" s="373"/>
      <x:c r="W345" s="373"/>
      <x:c r="X345" s="373"/>
      <x:c r="Y345" s="373"/>
      <x:c r="Z345" s="373"/>
    </x:row>
    <x:row r="346">
      <x:c r="A346" s="373"/>
      <x:c r="B346" s="373"/>
      <x:c r="C346" s="373"/>
      <x:c r="D346" s="373"/>
      <x:c r="E346" s="373"/>
      <x:c r="F346" s="373"/>
      <x:c r="G346" s="373"/>
      <x:c r="H346" s="373"/>
      <x:c r="I346" s="373"/>
      <x:c r="J346" s="373"/>
      <x:c r="K346" s="373"/>
      <x:c r="L346" s="373"/>
      <x:c r="M346" s="373"/>
      <x:c r="N346" s="373"/>
      <x:c r="O346" s="373"/>
      <x:c r="P346" s="373"/>
      <x:c r="Q346" s="373"/>
      <x:c r="R346" s="373"/>
      <x:c r="S346" s="373"/>
      <x:c r="T346" s="373"/>
      <x:c r="U346" s="373"/>
      <x:c r="V346" s="373"/>
      <x:c r="W346" s="373"/>
      <x:c r="X346" s="373"/>
      <x:c r="Y346" s="373"/>
      <x:c r="Z346" s="373"/>
    </x:row>
    <x:row r="347">
      <x:c r="A347" s="373"/>
      <x:c r="B347" s="373"/>
      <x:c r="C347" s="373"/>
      <x:c r="D347" s="373"/>
      <x:c r="E347" s="373"/>
      <x:c r="F347" s="373"/>
      <x:c r="G347" s="373"/>
      <x:c r="H347" s="373"/>
      <x:c r="I347" s="373"/>
      <x:c r="J347" s="373"/>
      <x:c r="K347" s="373"/>
      <x:c r="L347" s="373"/>
      <x:c r="M347" s="373"/>
      <x:c r="N347" s="373"/>
      <x:c r="O347" s="373"/>
      <x:c r="P347" s="373"/>
      <x:c r="Q347" s="373"/>
      <x:c r="R347" s="373"/>
      <x:c r="S347" s="373"/>
      <x:c r="T347" s="373"/>
      <x:c r="U347" s="373"/>
      <x:c r="V347" s="373"/>
      <x:c r="W347" s="373"/>
      <x:c r="X347" s="373"/>
      <x:c r="Y347" s="373"/>
      <x:c r="Z347" s="373"/>
    </x:row>
    <x:row r="348">
      <x:c r="A348" s="373"/>
      <x:c r="B348" s="373"/>
      <x:c r="C348" s="373"/>
      <x:c r="D348" s="373"/>
      <x:c r="E348" s="373"/>
      <x:c r="F348" s="373"/>
      <x:c r="G348" s="373"/>
      <x:c r="H348" s="373"/>
      <x:c r="I348" s="373"/>
      <x:c r="J348" s="373"/>
      <x:c r="K348" s="373"/>
      <x:c r="L348" s="373"/>
      <x:c r="M348" s="373"/>
      <x:c r="N348" s="373"/>
      <x:c r="O348" s="373"/>
      <x:c r="P348" s="373"/>
      <x:c r="Q348" s="373"/>
      <x:c r="R348" s="373"/>
      <x:c r="S348" s="373"/>
      <x:c r="T348" s="373"/>
      <x:c r="U348" s="373"/>
      <x:c r="V348" s="373"/>
      <x:c r="W348" s="373"/>
      <x:c r="X348" s="373"/>
      <x:c r="Y348" s="373"/>
      <x:c r="Z348" s="373"/>
    </x:row>
    <x:row r="349">
      <x:c r="A349" s="373"/>
      <x:c r="B349" s="373"/>
      <x:c r="C349" s="373"/>
      <x:c r="D349" s="373"/>
      <x:c r="E349" s="373"/>
      <x:c r="F349" s="373"/>
      <x:c r="G349" s="373"/>
      <x:c r="H349" s="373"/>
      <x:c r="I349" s="373"/>
      <x:c r="J349" s="373"/>
      <x:c r="K349" s="373"/>
      <x:c r="L349" s="373"/>
      <x:c r="M349" s="373"/>
      <x:c r="N349" s="373"/>
      <x:c r="O349" s="373"/>
      <x:c r="P349" s="373"/>
      <x:c r="Q349" s="373"/>
      <x:c r="R349" s="373"/>
      <x:c r="S349" s="373"/>
      <x:c r="T349" s="373"/>
      <x:c r="U349" s="373"/>
      <x:c r="V349" s="373"/>
      <x:c r="W349" s="373"/>
      <x:c r="X349" s="373"/>
      <x:c r="Y349" s="373"/>
      <x:c r="Z349" s="373"/>
    </x:row>
    <x:row r="350">
      <x:c r="A350" s="373"/>
      <x:c r="B350" s="373"/>
      <x:c r="C350" s="373"/>
      <x:c r="D350" s="373"/>
      <x:c r="E350" s="373"/>
      <x:c r="F350" s="373"/>
      <x:c r="G350" s="373"/>
      <x:c r="H350" s="373"/>
      <x:c r="I350" s="373"/>
      <x:c r="J350" s="373"/>
      <x:c r="K350" s="373"/>
      <x:c r="L350" s="373"/>
      <x:c r="M350" s="373"/>
      <x:c r="N350" s="373"/>
      <x:c r="O350" s="373"/>
      <x:c r="P350" s="373"/>
      <x:c r="Q350" s="373"/>
      <x:c r="R350" s="373"/>
      <x:c r="S350" s="373"/>
      <x:c r="T350" s="373"/>
      <x:c r="U350" s="373"/>
      <x:c r="V350" s="373"/>
      <x:c r="W350" s="373"/>
      <x:c r="X350" s="373"/>
      <x:c r="Y350" s="373"/>
      <x:c r="Z350" s="373"/>
    </x:row>
    <x:row r="351">
      <x:c r="A351" s="373"/>
      <x:c r="B351" s="373"/>
      <x:c r="C351" s="373"/>
      <x:c r="D351" s="373"/>
      <x:c r="E351" s="373"/>
      <x:c r="F351" s="373"/>
      <x:c r="G351" s="373"/>
      <x:c r="H351" s="373"/>
      <x:c r="I351" s="373"/>
      <x:c r="J351" s="373"/>
      <x:c r="K351" s="373"/>
      <x:c r="L351" s="373"/>
      <x:c r="M351" s="373"/>
      <x:c r="N351" s="373"/>
      <x:c r="O351" s="373"/>
      <x:c r="P351" s="373"/>
      <x:c r="Q351" s="373"/>
      <x:c r="R351" s="373"/>
      <x:c r="S351" s="373"/>
      <x:c r="T351" s="373"/>
      <x:c r="U351" s="373"/>
      <x:c r="V351" s="373"/>
      <x:c r="W351" s="373"/>
      <x:c r="X351" s="373"/>
      <x:c r="Y351" s="373"/>
      <x:c r="Z351" s="373"/>
    </x:row>
    <x:row r="352">
      <x:c r="A352" s="373"/>
      <x:c r="B352" s="373"/>
      <x:c r="C352" s="373"/>
      <x:c r="D352" s="373"/>
      <x:c r="E352" s="373"/>
      <x:c r="F352" s="373"/>
      <x:c r="G352" s="373"/>
      <x:c r="H352" s="373"/>
      <x:c r="I352" s="373"/>
      <x:c r="J352" s="373"/>
      <x:c r="K352" s="373"/>
      <x:c r="L352" s="373"/>
      <x:c r="M352" s="373"/>
      <x:c r="N352" s="373"/>
      <x:c r="O352" s="373"/>
      <x:c r="P352" s="373"/>
      <x:c r="Q352" s="373"/>
      <x:c r="R352" s="373"/>
      <x:c r="S352" s="373"/>
      <x:c r="T352" s="373"/>
      <x:c r="U352" s="373"/>
      <x:c r="V352" s="373"/>
      <x:c r="W352" s="373"/>
      <x:c r="X352" s="373"/>
      <x:c r="Y352" s="373"/>
      <x:c r="Z352" s="373"/>
    </x:row>
    <x:row r="353">
      <x:c r="A353" s="373"/>
      <x:c r="B353" s="373"/>
      <x:c r="C353" s="373"/>
      <x:c r="D353" s="373"/>
      <x:c r="E353" s="373"/>
      <x:c r="F353" s="373"/>
      <x:c r="G353" s="373"/>
      <x:c r="H353" s="373"/>
      <x:c r="I353" s="373"/>
      <x:c r="J353" s="373"/>
      <x:c r="K353" s="373"/>
      <x:c r="L353" s="373"/>
      <x:c r="M353" s="373"/>
      <x:c r="N353" s="373"/>
      <x:c r="O353" s="373"/>
      <x:c r="P353" s="373"/>
      <x:c r="Q353" s="373"/>
      <x:c r="R353" s="373"/>
      <x:c r="S353" s="373"/>
      <x:c r="T353" s="373"/>
      <x:c r="U353" s="373"/>
      <x:c r="V353" s="373"/>
      <x:c r="W353" s="373"/>
      <x:c r="X353" s="373"/>
      <x:c r="Y353" s="373"/>
      <x:c r="Z353" s="373"/>
    </x:row>
    <x:row r="354">
      <x:c r="A354" s="373"/>
      <x:c r="B354" s="373"/>
      <x:c r="C354" s="373"/>
      <x:c r="D354" s="373"/>
      <x:c r="E354" s="373"/>
      <x:c r="F354" s="373"/>
      <x:c r="G354" s="373"/>
      <x:c r="H354" s="373"/>
      <x:c r="I354" s="373"/>
      <x:c r="J354" s="373"/>
      <x:c r="K354" s="373"/>
      <x:c r="L354" s="373"/>
      <x:c r="M354" s="373"/>
      <x:c r="N354" s="373"/>
      <x:c r="O354" s="373"/>
      <x:c r="P354" s="373"/>
      <x:c r="Q354" s="373"/>
      <x:c r="R354" s="373"/>
      <x:c r="S354" s="373"/>
      <x:c r="T354" s="373"/>
      <x:c r="U354" s="373"/>
      <x:c r="V354" s="373"/>
      <x:c r="W354" s="373"/>
      <x:c r="X354" s="373"/>
      <x:c r="Y354" s="373"/>
      <x:c r="Z354" s="373"/>
    </x:row>
    <x:row r="355">
      <x:c r="A355" s="373"/>
      <x:c r="B355" s="373"/>
      <x:c r="C355" s="373"/>
      <x:c r="D355" s="373"/>
      <x:c r="E355" s="373"/>
      <x:c r="F355" s="373"/>
      <x:c r="G355" s="373"/>
      <x:c r="H355" s="373"/>
      <x:c r="I355" s="373"/>
      <x:c r="J355" s="373"/>
      <x:c r="K355" s="373"/>
      <x:c r="L355" s="373"/>
      <x:c r="M355" s="373"/>
      <x:c r="N355" s="373"/>
      <x:c r="O355" s="373"/>
      <x:c r="P355" s="373"/>
      <x:c r="Q355" s="373"/>
      <x:c r="R355" s="373"/>
      <x:c r="S355" s="373"/>
      <x:c r="T355" s="373"/>
      <x:c r="U355" s="373"/>
      <x:c r="V355" s="373"/>
      <x:c r="W355" s="373"/>
      <x:c r="X355" s="373"/>
      <x:c r="Y355" s="373"/>
      <x:c r="Z355" s="373"/>
    </x:row>
    <x:row r="356">
      <x:c r="A356" s="373"/>
      <x:c r="B356" s="373"/>
      <x:c r="C356" s="373"/>
      <x:c r="D356" s="373"/>
      <x:c r="E356" s="373"/>
      <x:c r="F356" s="373"/>
      <x:c r="G356" s="373"/>
      <x:c r="H356" s="373"/>
      <x:c r="I356" s="373"/>
      <x:c r="J356" s="373"/>
      <x:c r="K356" s="373"/>
      <x:c r="L356" s="373"/>
      <x:c r="M356" s="373"/>
      <x:c r="N356" s="373"/>
      <x:c r="O356" s="373"/>
      <x:c r="P356" s="373"/>
      <x:c r="Q356" s="373"/>
      <x:c r="R356" s="373"/>
      <x:c r="S356" s="373"/>
      <x:c r="T356" s="373"/>
      <x:c r="U356" s="373"/>
      <x:c r="V356" s="373"/>
      <x:c r="W356" s="373"/>
      <x:c r="X356" s="373"/>
      <x:c r="Y356" s="373"/>
      <x:c r="Z356" s="373"/>
    </x:row>
    <x:row r="357">
      <x:c r="A357" s="373"/>
      <x:c r="B357" s="373"/>
      <x:c r="C357" s="373"/>
      <x:c r="D357" s="373"/>
      <x:c r="E357" s="373"/>
      <x:c r="F357" s="373"/>
      <x:c r="G357" s="373"/>
      <x:c r="H357" s="373"/>
      <x:c r="I357" s="373"/>
      <x:c r="J357" s="373"/>
      <x:c r="K357" s="373"/>
      <x:c r="L357" s="373"/>
      <x:c r="M357" s="373"/>
      <x:c r="N357" s="373"/>
      <x:c r="O357" s="373"/>
      <x:c r="P357" s="373"/>
      <x:c r="Q357" s="373"/>
      <x:c r="R357" s="373"/>
      <x:c r="S357" s="373"/>
      <x:c r="T357" s="373"/>
      <x:c r="U357" s="373"/>
      <x:c r="V357" s="373"/>
      <x:c r="W357" s="373"/>
      <x:c r="X357" s="373"/>
      <x:c r="Y357" s="373"/>
      <x:c r="Z357" s="373"/>
    </x:row>
    <x:row r="358">
      <x:c r="A358" s="373"/>
      <x:c r="B358" s="373"/>
      <x:c r="C358" s="373"/>
      <x:c r="D358" s="373"/>
      <x:c r="E358" s="373"/>
      <x:c r="F358" s="373"/>
      <x:c r="G358" s="373"/>
      <x:c r="H358" s="373"/>
      <x:c r="I358" s="373"/>
      <x:c r="J358" s="373"/>
      <x:c r="K358" s="373"/>
      <x:c r="L358" s="373"/>
      <x:c r="M358" s="373"/>
      <x:c r="N358" s="373"/>
      <x:c r="O358" s="373"/>
      <x:c r="P358" s="373"/>
      <x:c r="Q358" s="373"/>
      <x:c r="R358" s="373"/>
      <x:c r="S358" s="373"/>
      <x:c r="T358" s="373"/>
      <x:c r="U358" s="373"/>
      <x:c r="V358" s="373"/>
      <x:c r="W358" s="373"/>
      <x:c r="X358" s="373"/>
      <x:c r="Y358" s="373"/>
      <x:c r="Z358" s="373"/>
    </x:row>
    <x:row r="359">
      <x:c r="A359" s="373"/>
      <x:c r="B359" s="373"/>
      <x:c r="C359" s="373"/>
      <x:c r="D359" s="373"/>
      <x:c r="E359" s="373"/>
      <x:c r="F359" s="373"/>
      <x:c r="G359" s="373"/>
      <x:c r="H359" s="373"/>
      <x:c r="I359" s="373"/>
      <x:c r="J359" s="373"/>
      <x:c r="K359" s="373"/>
      <x:c r="L359" s="373"/>
      <x:c r="M359" s="373"/>
      <x:c r="N359" s="373"/>
      <x:c r="O359" s="373"/>
      <x:c r="P359" s="373"/>
      <x:c r="Q359" s="373"/>
      <x:c r="R359" s="373"/>
      <x:c r="S359" s="373"/>
      <x:c r="T359" s="373"/>
      <x:c r="U359" s="373"/>
      <x:c r="V359" s="373"/>
      <x:c r="W359" s="373"/>
      <x:c r="X359" s="373"/>
      <x:c r="Y359" s="373"/>
      <x:c r="Z359" s="373"/>
    </x:row>
    <x:row r="360">
      <x:c r="A360" s="373"/>
      <x:c r="B360" s="373"/>
      <x:c r="C360" s="373"/>
      <x:c r="D360" s="373"/>
      <x:c r="E360" s="373"/>
      <x:c r="F360" s="373"/>
      <x:c r="G360" s="373"/>
      <x:c r="H360" s="373"/>
      <x:c r="I360" s="373"/>
      <x:c r="J360" s="373"/>
      <x:c r="K360" s="373"/>
      <x:c r="L360" s="373"/>
      <x:c r="M360" s="373"/>
      <x:c r="N360" s="373"/>
      <x:c r="O360" s="373"/>
      <x:c r="P360" s="373"/>
      <x:c r="Q360" s="373"/>
      <x:c r="R360" s="373"/>
      <x:c r="S360" s="373"/>
      <x:c r="T360" s="373"/>
      <x:c r="U360" s="373"/>
      <x:c r="V360" s="373"/>
      <x:c r="W360" s="373"/>
      <x:c r="X360" s="373"/>
      <x:c r="Y360" s="373"/>
      <x:c r="Z360" s="373"/>
    </x:row>
    <x:row r="361">
      <x:c r="A361" s="373"/>
      <x:c r="B361" s="373"/>
      <x:c r="C361" s="373"/>
      <x:c r="D361" s="373"/>
      <x:c r="E361" s="373"/>
      <x:c r="F361" s="373"/>
      <x:c r="G361" s="373"/>
      <x:c r="H361" s="373"/>
      <x:c r="I361" s="373"/>
      <x:c r="J361" s="373"/>
      <x:c r="K361" s="373"/>
      <x:c r="L361" s="373"/>
      <x:c r="M361" s="373"/>
      <x:c r="N361" s="373"/>
      <x:c r="O361" s="373"/>
      <x:c r="P361" s="373"/>
      <x:c r="Q361" s="373"/>
      <x:c r="R361" s="373"/>
      <x:c r="S361" s="373"/>
      <x:c r="T361" s="373"/>
      <x:c r="U361" s="373"/>
      <x:c r="V361" s="373"/>
      <x:c r="W361" s="373"/>
      <x:c r="X361" s="373"/>
      <x:c r="Y361" s="373"/>
      <x:c r="Z361" s="373"/>
    </x:row>
    <x:row r="362">
      <x:c r="A362" s="373"/>
      <x:c r="B362" s="373"/>
      <x:c r="C362" s="373"/>
      <x:c r="D362" s="373"/>
      <x:c r="E362" s="373"/>
      <x:c r="F362" s="373"/>
      <x:c r="G362" s="373"/>
      <x:c r="H362" s="373"/>
      <x:c r="I362" s="373"/>
      <x:c r="J362" s="373"/>
      <x:c r="K362" s="373"/>
      <x:c r="L362" s="373"/>
      <x:c r="M362" s="373"/>
      <x:c r="N362" s="373"/>
      <x:c r="O362" s="373"/>
      <x:c r="P362" s="373"/>
      <x:c r="Q362" s="373"/>
      <x:c r="R362" s="373"/>
      <x:c r="S362" s="373"/>
      <x:c r="T362" s="373"/>
      <x:c r="U362" s="373"/>
      <x:c r="V362" s="373"/>
      <x:c r="W362" s="373"/>
      <x:c r="X362" s="373"/>
      <x:c r="Y362" s="373"/>
      <x:c r="Z362" s="373"/>
    </x:row>
    <x:row r="363">
      <x:c r="A363" s="373"/>
      <x:c r="B363" s="373"/>
      <x:c r="C363" s="373"/>
      <x:c r="D363" s="373"/>
      <x:c r="E363" s="373"/>
      <x:c r="F363" s="373"/>
      <x:c r="G363" s="373"/>
      <x:c r="H363" s="373"/>
      <x:c r="I363" s="373"/>
      <x:c r="J363" s="373"/>
      <x:c r="K363" s="373"/>
      <x:c r="L363" s="373"/>
      <x:c r="M363" s="373"/>
      <x:c r="N363" s="373"/>
      <x:c r="O363" s="373"/>
      <x:c r="P363" s="373"/>
      <x:c r="Q363" s="373"/>
      <x:c r="R363" s="373"/>
      <x:c r="S363" s="373"/>
      <x:c r="T363" s="373"/>
      <x:c r="U363" s="373"/>
      <x:c r="V363" s="373"/>
      <x:c r="W363" s="373"/>
      <x:c r="X363" s="373"/>
      <x:c r="Y363" s="373"/>
      <x:c r="Z363" s="373"/>
    </x:row>
    <x:row r="364">
      <x:c r="A364" s="373"/>
      <x:c r="B364" s="373"/>
      <x:c r="C364" s="373"/>
      <x:c r="D364" s="373"/>
      <x:c r="E364" s="373"/>
      <x:c r="F364" s="373"/>
      <x:c r="G364" s="373"/>
      <x:c r="H364" s="373"/>
      <x:c r="I364" s="373"/>
      <x:c r="J364" s="373"/>
      <x:c r="K364" s="373"/>
      <x:c r="L364" s="373"/>
      <x:c r="M364" s="373"/>
      <x:c r="N364" s="373"/>
      <x:c r="O364" s="373"/>
      <x:c r="P364" s="373"/>
      <x:c r="Q364" s="373"/>
      <x:c r="R364" s="373"/>
      <x:c r="S364" s="373"/>
      <x:c r="T364" s="373"/>
      <x:c r="U364" s="373"/>
      <x:c r="V364" s="373"/>
      <x:c r="W364" s="373"/>
      <x:c r="X364" s="373"/>
      <x:c r="Y364" s="373"/>
      <x:c r="Z364" s="373"/>
    </x:row>
    <x:row r="365">
      <x:c r="A365" s="373"/>
      <x:c r="B365" s="373"/>
      <x:c r="C365" s="373"/>
      <x:c r="D365" s="373"/>
      <x:c r="E365" s="373"/>
      <x:c r="F365" s="373"/>
      <x:c r="G365" s="373"/>
      <x:c r="H365" s="373"/>
      <x:c r="I365" s="373"/>
      <x:c r="J365" s="373"/>
      <x:c r="K365" s="373"/>
      <x:c r="L365" s="373"/>
      <x:c r="M365" s="373"/>
      <x:c r="N365" s="373"/>
      <x:c r="O365" s="373"/>
      <x:c r="P365" s="373"/>
      <x:c r="Q365" s="373"/>
      <x:c r="R365" s="373"/>
      <x:c r="S365" s="373"/>
      <x:c r="T365" s="373"/>
      <x:c r="U365" s="373"/>
      <x:c r="V365" s="373"/>
      <x:c r="W365" s="373"/>
      <x:c r="X365" s="373"/>
      <x:c r="Y365" s="373"/>
      <x:c r="Z365" s="373"/>
    </x:row>
    <x:row r="366">
      <x:c r="A366" s="373"/>
      <x:c r="B366" s="373"/>
      <x:c r="C366" s="373"/>
      <x:c r="D366" s="373"/>
      <x:c r="E366" s="373"/>
      <x:c r="F366" s="373"/>
      <x:c r="G366" s="373"/>
      <x:c r="H366" s="373"/>
      <x:c r="I366" s="373"/>
      <x:c r="J366" s="373"/>
      <x:c r="K366" s="373"/>
      <x:c r="L366" s="373"/>
      <x:c r="M366" s="373"/>
      <x:c r="N366" s="373"/>
      <x:c r="O366" s="373"/>
      <x:c r="P366" s="373"/>
      <x:c r="Q366" s="373"/>
      <x:c r="R366" s="373"/>
      <x:c r="S366" s="373"/>
      <x:c r="T366" s="373"/>
      <x:c r="U366" s="373"/>
      <x:c r="V366" s="373"/>
      <x:c r="W366" s="373"/>
      <x:c r="X366" s="373"/>
      <x:c r="Y366" s="373"/>
      <x:c r="Z366" s="373"/>
    </x:row>
    <x:row r="367">
      <x:c r="A367" s="373"/>
      <x:c r="B367" s="373"/>
      <x:c r="C367" s="373"/>
      <x:c r="D367" s="373"/>
      <x:c r="E367" s="373"/>
      <x:c r="F367" s="373"/>
      <x:c r="G367" s="373"/>
      <x:c r="H367" s="373"/>
      <x:c r="I367" s="373"/>
      <x:c r="J367" s="373"/>
      <x:c r="K367" s="373"/>
      <x:c r="L367" s="373"/>
      <x:c r="M367" s="373"/>
      <x:c r="N367" s="373"/>
      <x:c r="O367" s="373"/>
      <x:c r="P367" s="373"/>
      <x:c r="Q367" s="373"/>
      <x:c r="R367" s="373"/>
      <x:c r="S367" s="373"/>
      <x:c r="T367" s="373"/>
      <x:c r="U367" s="373"/>
      <x:c r="V367" s="373"/>
      <x:c r="W367" s="373"/>
      <x:c r="X367" s="373"/>
      <x:c r="Y367" s="373"/>
      <x:c r="Z367" s="373"/>
    </x:row>
    <x:row r="368">
      <x:c r="A368" s="373"/>
      <x:c r="B368" s="373"/>
      <x:c r="C368" s="373"/>
      <x:c r="D368" s="373"/>
      <x:c r="E368" s="373"/>
      <x:c r="F368" s="373"/>
      <x:c r="G368" s="373"/>
      <x:c r="H368" s="373"/>
      <x:c r="I368" s="373"/>
      <x:c r="J368" s="373"/>
      <x:c r="K368" s="373"/>
      <x:c r="L368" s="373"/>
      <x:c r="M368" s="373"/>
      <x:c r="N368" s="373"/>
      <x:c r="O368" s="373"/>
      <x:c r="P368" s="373"/>
      <x:c r="Q368" s="373"/>
      <x:c r="R368" s="373"/>
      <x:c r="S368" s="373"/>
      <x:c r="T368" s="373"/>
      <x:c r="U368" s="373"/>
      <x:c r="V368" s="373"/>
      <x:c r="W368" s="373"/>
      <x:c r="X368" s="373"/>
      <x:c r="Y368" s="373"/>
      <x:c r="Z368" s="373"/>
    </x:row>
    <x:row r="369">
      <x:c r="A369" s="373"/>
      <x:c r="B369" s="373"/>
      <x:c r="C369" s="373"/>
      <x:c r="D369" s="373"/>
      <x:c r="E369" s="373"/>
      <x:c r="F369" s="373"/>
      <x:c r="G369" s="373"/>
      <x:c r="H369" s="373"/>
      <x:c r="I369" s="373"/>
      <x:c r="J369" s="373"/>
      <x:c r="K369" s="373"/>
      <x:c r="L369" s="373"/>
      <x:c r="M369" s="373"/>
      <x:c r="N369" s="373"/>
      <x:c r="O369" s="373"/>
      <x:c r="P369" s="373"/>
      <x:c r="Q369" s="373"/>
      <x:c r="R369" s="373"/>
      <x:c r="S369" s="373"/>
      <x:c r="T369" s="373"/>
      <x:c r="U369" s="373"/>
      <x:c r="V369" s="373"/>
      <x:c r="W369" s="373"/>
      <x:c r="X369" s="373"/>
      <x:c r="Y369" s="373"/>
      <x:c r="Z369" s="373"/>
    </x:row>
    <x:row r="370">
      <x:c r="A370" s="373"/>
      <x:c r="B370" s="373"/>
      <x:c r="C370" s="373"/>
      <x:c r="D370" s="373"/>
      <x:c r="E370" s="373"/>
      <x:c r="F370" s="373"/>
      <x:c r="G370" s="373"/>
      <x:c r="H370" s="373"/>
      <x:c r="I370" s="373"/>
      <x:c r="J370" s="373"/>
      <x:c r="K370" s="373"/>
      <x:c r="L370" s="373"/>
      <x:c r="M370" s="373"/>
      <x:c r="N370" s="373"/>
      <x:c r="O370" s="373"/>
      <x:c r="P370" s="373"/>
      <x:c r="Q370" s="373"/>
      <x:c r="R370" s="373"/>
      <x:c r="S370" s="373"/>
      <x:c r="T370" s="373"/>
      <x:c r="U370" s="373"/>
      <x:c r="V370" s="373"/>
      <x:c r="W370" s="373"/>
      <x:c r="X370" s="373"/>
      <x:c r="Y370" s="373"/>
      <x:c r="Z370" s="373"/>
    </x:row>
    <x:row r="371">
      <x:c r="A371" s="373"/>
      <x:c r="B371" s="373"/>
      <x:c r="C371" s="373"/>
      <x:c r="D371" s="373"/>
      <x:c r="E371" s="373"/>
      <x:c r="F371" s="373"/>
      <x:c r="G371" s="373"/>
      <x:c r="H371" s="373"/>
      <x:c r="I371" s="373"/>
      <x:c r="J371" s="373"/>
      <x:c r="K371" s="373"/>
      <x:c r="L371" s="373"/>
      <x:c r="M371" s="373"/>
      <x:c r="N371" s="373"/>
      <x:c r="O371" s="373"/>
      <x:c r="P371" s="373"/>
      <x:c r="Q371" s="373"/>
      <x:c r="R371" s="373"/>
      <x:c r="S371" s="373"/>
      <x:c r="T371" s="373"/>
      <x:c r="U371" s="373"/>
      <x:c r="V371" s="373"/>
      <x:c r="W371" s="373"/>
      <x:c r="X371" s="373"/>
      <x:c r="Y371" s="373"/>
      <x:c r="Z371" s="373"/>
    </x:row>
    <x:row r="372">
      <x:c r="A372" s="373"/>
      <x:c r="B372" s="373"/>
      <x:c r="C372" s="373"/>
      <x:c r="D372" s="373"/>
      <x:c r="E372" s="373"/>
      <x:c r="F372" s="373"/>
      <x:c r="G372" s="373"/>
      <x:c r="H372" s="373"/>
      <x:c r="I372" s="373"/>
      <x:c r="J372" s="373"/>
      <x:c r="K372" s="373"/>
      <x:c r="L372" s="373"/>
      <x:c r="M372" s="373"/>
      <x:c r="N372" s="373"/>
      <x:c r="O372" s="373"/>
      <x:c r="P372" s="373"/>
      <x:c r="Q372" s="373"/>
      <x:c r="R372" s="373"/>
      <x:c r="S372" s="373"/>
      <x:c r="T372" s="373"/>
      <x:c r="U372" s="373"/>
      <x:c r="V372" s="373"/>
      <x:c r="W372" s="373"/>
      <x:c r="X372" s="373"/>
      <x:c r="Y372" s="373"/>
      <x:c r="Z372" s="373"/>
    </x:row>
    <x:row r="373">
      <x:c r="A373" s="373"/>
      <x:c r="B373" s="373"/>
      <x:c r="C373" s="373"/>
      <x:c r="D373" s="373"/>
      <x:c r="E373" s="373"/>
      <x:c r="F373" s="373"/>
      <x:c r="G373" s="373"/>
      <x:c r="H373" s="373"/>
      <x:c r="I373" s="373"/>
      <x:c r="J373" s="373"/>
      <x:c r="K373" s="373"/>
      <x:c r="L373" s="373"/>
      <x:c r="M373" s="373"/>
      <x:c r="N373" s="373"/>
      <x:c r="O373" s="373"/>
      <x:c r="P373" s="373"/>
      <x:c r="Q373" s="373"/>
      <x:c r="R373" s="373"/>
      <x:c r="S373" s="373"/>
      <x:c r="T373" s="373"/>
      <x:c r="U373" s="373"/>
      <x:c r="V373" s="373"/>
      <x:c r="W373" s="373"/>
      <x:c r="X373" s="373"/>
      <x:c r="Y373" s="373"/>
      <x:c r="Z373" s="373"/>
    </x:row>
    <x:row r="374">
      <x:c r="A374" s="373"/>
      <x:c r="B374" s="373"/>
      <x:c r="C374" s="373"/>
      <x:c r="D374" s="373"/>
      <x:c r="E374" s="373"/>
      <x:c r="F374" s="373"/>
      <x:c r="G374" s="373"/>
      <x:c r="H374" s="373"/>
      <x:c r="I374" s="373"/>
      <x:c r="J374" s="373"/>
      <x:c r="K374" s="373"/>
      <x:c r="L374" s="373"/>
      <x:c r="M374" s="373"/>
      <x:c r="N374" s="373"/>
      <x:c r="O374" s="373"/>
      <x:c r="P374" s="373"/>
      <x:c r="Q374" s="373"/>
      <x:c r="R374" s="373"/>
      <x:c r="S374" s="373"/>
      <x:c r="T374" s="373"/>
      <x:c r="U374" s="373"/>
      <x:c r="V374" s="373"/>
      <x:c r="W374" s="373"/>
      <x:c r="X374" s="373"/>
      <x:c r="Y374" s="373"/>
      <x:c r="Z374" s="373"/>
    </x:row>
    <x:row r="375">
      <x:c r="A375" s="373"/>
      <x:c r="B375" s="373"/>
      <x:c r="C375" s="373"/>
      <x:c r="D375" s="373"/>
      <x:c r="E375" s="373"/>
      <x:c r="F375" s="373"/>
      <x:c r="G375" s="373"/>
      <x:c r="H375" s="373"/>
      <x:c r="I375" s="373"/>
      <x:c r="J375" s="373"/>
      <x:c r="K375" s="373"/>
      <x:c r="L375" s="373"/>
      <x:c r="M375" s="373"/>
      <x:c r="N375" s="373"/>
      <x:c r="O375" s="373"/>
      <x:c r="P375" s="373"/>
      <x:c r="Q375" s="373"/>
      <x:c r="R375" s="373"/>
      <x:c r="S375" s="373"/>
      <x:c r="T375" s="373"/>
      <x:c r="U375" s="373"/>
      <x:c r="V375" s="373"/>
      <x:c r="W375" s="373"/>
      <x:c r="X375" s="373"/>
      <x:c r="Y375" s="373"/>
      <x:c r="Z375" s="373"/>
    </x:row>
    <x:row r="376">
      <x:c r="A376" s="373"/>
      <x:c r="B376" s="373"/>
      <x:c r="C376" s="373"/>
      <x:c r="D376" s="373"/>
      <x:c r="E376" s="373"/>
      <x:c r="F376" s="373"/>
      <x:c r="G376" s="373"/>
      <x:c r="H376" s="373"/>
      <x:c r="I376" s="373"/>
      <x:c r="J376" s="373"/>
      <x:c r="K376" s="373"/>
      <x:c r="L376" s="373"/>
      <x:c r="M376" s="373"/>
      <x:c r="N376" s="373"/>
      <x:c r="O376" s="373"/>
      <x:c r="P376" s="373"/>
      <x:c r="Q376" s="373"/>
      <x:c r="R376" s="373"/>
      <x:c r="S376" s="373"/>
      <x:c r="T376" s="373"/>
      <x:c r="U376" s="373"/>
      <x:c r="V376" s="373"/>
      <x:c r="W376" s="373"/>
      <x:c r="X376" s="373"/>
      <x:c r="Y376" s="373"/>
      <x:c r="Z376" s="373"/>
    </x:row>
    <x:row r="377">
      <x:c r="A377" s="373"/>
      <x:c r="B377" s="373"/>
      <x:c r="C377" s="373"/>
      <x:c r="D377" s="373"/>
      <x:c r="E377" s="373"/>
      <x:c r="F377" s="373"/>
      <x:c r="G377" s="373"/>
      <x:c r="H377" s="373"/>
      <x:c r="I377" s="373"/>
      <x:c r="J377" s="373"/>
      <x:c r="K377" s="373"/>
      <x:c r="L377" s="373"/>
      <x:c r="M377" s="373"/>
      <x:c r="N377" s="373"/>
      <x:c r="O377" s="373"/>
      <x:c r="P377" s="373"/>
      <x:c r="Q377" s="373"/>
      <x:c r="R377" s="373"/>
      <x:c r="S377" s="373"/>
      <x:c r="T377" s="373"/>
      <x:c r="U377" s="373"/>
      <x:c r="V377" s="373"/>
      <x:c r="W377" s="373"/>
      <x:c r="X377" s="373"/>
      <x:c r="Y377" s="373"/>
      <x:c r="Z377" s="373"/>
    </x:row>
    <x:row r="378">
      <x:c r="A378" s="373"/>
      <x:c r="B378" s="373"/>
      <x:c r="C378" s="373"/>
      <x:c r="D378" s="373"/>
      <x:c r="E378" s="373"/>
      <x:c r="F378" s="373"/>
      <x:c r="G378" s="373"/>
      <x:c r="H378" s="373"/>
      <x:c r="I378" s="373"/>
      <x:c r="J378" s="373"/>
      <x:c r="K378" s="373"/>
      <x:c r="L378" s="373"/>
      <x:c r="M378" s="373"/>
      <x:c r="N378" s="373"/>
      <x:c r="O378" s="373"/>
      <x:c r="P378" s="373"/>
      <x:c r="Q378" s="373"/>
      <x:c r="R378" s="373"/>
      <x:c r="S378" s="373"/>
      <x:c r="T378" s="373"/>
      <x:c r="U378" s="373"/>
      <x:c r="V378" s="373"/>
      <x:c r="W378" s="373"/>
      <x:c r="X378" s="373"/>
      <x:c r="Y378" s="373"/>
      <x:c r="Z378" s="373"/>
    </x:row>
    <x:row r="379">
      <x:c r="A379" s="373"/>
      <x:c r="B379" s="373"/>
      <x:c r="C379" s="373"/>
      <x:c r="D379" s="373"/>
      <x:c r="E379" s="373"/>
      <x:c r="F379" s="373"/>
      <x:c r="G379" s="373"/>
      <x:c r="H379" s="373"/>
      <x:c r="I379" s="373"/>
      <x:c r="J379" s="373"/>
      <x:c r="K379" s="373"/>
      <x:c r="L379" s="373"/>
      <x:c r="M379" s="373"/>
      <x:c r="N379" s="373"/>
      <x:c r="O379" s="373"/>
      <x:c r="P379" s="373"/>
      <x:c r="Q379" s="373"/>
      <x:c r="R379" s="373"/>
      <x:c r="S379" s="373"/>
      <x:c r="T379" s="373"/>
      <x:c r="U379" s="373"/>
      <x:c r="V379" s="373"/>
      <x:c r="W379" s="373"/>
      <x:c r="X379" s="373"/>
      <x:c r="Y379" s="373"/>
      <x:c r="Z379" s="373"/>
    </x:row>
    <x:row r="380">
      <x:c r="A380" s="373"/>
      <x:c r="B380" s="373"/>
      <x:c r="C380" s="373"/>
      <x:c r="D380" s="373"/>
      <x:c r="E380" s="373"/>
      <x:c r="F380" s="373"/>
      <x:c r="G380" s="373"/>
      <x:c r="H380" s="373"/>
      <x:c r="I380" s="373"/>
      <x:c r="J380" s="373"/>
      <x:c r="K380" s="373"/>
      <x:c r="L380" s="373"/>
      <x:c r="M380" s="373"/>
      <x:c r="N380" s="373"/>
      <x:c r="O380" s="373"/>
      <x:c r="P380" s="373"/>
      <x:c r="Q380" s="373"/>
      <x:c r="R380" s="373"/>
      <x:c r="S380" s="373"/>
      <x:c r="T380" s="373"/>
      <x:c r="U380" s="373"/>
      <x:c r="V380" s="373"/>
      <x:c r="W380" s="373"/>
      <x:c r="X380" s="373"/>
      <x:c r="Y380" s="373"/>
      <x:c r="Z380" s="373"/>
    </x:row>
    <x:row r="381">
      <x:c r="A381" s="373"/>
      <x:c r="B381" s="373"/>
      <x:c r="C381" s="373"/>
      <x:c r="D381" s="373"/>
      <x:c r="E381" s="373"/>
      <x:c r="F381" s="373"/>
      <x:c r="G381" s="373"/>
      <x:c r="H381" s="373"/>
      <x:c r="I381" s="373"/>
      <x:c r="J381" s="373"/>
      <x:c r="K381" s="373"/>
      <x:c r="L381" s="373"/>
      <x:c r="M381" s="373"/>
      <x:c r="N381" s="373"/>
      <x:c r="O381" s="373"/>
      <x:c r="P381" s="373"/>
      <x:c r="Q381" s="373"/>
      <x:c r="R381" s="373"/>
      <x:c r="S381" s="373"/>
      <x:c r="T381" s="373"/>
      <x:c r="U381" s="373"/>
      <x:c r="V381" s="373"/>
      <x:c r="W381" s="373"/>
      <x:c r="X381" s="373"/>
      <x:c r="Y381" s="373"/>
      <x:c r="Z381" s="373"/>
    </x:row>
    <x:row r="382">
      <x:c r="A382" s="373"/>
      <x:c r="B382" s="373"/>
      <x:c r="C382" s="373"/>
      <x:c r="D382" s="373"/>
      <x:c r="E382" s="373"/>
      <x:c r="F382" s="373"/>
      <x:c r="G382" s="373"/>
      <x:c r="H382" s="373"/>
      <x:c r="I382" s="373"/>
      <x:c r="J382" s="373"/>
      <x:c r="K382" s="373"/>
      <x:c r="L382" s="373"/>
      <x:c r="M382" s="373"/>
      <x:c r="N382" s="373"/>
      <x:c r="O382" s="373"/>
      <x:c r="P382" s="373"/>
      <x:c r="Q382" s="373"/>
      <x:c r="R382" s="373"/>
      <x:c r="S382" s="373"/>
      <x:c r="T382" s="373"/>
      <x:c r="U382" s="373"/>
      <x:c r="V382" s="373"/>
      <x:c r="W382" s="373"/>
      <x:c r="X382" s="373"/>
      <x:c r="Y382" s="373"/>
      <x:c r="Z382" s="373"/>
    </x:row>
    <x:row r="383">
      <x:c r="A383" s="373"/>
      <x:c r="B383" s="373"/>
      <x:c r="C383" s="373"/>
      <x:c r="D383" s="373"/>
      <x:c r="E383" s="373"/>
      <x:c r="F383" s="373"/>
      <x:c r="G383" s="373"/>
      <x:c r="H383" s="373"/>
      <x:c r="I383" s="373"/>
      <x:c r="J383" s="373"/>
      <x:c r="K383" s="373"/>
      <x:c r="L383" s="373"/>
      <x:c r="M383" s="373"/>
      <x:c r="N383" s="373"/>
      <x:c r="O383" s="373"/>
      <x:c r="P383" s="373"/>
      <x:c r="Q383" s="373"/>
      <x:c r="R383" s="373"/>
      <x:c r="S383" s="373"/>
      <x:c r="T383" s="373"/>
      <x:c r="U383" s="373"/>
      <x:c r="V383" s="373"/>
      <x:c r="W383" s="373"/>
      <x:c r="X383" s="373"/>
      <x:c r="Y383" s="373"/>
      <x:c r="Z383" s="373"/>
    </x:row>
    <x:row r="384">
      <x:c r="A384" s="373"/>
      <x:c r="B384" s="373"/>
      <x:c r="C384" s="373"/>
      <x:c r="D384" s="373"/>
      <x:c r="E384" s="373"/>
      <x:c r="F384" s="373"/>
      <x:c r="G384" s="373"/>
      <x:c r="H384" s="373"/>
      <x:c r="I384" s="373"/>
      <x:c r="J384" s="373"/>
      <x:c r="K384" s="373"/>
      <x:c r="L384" s="373"/>
      <x:c r="M384" s="373"/>
      <x:c r="N384" s="373"/>
      <x:c r="O384" s="373"/>
      <x:c r="P384" s="373"/>
      <x:c r="Q384" s="373"/>
      <x:c r="R384" s="373"/>
      <x:c r="S384" s="373"/>
      <x:c r="T384" s="373"/>
      <x:c r="U384" s="373"/>
      <x:c r="V384" s="373"/>
      <x:c r="W384" s="373"/>
      <x:c r="X384" s="373"/>
      <x:c r="Y384" s="373"/>
      <x:c r="Z384" s="373"/>
    </x:row>
    <x:row r="385">
      <x:c r="A385" s="373"/>
      <x:c r="B385" s="373"/>
      <x:c r="C385" s="373"/>
      <x:c r="D385" s="373"/>
      <x:c r="E385" s="373"/>
      <x:c r="F385" s="373"/>
      <x:c r="G385" s="373"/>
      <x:c r="H385" s="373"/>
      <x:c r="I385" s="373"/>
      <x:c r="J385" s="373"/>
      <x:c r="K385" s="373"/>
      <x:c r="L385" s="373"/>
      <x:c r="M385" s="373"/>
      <x:c r="N385" s="373"/>
      <x:c r="O385" s="373"/>
      <x:c r="P385" s="373"/>
      <x:c r="Q385" s="373"/>
      <x:c r="R385" s="373"/>
      <x:c r="S385" s="373"/>
      <x:c r="T385" s="373"/>
      <x:c r="U385" s="373"/>
      <x:c r="V385" s="373"/>
      <x:c r="W385" s="373"/>
      <x:c r="X385" s="373"/>
      <x:c r="Y385" s="373"/>
      <x:c r="Z385" s="373"/>
    </x:row>
    <x:row r="386">
      <x:c r="A386" s="373"/>
      <x:c r="B386" s="373"/>
      <x:c r="C386" s="373"/>
      <x:c r="D386" s="373"/>
      <x:c r="E386" s="373"/>
      <x:c r="F386" s="373"/>
      <x:c r="G386" s="373"/>
      <x:c r="H386" s="373"/>
      <x:c r="I386" s="373"/>
      <x:c r="J386" s="373"/>
      <x:c r="K386" s="373"/>
      <x:c r="L386" s="373"/>
      <x:c r="M386" s="373"/>
      <x:c r="N386" s="373"/>
      <x:c r="O386" s="373"/>
      <x:c r="P386" s="373"/>
      <x:c r="Q386" s="373"/>
      <x:c r="R386" s="373"/>
      <x:c r="S386" s="373"/>
      <x:c r="T386" s="373"/>
      <x:c r="U386" s="373"/>
      <x:c r="V386" s="373"/>
      <x:c r="W386" s="373"/>
      <x:c r="X386" s="373"/>
      <x:c r="Y386" s="373"/>
      <x:c r="Z386" s="373"/>
    </x:row>
    <x:row r="387">
      <x:c r="A387" s="373"/>
      <x:c r="B387" s="373"/>
      <x:c r="C387" s="373"/>
      <x:c r="D387" s="373"/>
      <x:c r="E387" s="373"/>
      <x:c r="F387" s="373"/>
      <x:c r="G387" s="373"/>
      <x:c r="H387" s="373"/>
      <x:c r="I387" s="373"/>
      <x:c r="J387" s="373"/>
      <x:c r="K387" s="373"/>
      <x:c r="L387" s="373"/>
      <x:c r="M387" s="373"/>
      <x:c r="N387" s="373"/>
      <x:c r="O387" s="373"/>
      <x:c r="P387" s="373"/>
      <x:c r="Q387" s="373"/>
      <x:c r="R387" s="373"/>
      <x:c r="S387" s="373"/>
      <x:c r="T387" s="373"/>
      <x:c r="U387" s="373"/>
      <x:c r="V387" s="373"/>
      <x:c r="W387" s="373"/>
      <x:c r="X387" s="373"/>
      <x:c r="Y387" s="373"/>
      <x:c r="Z387" s="373"/>
    </x:row>
    <x:row r="388">
      <x:c r="A388" s="373"/>
      <x:c r="B388" s="373"/>
      <x:c r="C388" s="373"/>
      <x:c r="D388" s="373"/>
      <x:c r="E388" s="373"/>
      <x:c r="F388" s="373"/>
      <x:c r="G388" s="373"/>
      <x:c r="H388" s="373"/>
      <x:c r="I388" s="373"/>
      <x:c r="J388" s="373"/>
      <x:c r="K388" s="373"/>
      <x:c r="L388" s="373"/>
      <x:c r="M388" s="373"/>
      <x:c r="N388" s="373"/>
      <x:c r="O388" s="373"/>
      <x:c r="P388" s="373"/>
      <x:c r="Q388" s="373"/>
      <x:c r="R388" s="373"/>
      <x:c r="S388" s="373"/>
      <x:c r="T388" s="373"/>
      <x:c r="U388" s="373"/>
      <x:c r="V388" s="373"/>
      <x:c r="W388" s="373"/>
      <x:c r="X388" s="373"/>
      <x:c r="Y388" s="373"/>
      <x:c r="Z388" s="373"/>
    </x:row>
    <x:row r="389">
      <x:c r="A389" s="373"/>
      <x:c r="B389" s="373"/>
      <x:c r="C389" s="373"/>
      <x:c r="D389" s="373"/>
      <x:c r="E389" s="373"/>
      <x:c r="F389" s="373"/>
      <x:c r="G389" s="373"/>
      <x:c r="H389" s="373"/>
      <x:c r="I389" s="373"/>
      <x:c r="J389" s="373"/>
      <x:c r="K389" s="373"/>
      <x:c r="L389" s="373"/>
      <x:c r="M389" s="373"/>
      <x:c r="N389" s="373"/>
      <x:c r="O389" s="373"/>
      <x:c r="P389" s="373"/>
      <x:c r="Q389" s="373"/>
      <x:c r="R389" s="373"/>
      <x:c r="S389" s="373"/>
      <x:c r="T389" s="373"/>
      <x:c r="U389" s="373"/>
      <x:c r="V389" s="373"/>
      <x:c r="W389" s="373"/>
      <x:c r="X389" s="373"/>
      <x:c r="Y389" s="373"/>
      <x:c r="Z389" s="373"/>
    </x:row>
    <x:row r="390">
      <x:c r="A390" s="373"/>
      <x:c r="B390" s="373"/>
      <x:c r="C390" s="373"/>
      <x:c r="D390" s="373"/>
      <x:c r="E390" s="373"/>
      <x:c r="F390" s="373"/>
      <x:c r="G390" s="373"/>
      <x:c r="H390" s="373"/>
      <x:c r="I390" s="373"/>
      <x:c r="J390" s="373"/>
      <x:c r="K390" s="373"/>
      <x:c r="L390" s="373"/>
      <x:c r="M390" s="373"/>
      <x:c r="N390" s="373"/>
      <x:c r="O390" s="373"/>
      <x:c r="P390" s="373"/>
      <x:c r="Q390" s="373"/>
      <x:c r="R390" s="373"/>
      <x:c r="S390" s="373"/>
      <x:c r="T390" s="373"/>
      <x:c r="U390" s="373"/>
      <x:c r="V390" s="373"/>
      <x:c r="W390" s="373"/>
      <x:c r="X390" s="373"/>
      <x:c r="Y390" s="373"/>
      <x:c r="Z390" s="373"/>
    </x:row>
    <x:row r="391">
      <x:c r="A391" s="373"/>
      <x:c r="B391" s="373"/>
      <x:c r="C391" s="373"/>
      <x:c r="D391" s="373"/>
      <x:c r="E391" s="373"/>
      <x:c r="F391" s="373"/>
      <x:c r="G391" s="373"/>
      <x:c r="H391" s="373"/>
      <x:c r="I391" s="373"/>
      <x:c r="J391" s="373"/>
      <x:c r="K391" s="373"/>
      <x:c r="L391" s="373"/>
      <x:c r="M391" s="373"/>
      <x:c r="N391" s="373"/>
      <x:c r="O391" s="373"/>
      <x:c r="P391" s="373"/>
      <x:c r="Q391" s="373"/>
      <x:c r="R391" s="373"/>
      <x:c r="S391" s="373"/>
      <x:c r="T391" s="373"/>
      <x:c r="U391" s="373"/>
      <x:c r="V391" s="373"/>
      <x:c r="W391" s="373"/>
      <x:c r="X391" s="373"/>
      <x:c r="Y391" s="373"/>
      <x:c r="Z391" s="373"/>
    </x:row>
    <x:row r="392">
      <x:c r="A392" s="373"/>
      <x:c r="B392" s="373"/>
      <x:c r="C392" s="373"/>
      <x:c r="D392" s="373"/>
      <x:c r="E392" s="373"/>
      <x:c r="F392" s="373"/>
      <x:c r="G392" s="373"/>
      <x:c r="H392" s="373"/>
      <x:c r="I392" s="373"/>
      <x:c r="J392" s="373"/>
      <x:c r="K392" s="373"/>
      <x:c r="L392" s="373"/>
      <x:c r="M392" s="373"/>
      <x:c r="N392" s="373"/>
      <x:c r="O392" s="373"/>
      <x:c r="P392" s="373"/>
      <x:c r="Q392" s="373"/>
      <x:c r="R392" s="373"/>
      <x:c r="S392" s="373"/>
      <x:c r="T392" s="373"/>
      <x:c r="U392" s="373"/>
      <x:c r="V392" s="373"/>
      <x:c r="W392" s="373"/>
      <x:c r="X392" s="373"/>
      <x:c r="Y392" s="373"/>
      <x:c r="Z392" s="373"/>
    </x:row>
    <x:row r="393">
      <x:c r="A393" s="373"/>
      <x:c r="B393" s="373"/>
      <x:c r="C393" s="373"/>
      <x:c r="D393" s="373"/>
      <x:c r="E393" s="373"/>
      <x:c r="F393" s="373"/>
      <x:c r="G393" s="373"/>
      <x:c r="H393" s="373"/>
      <x:c r="I393" s="373"/>
      <x:c r="J393" s="373"/>
      <x:c r="K393" s="373"/>
      <x:c r="L393" s="373"/>
      <x:c r="M393" s="373"/>
      <x:c r="N393" s="373"/>
      <x:c r="O393" s="373"/>
      <x:c r="P393" s="373"/>
      <x:c r="Q393" s="373"/>
      <x:c r="R393" s="373"/>
      <x:c r="S393" s="373"/>
      <x:c r="T393" s="373"/>
      <x:c r="U393" s="373"/>
      <x:c r="V393" s="373"/>
      <x:c r="W393" s="373"/>
      <x:c r="X393" s="373"/>
      <x:c r="Y393" s="373"/>
      <x:c r="Z393" s="373"/>
    </x:row>
    <x:row r="394">
      <x:c r="A394" s="373"/>
      <x:c r="B394" s="373"/>
      <x:c r="C394" s="373"/>
      <x:c r="D394" s="373"/>
      <x:c r="E394" s="373"/>
      <x:c r="F394" s="373"/>
      <x:c r="G394" s="373"/>
      <x:c r="H394" s="373"/>
      <x:c r="I394" s="373"/>
      <x:c r="J394" s="373"/>
      <x:c r="K394" s="373"/>
      <x:c r="L394" s="373"/>
      <x:c r="M394" s="373"/>
      <x:c r="N394" s="373"/>
      <x:c r="O394" s="373"/>
      <x:c r="P394" s="373"/>
      <x:c r="Q394" s="373"/>
      <x:c r="R394" s="373"/>
      <x:c r="S394" s="373"/>
      <x:c r="T394" s="373"/>
      <x:c r="U394" s="373"/>
      <x:c r="V394" s="373"/>
      <x:c r="W394" s="373"/>
      <x:c r="X394" s="373"/>
      <x:c r="Y394" s="373"/>
      <x:c r="Z394" s="373"/>
    </x:row>
    <x:row r="395">
      <x:c r="A395" s="373"/>
      <x:c r="B395" s="373"/>
      <x:c r="C395" s="373"/>
      <x:c r="D395" s="373"/>
      <x:c r="E395" s="373"/>
      <x:c r="F395" s="373"/>
      <x:c r="G395" s="373"/>
      <x:c r="H395" s="373"/>
      <x:c r="I395" s="373"/>
      <x:c r="J395" s="373"/>
      <x:c r="K395" s="373"/>
      <x:c r="L395" s="373"/>
      <x:c r="M395" s="373"/>
      <x:c r="N395" s="373"/>
      <x:c r="O395" s="373"/>
      <x:c r="P395" s="373"/>
      <x:c r="Q395" s="373"/>
      <x:c r="R395" s="373"/>
      <x:c r="S395" s="373"/>
      <x:c r="T395" s="373"/>
      <x:c r="U395" s="373"/>
      <x:c r="V395" s="373"/>
      <x:c r="W395" s="373"/>
      <x:c r="X395" s="373"/>
      <x:c r="Y395" s="373"/>
      <x:c r="Z395" s="373"/>
    </x:row>
    <x:row r="396">
      <x:c r="A396" s="373"/>
      <x:c r="B396" s="373"/>
      <x:c r="C396" s="373"/>
      <x:c r="D396" s="373"/>
      <x:c r="E396" s="373"/>
      <x:c r="F396" s="373"/>
      <x:c r="G396" s="373"/>
      <x:c r="H396" s="373"/>
      <x:c r="I396" s="373"/>
      <x:c r="J396" s="373"/>
      <x:c r="K396" s="373"/>
      <x:c r="L396" s="373"/>
      <x:c r="M396" s="373"/>
      <x:c r="N396" s="373"/>
      <x:c r="O396" s="373"/>
      <x:c r="P396" s="373"/>
      <x:c r="Q396" s="373"/>
      <x:c r="R396" s="373"/>
      <x:c r="S396" s="373"/>
      <x:c r="T396" s="373"/>
      <x:c r="U396" s="373"/>
      <x:c r="V396" s="373"/>
      <x:c r="W396" s="373"/>
      <x:c r="X396" s="373"/>
      <x:c r="Y396" s="373"/>
      <x:c r="Z396" s="373"/>
    </x:row>
    <x:row r="397">
      <x:c r="A397" s="373"/>
      <x:c r="B397" s="373"/>
      <x:c r="C397" s="373"/>
      <x:c r="D397" s="373"/>
      <x:c r="E397" s="373"/>
      <x:c r="F397" s="373"/>
      <x:c r="G397" s="373"/>
      <x:c r="H397" s="373"/>
      <x:c r="I397" s="373"/>
      <x:c r="J397" s="373"/>
      <x:c r="K397" s="373"/>
      <x:c r="L397" s="373"/>
      <x:c r="M397" s="373"/>
      <x:c r="N397" s="373"/>
      <x:c r="O397" s="373"/>
      <x:c r="P397" s="373"/>
      <x:c r="Q397" s="373"/>
      <x:c r="R397" s="373"/>
      <x:c r="S397" s="373"/>
      <x:c r="T397" s="373"/>
      <x:c r="U397" s="373"/>
      <x:c r="V397" s="373"/>
      <x:c r="W397" s="373"/>
      <x:c r="X397" s="373"/>
      <x:c r="Y397" s="373"/>
      <x:c r="Z397" s="373"/>
    </x:row>
    <x:row r="398">
      <x:c r="A398" s="373"/>
      <x:c r="B398" s="373"/>
      <x:c r="C398" s="373"/>
      <x:c r="D398" s="373"/>
      <x:c r="E398" s="373"/>
      <x:c r="F398" s="373"/>
      <x:c r="G398" s="373"/>
      <x:c r="H398" s="373"/>
      <x:c r="I398" s="373"/>
      <x:c r="J398" s="373"/>
      <x:c r="K398" s="373"/>
      <x:c r="L398" s="373"/>
      <x:c r="M398" s="373"/>
      <x:c r="N398" s="373"/>
      <x:c r="O398" s="373"/>
      <x:c r="P398" s="373"/>
      <x:c r="Q398" s="373"/>
      <x:c r="R398" s="373"/>
      <x:c r="S398" s="373"/>
      <x:c r="T398" s="373"/>
      <x:c r="U398" s="373"/>
      <x:c r="V398" s="373"/>
      <x:c r="W398" s="373"/>
      <x:c r="X398" s="373"/>
      <x:c r="Y398" s="373"/>
      <x:c r="Z398" s="373"/>
    </x:row>
    <x:row r="399">
      <x:c r="A399" s="373"/>
      <x:c r="B399" s="373"/>
      <x:c r="C399" s="373"/>
      <x:c r="D399" s="373"/>
      <x:c r="E399" s="373"/>
      <x:c r="F399" s="373"/>
      <x:c r="G399" s="373"/>
      <x:c r="H399" s="373"/>
      <x:c r="I399" s="373"/>
      <x:c r="J399" s="373"/>
      <x:c r="K399" s="373"/>
      <x:c r="L399" s="373"/>
      <x:c r="M399" s="373"/>
      <x:c r="N399" s="373"/>
      <x:c r="O399" s="373"/>
      <x:c r="P399" s="373"/>
      <x:c r="Q399" s="373"/>
      <x:c r="R399" s="373"/>
      <x:c r="S399" s="373"/>
      <x:c r="T399" s="373"/>
      <x:c r="U399" s="373"/>
      <x:c r="V399" s="373"/>
      <x:c r="W399" s="373"/>
      <x:c r="X399" s="373"/>
      <x:c r="Y399" s="373"/>
      <x:c r="Z399" s="373"/>
    </x:row>
    <x:row r="400">
      <x:c r="A400" s="373"/>
      <x:c r="B400" s="373"/>
      <x:c r="C400" s="373"/>
      <x:c r="D400" s="373"/>
      <x:c r="E400" s="373"/>
      <x:c r="F400" s="373"/>
      <x:c r="G400" s="373"/>
      <x:c r="H400" s="373"/>
      <x:c r="I400" s="373"/>
      <x:c r="J400" s="373"/>
      <x:c r="K400" s="373"/>
      <x:c r="L400" s="373"/>
      <x:c r="M400" s="373"/>
      <x:c r="N400" s="373"/>
      <x:c r="O400" s="373"/>
      <x:c r="P400" s="373"/>
      <x:c r="Q400" s="373"/>
      <x:c r="R400" s="373"/>
      <x:c r="S400" s="373"/>
      <x:c r="T400" s="373"/>
      <x:c r="U400" s="373"/>
      <x:c r="V400" s="373"/>
      <x:c r="W400" s="373"/>
      <x:c r="X400" s="373"/>
      <x:c r="Y400" s="373"/>
      <x:c r="Z400" s="373"/>
    </x:row>
    <x:row r="401">
      <x:c r="A401" s="373"/>
      <x:c r="B401" s="373"/>
      <x:c r="C401" s="373"/>
      <x:c r="D401" s="373"/>
      <x:c r="E401" s="373"/>
      <x:c r="F401" s="373"/>
      <x:c r="G401" s="373"/>
      <x:c r="H401" s="373"/>
      <x:c r="I401" s="373"/>
      <x:c r="J401" s="373"/>
      <x:c r="K401" s="373"/>
      <x:c r="L401" s="373"/>
      <x:c r="M401" s="373"/>
      <x:c r="N401" s="373"/>
      <x:c r="O401" s="373"/>
      <x:c r="P401" s="373"/>
      <x:c r="Q401" s="373"/>
      <x:c r="R401" s="373"/>
      <x:c r="S401" s="373"/>
      <x:c r="T401" s="373"/>
      <x:c r="U401" s="373"/>
      <x:c r="V401" s="373"/>
      <x:c r="W401" s="373"/>
      <x:c r="X401" s="373"/>
      <x:c r="Y401" s="373"/>
      <x:c r="Z401" s="373"/>
    </x:row>
    <x:row r="402">
      <x:c r="A402" s="373"/>
      <x:c r="B402" s="373"/>
      <x:c r="C402" s="373"/>
      <x:c r="D402" s="373"/>
      <x:c r="E402" s="373"/>
      <x:c r="F402" s="373"/>
      <x:c r="G402" s="373"/>
      <x:c r="H402" s="373"/>
      <x:c r="I402" s="373"/>
      <x:c r="J402" s="373"/>
      <x:c r="K402" s="373"/>
      <x:c r="L402" s="373"/>
      <x:c r="M402" s="373"/>
      <x:c r="N402" s="373"/>
      <x:c r="O402" s="373"/>
      <x:c r="P402" s="373"/>
      <x:c r="Q402" s="373"/>
      <x:c r="R402" s="373"/>
      <x:c r="S402" s="373"/>
      <x:c r="T402" s="373"/>
      <x:c r="U402" s="373"/>
      <x:c r="V402" s="373"/>
      <x:c r="W402" s="373"/>
      <x:c r="X402" s="373"/>
      <x:c r="Y402" s="373"/>
      <x:c r="Z402" s="373"/>
    </x:row>
    <x:row r="403">
      <x:c r="A403" s="373"/>
      <x:c r="B403" s="373"/>
      <x:c r="C403" s="373"/>
      <x:c r="D403" s="373"/>
      <x:c r="E403" s="373"/>
      <x:c r="F403" s="373"/>
      <x:c r="G403" s="373"/>
      <x:c r="H403" s="373"/>
      <x:c r="I403" s="373"/>
      <x:c r="J403" s="373"/>
      <x:c r="K403" s="373"/>
      <x:c r="L403" s="373"/>
      <x:c r="M403" s="373"/>
      <x:c r="N403" s="373"/>
      <x:c r="O403" s="373"/>
      <x:c r="P403" s="373"/>
      <x:c r="Q403" s="373"/>
      <x:c r="R403" s="373"/>
      <x:c r="S403" s="373"/>
      <x:c r="T403" s="373"/>
      <x:c r="U403" s="373"/>
      <x:c r="V403" s="373"/>
      <x:c r="W403" s="373"/>
      <x:c r="X403" s="373"/>
      <x:c r="Y403" s="373"/>
      <x:c r="Z403" s="373"/>
    </x:row>
    <x:row r="404">
      <x:c r="A404" s="373"/>
      <x:c r="B404" s="373"/>
      <x:c r="C404" s="373"/>
      <x:c r="D404" s="373"/>
      <x:c r="E404" s="373"/>
      <x:c r="F404" s="373"/>
      <x:c r="G404" s="373"/>
      <x:c r="H404" s="373"/>
      <x:c r="I404" s="373"/>
      <x:c r="J404" s="373"/>
      <x:c r="K404" s="373"/>
      <x:c r="L404" s="373"/>
      <x:c r="M404" s="373"/>
      <x:c r="N404" s="373"/>
      <x:c r="O404" s="373"/>
      <x:c r="P404" s="373"/>
      <x:c r="Q404" s="373"/>
      <x:c r="R404" s="373"/>
      <x:c r="S404" s="373"/>
      <x:c r="T404" s="373"/>
      <x:c r="U404" s="373"/>
      <x:c r="V404" s="373"/>
      <x:c r="W404" s="373"/>
      <x:c r="X404" s="373"/>
      <x:c r="Y404" s="373"/>
      <x:c r="Z404" s="373"/>
    </x:row>
    <x:row r="405">
      <x:c r="A405" s="373"/>
      <x:c r="B405" s="373"/>
      <x:c r="C405" s="373"/>
      <x:c r="D405" s="373"/>
      <x:c r="E405" s="373"/>
      <x:c r="F405" s="373"/>
      <x:c r="G405" s="373"/>
      <x:c r="H405" s="373"/>
      <x:c r="I405" s="373"/>
      <x:c r="J405" s="373"/>
      <x:c r="K405" s="373"/>
      <x:c r="L405" s="373"/>
      <x:c r="M405" s="373"/>
      <x:c r="N405" s="373"/>
      <x:c r="O405" s="373"/>
      <x:c r="P405" s="373"/>
      <x:c r="Q405" s="373"/>
      <x:c r="R405" s="373"/>
      <x:c r="S405" s="373"/>
      <x:c r="T405" s="373"/>
      <x:c r="U405" s="373"/>
      <x:c r="V405" s="373"/>
      <x:c r="W405" s="373"/>
      <x:c r="X405" s="373"/>
      <x:c r="Y405" s="373"/>
      <x:c r="Z405" s="373"/>
    </x:row>
    <x:row r="406">
      <x:c r="A406" s="373"/>
      <x:c r="B406" s="373"/>
      <x:c r="C406" s="373"/>
      <x:c r="D406" s="373"/>
      <x:c r="E406" s="373"/>
      <x:c r="F406" s="373"/>
      <x:c r="G406" s="373"/>
      <x:c r="H406" s="373"/>
      <x:c r="I406" s="373"/>
      <x:c r="J406" s="373"/>
      <x:c r="K406" s="373"/>
      <x:c r="L406" s="373"/>
      <x:c r="M406" s="373"/>
      <x:c r="N406" s="373"/>
      <x:c r="O406" s="373"/>
      <x:c r="P406" s="373"/>
      <x:c r="Q406" s="373"/>
      <x:c r="R406" s="373"/>
      <x:c r="S406" s="373"/>
      <x:c r="T406" s="373"/>
      <x:c r="U406" s="373"/>
      <x:c r="V406" s="373"/>
      <x:c r="W406" s="373"/>
      <x:c r="X406" s="373"/>
      <x:c r="Y406" s="373"/>
      <x:c r="Z406" s="373"/>
    </x:row>
    <x:row r="407">
      <x:c r="A407" s="373"/>
      <x:c r="B407" s="373"/>
      <x:c r="C407" s="373"/>
      <x:c r="D407" s="373"/>
      <x:c r="E407" s="373"/>
      <x:c r="F407" s="373"/>
      <x:c r="G407" s="373"/>
      <x:c r="H407" s="373"/>
      <x:c r="I407" s="373"/>
      <x:c r="J407" s="373"/>
      <x:c r="K407" s="373"/>
      <x:c r="L407" s="373"/>
      <x:c r="M407" s="373"/>
      <x:c r="N407" s="373"/>
      <x:c r="O407" s="373"/>
      <x:c r="P407" s="373"/>
      <x:c r="Q407" s="373"/>
      <x:c r="R407" s="373"/>
      <x:c r="S407" s="373"/>
      <x:c r="T407" s="373"/>
      <x:c r="U407" s="373"/>
      <x:c r="V407" s="373"/>
      <x:c r="W407" s="373"/>
      <x:c r="X407" s="373"/>
      <x:c r="Y407" s="373"/>
      <x:c r="Z407" s="373"/>
    </x:row>
    <x:row r="408">
      <x:c r="A408" s="373"/>
      <x:c r="B408" s="373"/>
      <x:c r="C408" s="373"/>
      <x:c r="D408" s="373"/>
      <x:c r="E408" s="373"/>
      <x:c r="F408" s="373"/>
      <x:c r="G408" s="373"/>
      <x:c r="H408" s="373"/>
      <x:c r="I408" s="373"/>
      <x:c r="J408" s="373"/>
      <x:c r="K408" s="373"/>
      <x:c r="L408" s="373"/>
      <x:c r="M408" s="373"/>
      <x:c r="N408" s="373"/>
      <x:c r="O408" s="373"/>
      <x:c r="P408" s="373"/>
      <x:c r="Q408" s="373"/>
      <x:c r="R408" s="373"/>
      <x:c r="S408" s="373"/>
      <x:c r="T408" s="373"/>
      <x:c r="U408" s="373"/>
      <x:c r="V408" s="373"/>
      <x:c r="W408" s="373"/>
      <x:c r="X408" s="373"/>
      <x:c r="Y408" s="373"/>
      <x:c r="Z408" s="373"/>
    </x:row>
    <x:row r="409">
      <x:c r="A409" s="373"/>
      <x:c r="B409" s="373"/>
      <x:c r="C409" s="373"/>
      <x:c r="D409" s="373"/>
      <x:c r="E409" s="373"/>
      <x:c r="F409" s="373"/>
      <x:c r="G409" s="373"/>
      <x:c r="H409" s="373"/>
      <x:c r="I409" s="373"/>
      <x:c r="J409" s="373"/>
      <x:c r="K409" s="373"/>
      <x:c r="L409" s="373"/>
      <x:c r="M409" s="373"/>
      <x:c r="N409" s="373"/>
      <x:c r="O409" s="373"/>
      <x:c r="P409" s="373"/>
      <x:c r="Q409" s="373"/>
      <x:c r="R409" s="373"/>
      <x:c r="S409" s="373"/>
      <x:c r="T409" s="373"/>
      <x:c r="U409" s="373"/>
      <x:c r="V409" s="373"/>
      <x:c r="W409" s="373"/>
      <x:c r="X409" s="373"/>
      <x:c r="Y409" s="373"/>
      <x:c r="Z409" s="373"/>
    </x:row>
    <x:row r="410">
      <x:c r="A410" s="373"/>
      <x:c r="B410" s="373"/>
      <x:c r="C410" s="373"/>
      <x:c r="D410" s="373"/>
      <x:c r="E410" s="373"/>
      <x:c r="F410" s="373"/>
      <x:c r="G410" s="373"/>
      <x:c r="H410" s="373"/>
      <x:c r="I410" s="373"/>
      <x:c r="J410" s="373"/>
      <x:c r="K410" s="373"/>
      <x:c r="L410" s="373"/>
      <x:c r="M410" s="373"/>
      <x:c r="N410" s="373"/>
      <x:c r="O410" s="373"/>
      <x:c r="P410" s="373"/>
      <x:c r="Q410" s="373"/>
      <x:c r="R410" s="373"/>
      <x:c r="S410" s="373"/>
      <x:c r="T410" s="373"/>
      <x:c r="U410" s="373"/>
      <x:c r="V410" s="373"/>
      <x:c r="W410" s="373"/>
      <x:c r="X410" s="373"/>
      <x:c r="Y410" s="373"/>
      <x:c r="Z410" s="373"/>
    </x:row>
    <x:row r="411">
      <x:c r="A411" s="373"/>
      <x:c r="B411" s="373"/>
      <x:c r="C411" s="373"/>
      <x:c r="D411" s="373"/>
      <x:c r="E411" s="373"/>
      <x:c r="F411" s="373"/>
      <x:c r="G411" s="373"/>
      <x:c r="H411" s="373"/>
      <x:c r="I411" s="373"/>
      <x:c r="J411" s="373"/>
      <x:c r="K411" s="373"/>
      <x:c r="L411" s="373"/>
      <x:c r="M411" s="373"/>
      <x:c r="N411" s="373"/>
      <x:c r="O411" s="373"/>
      <x:c r="P411" s="373"/>
      <x:c r="Q411" s="373"/>
      <x:c r="R411" s="373"/>
      <x:c r="S411" s="373"/>
      <x:c r="T411" s="373"/>
      <x:c r="U411" s="373"/>
      <x:c r="V411" s="373"/>
      <x:c r="W411" s="373"/>
      <x:c r="X411" s="373"/>
      <x:c r="Y411" s="373"/>
      <x:c r="Z411" s="373"/>
    </x:row>
    <x:row r="412">
      <x:c r="A412" s="373"/>
      <x:c r="B412" s="373"/>
      <x:c r="C412" s="373"/>
      <x:c r="D412" s="373"/>
      <x:c r="E412" s="373"/>
      <x:c r="F412" s="373"/>
      <x:c r="G412" s="373"/>
      <x:c r="H412" s="373"/>
      <x:c r="I412" s="373"/>
      <x:c r="J412" s="373"/>
      <x:c r="K412" s="373"/>
      <x:c r="L412" s="373"/>
      <x:c r="M412" s="373"/>
      <x:c r="N412" s="373"/>
      <x:c r="O412" s="373"/>
      <x:c r="P412" s="373"/>
      <x:c r="Q412" s="373"/>
      <x:c r="R412" s="373"/>
      <x:c r="S412" s="373"/>
      <x:c r="T412" s="373"/>
      <x:c r="U412" s="373"/>
      <x:c r="V412" s="373"/>
      <x:c r="W412" s="373"/>
      <x:c r="X412" s="373"/>
      <x:c r="Y412" s="373"/>
      <x:c r="Z412" s="373"/>
    </x:row>
    <x:row r="413">
      <x:c r="A413" s="373"/>
      <x:c r="B413" s="373"/>
      <x:c r="C413" s="373"/>
      <x:c r="D413" s="373"/>
      <x:c r="E413" s="373"/>
      <x:c r="F413" s="373"/>
      <x:c r="G413" s="373"/>
      <x:c r="H413" s="373"/>
      <x:c r="I413" s="373"/>
      <x:c r="J413" s="373"/>
      <x:c r="K413" s="373"/>
      <x:c r="L413" s="373"/>
      <x:c r="M413" s="373"/>
      <x:c r="N413" s="373"/>
      <x:c r="O413" s="373"/>
      <x:c r="P413" s="373"/>
      <x:c r="Q413" s="373"/>
      <x:c r="R413" s="373"/>
      <x:c r="S413" s="373"/>
      <x:c r="T413" s="373"/>
      <x:c r="U413" s="373"/>
      <x:c r="V413" s="373"/>
      <x:c r="W413" s="373"/>
      <x:c r="X413" s="373"/>
      <x:c r="Y413" s="373"/>
      <x:c r="Z413" s="373"/>
    </x:row>
    <x:row r="414">
      <x:c r="A414" s="373"/>
      <x:c r="B414" s="373"/>
      <x:c r="C414" s="373"/>
      <x:c r="D414" s="373"/>
      <x:c r="E414" s="373"/>
      <x:c r="F414" s="373"/>
      <x:c r="G414" s="373"/>
      <x:c r="H414" s="373"/>
      <x:c r="I414" s="373"/>
      <x:c r="J414" s="373"/>
      <x:c r="K414" s="373"/>
      <x:c r="L414" s="373"/>
      <x:c r="M414" s="373"/>
      <x:c r="N414" s="373"/>
      <x:c r="O414" s="373"/>
      <x:c r="P414" s="373"/>
      <x:c r="Q414" s="373"/>
      <x:c r="R414" s="373"/>
      <x:c r="S414" s="373"/>
      <x:c r="T414" s="373"/>
      <x:c r="U414" s="373"/>
      <x:c r="V414" s="373"/>
      <x:c r="W414" s="373"/>
      <x:c r="X414" s="373"/>
      <x:c r="Y414" s="373"/>
      <x:c r="Z414" s="373"/>
    </x:row>
    <x:row r="415">
      <x:c r="A415" s="373"/>
      <x:c r="B415" s="373"/>
      <x:c r="C415" s="373"/>
      <x:c r="D415" s="373"/>
      <x:c r="E415" s="373"/>
      <x:c r="F415" s="373"/>
      <x:c r="G415" s="373"/>
      <x:c r="H415" s="373"/>
      <x:c r="I415" s="373"/>
      <x:c r="J415" s="373"/>
      <x:c r="K415" s="373"/>
      <x:c r="L415" s="373"/>
      <x:c r="M415" s="373"/>
      <x:c r="N415" s="373"/>
      <x:c r="O415" s="373"/>
      <x:c r="P415" s="373"/>
      <x:c r="Q415" s="373"/>
      <x:c r="R415" s="373"/>
      <x:c r="S415" s="373"/>
      <x:c r="T415" s="373"/>
      <x:c r="U415" s="373"/>
      <x:c r="V415" s="373"/>
      <x:c r="W415" s="373"/>
      <x:c r="X415" s="373"/>
      <x:c r="Y415" s="373"/>
      <x:c r="Z415" s="373"/>
    </x:row>
    <x:row r="416">
      <x:c r="A416" s="373"/>
      <x:c r="B416" s="373"/>
      <x:c r="C416" s="373"/>
      <x:c r="D416" s="373"/>
      <x:c r="E416" s="373"/>
      <x:c r="F416" s="373"/>
      <x:c r="G416" s="373"/>
      <x:c r="H416" s="373"/>
      <x:c r="I416" s="373"/>
      <x:c r="J416" s="373"/>
      <x:c r="K416" s="373"/>
      <x:c r="L416" s="373"/>
      <x:c r="M416" s="373"/>
      <x:c r="N416" s="373"/>
      <x:c r="O416" s="373"/>
      <x:c r="P416" s="373"/>
      <x:c r="Q416" s="373"/>
      <x:c r="R416" s="373"/>
      <x:c r="S416" s="373"/>
      <x:c r="T416" s="373"/>
      <x:c r="U416" s="373"/>
      <x:c r="V416" s="373"/>
      <x:c r="W416" s="373"/>
      <x:c r="X416" s="373"/>
      <x:c r="Y416" s="373"/>
      <x:c r="Z416" s="373"/>
    </x:row>
    <x:row r="417">
      <x:c r="A417" s="373"/>
      <x:c r="B417" s="373"/>
      <x:c r="C417" s="373"/>
      <x:c r="D417" s="373"/>
      <x:c r="E417" s="373"/>
      <x:c r="F417" s="373"/>
      <x:c r="G417" s="373"/>
      <x:c r="H417" s="373"/>
      <x:c r="I417" s="373"/>
      <x:c r="J417" s="373"/>
      <x:c r="K417" s="373"/>
      <x:c r="L417" s="373"/>
      <x:c r="M417" s="373"/>
      <x:c r="N417" s="373"/>
      <x:c r="O417" s="373"/>
      <x:c r="P417" s="373"/>
      <x:c r="Q417" s="373"/>
      <x:c r="R417" s="373"/>
      <x:c r="S417" s="373"/>
      <x:c r="T417" s="373"/>
      <x:c r="U417" s="373"/>
      <x:c r="V417" s="373"/>
      <x:c r="W417" s="373"/>
      <x:c r="X417" s="373"/>
      <x:c r="Y417" s="373"/>
      <x:c r="Z417" s="373"/>
    </x:row>
    <x:row r="418">
      <x:c r="A418" s="373"/>
      <x:c r="B418" s="373"/>
      <x:c r="C418" s="373"/>
      <x:c r="D418" s="373"/>
      <x:c r="E418" s="373"/>
      <x:c r="F418" s="373"/>
      <x:c r="G418" s="373"/>
      <x:c r="H418" s="373"/>
      <x:c r="I418" s="373"/>
      <x:c r="J418" s="373"/>
      <x:c r="K418" s="373"/>
      <x:c r="L418" s="373"/>
      <x:c r="M418" s="373"/>
      <x:c r="N418" s="373"/>
      <x:c r="O418" s="373"/>
      <x:c r="P418" s="373"/>
      <x:c r="Q418" s="373"/>
      <x:c r="R418" s="373"/>
      <x:c r="S418" s="373"/>
      <x:c r="T418" s="373"/>
      <x:c r="U418" s="373"/>
      <x:c r="V418" s="373"/>
      <x:c r="W418" s="373"/>
      <x:c r="X418" s="373"/>
      <x:c r="Y418" s="373"/>
      <x:c r="Z418" s="373"/>
    </x:row>
    <x:row r="419">
      <x:c r="A419" s="373"/>
      <x:c r="B419" s="373"/>
      <x:c r="C419" s="373"/>
      <x:c r="D419" s="373"/>
      <x:c r="E419" s="373"/>
      <x:c r="F419" s="373"/>
      <x:c r="G419" s="373"/>
      <x:c r="H419" s="373"/>
      <x:c r="I419" s="373"/>
      <x:c r="J419" s="373"/>
      <x:c r="K419" s="373"/>
      <x:c r="L419" s="373"/>
      <x:c r="M419" s="373"/>
      <x:c r="N419" s="373"/>
      <x:c r="O419" s="373"/>
      <x:c r="P419" s="373"/>
      <x:c r="Q419" s="373"/>
      <x:c r="R419" s="373"/>
      <x:c r="S419" s="373"/>
      <x:c r="T419" s="373"/>
      <x:c r="U419" s="373"/>
      <x:c r="V419" s="373"/>
      <x:c r="W419" s="373"/>
      <x:c r="X419" s="373"/>
      <x:c r="Y419" s="373"/>
      <x:c r="Z419" s="373"/>
    </x:row>
    <x:row r="420">
      <x:c r="A420" s="373"/>
      <x:c r="B420" s="373"/>
      <x:c r="C420" s="373"/>
      <x:c r="D420" s="373"/>
      <x:c r="E420" s="373"/>
      <x:c r="F420" s="373"/>
      <x:c r="G420" s="373"/>
      <x:c r="H420" s="373"/>
      <x:c r="I420" s="373"/>
      <x:c r="J420" s="373"/>
      <x:c r="K420" s="373"/>
      <x:c r="L420" s="373"/>
      <x:c r="M420" s="373"/>
      <x:c r="N420" s="373"/>
      <x:c r="O420" s="373"/>
      <x:c r="P420" s="373"/>
      <x:c r="Q420" s="373"/>
      <x:c r="R420" s="373"/>
      <x:c r="S420" s="373"/>
      <x:c r="T420" s="373"/>
      <x:c r="U420" s="373"/>
      <x:c r="V420" s="373"/>
      <x:c r="W420" s="373"/>
      <x:c r="X420" s="373"/>
      <x:c r="Y420" s="373"/>
      <x:c r="Z420" s="373"/>
    </x:row>
    <x:row r="421">
      <x:c r="A421" s="373"/>
      <x:c r="B421" s="373"/>
      <x:c r="C421" s="373"/>
      <x:c r="D421" s="373"/>
      <x:c r="E421" s="373"/>
      <x:c r="F421" s="373"/>
      <x:c r="G421" s="373"/>
      <x:c r="H421" s="373"/>
      <x:c r="I421" s="373"/>
      <x:c r="J421" s="373"/>
      <x:c r="K421" s="373"/>
      <x:c r="L421" s="373"/>
      <x:c r="M421" s="373"/>
      <x:c r="N421" s="373"/>
      <x:c r="O421" s="373"/>
      <x:c r="P421" s="373"/>
      <x:c r="Q421" s="373"/>
      <x:c r="R421" s="373"/>
      <x:c r="S421" s="373"/>
      <x:c r="T421" s="373"/>
      <x:c r="U421" s="373"/>
      <x:c r="V421" s="373"/>
      <x:c r="W421" s="373"/>
      <x:c r="X421" s="373"/>
      <x:c r="Y421" s="373"/>
      <x:c r="Z421" s="373"/>
    </x:row>
    <x:row r="422">
      <x:c r="A422" s="373"/>
      <x:c r="B422" s="373"/>
      <x:c r="C422" s="373"/>
      <x:c r="D422" s="373"/>
      <x:c r="E422" s="373"/>
      <x:c r="F422" s="373"/>
      <x:c r="G422" s="373"/>
      <x:c r="H422" s="373"/>
      <x:c r="I422" s="373"/>
      <x:c r="J422" s="373"/>
      <x:c r="K422" s="373"/>
      <x:c r="L422" s="373"/>
      <x:c r="M422" s="373"/>
      <x:c r="N422" s="373"/>
      <x:c r="O422" s="373"/>
      <x:c r="P422" s="373"/>
      <x:c r="Q422" s="373"/>
      <x:c r="R422" s="373"/>
      <x:c r="S422" s="373"/>
      <x:c r="T422" s="373"/>
      <x:c r="U422" s="373"/>
      <x:c r="V422" s="373"/>
      <x:c r="W422" s="373"/>
      <x:c r="X422" s="373"/>
      <x:c r="Y422" s="373"/>
      <x:c r="Z422" s="373"/>
    </x:row>
    <x:row r="423">
      <x:c r="A423" s="373"/>
      <x:c r="B423" s="373"/>
      <x:c r="C423" s="373"/>
      <x:c r="D423" s="373"/>
      <x:c r="E423" s="373"/>
      <x:c r="F423" s="373"/>
      <x:c r="G423" s="373"/>
      <x:c r="H423" s="373"/>
      <x:c r="I423" s="373"/>
      <x:c r="J423" s="373"/>
      <x:c r="K423" s="373"/>
      <x:c r="L423" s="373"/>
      <x:c r="M423" s="373"/>
      <x:c r="N423" s="373"/>
      <x:c r="O423" s="373"/>
      <x:c r="P423" s="373"/>
      <x:c r="Q423" s="373"/>
      <x:c r="R423" s="373"/>
      <x:c r="S423" s="373"/>
      <x:c r="T423" s="373"/>
      <x:c r="U423" s="373"/>
      <x:c r="V423" s="373"/>
      <x:c r="W423" s="373"/>
      <x:c r="X423" s="373"/>
      <x:c r="Y423" s="373"/>
      <x:c r="Z423" s="373"/>
    </x:row>
    <x:row r="424">
      <x:c r="A424" s="373"/>
      <x:c r="B424" s="373"/>
      <x:c r="C424" s="373"/>
      <x:c r="D424" s="373"/>
      <x:c r="E424" s="373"/>
      <x:c r="F424" s="373"/>
      <x:c r="G424" s="373"/>
      <x:c r="H424" s="373"/>
      <x:c r="I424" s="373"/>
      <x:c r="J424" s="373"/>
      <x:c r="K424" s="373"/>
      <x:c r="L424" s="373"/>
      <x:c r="M424" s="373"/>
      <x:c r="N424" s="373"/>
      <x:c r="O424" s="373"/>
      <x:c r="P424" s="373"/>
      <x:c r="Q424" s="373"/>
      <x:c r="R424" s="373"/>
      <x:c r="S424" s="373"/>
      <x:c r="T424" s="373"/>
      <x:c r="U424" s="373"/>
      <x:c r="V424" s="373"/>
      <x:c r="W424" s="373"/>
      <x:c r="X424" s="373"/>
      <x:c r="Y424" s="373"/>
      <x:c r="Z424" s="373"/>
    </x:row>
    <x:row r="425">
      <x:c r="A425" s="373"/>
      <x:c r="B425" s="373"/>
      <x:c r="C425" s="373"/>
      <x:c r="D425" s="373"/>
      <x:c r="E425" s="373"/>
      <x:c r="F425" s="373"/>
      <x:c r="G425" s="373"/>
      <x:c r="H425" s="373"/>
      <x:c r="I425" s="373"/>
      <x:c r="J425" s="373"/>
      <x:c r="K425" s="373"/>
      <x:c r="L425" s="373"/>
      <x:c r="M425" s="373"/>
      <x:c r="N425" s="373"/>
      <x:c r="O425" s="373"/>
      <x:c r="P425" s="373"/>
      <x:c r="Q425" s="373"/>
      <x:c r="R425" s="373"/>
      <x:c r="S425" s="373"/>
      <x:c r="T425" s="373"/>
      <x:c r="U425" s="373"/>
      <x:c r="V425" s="373"/>
      <x:c r="W425" s="373"/>
      <x:c r="X425" s="373"/>
      <x:c r="Y425" s="373"/>
      <x:c r="Z425" s="373"/>
    </x:row>
    <x:row r="426">
      <x:c r="A426" s="373"/>
      <x:c r="B426" s="373"/>
      <x:c r="C426" s="373"/>
      <x:c r="D426" s="373"/>
      <x:c r="E426" s="373"/>
      <x:c r="F426" s="373"/>
      <x:c r="G426" s="373"/>
      <x:c r="H426" s="373"/>
      <x:c r="I426" s="373"/>
      <x:c r="J426" s="373"/>
      <x:c r="K426" s="373"/>
      <x:c r="L426" s="373"/>
      <x:c r="M426" s="373"/>
      <x:c r="N426" s="373"/>
      <x:c r="O426" s="373"/>
      <x:c r="P426" s="373"/>
      <x:c r="Q426" s="373"/>
      <x:c r="R426" s="373"/>
      <x:c r="S426" s="373"/>
      <x:c r="T426" s="373"/>
      <x:c r="U426" s="373"/>
      <x:c r="V426" s="373"/>
      <x:c r="W426" s="373"/>
      <x:c r="X426" s="373"/>
      <x:c r="Y426" s="373"/>
      <x:c r="Z426" s="373"/>
    </x:row>
    <x:row r="427">
      <x:c r="A427" s="373"/>
      <x:c r="B427" s="373"/>
      <x:c r="C427" s="373"/>
      <x:c r="D427" s="373"/>
      <x:c r="E427" s="373"/>
      <x:c r="F427" s="373"/>
      <x:c r="G427" s="373"/>
      <x:c r="H427" s="373"/>
      <x:c r="I427" s="373"/>
      <x:c r="J427" s="373"/>
      <x:c r="K427" s="373"/>
      <x:c r="L427" s="373"/>
      <x:c r="M427" s="373"/>
      <x:c r="N427" s="373"/>
      <x:c r="O427" s="373"/>
      <x:c r="P427" s="373"/>
      <x:c r="Q427" s="373"/>
      <x:c r="R427" s="373"/>
      <x:c r="S427" s="373"/>
      <x:c r="T427" s="373"/>
      <x:c r="U427" s="373"/>
      <x:c r="V427" s="373"/>
      <x:c r="W427" s="373"/>
      <x:c r="X427" s="373"/>
      <x:c r="Y427" s="373"/>
      <x:c r="Z427" s="373"/>
    </x:row>
    <x:row r="428">
      <x:c r="A428" s="373"/>
      <x:c r="B428" s="373"/>
      <x:c r="C428" s="373"/>
      <x:c r="D428" s="373"/>
      <x:c r="E428" s="373"/>
      <x:c r="F428" s="373"/>
      <x:c r="G428" s="373"/>
      <x:c r="H428" s="373"/>
      <x:c r="I428" s="373"/>
      <x:c r="J428" s="373"/>
      <x:c r="K428" s="373"/>
      <x:c r="L428" s="373"/>
      <x:c r="M428" s="373"/>
      <x:c r="N428" s="373"/>
      <x:c r="O428" s="373"/>
      <x:c r="P428" s="373"/>
      <x:c r="Q428" s="373"/>
      <x:c r="R428" s="373"/>
      <x:c r="S428" s="373"/>
      <x:c r="T428" s="373"/>
      <x:c r="U428" s="373"/>
      <x:c r="V428" s="373"/>
      <x:c r="W428" s="373"/>
      <x:c r="X428" s="373"/>
      <x:c r="Y428" s="373"/>
      <x:c r="Z428" s="373"/>
    </x:row>
    <x:row r="429">
      <x:c r="A429" s="373"/>
      <x:c r="B429" s="373"/>
      <x:c r="C429" s="373"/>
      <x:c r="D429" s="373"/>
      <x:c r="E429" s="373"/>
      <x:c r="F429" s="373"/>
      <x:c r="G429" s="373"/>
      <x:c r="H429" s="373"/>
      <x:c r="I429" s="373"/>
      <x:c r="J429" s="373"/>
      <x:c r="K429" s="373"/>
      <x:c r="L429" s="373"/>
      <x:c r="M429" s="373"/>
      <x:c r="N429" s="373"/>
      <x:c r="O429" s="373"/>
      <x:c r="P429" s="373"/>
      <x:c r="Q429" s="373"/>
      <x:c r="R429" s="373"/>
      <x:c r="S429" s="373"/>
      <x:c r="T429" s="373"/>
      <x:c r="U429" s="373"/>
      <x:c r="V429" s="373"/>
      <x:c r="W429" s="373"/>
      <x:c r="X429" s="373"/>
      <x:c r="Y429" s="373"/>
      <x:c r="Z429" s="373"/>
    </x:row>
    <x:row r="430">
      <x:c r="A430" s="373"/>
      <x:c r="B430" s="373"/>
      <x:c r="C430" s="373"/>
      <x:c r="D430" s="373"/>
      <x:c r="E430" s="373"/>
      <x:c r="F430" s="373"/>
      <x:c r="G430" s="373"/>
      <x:c r="H430" s="373"/>
      <x:c r="I430" s="373"/>
      <x:c r="J430" s="373"/>
      <x:c r="K430" s="373"/>
      <x:c r="L430" s="373"/>
      <x:c r="M430" s="373"/>
      <x:c r="N430" s="373"/>
      <x:c r="O430" s="373"/>
      <x:c r="P430" s="373"/>
      <x:c r="Q430" s="373"/>
      <x:c r="R430" s="373"/>
      <x:c r="S430" s="373"/>
      <x:c r="T430" s="373"/>
      <x:c r="U430" s="373"/>
      <x:c r="V430" s="373"/>
      <x:c r="W430" s="373"/>
      <x:c r="X430" s="373"/>
      <x:c r="Y430" s="373"/>
      <x:c r="Z430" s="373"/>
    </x:row>
    <x:row r="431">
      <x:c r="A431" s="373"/>
      <x:c r="B431" s="373"/>
      <x:c r="C431" s="373"/>
      <x:c r="D431" s="373"/>
      <x:c r="E431" s="373"/>
      <x:c r="F431" s="373"/>
      <x:c r="G431" s="373"/>
      <x:c r="H431" s="373"/>
      <x:c r="I431" s="373"/>
      <x:c r="J431" s="373"/>
      <x:c r="K431" s="373"/>
      <x:c r="L431" s="373"/>
      <x:c r="M431" s="373"/>
      <x:c r="N431" s="373"/>
      <x:c r="O431" s="373"/>
      <x:c r="P431" s="373"/>
      <x:c r="Q431" s="373"/>
      <x:c r="R431" s="373"/>
      <x:c r="S431" s="373"/>
      <x:c r="T431" s="373"/>
      <x:c r="U431" s="373"/>
      <x:c r="V431" s="373"/>
      <x:c r="W431" s="373"/>
      <x:c r="X431" s="373"/>
      <x:c r="Y431" s="373"/>
      <x:c r="Z431" s="373"/>
    </x:row>
    <x:row r="432">
      <x:c r="A432" s="373"/>
      <x:c r="B432" s="373"/>
      <x:c r="C432" s="373"/>
      <x:c r="D432" s="373"/>
      <x:c r="E432" s="373"/>
      <x:c r="F432" s="373"/>
      <x:c r="G432" s="373"/>
      <x:c r="H432" s="373"/>
      <x:c r="I432" s="373"/>
      <x:c r="J432" s="373"/>
      <x:c r="K432" s="373"/>
      <x:c r="L432" s="373"/>
      <x:c r="M432" s="373"/>
      <x:c r="N432" s="373"/>
      <x:c r="O432" s="373"/>
      <x:c r="P432" s="373"/>
      <x:c r="Q432" s="373"/>
      <x:c r="R432" s="373"/>
      <x:c r="S432" s="373"/>
      <x:c r="T432" s="373"/>
      <x:c r="U432" s="373"/>
      <x:c r="V432" s="373"/>
      <x:c r="W432" s="373"/>
      <x:c r="X432" s="373"/>
      <x:c r="Y432" s="373"/>
      <x:c r="Z432" s="373"/>
    </x:row>
    <x:row r="433">
      <x:c r="A433" s="373"/>
      <x:c r="B433" s="373"/>
      <x:c r="C433" s="373"/>
      <x:c r="D433" s="373"/>
      <x:c r="E433" s="373"/>
      <x:c r="F433" s="373"/>
      <x:c r="G433" s="373"/>
      <x:c r="H433" s="373"/>
      <x:c r="I433" s="373"/>
      <x:c r="J433" s="373"/>
      <x:c r="K433" s="373"/>
      <x:c r="L433" s="373"/>
      <x:c r="M433" s="373"/>
      <x:c r="N433" s="373"/>
      <x:c r="O433" s="373"/>
      <x:c r="P433" s="373"/>
      <x:c r="Q433" s="373"/>
      <x:c r="R433" s="373"/>
      <x:c r="S433" s="373"/>
      <x:c r="T433" s="373"/>
      <x:c r="U433" s="373"/>
      <x:c r="V433" s="373"/>
      <x:c r="W433" s="373"/>
      <x:c r="X433" s="373"/>
      <x:c r="Y433" s="373"/>
      <x:c r="Z433" s="373"/>
    </x:row>
    <x:row r="434">
      <x:c r="A434" s="373"/>
      <x:c r="B434" s="373"/>
      <x:c r="C434" s="373"/>
      <x:c r="D434" s="373"/>
      <x:c r="E434" s="373"/>
      <x:c r="F434" s="373"/>
      <x:c r="G434" s="373"/>
      <x:c r="H434" s="373"/>
      <x:c r="I434" s="373"/>
      <x:c r="J434" s="373"/>
      <x:c r="K434" s="373"/>
      <x:c r="L434" s="373"/>
      <x:c r="M434" s="373"/>
      <x:c r="N434" s="373"/>
      <x:c r="O434" s="373"/>
      <x:c r="P434" s="373"/>
      <x:c r="Q434" s="373"/>
      <x:c r="R434" s="373"/>
      <x:c r="S434" s="373"/>
      <x:c r="T434" s="373"/>
      <x:c r="U434" s="373"/>
      <x:c r="V434" s="373"/>
      <x:c r="W434" s="373"/>
      <x:c r="X434" s="373"/>
      <x:c r="Y434" s="373"/>
      <x:c r="Z434" s="373"/>
    </x:row>
    <x:row r="435">
      <x:c r="A435" s="373"/>
      <x:c r="B435" s="373"/>
      <x:c r="C435" s="373"/>
      <x:c r="D435" s="373"/>
      <x:c r="E435" s="373"/>
      <x:c r="F435" s="373"/>
      <x:c r="G435" s="373"/>
      <x:c r="H435" s="373"/>
      <x:c r="I435" s="373"/>
      <x:c r="J435" s="373"/>
      <x:c r="K435" s="373"/>
      <x:c r="L435" s="373"/>
      <x:c r="M435" s="373"/>
      <x:c r="N435" s="373"/>
      <x:c r="O435" s="373"/>
      <x:c r="P435" s="373"/>
      <x:c r="Q435" s="373"/>
      <x:c r="R435" s="373"/>
      <x:c r="S435" s="373"/>
      <x:c r="T435" s="373"/>
      <x:c r="U435" s="373"/>
      <x:c r="V435" s="373"/>
      <x:c r="W435" s="373"/>
      <x:c r="X435" s="373"/>
      <x:c r="Y435" s="373"/>
      <x:c r="Z435" s="373"/>
    </x:row>
    <x:row r="436">
      <x:c r="A436" s="373"/>
      <x:c r="B436" s="373"/>
      <x:c r="C436" s="373"/>
      <x:c r="D436" s="373"/>
      <x:c r="E436" s="373"/>
      <x:c r="F436" s="373"/>
      <x:c r="G436" s="373"/>
      <x:c r="H436" s="373"/>
      <x:c r="I436" s="373"/>
      <x:c r="J436" s="373"/>
      <x:c r="K436" s="373"/>
      <x:c r="L436" s="373"/>
      <x:c r="M436" s="373"/>
      <x:c r="N436" s="373"/>
      <x:c r="O436" s="373"/>
      <x:c r="P436" s="373"/>
      <x:c r="Q436" s="373"/>
      <x:c r="R436" s="373"/>
      <x:c r="S436" s="373"/>
      <x:c r="T436" s="373"/>
      <x:c r="U436" s="373"/>
      <x:c r="V436" s="373"/>
      <x:c r="W436" s="373"/>
      <x:c r="X436" s="373"/>
      <x:c r="Y436" s="373"/>
      <x:c r="Z436" s="373"/>
    </x:row>
    <x:row r="437">
      <x:c r="A437" s="373"/>
      <x:c r="B437" s="373"/>
      <x:c r="C437" s="373"/>
      <x:c r="D437" s="373"/>
      <x:c r="E437" s="373"/>
      <x:c r="F437" s="373"/>
      <x:c r="G437" s="373"/>
      <x:c r="H437" s="373"/>
      <x:c r="I437" s="373"/>
      <x:c r="J437" s="373"/>
      <x:c r="K437" s="373"/>
      <x:c r="L437" s="373"/>
      <x:c r="M437" s="373"/>
      <x:c r="N437" s="373"/>
      <x:c r="O437" s="373"/>
      <x:c r="P437" s="373"/>
      <x:c r="Q437" s="373"/>
      <x:c r="R437" s="373"/>
      <x:c r="S437" s="373"/>
      <x:c r="T437" s="373"/>
      <x:c r="U437" s="373"/>
      <x:c r="V437" s="373"/>
      <x:c r="W437" s="373"/>
      <x:c r="X437" s="373"/>
      <x:c r="Y437" s="373"/>
      <x:c r="Z437" s="373"/>
    </x:row>
    <x:row r="438">
      <x:c r="A438" s="373"/>
      <x:c r="B438" s="373"/>
      <x:c r="C438" s="373"/>
      <x:c r="D438" s="373"/>
      <x:c r="E438" s="373"/>
      <x:c r="F438" s="373"/>
      <x:c r="G438" s="373"/>
      <x:c r="H438" s="373"/>
      <x:c r="I438" s="373"/>
      <x:c r="J438" s="373"/>
      <x:c r="K438" s="373"/>
      <x:c r="L438" s="373"/>
      <x:c r="M438" s="373"/>
      <x:c r="N438" s="373"/>
      <x:c r="O438" s="373"/>
      <x:c r="P438" s="373"/>
      <x:c r="Q438" s="373"/>
      <x:c r="R438" s="373"/>
      <x:c r="S438" s="373"/>
      <x:c r="T438" s="373"/>
      <x:c r="U438" s="373"/>
      <x:c r="V438" s="373"/>
      <x:c r="W438" s="373"/>
      <x:c r="X438" s="373"/>
      <x:c r="Y438" s="373"/>
      <x:c r="Z438" s="373"/>
    </x:row>
    <x:row r="439">
      <x:c r="A439" s="373"/>
      <x:c r="B439" s="373"/>
      <x:c r="C439" s="373"/>
      <x:c r="D439" s="373"/>
      <x:c r="E439" s="373"/>
      <x:c r="F439" s="373"/>
      <x:c r="G439" s="373"/>
      <x:c r="H439" s="373"/>
      <x:c r="I439" s="373"/>
      <x:c r="J439" s="373"/>
      <x:c r="K439" s="373"/>
      <x:c r="L439" s="373"/>
      <x:c r="M439" s="373"/>
      <x:c r="N439" s="373"/>
      <x:c r="O439" s="373"/>
      <x:c r="P439" s="373"/>
      <x:c r="Q439" s="373"/>
      <x:c r="R439" s="373"/>
      <x:c r="S439" s="373"/>
      <x:c r="T439" s="373"/>
      <x:c r="U439" s="373"/>
      <x:c r="V439" s="373"/>
      <x:c r="W439" s="373"/>
      <x:c r="X439" s="373"/>
      <x:c r="Y439" s="373"/>
      <x:c r="Z439" s="373"/>
    </x:row>
    <x:row r="440">
      <x:c r="A440" s="373"/>
      <x:c r="B440" s="373"/>
      <x:c r="C440" s="373"/>
      <x:c r="D440" s="373"/>
      <x:c r="E440" s="373"/>
      <x:c r="F440" s="373"/>
      <x:c r="G440" s="373"/>
      <x:c r="H440" s="373"/>
      <x:c r="I440" s="373"/>
      <x:c r="J440" s="373"/>
      <x:c r="K440" s="373"/>
      <x:c r="L440" s="373"/>
      <x:c r="M440" s="373"/>
      <x:c r="N440" s="373"/>
      <x:c r="O440" s="373"/>
      <x:c r="P440" s="373"/>
      <x:c r="Q440" s="373"/>
      <x:c r="R440" s="373"/>
      <x:c r="S440" s="373"/>
      <x:c r="T440" s="373"/>
      <x:c r="U440" s="373"/>
      <x:c r="V440" s="373"/>
      <x:c r="W440" s="373"/>
      <x:c r="X440" s="373"/>
      <x:c r="Y440" s="373"/>
      <x:c r="Z440" s="373"/>
    </x:row>
    <x:row r="441">
      <x:c r="A441" s="373"/>
      <x:c r="B441" s="373"/>
      <x:c r="C441" s="373"/>
      <x:c r="D441" s="373"/>
      <x:c r="E441" s="373"/>
      <x:c r="F441" s="373"/>
      <x:c r="G441" s="373"/>
      <x:c r="H441" s="373"/>
      <x:c r="I441" s="373"/>
      <x:c r="J441" s="373"/>
      <x:c r="K441" s="373"/>
      <x:c r="L441" s="373"/>
      <x:c r="M441" s="373"/>
      <x:c r="N441" s="373"/>
      <x:c r="O441" s="373"/>
      <x:c r="P441" s="373"/>
      <x:c r="Q441" s="373"/>
      <x:c r="R441" s="373"/>
      <x:c r="S441" s="373"/>
      <x:c r="T441" s="373"/>
      <x:c r="U441" s="373"/>
      <x:c r="V441" s="373"/>
      <x:c r="W441" s="373"/>
      <x:c r="X441" s="373"/>
      <x:c r="Y441" s="373"/>
      <x:c r="Z441" s="373"/>
    </x:row>
    <x:row r="442">
      <x:c r="A442" s="373"/>
      <x:c r="B442" s="373"/>
      <x:c r="C442" s="373"/>
      <x:c r="D442" s="373"/>
      <x:c r="E442" s="373"/>
      <x:c r="F442" s="373"/>
      <x:c r="G442" s="373"/>
      <x:c r="H442" s="373"/>
      <x:c r="I442" s="373"/>
      <x:c r="J442" s="373"/>
      <x:c r="K442" s="373"/>
      <x:c r="L442" s="373"/>
      <x:c r="M442" s="373"/>
      <x:c r="N442" s="373"/>
      <x:c r="O442" s="373"/>
      <x:c r="P442" s="373"/>
      <x:c r="Q442" s="373"/>
      <x:c r="R442" s="373"/>
      <x:c r="S442" s="373"/>
      <x:c r="T442" s="373"/>
      <x:c r="U442" s="373"/>
      <x:c r="V442" s="373"/>
      <x:c r="W442" s="373"/>
      <x:c r="X442" s="373"/>
      <x:c r="Y442" s="373"/>
      <x:c r="Z442" s="373"/>
    </x:row>
    <x:row r="443">
      <x:c r="A443" s="373"/>
      <x:c r="B443" s="373"/>
      <x:c r="C443" s="373"/>
      <x:c r="D443" s="373"/>
      <x:c r="E443" s="373"/>
      <x:c r="F443" s="373"/>
      <x:c r="G443" s="373"/>
      <x:c r="H443" s="373"/>
      <x:c r="I443" s="373"/>
      <x:c r="J443" s="373"/>
      <x:c r="K443" s="373"/>
      <x:c r="L443" s="373"/>
      <x:c r="M443" s="373"/>
      <x:c r="N443" s="373"/>
      <x:c r="O443" s="373"/>
      <x:c r="P443" s="373"/>
      <x:c r="Q443" s="373"/>
      <x:c r="R443" s="373"/>
      <x:c r="S443" s="373"/>
      <x:c r="T443" s="373"/>
      <x:c r="U443" s="373"/>
      <x:c r="V443" s="373"/>
      <x:c r="W443" s="373"/>
      <x:c r="X443" s="373"/>
      <x:c r="Y443" s="373"/>
      <x:c r="Z443" s="373"/>
    </x:row>
    <x:row r="444">
      <x:c r="A444" s="373"/>
      <x:c r="B444" s="373"/>
      <x:c r="C444" s="373"/>
      <x:c r="D444" s="373"/>
      <x:c r="E444" s="373"/>
      <x:c r="F444" s="373"/>
      <x:c r="G444" s="373"/>
      <x:c r="H444" s="373"/>
      <x:c r="I444" s="373"/>
      <x:c r="J444" s="373"/>
      <x:c r="K444" s="373"/>
      <x:c r="L444" s="373"/>
      <x:c r="M444" s="373"/>
      <x:c r="N444" s="373"/>
      <x:c r="O444" s="373"/>
      <x:c r="P444" s="373"/>
      <x:c r="Q444" s="373"/>
      <x:c r="R444" s="373"/>
      <x:c r="S444" s="373"/>
      <x:c r="T444" s="373"/>
      <x:c r="U444" s="373"/>
      <x:c r="V444" s="373"/>
      <x:c r="W444" s="373"/>
      <x:c r="X444" s="373"/>
      <x:c r="Y444" s="373"/>
      <x:c r="Z444" s="373"/>
    </x:row>
    <x:row r="445">
      <x:c r="A445" s="373"/>
      <x:c r="B445" s="373"/>
      <x:c r="C445" s="373"/>
      <x:c r="D445" s="373"/>
      <x:c r="E445" s="373"/>
      <x:c r="F445" s="373"/>
      <x:c r="G445" s="373"/>
      <x:c r="H445" s="373"/>
      <x:c r="I445" s="373"/>
      <x:c r="J445" s="373"/>
      <x:c r="K445" s="373"/>
      <x:c r="L445" s="373"/>
      <x:c r="M445" s="373"/>
      <x:c r="N445" s="373"/>
      <x:c r="O445" s="373"/>
      <x:c r="P445" s="373"/>
      <x:c r="Q445" s="373"/>
      <x:c r="R445" s="373"/>
      <x:c r="S445" s="373"/>
      <x:c r="T445" s="373"/>
      <x:c r="U445" s="373"/>
      <x:c r="V445" s="373"/>
      <x:c r="W445" s="373"/>
      <x:c r="X445" s="373"/>
      <x:c r="Y445" s="373"/>
      <x:c r="Z445" s="373"/>
    </x:row>
    <x:row r="446">
      <x:c r="A446" s="373"/>
      <x:c r="B446" s="373"/>
      <x:c r="C446" s="373"/>
      <x:c r="D446" s="373"/>
      <x:c r="E446" s="373"/>
      <x:c r="F446" s="373"/>
      <x:c r="G446" s="373"/>
      <x:c r="H446" s="373"/>
      <x:c r="I446" s="373"/>
      <x:c r="J446" s="373"/>
      <x:c r="K446" s="373"/>
      <x:c r="L446" s="373"/>
      <x:c r="M446" s="373"/>
      <x:c r="N446" s="373"/>
      <x:c r="O446" s="373"/>
      <x:c r="P446" s="373"/>
      <x:c r="Q446" s="373"/>
      <x:c r="R446" s="373"/>
      <x:c r="S446" s="373"/>
      <x:c r="T446" s="373"/>
      <x:c r="U446" s="373"/>
      <x:c r="V446" s="373"/>
      <x:c r="W446" s="373"/>
      <x:c r="X446" s="373"/>
      <x:c r="Y446" s="373"/>
      <x:c r="Z446" s="373"/>
    </x:row>
    <x:row r="447">
      <x:c r="A447" s="373"/>
      <x:c r="B447" s="373"/>
      <x:c r="C447" s="373"/>
      <x:c r="D447" s="373"/>
      <x:c r="E447" s="373"/>
      <x:c r="F447" s="373"/>
      <x:c r="G447" s="373"/>
      <x:c r="H447" s="373"/>
      <x:c r="I447" s="373"/>
      <x:c r="J447" s="373"/>
      <x:c r="K447" s="373"/>
      <x:c r="L447" s="373"/>
      <x:c r="M447" s="373"/>
      <x:c r="N447" s="373"/>
      <x:c r="O447" s="373"/>
      <x:c r="P447" s="373"/>
      <x:c r="Q447" s="373"/>
      <x:c r="R447" s="373"/>
      <x:c r="S447" s="373"/>
      <x:c r="T447" s="373"/>
      <x:c r="U447" s="373"/>
      <x:c r="V447" s="373"/>
      <x:c r="W447" s="373"/>
      <x:c r="X447" s="373"/>
      <x:c r="Y447" s="373"/>
      <x:c r="Z447" s="373"/>
    </x:row>
    <x:row r="448">
      <x:c r="A448" s="373"/>
      <x:c r="B448" s="373"/>
      <x:c r="C448" s="373"/>
      <x:c r="D448" s="373"/>
      <x:c r="E448" s="373"/>
      <x:c r="F448" s="373"/>
      <x:c r="G448" s="373"/>
      <x:c r="H448" s="373"/>
      <x:c r="I448" s="373"/>
      <x:c r="J448" s="373"/>
      <x:c r="K448" s="373"/>
      <x:c r="L448" s="373"/>
      <x:c r="M448" s="373"/>
      <x:c r="N448" s="373"/>
      <x:c r="O448" s="373"/>
      <x:c r="P448" s="373"/>
      <x:c r="Q448" s="373"/>
      <x:c r="R448" s="373"/>
      <x:c r="S448" s="373"/>
      <x:c r="T448" s="373"/>
      <x:c r="U448" s="373"/>
      <x:c r="V448" s="373"/>
      <x:c r="W448" s="373"/>
      <x:c r="X448" s="373"/>
      <x:c r="Y448" s="373"/>
      <x:c r="Z448" s="373"/>
    </x:row>
    <x:row r="449">
      <x:c r="A449" s="373"/>
      <x:c r="B449" s="373"/>
      <x:c r="C449" s="373"/>
      <x:c r="D449" s="373"/>
      <x:c r="E449" s="373"/>
      <x:c r="F449" s="373"/>
      <x:c r="G449" s="373"/>
      <x:c r="H449" s="373"/>
      <x:c r="I449" s="373"/>
      <x:c r="J449" s="373"/>
      <x:c r="K449" s="373"/>
      <x:c r="L449" s="373"/>
      <x:c r="M449" s="373"/>
      <x:c r="N449" s="373"/>
      <x:c r="O449" s="373"/>
      <x:c r="P449" s="373"/>
      <x:c r="Q449" s="373"/>
      <x:c r="R449" s="373"/>
      <x:c r="S449" s="373"/>
      <x:c r="T449" s="373"/>
      <x:c r="U449" s="373"/>
      <x:c r="V449" s="373"/>
      <x:c r="W449" s="373"/>
      <x:c r="X449" s="373"/>
      <x:c r="Y449" s="373"/>
      <x:c r="Z449" s="373"/>
    </x:row>
    <x:row r="450">
      <x:c r="A450" s="373"/>
      <x:c r="B450" s="373"/>
      <x:c r="C450" s="373"/>
      <x:c r="D450" s="373"/>
      <x:c r="E450" s="373"/>
      <x:c r="F450" s="373"/>
      <x:c r="G450" s="373"/>
      <x:c r="H450" s="373"/>
      <x:c r="I450" s="373"/>
      <x:c r="J450" s="373"/>
      <x:c r="K450" s="373"/>
      <x:c r="L450" s="373"/>
      <x:c r="M450" s="373"/>
      <x:c r="N450" s="373"/>
      <x:c r="O450" s="373"/>
      <x:c r="P450" s="373"/>
      <x:c r="Q450" s="373"/>
      <x:c r="R450" s="373"/>
      <x:c r="S450" s="373"/>
      <x:c r="T450" s="373"/>
      <x:c r="U450" s="373"/>
      <x:c r="V450" s="373"/>
      <x:c r="W450" s="373"/>
      <x:c r="X450" s="373"/>
      <x:c r="Y450" s="373"/>
      <x:c r="Z450" s="373"/>
    </x:row>
    <x:row r="451">
      <x:c r="A451" s="373"/>
      <x:c r="B451" s="373"/>
      <x:c r="C451" s="373"/>
      <x:c r="D451" s="373"/>
      <x:c r="E451" s="373"/>
      <x:c r="F451" s="373"/>
      <x:c r="G451" s="373"/>
      <x:c r="H451" s="373"/>
      <x:c r="I451" s="373"/>
      <x:c r="J451" s="373"/>
      <x:c r="K451" s="373"/>
      <x:c r="L451" s="373"/>
      <x:c r="M451" s="373"/>
      <x:c r="N451" s="373"/>
      <x:c r="O451" s="373"/>
      <x:c r="P451" s="373"/>
      <x:c r="Q451" s="373"/>
      <x:c r="R451" s="373"/>
      <x:c r="S451" s="373"/>
      <x:c r="T451" s="373"/>
      <x:c r="U451" s="373"/>
      <x:c r="V451" s="373"/>
      <x:c r="W451" s="373"/>
      <x:c r="X451" s="373"/>
      <x:c r="Y451" s="373"/>
      <x:c r="Z451" s="373"/>
    </x:row>
    <x:row r="452">
      <x:c r="A452" s="373"/>
      <x:c r="B452" s="373"/>
      <x:c r="C452" s="373"/>
      <x:c r="D452" s="373"/>
      <x:c r="E452" s="373"/>
      <x:c r="F452" s="373"/>
      <x:c r="G452" s="373"/>
      <x:c r="H452" s="373"/>
      <x:c r="I452" s="373"/>
      <x:c r="J452" s="373"/>
      <x:c r="K452" s="373"/>
      <x:c r="L452" s="373"/>
      <x:c r="M452" s="373"/>
      <x:c r="N452" s="373"/>
      <x:c r="O452" s="373"/>
      <x:c r="P452" s="373"/>
      <x:c r="Q452" s="373"/>
      <x:c r="R452" s="373"/>
      <x:c r="S452" s="373"/>
      <x:c r="T452" s="373"/>
      <x:c r="U452" s="373"/>
      <x:c r="V452" s="373"/>
      <x:c r="W452" s="373"/>
      <x:c r="X452" s="373"/>
      <x:c r="Y452" s="373"/>
      <x:c r="Z452" s="373"/>
    </x:row>
    <x:row r="453">
      <x:c r="A453" s="373"/>
      <x:c r="B453" s="373"/>
      <x:c r="C453" s="373"/>
      <x:c r="D453" s="373"/>
      <x:c r="E453" s="373"/>
      <x:c r="F453" s="373"/>
      <x:c r="G453" s="373"/>
      <x:c r="H453" s="373"/>
      <x:c r="I453" s="373"/>
      <x:c r="J453" s="373"/>
      <x:c r="K453" s="373"/>
      <x:c r="L453" s="373"/>
      <x:c r="M453" s="373"/>
      <x:c r="N453" s="373"/>
      <x:c r="O453" s="373"/>
      <x:c r="P453" s="373"/>
      <x:c r="Q453" s="373"/>
      <x:c r="R453" s="373"/>
      <x:c r="S453" s="373"/>
      <x:c r="T453" s="373"/>
      <x:c r="U453" s="373"/>
      <x:c r="V453" s="373"/>
      <x:c r="W453" s="373"/>
      <x:c r="X453" s="373"/>
      <x:c r="Y453" s="373"/>
      <x:c r="Z453" s="373"/>
    </x:row>
    <x:row r="454">
      <x:c r="A454" s="373"/>
      <x:c r="B454" s="373"/>
      <x:c r="C454" s="373"/>
      <x:c r="D454" s="373"/>
      <x:c r="E454" s="373"/>
      <x:c r="F454" s="373"/>
      <x:c r="G454" s="373"/>
      <x:c r="H454" s="373"/>
      <x:c r="I454" s="373"/>
      <x:c r="J454" s="373"/>
      <x:c r="K454" s="373"/>
      <x:c r="L454" s="373"/>
      <x:c r="M454" s="373"/>
      <x:c r="N454" s="373"/>
      <x:c r="O454" s="373"/>
      <x:c r="P454" s="373"/>
      <x:c r="Q454" s="373"/>
      <x:c r="R454" s="373"/>
      <x:c r="S454" s="373"/>
      <x:c r="T454" s="373"/>
      <x:c r="U454" s="373"/>
      <x:c r="V454" s="373"/>
      <x:c r="W454" s="373"/>
      <x:c r="X454" s="373"/>
      <x:c r="Y454" s="373"/>
      <x:c r="Z454" s="373"/>
    </x:row>
    <x:row r="455">
      <x:c r="A455" s="373"/>
      <x:c r="B455" s="373"/>
      <x:c r="C455" s="373"/>
      <x:c r="D455" s="373"/>
      <x:c r="E455" s="373"/>
      <x:c r="F455" s="373"/>
      <x:c r="G455" s="373"/>
      <x:c r="H455" s="373"/>
      <x:c r="I455" s="373"/>
      <x:c r="J455" s="373"/>
      <x:c r="K455" s="373"/>
      <x:c r="L455" s="373"/>
      <x:c r="M455" s="373"/>
      <x:c r="N455" s="373"/>
      <x:c r="O455" s="373"/>
      <x:c r="P455" s="373"/>
      <x:c r="Q455" s="373"/>
      <x:c r="R455" s="373"/>
      <x:c r="S455" s="373"/>
      <x:c r="T455" s="373"/>
      <x:c r="U455" s="373"/>
      <x:c r="V455" s="373"/>
      <x:c r="W455" s="373"/>
      <x:c r="X455" s="373"/>
      <x:c r="Y455" s="373"/>
      <x:c r="Z455" s="373"/>
    </x:row>
    <x:row r="456">
      <x:c r="A456" s="373"/>
      <x:c r="B456" s="373"/>
      <x:c r="C456" s="373"/>
      <x:c r="D456" s="373"/>
      <x:c r="E456" s="373"/>
      <x:c r="F456" s="373"/>
      <x:c r="G456" s="373"/>
      <x:c r="H456" s="373"/>
      <x:c r="I456" s="373"/>
      <x:c r="J456" s="373"/>
      <x:c r="K456" s="373"/>
      <x:c r="L456" s="373"/>
      <x:c r="M456" s="373"/>
      <x:c r="N456" s="373"/>
      <x:c r="O456" s="373"/>
      <x:c r="P456" s="373"/>
      <x:c r="Q456" s="373"/>
      <x:c r="R456" s="373"/>
      <x:c r="S456" s="373"/>
      <x:c r="T456" s="373"/>
      <x:c r="U456" s="373"/>
      <x:c r="V456" s="373"/>
      <x:c r="W456" s="373"/>
      <x:c r="X456" s="373"/>
      <x:c r="Y456" s="373"/>
      <x:c r="Z456" s="373"/>
    </x:row>
    <x:row r="457">
      <x:c r="A457" s="373"/>
      <x:c r="B457" s="373"/>
      <x:c r="C457" s="373"/>
      <x:c r="D457" s="373"/>
      <x:c r="E457" s="373"/>
      <x:c r="F457" s="373"/>
      <x:c r="G457" s="373"/>
      <x:c r="H457" s="373"/>
      <x:c r="I457" s="373"/>
      <x:c r="J457" s="373"/>
      <x:c r="K457" s="373"/>
      <x:c r="L457" s="373"/>
      <x:c r="M457" s="373"/>
      <x:c r="N457" s="373"/>
      <x:c r="O457" s="373"/>
      <x:c r="P457" s="373"/>
      <x:c r="Q457" s="373"/>
      <x:c r="R457" s="373"/>
      <x:c r="S457" s="373"/>
      <x:c r="T457" s="373"/>
      <x:c r="U457" s="373"/>
      <x:c r="V457" s="373"/>
      <x:c r="W457" s="373"/>
      <x:c r="X457" s="373"/>
      <x:c r="Y457" s="373"/>
      <x:c r="Z457" s="373"/>
    </x:row>
    <x:row r="458">
      <x:c r="A458" s="373"/>
      <x:c r="B458" s="373"/>
      <x:c r="C458" s="373"/>
      <x:c r="D458" s="373"/>
      <x:c r="E458" s="373"/>
      <x:c r="F458" s="373"/>
      <x:c r="G458" s="373"/>
      <x:c r="H458" s="373"/>
      <x:c r="I458" s="373"/>
      <x:c r="J458" s="373"/>
      <x:c r="K458" s="373"/>
      <x:c r="L458" s="373"/>
      <x:c r="M458" s="373"/>
      <x:c r="N458" s="373"/>
      <x:c r="O458" s="373"/>
      <x:c r="P458" s="373"/>
      <x:c r="Q458" s="373"/>
      <x:c r="R458" s="373"/>
      <x:c r="S458" s="373"/>
      <x:c r="T458" s="373"/>
      <x:c r="U458" s="373"/>
      <x:c r="V458" s="373"/>
      <x:c r="W458" s="373"/>
      <x:c r="X458" s="373"/>
      <x:c r="Y458" s="373"/>
      <x:c r="Z458" s="373"/>
    </x:row>
    <x:row r="459">
      <x:c r="A459" s="373"/>
      <x:c r="B459" s="373"/>
      <x:c r="C459" s="373"/>
      <x:c r="D459" s="373"/>
      <x:c r="E459" s="373"/>
      <x:c r="F459" s="373"/>
      <x:c r="G459" s="373"/>
      <x:c r="H459" s="373"/>
      <x:c r="I459" s="373"/>
      <x:c r="J459" s="373"/>
      <x:c r="K459" s="373"/>
      <x:c r="L459" s="373"/>
      <x:c r="M459" s="373"/>
      <x:c r="N459" s="373"/>
      <x:c r="O459" s="373"/>
      <x:c r="P459" s="373"/>
      <x:c r="Q459" s="373"/>
      <x:c r="R459" s="373"/>
      <x:c r="S459" s="373"/>
      <x:c r="T459" s="373"/>
      <x:c r="U459" s="373"/>
      <x:c r="V459" s="373"/>
      <x:c r="W459" s="373"/>
      <x:c r="X459" s="373"/>
      <x:c r="Y459" s="373"/>
      <x:c r="Z459" s="373"/>
    </x:row>
    <x:row r="460">
      <x:c r="A460" s="373"/>
      <x:c r="B460" s="373"/>
      <x:c r="C460" s="373"/>
      <x:c r="D460" s="373"/>
      <x:c r="E460" s="373"/>
      <x:c r="F460" s="373"/>
      <x:c r="G460" s="373"/>
      <x:c r="H460" s="373"/>
      <x:c r="I460" s="373"/>
      <x:c r="J460" s="373"/>
      <x:c r="K460" s="373"/>
      <x:c r="L460" s="373"/>
      <x:c r="M460" s="373"/>
      <x:c r="N460" s="373"/>
      <x:c r="O460" s="373"/>
      <x:c r="P460" s="373"/>
      <x:c r="Q460" s="373"/>
      <x:c r="R460" s="373"/>
      <x:c r="S460" s="373"/>
      <x:c r="T460" s="373"/>
      <x:c r="U460" s="373"/>
      <x:c r="V460" s="373"/>
      <x:c r="W460" s="373"/>
      <x:c r="X460" s="373"/>
      <x:c r="Y460" s="373"/>
      <x:c r="Z460" s="373"/>
    </x:row>
    <x:row r="461">
      <x:c r="A461" s="373"/>
      <x:c r="B461" s="373"/>
      <x:c r="C461" s="373"/>
      <x:c r="D461" s="373"/>
      <x:c r="E461" s="373"/>
      <x:c r="F461" s="373"/>
      <x:c r="G461" s="373"/>
      <x:c r="H461" s="373"/>
      <x:c r="I461" s="373"/>
      <x:c r="J461" s="373"/>
      <x:c r="K461" s="373"/>
      <x:c r="L461" s="373"/>
      <x:c r="M461" s="373"/>
      <x:c r="N461" s="373"/>
      <x:c r="O461" s="373"/>
      <x:c r="P461" s="373"/>
      <x:c r="Q461" s="373"/>
      <x:c r="R461" s="373"/>
      <x:c r="S461" s="373"/>
      <x:c r="T461" s="373"/>
      <x:c r="U461" s="373"/>
      <x:c r="V461" s="373"/>
      <x:c r="W461" s="373"/>
      <x:c r="X461" s="373"/>
      <x:c r="Y461" s="373"/>
      <x:c r="Z461" s="373"/>
    </x:row>
    <x:row r="462">
      <x:c r="A462" s="373"/>
      <x:c r="B462" s="373"/>
      <x:c r="C462" s="373"/>
      <x:c r="D462" s="373"/>
      <x:c r="E462" s="373"/>
      <x:c r="F462" s="373"/>
      <x:c r="G462" s="373"/>
      <x:c r="H462" s="373"/>
      <x:c r="I462" s="373"/>
      <x:c r="J462" s="373"/>
      <x:c r="K462" s="373"/>
      <x:c r="L462" s="373"/>
      <x:c r="M462" s="373"/>
      <x:c r="N462" s="373"/>
      <x:c r="O462" s="373"/>
      <x:c r="P462" s="373"/>
      <x:c r="Q462" s="373"/>
      <x:c r="R462" s="373"/>
      <x:c r="S462" s="373"/>
      <x:c r="T462" s="373"/>
      <x:c r="U462" s="373"/>
      <x:c r="V462" s="373"/>
      <x:c r="W462" s="373"/>
      <x:c r="X462" s="373"/>
      <x:c r="Y462" s="373"/>
      <x:c r="Z462" s="373"/>
    </x:row>
    <x:row r="463">
      <x:c r="A463" s="373"/>
      <x:c r="B463" s="373"/>
      <x:c r="C463" s="373"/>
      <x:c r="D463" s="373"/>
      <x:c r="E463" s="373"/>
      <x:c r="F463" s="373"/>
      <x:c r="G463" s="373"/>
      <x:c r="H463" s="373"/>
      <x:c r="I463" s="373"/>
      <x:c r="J463" s="373"/>
      <x:c r="K463" s="373"/>
      <x:c r="L463" s="373"/>
      <x:c r="M463" s="373"/>
      <x:c r="N463" s="373"/>
      <x:c r="O463" s="373"/>
      <x:c r="P463" s="373"/>
      <x:c r="Q463" s="373"/>
      <x:c r="R463" s="373"/>
      <x:c r="S463" s="373"/>
      <x:c r="T463" s="373"/>
      <x:c r="U463" s="373"/>
      <x:c r="V463" s="373"/>
      <x:c r="W463" s="373"/>
      <x:c r="X463" s="373"/>
      <x:c r="Y463" s="373"/>
      <x:c r="Z463" s="373"/>
    </x:row>
    <x:row r="464">
      <x:c r="A464" s="373"/>
      <x:c r="B464" s="373"/>
      <x:c r="C464" s="373"/>
      <x:c r="D464" s="373"/>
      <x:c r="E464" s="373"/>
      <x:c r="F464" s="373"/>
      <x:c r="G464" s="373"/>
      <x:c r="H464" s="373"/>
      <x:c r="I464" s="373"/>
      <x:c r="J464" s="373"/>
      <x:c r="K464" s="373"/>
      <x:c r="L464" s="373"/>
      <x:c r="M464" s="373"/>
      <x:c r="N464" s="373"/>
      <x:c r="O464" s="373"/>
      <x:c r="P464" s="373"/>
      <x:c r="Q464" s="373"/>
      <x:c r="R464" s="373"/>
      <x:c r="S464" s="373"/>
      <x:c r="T464" s="373"/>
      <x:c r="U464" s="373"/>
      <x:c r="V464" s="373"/>
      <x:c r="W464" s="373"/>
      <x:c r="X464" s="373"/>
      <x:c r="Y464" s="373"/>
      <x:c r="Z464" s="373"/>
    </x:row>
    <x:row r="465">
      <x:c r="A465" s="373"/>
      <x:c r="B465" s="373"/>
      <x:c r="C465" s="373"/>
      <x:c r="D465" s="373"/>
      <x:c r="E465" s="373"/>
      <x:c r="F465" s="373"/>
      <x:c r="G465" s="373"/>
      <x:c r="H465" s="373"/>
      <x:c r="I465" s="373"/>
      <x:c r="J465" s="373"/>
      <x:c r="K465" s="373"/>
      <x:c r="L465" s="373"/>
      <x:c r="M465" s="373"/>
      <x:c r="N465" s="373"/>
      <x:c r="O465" s="373"/>
      <x:c r="P465" s="373"/>
      <x:c r="Q465" s="373"/>
      <x:c r="R465" s="373"/>
      <x:c r="S465" s="373"/>
      <x:c r="T465" s="373"/>
      <x:c r="U465" s="373"/>
      <x:c r="V465" s="373"/>
      <x:c r="W465" s="373"/>
      <x:c r="X465" s="373"/>
      <x:c r="Y465" s="373"/>
      <x:c r="Z465" s="373"/>
    </x:row>
    <x:row r="466">
      <x:c r="A466" s="373"/>
      <x:c r="B466" s="373"/>
      <x:c r="C466" s="373"/>
      <x:c r="D466" s="373"/>
      <x:c r="E466" s="373"/>
      <x:c r="F466" s="373"/>
      <x:c r="G466" s="373"/>
      <x:c r="H466" s="373"/>
      <x:c r="I466" s="373"/>
      <x:c r="J466" s="373"/>
      <x:c r="K466" s="373"/>
      <x:c r="L466" s="373"/>
      <x:c r="M466" s="373"/>
      <x:c r="N466" s="373"/>
      <x:c r="O466" s="373"/>
      <x:c r="P466" s="373"/>
      <x:c r="Q466" s="373"/>
      <x:c r="R466" s="373"/>
      <x:c r="S466" s="373"/>
      <x:c r="T466" s="373"/>
      <x:c r="U466" s="373"/>
      <x:c r="V466" s="373"/>
      <x:c r="W466" s="373"/>
      <x:c r="X466" s="373"/>
      <x:c r="Y466" s="373"/>
      <x:c r="Z466" s="373"/>
    </x:row>
    <x:row r="467">
      <x:c r="A467" s="373"/>
      <x:c r="B467" s="373"/>
      <x:c r="C467" s="373"/>
      <x:c r="D467" s="373"/>
      <x:c r="E467" s="373"/>
      <x:c r="F467" s="373"/>
      <x:c r="G467" s="373"/>
      <x:c r="H467" s="373"/>
      <x:c r="I467" s="373"/>
      <x:c r="J467" s="373"/>
      <x:c r="K467" s="373"/>
      <x:c r="L467" s="373"/>
      <x:c r="M467" s="373"/>
      <x:c r="N467" s="373"/>
      <x:c r="O467" s="373"/>
      <x:c r="P467" s="373"/>
      <x:c r="Q467" s="373"/>
      <x:c r="R467" s="373"/>
      <x:c r="S467" s="373"/>
      <x:c r="T467" s="373"/>
      <x:c r="U467" s="373"/>
      <x:c r="V467" s="373"/>
      <x:c r="W467" s="373"/>
      <x:c r="X467" s="373"/>
      <x:c r="Y467" s="373"/>
      <x:c r="Z467" s="373"/>
    </x:row>
    <x:row r="468">
      <x:c r="A468" s="373"/>
      <x:c r="B468" s="373"/>
      <x:c r="C468" s="373"/>
      <x:c r="D468" s="373"/>
      <x:c r="E468" s="373"/>
      <x:c r="F468" s="373"/>
      <x:c r="G468" s="373"/>
      <x:c r="H468" s="373"/>
      <x:c r="I468" s="373"/>
      <x:c r="J468" s="373"/>
      <x:c r="K468" s="373"/>
      <x:c r="L468" s="373"/>
      <x:c r="M468" s="373"/>
      <x:c r="N468" s="373"/>
      <x:c r="O468" s="373"/>
      <x:c r="P468" s="373"/>
      <x:c r="Q468" s="373"/>
      <x:c r="R468" s="373"/>
      <x:c r="S468" s="373"/>
      <x:c r="T468" s="373"/>
      <x:c r="U468" s="373"/>
      <x:c r="V468" s="373"/>
      <x:c r="W468" s="373"/>
      <x:c r="X468" s="373"/>
      <x:c r="Y468" s="373"/>
      <x:c r="Z468" s="373"/>
    </x:row>
    <x:row r="469">
      <x:c r="A469" s="373"/>
      <x:c r="B469" s="373"/>
      <x:c r="C469" s="373"/>
      <x:c r="D469" s="373"/>
      <x:c r="E469" s="373"/>
      <x:c r="F469" s="373"/>
      <x:c r="G469" s="373"/>
      <x:c r="H469" s="373"/>
      <x:c r="I469" s="373"/>
      <x:c r="J469" s="373"/>
      <x:c r="K469" s="373"/>
      <x:c r="L469" s="373"/>
      <x:c r="M469" s="373"/>
      <x:c r="N469" s="373"/>
      <x:c r="O469" s="373"/>
      <x:c r="P469" s="373"/>
      <x:c r="Q469" s="373"/>
      <x:c r="R469" s="373"/>
      <x:c r="S469" s="373"/>
      <x:c r="T469" s="373"/>
      <x:c r="U469" s="373"/>
      <x:c r="V469" s="373"/>
      <x:c r="W469" s="373"/>
      <x:c r="X469" s="373"/>
      <x:c r="Y469" s="373"/>
      <x:c r="Z469" s="373"/>
    </x:row>
    <x:row r="470">
      <x:c r="A470" s="373"/>
      <x:c r="B470" s="373"/>
      <x:c r="C470" s="373"/>
      <x:c r="D470" s="373"/>
      <x:c r="E470" s="373"/>
      <x:c r="F470" s="373"/>
      <x:c r="G470" s="373"/>
      <x:c r="H470" s="373"/>
      <x:c r="I470" s="373"/>
      <x:c r="J470" s="373"/>
      <x:c r="K470" s="373"/>
      <x:c r="L470" s="373"/>
      <x:c r="M470" s="373"/>
      <x:c r="N470" s="373"/>
      <x:c r="O470" s="373"/>
      <x:c r="P470" s="373"/>
      <x:c r="Q470" s="373"/>
      <x:c r="R470" s="373"/>
      <x:c r="S470" s="373"/>
      <x:c r="T470" s="373"/>
      <x:c r="U470" s="373"/>
      <x:c r="V470" s="373"/>
      <x:c r="W470" s="373"/>
      <x:c r="X470" s="373"/>
      <x:c r="Y470" s="373"/>
      <x:c r="Z470" s="373"/>
    </x:row>
    <x:row r="471">
      <x:c r="A471" s="373"/>
      <x:c r="B471" s="373"/>
      <x:c r="C471" s="373"/>
      <x:c r="D471" s="373"/>
      <x:c r="E471" s="373"/>
      <x:c r="F471" s="373"/>
      <x:c r="G471" s="373"/>
      <x:c r="H471" s="373"/>
      <x:c r="I471" s="373"/>
      <x:c r="J471" s="373"/>
      <x:c r="K471" s="373"/>
      <x:c r="L471" s="373"/>
      <x:c r="M471" s="373"/>
      <x:c r="N471" s="373"/>
      <x:c r="O471" s="373"/>
      <x:c r="P471" s="373"/>
      <x:c r="Q471" s="373"/>
      <x:c r="R471" s="373"/>
      <x:c r="S471" s="373"/>
      <x:c r="T471" s="373"/>
      <x:c r="U471" s="373"/>
      <x:c r="V471" s="373"/>
      <x:c r="W471" s="373"/>
      <x:c r="X471" s="373"/>
      <x:c r="Y471" s="373"/>
      <x:c r="Z471" s="373"/>
    </x:row>
    <x:row r="472">
      <x:c r="A472" s="373"/>
      <x:c r="B472" s="373"/>
      <x:c r="C472" s="373"/>
      <x:c r="D472" s="373"/>
      <x:c r="E472" s="373"/>
      <x:c r="F472" s="373"/>
      <x:c r="G472" s="373"/>
      <x:c r="H472" s="373"/>
      <x:c r="I472" s="373"/>
      <x:c r="J472" s="373"/>
      <x:c r="K472" s="373"/>
      <x:c r="L472" s="373"/>
      <x:c r="M472" s="373"/>
      <x:c r="N472" s="373"/>
      <x:c r="O472" s="373"/>
      <x:c r="P472" s="373"/>
      <x:c r="Q472" s="373"/>
      <x:c r="R472" s="373"/>
      <x:c r="S472" s="373"/>
      <x:c r="T472" s="373"/>
      <x:c r="U472" s="373"/>
      <x:c r="V472" s="373"/>
      <x:c r="W472" s="373"/>
      <x:c r="X472" s="373"/>
      <x:c r="Y472" s="373"/>
      <x:c r="Z472" s="373"/>
    </x:row>
    <x:row r="473">
      <x:c r="A473" s="373"/>
      <x:c r="B473" s="373"/>
      <x:c r="C473" s="373"/>
      <x:c r="D473" s="373"/>
      <x:c r="E473" s="373"/>
      <x:c r="F473" s="373"/>
      <x:c r="G473" s="373"/>
      <x:c r="H473" s="373"/>
      <x:c r="I473" s="373"/>
      <x:c r="J473" s="373"/>
      <x:c r="K473" s="373"/>
      <x:c r="L473" s="373"/>
      <x:c r="M473" s="373"/>
      <x:c r="N473" s="373"/>
      <x:c r="O473" s="373"/>
      <x:c r="P473" s="373"/>
      <x:c r="Q473" s="373"/>
      <x:c r="R473" s="373"/>
      <x:c r="S473" s="373"/>
      <x:c r="T473" s="373"/>
      <x:c r="U473" s="373"/>
      <x:c r="V473" s="373"/>
      <x:c r="W473" s="373"/>
      <x:c r="X473" s="373"/>
      <x:c r="Y473" s="373"/>
      <x:c r="Z473" s="373"/>
    </x:row>
    <x:row r="474">
      <x:c r="A474" s="373"/>
      <x:c r="B474" s="373"/>
      <x:c r="C474" s="373"/>
      <x:c r="D474" s="373"/>
      <x:c r="E474" s="373"/>
      <x:c r="F474" s="373"/>
      <x:c r="G474" s="373"/>
      <x:c r="H474" s="373"/>
      <x:c r="I474" s="373"/>
      <x:c r="J474" s="373"/>
      <x:c r="K474" s="373"/>
      <x:c r="L474" s="373"/>
      <x:c r="M474" s="373"/>
      <x:c r="N474" s="373"/>
      <x:c r="O474" s="373"/>
      <x:c r="P474" s="373"/>
      <x:c r="Q474" s="373"/>
      <x:c r="R474" s="373"/>
      <x:c r="S474" s="373"/>
      <x:c r="T474" s="373"/>
      <x:c r="U474" s="373"/>
      <x:c r="V474" s="373"/>
      <x:c r="W474" s="373"/>
      <x:c r="X474" s="373"/>
      <x:c r="Y474" s="373"/>
      <x:c r="Z474" s="373"/>
    </x:row>
    <x:row r="475">
      <x:c r="A475" s="373"/>
      <x:c r="B475" s="373"/>
      <x:c r="C475" s="373"/>
      <x:c r="D475" s="373"/>
      <x:c r="E475" s="373"/>
      <x:c r="F475" s="373"/>
      <x:c r="G475" s="373"/>
      <x:c r="H475" s="373"/>
      <x:c r="I475" s="373"/>
      <x:c r="J475" s="373"/>
      <x:c r="K475" s="373"/>
      <x:c r="L475" s="373"/>
      <x:c r="M475" s="373"/>
      <x:c r="N475" s="373"/>
      <x:c r="O475" s="373"/>
      <x:c r="P475" s="373"/>
      <x:c r="Q475" s="373"/>
      <x:c r="R475" s="373"/>
      <x:c r="S475" s="373"/>
      <x:c r="T475" s="373"/>
      <x:c r="U475" s="373"/>
      <x:c r="V475" s="373"/>
      <x:c r="W475" s="373"/>
      <x:c r="X475" s="373"/>
      <x:c r="Y475" s="373"/>
      <x:c r="Z475" s="373"/>
    </x:row>
    <x:row r="476">
      <x:c r="A476" s="373"/>
      <x:c r="B476" s="373"/>
      <x:c r="C476" s="373"/>
      <x:c r="D476" s="373"/>
      <x:c r="E476" s="373"/>
      <x:c r="F476" s="373"/>
      <x:c r="G476" s="373"/>
      <x:c r="H476" s="373"/>
      <x:c r="I476" s="373"/>
      <x:c r="J476" s="373"/>
      <x:c r="K476" s="373"/>
      <x:c r="L476" s="373"/>
      <x:c r="M476" s="373"/>
      <x:c r="N476" s="373"/>
      <x:c r="O476" s="373"/>
      <x:c r="P476" s="373"/>
      <x:c r="Q476" s="373"/>
      <x:c r="R476" s="373"/>
      <x:c r="S476" s="373"/>
      <x:c r="T476" s="373"/>
      <x:c r="U476" s="373"/>
      <x:c r="V476" s="373"/>
      <x:c r="W476" s="373"/>
      <x:c r="X476" s="373"/>
      <x:c r="Y476" s="373"/>
      <x:c r="Z476" s="373"/>
    </x:row>
    <x:row r="477">
      <x:c r="A477" s="373"/>
      <x:c r="B477" s="373"/>
      <x:c r="C477" s="373"/>
      <x:c r="D477" s="373"/>
      <x:c r="E477" s="373"/>
      <x:c r="F477" s="373"/>
      <x:c r="G477" s="373"/>
      <x:c r="H477" s="373"/>
      <x:c r="I477" s="373"/>
      <x:c r="J477" s="373"/>
      <x:c r="K477" s="373"/>
      <x:c r="L477" s="373"/>
      <x:c r="M477" s="373"/>
      <x:c r="N477" s="373"/>
      <x:c r="O477" s="373"/>
      <x:c r="P477" s="373"/>
      <x:c r="Q477" s="373"/>
      <x:c r="R477" s="373"/>
      <x:c r="S477" s="373"/>
      <x:c r="T477" s="373"/>
      <x:c r="U477" s="373"/>
      <x:c r="V477" s="373"/>
      <x:c r="W477" s="373"/>
      <x:c r="X477" s="373"/>
      <x:c r="Y477" s="373"/>
      <x:c r="Z477" s="373"/>
    </x:row>
    <x:row r="478">
      <x:c r="A478" s="373"/>
      <x:c r="B478" s="373"/>
      <x:c r="C478" s="373"/>
      <x:c r="D478" s="373"/>
      <x:c r="E478" s="373"/>
      <x:c r="F478" s="373"/>
      <x:c r="G478" s="373"/>
      <x:c r="H478" s="373"/>
      <x:c r="I478" s="373"/>
      <x:c r="J478" s="373"/>
      <x:c r="K478" s="373"/>
      <x:c r="L478" s="373"/>
      <x:c r="M478" s="373"/>
      <x:c r="N478" s="373"/>
      <x:c r="O478" s="373"/>
      <x:c r="P478" s="373"/>
      <x:c r="Q478" s="373"/>
      <x:c r="R478" s="373"/>
      <x:c r="S478" s="373"/>
      <x:c r="T478" s="373"/>
      <x:c r="U478" s="373"/>
      <x:c r="V478" s="373"/>
      <x:c r="W478" s="373"/>
      <x:c r="X478" s="373"/>
      <x:c r="Y478" s="373"/>
      <x:c r="Z478" s="373"/>
    </x:row>
    <x:row r="479">
      <x:c r="A479" s="373"/>
      <x:c r="B479" s="373"/>
      <x:c r="C479" s="373"/>
      <x:c r="D479" s="373"/>
      <x:c r="E479" s="373"/>
      <x:c r="F479" s="373"/>
      <x:c r="G479" s="373"/>
      <x:c r="H479" s="373"/>
      <x:c r="I479" s="373"/>
      <x:c r="J479" s="373"/>
      <x:c r="K479" s="373"/>
      <x:c r="L479" s="373"/>
      <x:c r="M479" s="373"/>
      <x:c r="N479" s="373"/>
      <x:c r="O479" s="373"/>
      <x:c r="P479" s="373"/>
      <x:c r="Q479" s="373"/>
      <x:c r="R479" s="373"/>
      <x:c r="S479" s="373"/>
      <x:c r="T479" s="373"/>
      <x:c r="U479" s="373"/>
      <x:c r="V479" s="373"/>
      <x:c r="W479" s="373"/>
      <x:c r="X479" s="373"/>
      <x:c r="Y479" s="373"/>
      <x:c r="Z479" s="373"/>
    </x:row>
    <x:row r="480">
      <x:c r="A480" s="373"/>
      <x:c r="B480" s="373"/>
      <x:c r="C480" s="373"/>
      <x:c r="D480" s="373"/>
      <x:c r="E480" s="373"/>
      <x:c r="F480" s="373"/>
      <x:c r="G480" s="373"/>
      <x:c r="H480" s="373"/>
      <x:c r="I480" s="373"/>
      <x:c r="J480" s="373"/>
      <x:c r="K480" s="373"/>
      <x:c r="L480" s="373"/>
      <x:c r="M480" s="373"/>
      <x:c r="N480" s="373"/>
      <x:c r="O480" s="373"/>
      <x:c r="P480" s="373"/>
      <x:c r="Q480" s="373"/>
      <x:c r="R480" s="373"/>
      <x:c r="S480" s="373"/>
      <x:c r="T480" s="373"/>
      <x:c r="U480" s="373"/>
      <x:c r="V480" s="373"/>
      <x:c r="W480" s="373"/>
      <x:c r="X480" s="373"/>
      <x:c r="Y480" s="373"/>
      <x:c r="Z480" s="373"/>
    </x:row>
    <x:row r="481">
      <x:c r="A481" s="373"/>
      <x:c r="B481" s="373"/>
      <x:c r="C481" s="373"/>
      <x:c r="D481" s="373"/>
      <x:c r="E481" s="373"/>
      <x:c r="F481" s="373"/>
      <x:c r="G481" s="373"/>
      <x:c r="H481" s="373"/>
      <x:c r="I481" s="373"/>
      <x:c r="J481" s="373"/>
      <x:c r="K481" s="373"/>
      <x:c r="L481" s="373"/>
      <x:c r="M481" s="373"/>
      <x:c r="N481" s="373"/>
      <x:c r="O481" s="373"/>
      <x:c r="P481" s="373"/>
      <x:c r="Q481" s="373"/>
      <x:c r="R481" s="373"/>
      <x:c r="S481" s="373"/>
      <x:c r="T481" s="373"/>
      <x:c r="U481" s="373"/>
      <x:c r="V481" s="373"/>
      <x:c r="W481" s="373"/>
      <x:c r="X481" s="373"/>
      <x:c r="Y481" s="373"/>
      <x:c r="Z481" s="373"/>
    </x:row>
    <x:row r="482">
      <x:c r="A482" s="373"/>
      <x:c r="B482" s="373"/>
      <x:c r="C482" s="373"/>
      <x:c r="D482" s="373"/>
      <x:c r="E482" s="373"/>
      <x:c r="F482" s="373"/>
      <x:c r="G482" s="373"/>
      <x:c r="H482" s="373"/>
      <x:c r="I482" s="373"/>
      <x:c r="J482" s="373"/>
      <x:c r="K482" s="373"/>
      <x:c r="L482" s="373"/>
      <x:c r="M482" s="373"/>
      <x:c r="N482" s="373"/>
      <x:c r="O482" s="373"/>
      <x:c r="P482" s="373"/>
      <x:c r="Q482" s="373"/>
      <x:c r="R482" s="373"/>
      <x:c r="S482" s="373"/>
      <x:c r="T482" s="373"/>
      <x:c r="U482" s="373"/>
      <x:c r="V482" s="373"/>
      <x:c r="W482" s="373"/>
      <x:c r="X482" s="373"/>
      <x:c r="Y482" s="373"/>
      <x:c r="Z482" s="373"/>
    </x:row>
    <x:row r="483">
      <x:c r="A483" s="373"/>
      <x:c r="B483" s="373"/>
      <x:c r="C483" s="373"/>
      <x:c r="D483" s="373"/>
      <x:c r="E483" s="373"/>
      <x:c r="F483" s="373"/>
      <x:c r="G483" s="373"/>
      <x:c r="H483" s="373"/>
      <x:c r="I483" s="373"/>
      <x:c r="J483" s="373"/>
      <x:c r="K483" s="373"/>
      <x:c r="L483" s="373"/>
      <x:c r="M483" s="373"/>
      <x:c r="N483" s="373"/>
      <x:c r="O483" s="373"/>
      <x:c r="P483" s="373"/>
      <x:c r="Q483" s="373"/>
      <x:c r="R483" s="373"/>
      <x:c r="S483" s="373"/>
      <x:c r="T483" s="373"/>
      <x:c r="U483" s="373"/>
      <x:c r="V483" s="373"/>
      <x:c r="W483" s="373"/>
      <x:c r="X483" s="373"/>
      <x:c r="Y483" s="373"/>
      <x:c r="Z483" s="373"/>
    </x:row>
    <x:row r="484">
      <x:c r="A484" s="373"/>
      <x:c r="B484" s="373"/>
      <x:c r="C484" s="373"/>
      <x:c r="D484" s="373"/>
      <x:c r="E484" s="373"/>
      <x:c r="F484" s="373"/>
      <x:c r="G484" s="373"/>
      <x:c r="H484" s="373"/>
      <x:c r="I484" s="373"/>
      <x:c r="J484" s="373"/>
      <x:c r="K484" s="373"/>
      <x:c r="L484" s="373"/>
      <x:c r="M484" s="373"/>
      <x:c r="N484" s="373"/>
      <x:c r="O484" s="373"/>
      <x:c r="P484" s="373"/>
      <x:c r="Q484" s="373"/>
      <x:c r="R484" s="373"/>
      <x:c r="S484" s="373"/>
      <x:c r="T484" s="373"/>
      <x:c r="U484" s="373"/>
      <x:c r="V484" s="373"/>
      <x:c r="W484" s="373"/>
      <x:c r="X484" s="373"/>
      <x:c r="Y484" s="373"/>
      <x:c r="Z484" s="373"/>
    </x:row>
    <x:row r="485">
      <x:c r="A485" s="373"/>
      <x:c r="B485" s="373"/>
      <x:c r="C485" s="373"/>
      <x:c r="D485" s="373"/>
      <x:c r="E485" s="373"/>
      <x:c r="F485" s="373"/>
      <x:c r="G485" s="373"/>
      <x:c r="H485" s="373"/>
      <x:c r="I485" s="373"/>
      <x:c r="J485" s="373"/>
      <x:c r="K485" s="373"/>
      <x:c r="L485" s="373"/>
      <x:c r="M485" s="373"/>
      <x:c r="N485" s="373"/>
      <x:c r="O485" s="373"/>
      <x:c r="P485" s="373"/>
      <x:c r="Q485" s="373"/>
      <x:c r="R485" s="373"/>
      <x:c r="S485" s="373"/>
      <x:c r="T485" s="373"/>
      <x:c r="U485" s="373"/>
      <x:c r="V485" s="373"/>
      <x:c r="W485" s="373"/>
      <x:c r="X485" s="373"/>
      <x:c r="Y485" s="373"/>
      <x:c r="Z485" s="373"/>
    </x:row>
    <x:row r="486">
      <x:c r="A486" s="373"/>
      <x:c r="B486" s="373"/>
      <x:c r="C486" s="373"/>
      <x:c r="D486" s="373"/>
      <x:c r="E486" s="373"/>
      <x:c r="F486" s="373"/>
      <x:c r="G486" s="373"/>
      <x:c r="H486" s="373"/>
      <x:c r="I486" s="373"/>
      <x:c r="J486" s="373"/>
      <x:c r="K486" s="373"/>
      <x:c r="L486" s="373"/>
      <x:c r="M486" s="373"/>
      <x:c r="N486" s="373"/>
      <x:c r="O486" s="373"/>
      <x:c r="P486" s="373"/>
      <x:c r="Q486" s="373"/>
      <x:c r="R486" s="373"/>
      <x:c r="S486" s="373"/>
      <x:c r="T486" s="373"/>
      <x:c r="U486" s="373"/>
      <x:c r="V486" s="373"/>
      <x:c r="W486" s="373"/>
      <x:c r="X486" s="373"/>
      <x:c r="Y486" s="373"/>
      <x:c r="Z486" s="373"/>
    </x:row>
    <x:row r="487">
      <x:c r="A487" s="373"/>
      <x:c r="B487" s="373"/>
      <x:c r="C487" s="373"/>
      <x:c r="D487" s="373"/>
      <x:c r="E487" s="373"/>
      <x:c r="F487" s="373"/>
      <x:c r="G487" s="373"/>
      <x:c r="H487" s="373"/>
      <x:c r="I487" s="373"/>
      <x:c r="J487" s="373"/>
      <x:c r="K487" s="373"/>
      <x:c r="L487" s="373"/>
      <x:c r="M487" s="373"/>
      <x:c r="N487" s="373"/>
      <x:c r="O487" s="373"/>
      <x:c r="P487" s="373"/>
      <x:c r="Q487" s="373"/>
      <x:c r="R487" s="373"/>
      <x:c r="S487" s="373"/>
      <x:c r="T487" s="373"/>
      <x:c r="U487" s="373"/>
      <x:c r="V487" s="373"/>
      <x:c r="W487" s="373"/>
      <x:c r="X487" s="373"/>
      <x:c r="Y487" s="373"/>
      <x:c r="Z487" s="373"/>
    </x:row>
    <x:row r="488">
      <x:c r="A488" s="373"/>
      <x:c r="B488" s="373"/>
      <x:c r="C488" s="373"/>
      <x:c r="D488" s="373"/>
      <x:c r="E488" s="373"/>
      <x:c r="F488" s="373"/>
      <x:c r="G488" s="373"/>
      <x:c r="H488" s="373"/>
      <x:c r="I488" s="373"/>
      <x:c r="J488" s="373"/>
      <x:c r="K488" s="373"/>
      <x:c r="L488" s="373"/>
      <x:c r="M488" s="373"/>
      <x:c r="N488" s="373"/>
      <x:c r="O488" s="373"/>
      <x:c r="P488" s="373"/>
      <x:c r="Q488" s="373"/>
      <x:c r="R488" s="373"/>
      <x:c r="S488" s="373"/>
      <x:c r="T488" s="373"/>
      <x:c r="U488" s="373"/>
      <x:c r="V488" s="373"/>
      <x:c r="W488" s="373"/>
      <x:c r="X488" s="373"/>
      <x:c r="Y488" s="373"/>
      <x:c r="Z488" s="373"/>
    </x:row>
    <x:row r="489">
      <x:c r="A489" s="373"/>
      <x:c r="B489" s="373"/>
      <x:c r="C489" s="373"/>
      <x:c r="D489" s="373"/>
      <x:c r="E489" s="373"/>
      <x:c r="F489" s="373"/>
      <x:c r="G489" s="373"/>
      <x:c r="H489" s="373"/>
      <x:c r="I489" s="373"/>
      <x:c r="J489" s="373"/>
      <x:c r="K489" s="373"/>
      <x:c r="L489" s="373"/>
      <x:c r="M489" s="373"/>
      <x:c r="N489" s="373"/>
      <x:c r="O489" s="373"/>
      <x:c r="P489" s="373"/>
      <x:c r="Q489" s="373"/>
      <x:c r="R489" s="373"/>
      <x:c r="S489" s="373"/>
      <x:c r="T489" s="373"/>
      <x:c r="U489" s="373"/>
      <x:c r="V489" s="373"/>
      <x:c r="W489" s="373"/>
      <x:c r="X489" s="373"/>
      <x:c r="Y489" s="373"/>
      <x:c r="Z489" s="373"/>
    </x:row>
    <x:row r="490">
      <x:c r="A490" s="373"/>
      <x:c r="B490" s="373"/>
      <x:c r="C490" s="373"/>
      <x:c r="D490" s="373"/>
      <x:c r="E490" s="373"/>
      <x:c r="F490" s="373"/>
      <x:c r="G490" s="373"/>
      <x:c r="H490" s="373"/>
      <x:c r="I490" s="373"/>
      <x:c r="J490" s="373"/>
      <x:c r="K490" s="373"/>
      <x:c r="L490" s="373"/>
      <x:c r="M490" s="373"/>
      <x:c r="N490" s="373"/>
      <x:c r="O490" s="373"/>
      <x:c r="P490" s="373"/>
      <x:c r="Q490" s="373"/>
      <x:c r="R490" s="373"/>
      <x:c r="S490" s="373"/>
      <x:c r="T490" s="373"/>
      <x:c r="U490" s="373"/>
      <x:c r="V490" s="373"/>
      <x:c r="W490" s="373"/>
      <x:c r="X490" s="373"/>
      <x:c r="Y490" s="373"/>
      <x:c r="Z490" s="373"/>
    </x:row>
    <x:row r="491">
      <x:c r="A491" s="373"/>
      <x:c r="B491" s="373"/>
      <x:c r="C491" s="373"/>
      <x:c r="D491" s="373"/>
      <x:c r="E491" s="373"/>
      <x:c r="F491" s="373"/>
      <x:c r="G491" s="373"/>
      <x:c r="H491" s="373"/>
      <x:c r="I491" s="373"/>
      <x:c r="J491" s="373"/>
      <x:c r="K491" s="373"/>
      <x:c r="L491" s="373"/>
      <x:c r="M491" s="373"/>
      <x:c r="N491" s="373"/>
      <x:c r="O491" s="373"/>
      <x:c r="P491" s="373"/>
      <x:c r="Q491" s="373"/>
      <x:c r="R491" s="373"/>
      <x:c r="S491" s="373"/>
      <x:c r="T491" s="373"/>
      <x:c r="U491" s="373"/>
      <x:c r="V491" s="373"/>
      <x:c r="W491" s="373"/>
      <x:c r="X491" s="373"/>
      <x:c r="Y491" s="373"/>
      <x:c r="Z491" s="373"/>
    </x:row>
    <x:row r="492">
      <x:c r="A492" s="373"/>
      <x:c r="B492" s="373"/>
      <x:c r="C492" s="373"/>
      <x:c r="D492" s="373"/>
      <x:c r="E492" s="373"/>
      <x:c r="F492" s="373"/>
      <x:c r="G492" s="373"/>
      <x:c r="H492" s="373"/>
      <x:c r="I492" s="373"/>
      <x:c r="J492" s="373"/>
      <x:c r="K492" s="373"/>
      <x:c r="L492" s="373"/>
      <x:c r="M492" s="373"/>
      <x:c r="N492" s="373"/>
      <x:c r="O492" s="373"/>
      <x:c r="P492" s="373"/>
      <x:c r="Q492" s="373"/>
      <x:c r="R492" s="373"/>
      <x:c r="S492" s="373"/>
      <x:c r="T492" s="373"/>
      <x:c r="U492" s="373"/>
      <x:c r="V492" s="373"/>
      <x:c r="W492" s="373"/>
      <x:c r="X492" s="373"/>
      <x:c r="Y492" s="373"/>
      <x:c r="Z492" s="373"/>
    </x:row>
    <x:row r="493">
      <x:c r="A493" s="373"/>
      <x:c r="B493" s="373"/>
      <x:c r="C493" s="373"/>
      <x:c r="D493" s="373"/>
      <x:c r="E493" s="373"/>
      <x:c r="F493" s="373"/>
      <x:c r="G493" s="373"/>
      <x:c r="H493" s="373"/>
      <x:c r="I493" s="373"/>
      <x:c r="J493" s="373"/>
      <x:c r="K493" s="373"/>
      <x:c r="L493" s="373"/>
      <x:c r="M493" s="373"/>
      <x:c r="N493" s="373"/>
      <x:c r="O493" s="373"/>
      <x:c r="P493" s="373"/>
      <x:c r="Q493" s="373"/>
      <x:c r="R493" s="373"/>
      <x:c r="S493" s="373"/>
      <x:c r="T493" s="373"/>
      <x:c r="U493" s="373"/>
      <x:c r="V493" s="373"/>
      <x:c r="W493" s="373"/>
      <x:c r="X493" s="373"/>
      <x:c r="Y493" s="373"/>
      <x:c r="Z493" s="373"/>
    </x:row>
    <x:row r="494">
      <x:c r="A494" s="373"/>
      <x:c r="B494" s="373"/>
      <x:c r="C494" s="373"/>
      <x:c r="D494" s="373"/>
      <x:c r="E494" s="373"/>
      <x:c r="F494" s="373"/>
      <x:c r="G494" s="373"/>
      <x:c r="H494" s="373"/>
      <x:c r="I494" s="373"/>
      <x:c r="J494" s="373"/>
      <x:c r="K494" s="373"/>
      <x:c r="L494" s="373"/>
      <x:c r="M494" s="373"/>
      <x:c r="N494" s="373"/>
      <x:c r="O494" s="373"/>
      <x:c r="P494" s="373"/>
      <x:c r="Q494" s="373"/>
      <x:c r="R494" s="373"/>
      <x:c r="S494" s="373"/>
      <x:c r="T494" s="373"/>
      <x:c r="U494" s="373"/>
      <x:c r="V494" s="373"/>
      <x:c r="W494" s="373"/>
      <x:c r="X494" s="373"/>
      <x:c r="Y494" s="373"/>
      <x:c r="Z494" s="373"/>
    </x:row>
    <x:row r="495">
      <x:c r="A495" s="373"/>
      <x:c r="B495" s="373"/>
      <x:c r="C495" s="373"/>
      <x:c r="D495" s="373"/>
      <x:c r="E495" s="373"/>
      <x:c r="F495" s="373"/>
      <x:c r="G495" s="373"/>
      <x:c r="H495" s="373"/>
      <x:c r="I495" s="373"/>
      <x:c r="J495" s="373"/>
      <x:c r="K495" s="373"/>
      <x:c r="L495" s="373"/>
      <x:c r="M495" s="373"/>
      <x:c r="N495" s="373"/>
      <x:c r="O495" s="373"/>
      <x:c r="P495" s="373"/>
      <x:c r="Q495" s="373"/>
      <x:c r="R495" s="373"/>
      <x:c r="S495" s="373"/>
      <x:c r="T495" s="373"/>
      <x:c r="U495" s="373"/>
      <x:c r="V495" s="373"/>
      <x:c r="W495" s="373"/>
      <x:c r="X495" s="373"/>
      <x:c r="Y495" s="373"/>
      <x:c r="Z495" s="373"/>
    </x:row>
    <x:row r="496">
      <x:c r="A496" s="373"/>
      <x:c r="B496" s="373"/>
      <x:c r="C496" s="373"/>
      <x:c r="D496" s="373"/>
      <x:c r="E496" s="373"/>
      <x:c r="F496" s="373"/>
      <x:c r="G496" s="373"/>
      <x:c r="H496" s="373"/>
      <x:c r="I496" s="373"/>
      <x:c r="J496" s="373"/>
      <x:c r="K496" s="373"/>
      <x:c r="L496" s="373"/>
      <x:c r="M496" s="373"/>
      <x:c r="N496" s="373"/>
      <x:c r="O496" s="373"/>
      <x:c r="P496" s="373"/>
      <x:c r="Q496" s="373"/>
      <x:c r="R496" s="373"/>
      <x:c r="S496" s="373"/>
      <x:c r="T496" s="373"/>
      <x:c r="U496" s="373"/>
      <x:c r="V496" s="373"/>
      <x:c r="W496" s="373"/>
      <x:c r="X496" s="373"/>
      <x:c r="Y496" s="373"/>
      <x:c r="Z496" s="373"/>
    </x:row>
    <x:row r="497">
      <x:c r="A497" s="373"/>
      <x:c r="B497" s="373"/>
      <x:c r="C497" s="373"/>
      <x:c r="D497" s="373"/>
      <x:c r="E497" s="373"/>
      <x:c r="F497" s="373"/>
      <x:c r="G497" s="373"/>
      <x:c r="H497" s="373"/>
      <x:c r="I497" s="373"/>
      <x:c r="J497" s="373"/>
      <x:c r="K497" s="373"/>
      <x:c r="L497" s="373"/>
      <x:c r="M497" s="373"/>
      <x:c r="N497" s="373"/>
      <x:c r="O497" s="373"/>
      <x:c r="P497" s="373"/>
      <x:c r="Q497" s="373"/>
      <x:c r="R497" s="373"/>
      <x:c r="S497" s="373"/>
      <x:c r="T497" s="373"/>
      <x:c r="U497" s="373"/>
      <x:c r="V497" s="373"/>
      <x:c r="W497" s="373"/>
      <x:c r="X497" s="373"/>
      <x:c r="Y497" s="373"/>
      <x:c r="Z497" s="373"/>
    </x:row>
    <x:row r="498">
      <x:c r="A498" s="373"/>
      <x:c r="B498" s="373"/>
      <x:c r="C498" s="373"/>
      <x:c r="D498" s="373"/>
      <x:c r="E498" s="373"/>
      <x:c r="F498" s="373"/>
      <x:c r="G498" s="373"/>
      <x:c r="H498" s="373"/>
      <x:c r="I498" s="373"/>
      <x:c r="J498" s="373"/>
      <x:c r="K498" s="373"/>
      <x:c r="L498" s="373"/>
      <x:c r="M498" s="373"/>
      <x:c r="N498" s="373"/>
      <x:c r="O498" s="373"/>
      <x:c r="P498" s="373"/>
      <x:c r="Q498" s="373"/>
      <x:c r="R498" s="373"/>
      <x:c r="S498" s="373"/>
      <x:c r="T498" s="373"/>
      <x:c r="U498" s="373"/>
      <x:c r="V498" s="373"/>
      <x:c r="W498" s="373"/>
      <x:c r="X498" s="373"/>
      <x:c r="Y498" s="373"/>
      <x:c r="Z498" s="373"/>
    </x:row>
    <x:row r="499">
      <x:c r="A499" s="373"/>
      <x:c r="B499" s="373"/>
      <x:c r="C499" s="373"/>
      <x:c r="D499" s="373"/>
      <x:c r="E499" s="373"/>
      <x:c r="F499" s="373"/>
      <x:c r="G499" s="373"/>
      <x:c r="H499" s="373"/>
      <x:c r="I499" s="373"/>
      <x:c r="J499" s="373"/>
      <x:c r="K499" s="373"/>
      <x:c r="L499" s="373"/>
      <x:c r="M499" s="373"/>
      <x:c r="N499" s="373"/>
      <x:c r="O499" s="373"/>
      <x:c r="P499" s="373"/>
      <x:c r="Q499" s="373"/>
      <x:c r="R499" s="373"/>
      <x:c r="S499" s="373"/>
      <x:c r="T499" s="373"/>
      <x:c r="U499" s="373"/>
      <x:c r="V499" s="373"/>
      <x:c r="W499" s="373"/>
      <x:c r="X499" s="373"/>
      <x:c r="Y499" s="373"/>
      <x:c r="Z499" s="373"/>
    </x:row>
    <x:row r="500">
      <x:c r="A500" s="373"/>
      <x:c r="B500" s="373"/>
      <x:c r="C500" s="373"/>
      <x:c r="D500" s="373"/>
      <x:c r="E500" s="373"/>
      <x:c r="F500" s="373"/>
      <x:c r="G500" s="373"/>
      <x:c r="H500" s="373"/>
      <x:c r="I500" s="373"/>
      <x:c r="J500" s="373"/>
      <x:c r="K500" s="373"/>
      <x:c r="L500" s="373"/>
      <x:c r="M500" s="373"/>
      <x:c r="N500" s="373"/>
      <x:c r="O500" s="373"/>
      <x:c r="P500" s="373"/>
      <x:c r="Q500" s="373"/>
      <x:c r="R500" s="373"/>
      <x:c r="S500" s="373"/>
      <x:c r="T500" s="373"/>
      <x:c r="U500" s="373"/>
      <x:c r="V500" s="373"/>
      <x:c r="W500" s="373"/>
      <x:c r="X500" s="373"/>
      <x:c r="Y500" s="373"/>
      <x:c r="Z500" s="373"/>
    </x:row>
  </x:sheetData>
  <x:mergeCells>
    <x:mergeCell ref="A1:N1"/>
    <x:mergeCell ref="A2:N2"/>
    <x:mergeCell ref="A4:C4"/>
    <x:mergeCell ref="A5:C7"/>
    <x:mergeCell ref="D4:F4"/>
    <x:mergeCell ref="D5:F7"/>
    <x:mergeCell ref="G4:I4"/>
    <x:mergeCell ref="G5:I7"/>
    <x:mergeCell ref="J4:L4"/>
    <x:mergeCell ref="J5:L7"/>
    <x:mergeCell ref="M4:N4"/>
    <x:mergeCell ref="M5:N7"/>
    <x:mergeCell ref="A9:F9"/>
    <x:mergeCell ref="A16:G16"/>
    <x:mergeCell ref="I9:N9"/>
    <x:mergeCell ref="I17:N17"/>
    <x:mergeCell ref="I24:N24"/>
  </x:mergeCells>
  <x:conditionalFormatting sqref="E18:E38">
    <x:cfRule type="dataBar" priority="1">
      <x:dataBar>
        <x:cfvo type="min"/>
        <x:cfvo type="max"/>
        <x:color rgb="FF0F766E"/>
      </x:dataBar>
      <x:extLst>
        <x:ext xmlns:x14="http://schemas.microsoft.com/office/spreadsheetml/2009/9/main" uri="{B025F937-C7B1-47D3-B67F-A62EFF666E3E}">
          <x14:id>{E5D2A047-4238-8741-E2B3-85669B88D1C8}</x14:id>
        </x:ext>
      </x:extLst>
    </x:cfRule>
  </x:conditionalFormatting>
  <x:conditionalFormatting sqref="G18:G38">
    <x:cfRule type="expression" dxfId="56" priority="2">
      <x:formula>G18="Done"</x:formula>
    </x:cfRule>
    <x:cfRule type="expression" dxfId="57" priority="3">
      <x:formula>G18="Passed"</x:formula>
    </x:cfRule>
    <x:cfRule type="expression" dxfId="58" priority="4">
      <x:formula>G18="In Progress"</x:formula>
    </x:cfRule>
    <x:cfRule type="expression" dxfId="59" priority="5">
      <x:formula>G18="In Review"</x:formula>
    </x:cfRule>
    <x:cfRule type="expression" dxfId="60" priority="6">
      <x:formula>G18="Blocked"</x:formula>
    </x:cfRule>
    <x:cfRule type="expression" dxfId="61" priority="7">
      <x:formula>G18="Failed"</x:formula>
    </x:cfRule>
    <x:cfRule type="expression" dxfId="62" priority="8">
      <x:formula>G18="Not Run"</x:formula>
    </x:cfRule>
    <x:cfRule type="expression" dxfId="63" priority="9">
      <x:formula>G18="Backlog"</x:formula>
    </x:cfRule>
  </x:conditionalFormatting>
  <x:pageMargins left="0.7" right="0.7" top="0.75" bottom="0.75" header="0.3" footer="0.3"/>
  <x:drawing xmlns:r="http://schemas.openxmlformats.org/officeDocument/2006/relationships" r:id="R570c572fda584eee"/>
  <x:extLst>
    <x:ext xmlns:x14="http://schemas.microsoft.com/office/spreadsheetml/2009/9/main" xmlns:xm="http://schemas.microsoft.com/office/excel/2006/main" uri="{78C0D931-6437-407d-A8EE-F0AAD7539E65}">
      <x14:conditionalFormattings>
        <x14:conditionalFormatting>
          <x14:cfRule type="dataBar" priority="1" id="{E5D2A047-4238-8741-E2B3-85669B88D1C8}">
            <x14:dataBar gradient="1">
              <x14:cfvo type="min"/>
              <x14:cfvo type="max"/>
              <x14:fillColor rgb="FF0F766E"/>
            </x14:dataBar>
          </x14:cfRule>
          <xm:sqref>E18:E38</xm:sqref>
        </x14:conditionalFormatting>
      </x14:conditionalFormattings>
    </x:ext>
  </x:extLst>
</x:worksheet>
</file>

<file path=xl/worksheets/sheet2.xml><?xml version="1.0" encoding="utf-8"?>
<x:worksheet xmlns:x="http://schemas.openxmlformats.org/spreadsheetml/2006/main">
  <x:sheetFormatPr defaultRowHeight="15"/>
  <x:cols>
    <x:col min="1" max="1" width="11" hidden="0" customWidth="1"/>
    <x:col min="2" max="2" width="30" hidden="0" customWidth="1"/>
    <x:col min="3" max="3" width="13" hidden="0" customWidth="1"/>
    <x:col min="4" max="4" width="13" hidden="0" customWidth="1"/>
    <x:col min="5" max="5" width="17" hidden="0" customWidth="1"/>
    <x:col min="6" max="6" width="15" hidden="0" customWidth="1"/>
    <x:col min="7" max="7" width="15" hidden="0" customWidth="1"/>
    <x:col min="8" max="8" width="15" hidden="0" customWidth="1"/>
    <x:col min="9" max="9" width="15" hidden="0" customWidth="1"/>
    <x:col min="10" max="10" width="42" hidden="0" customWidth="1"/>
    <x:col min="11" max="11" width="42" hidden="0" customWidth="1"/>
    <x:col min="12" max="12" width="18" hidden="0" customWidth="1"/>
  </x:cols>
  <x:sheetData>
    <x:row r="1" ht="32" customHeight="1">
      <x:c r="A1" s="486" t="str">
        <x:v>Release Plan</x:v>
      </x:c>
      <x:c r="B1" s="486"/>
      <x:c r="C1" s="486"/>
      <x:c r="D1" s="486"/>
      <x:c r="E1" s="486"/>
      <x:c r="F1" s="486"/>
      <x:c r="G1" s="486"/>
      <x:c r="H1" s="486"/>
      <x:c r="I1" s="486"/>
      <x:c r="J1" s="486"/>
      <x:c r="K1" s="486"/>
      <x:c r="L1" s="486"/>
      <x:c r="M1" s="373"/>
      <x:c r="N1" s="373"/>
      <x:c r="O1" s="373"/>
      <x:c r="P1" s="373"/>
      <x:c r="Q1" s="373"/>
      <x:c r="R1" s="373"/>
      <x:c r="S1" s="373"/>
      <x:c r="T1" s="373"/>
      <x:c r="U1" s="373"/>
      <x:c r="V1" s="373"/>
      <x:c r="W1" s="373"/>
      <x:c r="X1" s="373"/>
      <x:c r="Y1" s="373"/>
      <x:c r="Z1" s="373"/>
    </x:row>
    <x:row r="2" ht="22" customHeight="1">
      <x:c r="A2" s="374" t="str">
        <x:v>Versioned scope, schedule, acceptance gates, and formula-driven readiness. Update statuses and evidence; do not overwrite formulas.</x:v>
      </x:c>
      <x:c r="B2" s="374"/>
      <x:c r="C2" s="374"/>
      <x:c r="D2" s="374"/>
      <x:c r="E2" s="374"/>
      <x:c r="F2" s="374"/>
      <x:c r="G2" s="374"/>
      <x:c r="H2" s="374"/>
      <x:c r="I2" s="374"/>
      <x:c r="J2" s="374"/>
      <x:c r="K2" s="374"/>
      <x:c r="L2" s="374"/>
      <x:c r="M2" s="373"/>
      <x:c r="N2" s="373"/>
      <x:c r="O2" s="373"/>
      <x:c r="P2" s="373"/>
      <x:c r="Q2" s="373"/>
      <x:c r="R2" s="373"/>
      <x:c r="S2" s="373"/>
      <x:c r="T2" s="373"/>
      <x:c r="U2" s="373"/>
      <x:c r="V2" s="373"/>
      <x:c r="W2" s="373"/>
      <x:c r="X2" s="373"/>
      <x:c r="Y2" s="373"/>
      <x:c r="Z2" s="373"/>
    </x:row>
    <x:row r="3">
      <x:c r="A3" s="373"/>
      <x:c r="B3" s="373"/>
      <x:c r="C3" s="373"/>
      <x:c r="D3" s="373"/>
      <x:c r="E3" s="373"/>
      <x:c r="F3" s="373"/>
      <x:c r="G3" s="373"/>
      <x:c r="H3" s="373"/>
      <x:c r="I3" s="373"/>
      <x:c r="J3" s="373"/>
      <x:c r="K3" s="373"/>
      <x:c r="L3" s="373"/>
      <x:c r="M3" s="373"/>
      <x:c r="N3" s="373"/>
      <x:c r="O3" s="373"/>
      <x:c r="P3" s="373"/>
      <x:c r="Q3" s="373"/>
      <x:c r="R3" s="373"/>
      <x:c r="S3" s="373"/>
      <x:c r="T3" s="373"/>
      <x:c r="U3" s="373"/>
      <x:c r="V3" s="373"/>
      <x:c r="W3" s="373"/>
      <x:c r="X3" s="373"/>
      <x:c r="Y3" s="373"/>
      <x:c r="Z3" s="373"/>
    </x:row>
    <x:row r="4">
      <x:c r="A4" s="409" t="str">
        <x:v>Version</x:v>
      </x:c>
      <x:c r="B4" s="413" t="str">
        <x:v>Theme</x:v>
      </x:c>
      <x:c r="C4" s="413" t="str">
        <x:v>Planned Start</x:v>
      </x:c>
      <x:c r="D4" s="413" t="str">
        <x:v>Planned End</x:v>
      </x:c>
      <x:c r="E4" s="413" t="str">
        <x:v>Status</x:v>
      </x:c>
      <x:c r="F4" s="413" t="str">
        <x:v>Feature Progress</x:v>
      </x:c>
      <x:c r="G4" s="413" t="str">
        <x:v>Test Pass Rate</x:v>
      </x:c>
      <x:c r="H4" s="413" t="str">
        <x:v>Gate Pass Rate</x:v>
      </x:c>
      <x:c r="I4" s="413" t="str">
        <x:v>Release Readiness</x:v>
      </x:c>
      <x:c r="J4" s="413" t="str">
        <x:v>Scope</x:v>
      </x:c>
      <x:c r="K4" s="413" t="str">
        <x:v>Exit Criteria</x:v>
      </x:c>
      <x:c r="L4" s="410" t="str">
        <x:v>JS Key</x:v>
      </x:c>
      <x:c r="M4" s="373"/>
      <x:c r="N4" s="373"/>
      <x:c r="O4" s="373"/>
      <x:c r="P4" s="373"/>
      <x:c r="Q4" s="373"/>
      <x:c r="R4" s="373"/>
      <x:c r="S4" s="373"/>
      <x:c r="T4" s="373"/>
      <x:c r="U4" s="373"/>
      <x:c r="V4" s="373"/>
      <x:c r="W4" s="373"/>
      <x:c r="X4" s="373"/>
      <x:c r="Y4" s="373"/>
      <x:c r="Z4" s="373"/>
    </x:row>
    <x:row r="5">
      <x:c r="A5" s="411" t="str">
        <x:v>v0.1.1</x:v>
      </x:c>
      <x:c r="B5" s="411" t="str">
        <x:v>Runtime Cleanup &amp; Deterministic Shutdown</x:v>
      </x:c>
      <x:c r="C5" s="460" t="n">
        <x:v>46239</x:v>
      </x:c>
      <x:c r="D5" s="460" t="n">
        <x:v>46240</x:v>
      </x:c>
      <x:c r="E5" s="411" t="str">
        <x:v>In Progress</x:v>
      </x:c>
      <x:c r="F5" s="414" t="n">
        <x:f>IFERROR(SUMIF(Features!$B$5:$B$500,A5,Features!$J$5:$J$500)/COUNTIF(Features!$B$5:$B$500,A5),0)</x:f>
        <x:v>0.05</x:v>
      </x:c>
      <x:c r="G5" s="414" t="n">
        <x:f>IFERROR(COUNTIFS(Test_Cases!$B$5:$B$1000,A5,Test_Cases!$L$5:$L$1000,"Passed")/COUNTIF(Test_Cases!$B$5:$B$1000,A5),0)</x:f>
        <x:v>0</x:v>
      </x:c>
      <x:c r="H5" s="414" t="n">
        <x:f>IFERROR(COUNTIFS(Release_Gates!$B$5:$B$500,A5,Release_Gates!$I$5:$I$500,"Passed")/COUNTIF(Release_Gates!$B$5:$B$500,A5),0)</x:f>
        <x:v>0</x:v>
      </x:c>
      <x:c r="I5" s="414" t="n">
        <x:f>0.5*F5+0.3*G5+0.2*H5</x:f>
        <x:v>0.025</x:v>
      </x:c>
      <x:c r="J5" s="411" t="str">
        <x:v>Eliminate duplicate simulations, orphaned processes, stale nodes, and unreliable shutdown.</x:v>
      </x:c>
      <x:c r="K5" s="411" t="str">
        <x:v>10 consecutive clean startup/shutdown cycles; no manual cleanup.</x:v>
      </x:c>
      <x:c r="L5" s="411" t="str">
        <x:v>v0_1_1</x:v>
      </x:c>
      <x:c r="M5" s="373"/>
      <x:c r="N5" s="373"/>
      <x:c r="O5" s="373"/>
      <x:c r="P5" s="373"/>
      <x:c r="Q5" s="373"/>
      <x:c r="R5" s="373"/>
      <x:c r="S5" s="373"/>
      <x:c r="T5" s="373"/>
      <x:c r="U5" s="373"/>
      <x:c r="V5" s="373"/>
      <x:c r="W5" s="373"/>
      <x:c r="X5" s="373"/>
      <x:c r="Y5" s="373"/>
      <x:c r="Z5" s="373"/>
    </x:row>
    <x:row r="6">
      <x:c r="A6" s="411" t="str">
        <x:v>v0.1.2</x:v>
      </x:c>
      <x:c r="B6" s="411" t="str">
        <x:v>Lifecycle Management Foundation</x:v>
      </x:c>
      <x:c r="C6" s="460" t="n">
        <x:v>46241</x:v>
      </x:c>
      <x:c r="D6" s="460" t="n">
        <x:v>46241</x:v>
      </x:c>
      <x:c r="E6" s="411" t="str">
        <x:v>Backlog</x:v>
      </x:c>
      <x:c r="F6" s="414" t="n">
        <x:f>IFERROR(SUMIF(Features!$B$5:$B$500,A6,Features!$J$5:$J$500)/COUNTIF(Features!$B$5:$B$500,A6),0)</x:f>
        <x:v>0</x:v>
      </x:c>
      <x:c r="G6" s="414" t="n">
        <x:f>IFERROR(COUNTIFS(Test_Cases!$B$5:$B$1000,A6,Test_Cases!$L$5:$L$1000,"Passed")/COUNTIF(Test_Cases!$B$5:$B$1000,A6),0)</x:f>
        <x:v>0</x:v>
      </x:c>
      <x:c r="H6" s="414" t="n">
        <x:f>IFERROR(COUNTIFS(Release_Gates!$B$5:$B$500,A6,Release_Gates!$I$5:$I$500,"Passed")/COUNTIF(Release_Gates!$B$5:$B$500,A6),0)</x:f>
        <x:v>0</x:v>
      </x:c>
      <x:c r="I6" s="414" t="n">
        <x:f>0.5*F6+0.3*G6+0.2*H6</x:f>
        <x:v>0</x:v>
      </x:c>
      <x:c r="J6" s="411" t="str">
        <x:v>Introduce explicit lifecycle states, transitions, ownership, and error recovery.</x:v>
      </x:c>
      <x:c r="K6" s="411" t="str">
        <x:v>No manager reports ACTIVE without a valid lifecycle transition.</x:v>
      </x:c>
      <x:c r="L6" s="411" t="str">
        <x:v>v0_1_2</x:v>
      </x:c>
      <x:c r="M6" s="373"/>
      <x:c r="N6" s="373"/>
      <x:c r="O6" s="373"/>
      <x:c r="P6" s="373"/>
      <x:c r="Q6" s="373"/>
      <x:c r="R6" s="373"/>
      <x:c r="S6" s="373"/>
      <x:c r="T6" s="373"/>
      <x:c r="U6" s="373"/>
      <x:c r="V6" s="373"/>
      <x:c r="W6" s="373"/>
      <x:c r="X6" s="373"/>
      <x:c r="Y6" s="373"/>
      <x:c r="Z6" s="373"/>
    </x:row>
    <x:row r="7">
      <x:c r="A7" s="411" t="str">
        <x:v>v0.1.3</x:v>
      </x:c>
      <x:c r="B7" s="411" t="str">
        <x:v>Readiness Contracts</x:v>
      </x:c>
      <x:c r="C7" s="460" t="n">
        <x:v>46242</x:v>
      </x:c>
      <x:c r="D7" s="460" t="n">
        <x:v>46242</x:v>
      </x:c>
      <x:c r="E7" s="411" t="str">
        <x:v>Backlog</x:v>
      </x:c>
      <x:c r="F7" s="414" t="n">
        <x:f>IFERROR(SUMIF(Features!$B$5:$B$500,A7,Features!$J$5:$J$500)/COUNTIF(Features!$B$5:$B$500,A7),0)</x:f>
        <x:v>0</x:v>
      </x:c>
      <x:c r="G7" s="414" t="n">
        <x:f>IFERROR(COUNTIFS(Test_Cases!$B$5:$B$1000,A7,Test_Cases!$L$5:$L$1000,"Passed")/COUNTIF(Test_Cases!$B$5:$B$1000,A7),0)</x:f>
        <x:v>0</x:v>
      </x:c>
      <x:c r="H7" s="414" t="n">
        <x:f>IFERROR(COUNTIFS(Release_Gates!$B$5:$B$500,A7,Release_Gates!$I$5:$I$500,"Passed")/COUNTIF(Release_Gates!$B$5:$B$500,A7),0)</x:f>
        <x:v>0</x:v>
      </x:c>
      <x:c r="I7" s="414" t="n">
        <x:f>0.5*F7+0.3*G7+0.2*H7</x:f>
        <x:v>0</x:v>
      </x:c>
      <x:c r="J7" s="411" t="str">
        <x:v>Replace blind delays with evidence-based readiness checks.</x:v>
      </x:c>
      <x:c r="K7" s="411" t="str">
        <x:v>No mode activation because a fixed delay expired.</x:v>
      </x:c>
      <x:c r="L7" s="411" t="str">
        <x:v>v0_1_3</x:v>
      </x:c>
      <x:c r="M7" s="373"/>
      <x:c r="N7" s="373"/>
      <x:c r="O7" s="373"/>
      <x:c r="P7" s="373"/>
      <x:c r="Q7" s="373"/>
      <x:c r="R7" s="373"/>
      <x:c r="S7" s="373"/>
      <x:c r="T7" s="373"/>
      <x:c r="U7" s="373"/>
      <x:c r="V7" s="373"/>
      <x:c r="W7" s="373"/>
      <x:c r="X7" s="373"/>
      <x:c r="Y7" s="373"/>
      <x:c r="Z7" s="373"/>
    </x:row>
    <x:row r="8">
      <x:c r="A8" s="411" t="str">
        <x:v>v0.1.4</x:v>
      </x:c>
      <x:c r="B8" s="411" t="str">
        <x:v>Mode State Machine &amp; Dependency Enforcement</x:v>
      </x:c>
      <x:c r="C8" s="460" t="n">
        <x:v>46243</x:v>
      </x:c>
      <x:c r="D8" s="460" t="n">
        <x:v>46243</x:v>
      </x:c>
      <x:c r="E8" s="411" t="str">
        <x:v>Backlog</x:v>
      </x:c>
      <x:c r="F8" s="414" t="n">
        <x:f>IFERROR(SUMIF(Features!$B$5:$B$500,A8,Features!$J$5:$J$500)/COUNTIF(Features!$B$5:$B$500,A8),0)</x:f>
        <x:v>0</x:v>
      </x:c>
      <x:c r="G8" s="414" t="n">
        <x:f>IFERROR(COUNTIFS(Test_Cases!$B$5:$B$1000,A8,Test_Cases!$L$5:$L$1000,"Passed")/COUNTIF(Test_Cases!$B$5:$B$1000,A8),0)</x:f>
        <x:v>0</x:v>
      </x:c>
      <x:c r="H8" s="414" t="n">
        <x:f>IFERROR(COUNTIFS(Release_Gates!$B$5:$B$500,A8,Release_Gates!$I$5:$I$500,"Passed")/COUNTIF(Release_Gates!$B$5:$B$500,A8),0)</x:f>
        <x:v>0</x:v>
      </x:c>
      <x:c r="I8" s="414" t="n">
        <x:f>0.5*F8+0.3*G8+0.2*H8</x:f>
        <x:v>0</x:v>
      </x:c>
      <x:c r="J8" s="411" t="str">
        <x:v>Make mode transitions explicit, safe, and dependency-aware.</x:v>
      </x:c>
      <x:c r="K8" s="411" t="str">
        <x:v>Every invalid transition is rejected with an actionable reason.</x:v>
      </x:c>
      <x:c r="L8" s="411" t="str">
        <x:v>v0_1_4</x:v>
      </x:c>
      <x:c r="M8" s="373"/>
      <x:c r="N8" s="373"/>
      <x:c r="O8" s="373"/>
      <x:c r="P8" s="373"/>
      <x:c r="Q8" s="373"/>
      <x:c r="R8" s="373"/>
      <x:c r="S8" s="373"/>
      <x:c r="T8" s="373"/>
      <x:c r="U8" s="373"/>
      <x:c r="V8" s="373"/>
      <x:c r="W8" s="373"/>
      <x:c r="X8" s="373"/>
      <x:c r="Y8" s="373"/>
      <x:c r="Z8" s="373"/>
    </x:row>
    <x:row r="9">
      <x:c r="A9" s="411" t="str">
        <x:v>v0.1.5</x:v>
      </x:c>
      <x:c r="B9" s="411" t="str">
        <x:v>Sensor Health &amp; TF Ownership</x:v>
      </x:c>
      <x:c r="C9" s="460" t="n">
        <x:v>46244</x:v>
      </x:c>
      <x:c r="D9" s="460" t="n">
        <x:v>46244</x:v>
      </x:c>
      <x:c r="E9" s="411" t="str">
        <x:v>Backlog</x:v>
      </x:c>
      <x:c r="F9" s="414" t="n">
        <x:f>IFERROR(SUMIF(Features!$B$5:$B$500,A9,Features!$J$5:$J$500)/COUNTIF(Features!$B$5:$B$500,A9),0)</x:f>
        <x:v>0</x:v>
      </x:c>
      <x:c r="G9" s="414" t="n">
        <x:f>IFERROR(COUNTIFS(Test_Cases!$B$5:$B$1000,A9,Test_Cases!$L$5:$L$1000,"Passed")/COUNTIF(Test_Cases!$B$5:$B$1000,A9),0)</x:f>
        <x:v>0</x:v>
      </x:c>
      <x:c r="H9" s="414" t="n">
        <x:f>IFERROR(COUNTIFS(Release_Gates!$B$5:$B$500,A9,Release_Gates!$I$5:$I$500,"Passed")/COUNTIF(Release_Gates!$B$5:$B$500,A9),0)</x:f>
        <x:v>0</x:v>
      </x:c>
      <x:c r="I9" s="414" t="n">
        <x:f>0.5*F9+0.3*G9+0.2*H9</x:f>
        <x:v>0</x:v>
      </x:c>
      <x:c r="J9" s="411" t="str">
        <x:v>Validate IMU/LiDAR/odometry health and assign unique TF ownership.</x:v>
      </x:c>
      <x:c r="K9" s="411" t="str">
        <x:v>Every dynamic TF edge has exactly one declared owner.</x:v>
      </x:c>
      <x:c r="L9" s="411" t="str">
        <x:v>v0_1_5</x:v>
      </x:c>
      <x:c r="M9" s="373"/>
      <x:c r="N9" s="373"/>
      <x:c r="O9" s="373"/>
      <x:c r="P9" s="373"/>
      <x:c r="Q9" s="373"/>
      <x:c r="R9" s="373"/>
      <x:c r="S9" s="373"/>
      <x:c r="T9" s="373"/>
      <x:c r="U9" s="373"/>
      <x:c r="V9" s="373"/>
      <x:c r="W9" s="373"/>
      <x:c r="X9" s="373"/>
      <x:c r="Y9" s="373"/>
      <x:c r="Z9" s="373"/>
    </x:row>
    <x:row r="10">
      <x:c r="A10" s="411" t="str">
        <x:v>v0.1.6</x:v>
      </x:c>
      <x:c r="B10" s="411" t="str">
        <x:v>EKF Sensor Fusion</x:v>
      </x:c>
      <x:c r="C10" s="460" t="n">
        <x:v>46245</x:v>
      </x:c>
      <x:c r="D10" s="460" t="n">
        <x:v>46245</x:v>
      </x:c>
      <x:c r="E10" s="411" t="str">
        <x:v>Backlog</x:v>
      </x:c>
      <x:c r="F10" s="414" t="n">
        <x:f>IFERROR(SUMIF(Features!$B$5:$B$500,A10,Features!$J$5:$J$500)/COUNTIF(Features!$B$5:$B$500,A10),0)</x:f>
        <x:v>0</x:v>
      </x:c>
      <x:c r="G10" s="414" t="n">
        <x:f>IFERROR(COUNTIFS(Test_Cases!$B$5:$B$1000,A10,Test_Cases!$L$5:$L$1000,"Passed")/COUNTIF(Test_Cases!$B$5:$B$1000,A10),0)</x:f>
        <x:v>0</x:v>
      </x:c>
      <x:c r="H10" s="414" t="n">
        <x:f>IFERROR(COUNTIFS(Release_Gates!$B$5:$B$500,A10,Release_Gates!$I$5:$I$500,"Passed")/COUNTIF(Release_Gates!$B$5:$B$500,A10),0)</x:f>
        <x:v>0</x:v>
      </x:c>
      <x:c r="I10" s="414" t="n">
        <x:f>0.5*F10+0.3*G10+0.2*H10</x:f>
        <x:v>0</x:v>
      </x:c>
      <x:c r="J10" s="411" t="str">
        <x:v>Fuse wheel odometry and IMU using robot_localization.</x:v>
      </x:c>
      <x:c r="K10" s="411" t="str">
        <x:v>Stable fused odometry with no TF conflicts or unexplained jumps.</x:v>
      </x:c>
      <x:c r="L10" s="411" t="str">
        <x:v>v0_1_6</x:v>
      </x:c>
      <x:c r="M10" s="373"/>
      <x:c r="N10" s="373"/>
      <x:c r="O10" s="373"/>
      <x:c r="P10" s="373"/>
      <x:c r="Q10" s="373"/>
      <x:c r="R10" s="373"/>
      <x:c r="S10" s="373"/>
      <x:c r="T10" s="373"/>
      <x:c r="U10" s="373"/>
      <x:c r="V10" s="373"/>
      <x:c r="W10" s="373"/>
      <x:c r="X10" s="373"/>
      <x:c r="Y10" s="373"/>
      <x:c r="Z10" s="373"/>
    </x:row>
    <x:row r="11">
      <x:c r="A11" s="411" t="str">
        <x:v>v0.1.7</x:v>
      </x:c>
      <x:c r="B11" s="411" t="str">
        <x:v>RViz Observability</x:v>
      </x:c>
      <x:c r="C11" s="460" t="n">
        <x:v>46246</x:v>
      </x:c>
      <x:c r="D11" s="460" t="n">
        <x:v>46246</x:v>
      </x:c>
      <x:c r="E11" s="411" t="str">
        <x:v>Backlog</x:v>
      </x:c>
      <x:c r="F11" s="414" t="n">
        <x:f>IFERROR(SUMIF(Features!$B$5:$B$500,A11,Features!$J$5:$J$500)/COUNTIF(Features!$B$5:$B$500,A11),0)</x:f>
        <x:v>0</x:v>
      </x:c>
      <x:c r="G11" s="414" t="n">
        <x:f>IFERROR(COUNTIFS(Test_Cases!$B$5:$B$1000,A11,Test_Cases!$L$5:$L$1000,"Passed")/COUNTIF(Test_Cases!$B$5:$B$1000,A11),0)</x:f>
        <x:v>0</x:v>
      </x:c>
      <x:c r="H11" s="414" t="n">
        <x:f>IFERROR(COUNTIFS(Release_Gates!$B$5:$B$500,A11,Release_Gates!$I$5:$I$500,"Passed")/COUNTIF(Release_Gates!$B$5:$B$500,A11),0)</x:f>
        <x:v>0</x:v>
      </x:c>
      <x:c r="I11" s="414" t="n">
        <x:f>0.5*F11+0.3*G11+0.2*H11</x:f>
        <x:v>0</x:v>
      </x:c>
      <x:c r="J11" s="411" t="str">
        <x:v>Create reusable mapping, localization, and navigation debug views.</x:v>
      </x:c>
      <x:c r="K11" s="411" t="str">
        <x:v>Developers can inspect all critical pipelines from saved RViz configs.</x:v>
      </x:c>
      <x:c r="L11" s="411" t="str">
        <x:v>v0_1_7</x:v>
      </x:c>
      <x:c r="M11" s="373"/>
      <x:c r="N11" s="373"/>
      <x:c r="O11" s="373"/>
      <x:c r="P11" s="373"/>
      <x:c r="Q11" s="373"/>
      <x:c r="R11" s="373"/>
      <x:c r="S11" s="373"/>
      <x:c r="T11" s="373"/>
      <x:c r="U11" s="373"/>
      <x:c r="V11" s="373"/>
      <x:c r="W11" s="373"/>
      <x:c r="X11" s="373"/>
      <x:c r="Y11" s="373"/>
      <x:c r="Z11" s="373"/>
    </x:row>
    <x:row r="12">
      <x:c r="A12" s="411" t="str">
        <x:v>v0.1.8</x:v>
      </x:c>
      <x:c r="B12" s="411" t="str">
        <x:v>SLAM Reliability Baseline</x:v>
      </x:c>
      <x:c r="C12" s="460" t="n">
        <x:v>46247</x:v>
      </x:c>
      <x:c r="D12" s="460" t="n">
        <x:v>46247</x:v>
      </x:c>
      <x:c r="E12" s="411" t="str">
        <x:v>Backlog</x:v>
      </x:c>
      <x:c r="F12" s="414" t="n">
        <x:f>IFERROR(SUMIF(Features!$B$5:$B$500,A12,Features!$J$5:$J$500)/COUNTIF(Features!$B$5:$B$500,A12),0)</x:f>
        <x:v>0</x:v>
      </x:c>
      <x:c r="G12" s="414" t="n">
        <x:f>IFERROR(COUNTIFS(Test_Cases!$B$5:$B$1000,A12,Test_Cases!$L$5:$L$1000,"Passed")/COUNTIF(Test_Cases!$B$5:$B$1000,A12),0)</x:f>
        <x:v>0</x:v>
      </x:c>
      <x:c r="H12" s="414" t="n">
        <x:f>IFERROR(COUNTIFS(Release_Gates!$B$5:$B$500,A12,Release_Gates!$I$5:$I$500,"Passed")/COUNTIF(Release_Gates!$B$5:$B$500,A12),0)</x:f>
        <x:v>0</x:v>
      </x:c>
      <x:c r="I12" s="414" t="n">
        <x:f>0.5*F12+0.3*G12+0.2*H12</x:f>
        <x:v>0</x:v>
      </x:c>
      <x:c r="J12" s="411" t="str">
        <x:v>Benchmark and tune mapping through controlled experiments.</x:v>
      </x:c>
      <x:c r="K12" s="411" t="str">
        <x:v>Selected profile equals or improves baseline on declared map metrics.</x:v>
      </x:c>
      <x:c r="L12" s="411" t="str">
        <x:v>v0_1_8</x:v>
      </x:c>
      <x:c r="M12" s="373"/>
      <x:c r="N12" s="373"/>
      <x:c r="O12" s="373"/>
      <x:c r="P12" s="373"/>
      <x:c r="Q12" s="373"/>
      <x:c r="R12" s="373"/>
      <x:c r="S12" s="373"/>
      <x:c r="T12" s="373"/>
      <x:c r="U12" s="373"/>
      <x:c r="V12" s="373"/>
      <x:c r="W12" s="373"/>
      <x:c r="X12" s="373"/>
      <x:c r="Y12" s="373"/>
      <x:c r="Z12" s="373"/>
    </x:row>
    <x:row r="13">
      <x:c r="A13" s="411" t="str">
        <x:v>v0.1.9</x:v>
      </x:c>
      <x:c r="B13" s="411" t="str">
        <x:v>AMCL Reliability Baseline</x:v>
      </x:c>
      <x:c r="C13" s="460" t="n">
        <x:v>46248</x:v>
      </x:c>
      <x:c r="D13" s="460" t="n">
        <x:v>46248</x:v>
      </x:c>
      <x:c r="E13" s="411" t="str">
        <x:v>Backlog</x:v>
      </x:c>
      <x:c r="F13" s="414" t="n">
        <x:f>IFERROR(SUMIF(Features!$B$5:$B$500,A13,Features!$J$5:$J$500)/COUNTIF(Features!$B$5:$B$500,A13),0)</x:f>
        <x:v>0</x:v>
      </x:c>
      <x:c r="G13" s="414" t="n">
        <x:f>IFERROR(COUNTIFS(Test_Cases!$B$5:$B$1000,A13,Test_Cases!$L$5:$L$1000,"Passed")/COUNTIF(Test_Cases!$B$5:$B$1000,A13),0)</x:f>
        <x:v>0</x:v>
      </x:c>
      <x:c r="H13" s="414" t="n">
        <x:f>IFERROR(COUNTIFS(Release_Gates!$B$5:$B$500,A13,Release_Gates!$I$5:$I$500,"Passed")/COUNTIF(Release_Gates!$B$5:$B$500,A13),0)</x:f>
        <x:v>0</x:v>
      </x:c>
      <x:c r="I13" s="414" t="n">
        <x:f>0.5*F13+0.3*G13+0.2*H13</x:f>
        <x:v>0</x:v>
      </x:c>
      <x:c r="J13" s="411" t="str">
        <x:v>Measure initialization, convergence, covariance, and recovery.</x:v>
      </x:c>
      <x:c r="K13" s="411" t="str">
        <x:v>Localization readiness is based on measured health.</x:v>
      </x:c>
      <x:c r="L13" s="411" t="str">
        <x:v>v0_1_9</x:v>
      </x:c>
      <x:c r="M13" s="373"/>
      <x:c r="N13" s="373"/>
      <x:c r="O13" s="373"/>
      <x:c r="P13" s="373"/>
      <x:c r="Q13" s="373"/>
      <x:c r="R13" s="373"/>
      <x:c r="S13" s="373"/>
      <x:c r="T13" s="373"/>
      <x:c r="U13" s="373"/>
      <x:c r="V13" s="373"/>
      <x:c r="W13" s="373"/>
      <x:c r="X13" s="373"/>
      <x:c r="Y13" s="373"/>
      <x:c r="Z13" s="373"/>
    </x:row>
    <x:row r="14">
      <x:c r="A14" s="411" t="str">
        <x:v>v0.1.10</x:v>
      </x:c>
      <x:c r="B14" s="411" t="str">
        <x:v>Nav2 Hardening</x:v>
      </x:c>
      <x:c r="C14" s="460" t="n">
        <x:v>46249</x:v>
      </x:c>
      <x:c r="D14" s="460" t="n">
        <x:v>46249</x:v>
      </x:c>
      <x:c r="E14" s="411" t="str">
        <x:v>Backlog</x:v>
      </x:c>
      <x:c r="F14" s="414" t="n">
        <x:f>IFERROR(SUMIF(Features!$B$5:$B$500,A14,Features!$J$5:$J$500)/COUNTIF(Features!$B$5:$B$500,A14),0)</x:f>
        <x:v>0</x:v>
      </x:c>
      <x:c r="G14" s="414" t="n">
        <x:f>IFERROR(COUNTIFS(Test_Cases!$B$5:$B$1000,A14,Test_Cases!$L$5:$L$1000,"Passed")/COUNTIF(Test_Cases!$B$5:$B$1000,A14),0)</x:f>
        <x:v>0</x:v>
      </x:c>
      <x:c r="H14" s="414" t="n">
        <x:f>IFERROR(COUNTIFS(Release_Gates!$B$5:$B$500,A14,Release_Gates!$I$5:$I$500,"Passed")/COUNTIF(Release_Gates!$B$5:$B$500,A14),0)</x:f>
        <x:v>0</x:v>
      </x:c>
      <x:c r="I14" s="414" t="n">
        <x:f>0.5*F14+0.3*G14+0.2*H14</x:f>
        <x:v>0</x:v>
      </x:c>
      <x:c r="J14" s="411" t="str">
        <x:v>Harden planner, controller, costmaps, cancellation, and recovery.</x:v>
      </x:c>
      <x:c r="K14" s="411" t="str">
        <x:v>Navigation fails safely and reports a specific reason.</x:v>
      </x:c>
      <x:c r="L14" s="411" t="str">
        <x:v>v0_1_10</x:v>
      </x:c>
      <x:c r="M14" s="373"/>
      <x:c r="N14" s="373"/>
      <x:c r="O14" s="373"/>
      <x:c r="P14" s="373"/>
      <x:c r="Q14" s="373"/>
      <x:c r="R14" s="373"/>
      <x:c r="S14" s="373"/>
      <x:c r="T14" s="373"/>
      <x:c r="U14" s="373"/>
      <x:c r="V14" s="373"/>
      <x:c r="W14" s="373"/>
      <x:c r="X14" s="373"/>
      <x:c r="Y14" s="373"/>
      <x:c r="Z14" s="373"/>
    </x:row>
    <x:row r="15">
      <x:c r="A15" s="411" t="str">
        <x:v>v0.1.11</x:v>
      </x:c>
      <x:c r="B15" s="411" t="str">
        <x:v>Fault Injection &amp; E2E Verification</x:v>
      </x:c>
      <x:c r="C15" s="460" t="n">
        <x:v>46250</x:v>
      </x:c>
      <x:c r="D15" s="460" t="n">
        <x:v>46250</x:v>
      </x:c>
      <x:c r="E15" s="411" t="str">
        <x:v>Backlog</x:v>
      </x:c>
      <x:c r="F15" s="414" t="n">
        <x:f>IFERROR(SUMIF(Features!$B$5:$B$500,A15,Features!$J$5:$J$500)/COUNTIF(Features!$B$5:$B$500,A15),0)</x:f>
        <x:v>0</x:v>
      </x:c>
      <x:c r="G15" s="414" t="n">
        <x:f>IFERROR(COUNTIFS(Test_Cases!$B$5:$B$1000,A15,Test_Cases!$L$5:$L$1000,"Passed")/COUNTIF(Test_Cases!$B$5:$B$1000,A15),0)</x:f>
        <x:v>0</x:v>
      </x:c>
      <x:c r="H15" s="414" t="n">
        <x:f>IFERROR(COUNTIFS(Release_Gates!$B$5:$B$500,A15,Release_Gates!$I$5:$I$500,"Passed")/COUNTIF(Release_Gates!$B$5:$B$500,A15),0)</x:f>
        <x:v>0</x:v>
      </x:c>
      <x:c r="I15" s="414" t="n">
        <x:f>0.5*F15+0.3*G15+0.2*H15</x:f>
        <x:v>0</x:v>
      </x:c>
      <x:c r="J15" s="411" t="str">
        <x:v>Test nominal and degraded system behavior end to end.</x:v>
      </x:c>
      <x:c r="K15" s="411" t="str">
        <x:v>Every declared fault has an expected automated response.</x:v>
      </x:c>
      <x:c r="L15" s="411" t="str">
        <x:v>v0_1_11</x:v>
      </x:c>
      <x:c r="M15" s="373"/>
      <x:c r="N15" s="373"/>
      <x:c r="O15" s="373"/>
      <x:c r="P15" s="373"/>
      <x:c r="Q15" s="373"/>
      <x:c r="R15" s="373"/>
      <x:c r="S15" s="373"/>
      <x:c r="T15" s="373"/>
      <x:c r="U15" s="373"/>
      <x:c r="V15" s="373"/>
      <x:c r="W15" s="373"/>
      <x:c r="X15" s="373"/>
      <x:c r="Y15" s="373"/>
      <x:c r="Z15" s="373"/>
    </x:row>
    <x:row r="16">
      <x:c r="A16" s="411" t="str">
        <x:v>v0.1.12</x:v>
      </x:c>
      <x:c r="B16" s="411" t="str">
        <x:v>CI, Documentation &amp; Release Hardening</x:v>
      </x:c>
      <x:c r="C16" s="460" t="n">
        <x:v>46251</x:v>
      </x:c>
      <x:c r="D16" s="460" t="n">
        <x:v>46251</x:v>
      </x:c>
      <x:c r="E16" s="411" t="str">
        <x:v>Backlog</x:v>
      </x:c>
      <x:c r="F16" s="414" t="n">
        <x:f>IFERROR(SUMIF(Features!$B$5:$B$500,A16,Features!$J$5:$J$500)/COUNTIF(Features!$B$5:$B$500,A16),0)</x:f>
        <x:v>0</x:v>
      </x:c>
      <x:c r="G16" s="414" t="n">
        <x:f>IFERROR(COUNTIFS(Test_Cases!$B$5:$B$1000,A16,Test_Cases!$L$5:$L$1000,"Passed")/COUNTIF(Test_Cases!$B$5:$B$1000,A16),0)</x:f>
        <x:v>0</x:v>
      </x:c>
      <x:c r="H16" s="414" t="n">
        <x:f>IFERROR(COUNTIFS(Release_Gates!$B$5:$B$500,A16,Release_Gates!$I$5:$I$500,"Passed")/COUNTIF(Release_Gates!$B$5:$B$500,A16),0)</x:f>
        <x:v>0</x:v>
      </x:c>
      <x:c r="I16" s="414" t="n">
        <x:f>0.5*F16+0.3*G16+0.2*H16</x:f>
        <x:v>0</x:v>
      </x:c>
      <x:c r="J16" s="411" t="str">
        <x:v>Make the release reproducible outside the development terminal.</x:v>
      </x:c>
      <x:c r="K16" s="411" t="str">
        <x:v>Fresh clone, Docker build, smoke suite, docs, and regression pass.</x:v>
      </x:c>
      <x:c r="L16" s="411" t="str">
        <x:v>v0_1_12</x:v>
      </x:c>
      <x:c r="M16" s="373"/>
      <x:c r="N16" s="373"/>
      <x:c r="O16" s="373"/>
      <x:c r="P16" s="373"/>
      <x:c r="Q16" s="373"/>
      <x:c r="R16" s="373"/>
      <x:c r="S16" s="373"/>
      <x:c r="T16" s="373"/>
      <x:c r="U16" s="373"/>
      <x:c r="V16" s="373"/>
      <x:c r="W16" s="373"/>
      <x:c r="X16" s="373"/>
      <x:c r="Y16" s="373"/>
      <x:c r="Z16" s="373"/>
    </x:row>
    <x:row r="17">
      <x:c r="A17" s="411" t="str">
        <x:v>v0.2.0</x:v>
      </x:c>
      <x:c r="B17" s="411" t="str">
        <x:v>Reliable Autonomy Integration Platform</x:v>
      </x:c>
      <x:c r="C17" s="460" t="n">
        <x:v>46252</x:v>
      </x:c>
      <x:c r="D17" s="460" t="n">
        <x:v>46252</x:v>
      </x:c>
      <x:c r="E17" s="411" t="str">
        <x:v>Backlog</x:v>
      </x:c>
      <x:c r="F17" s="414" t="n">
        <x:f>IFERROR(SUMIF(Features!$B$5:$B$500,A17,Features!$J$5:$J$500)/COUNTIF(Features!$B$5:$B$500,A17),0)</x:f>
        <x:v>0</x:v>
      </x:c>
      <x:c r="G17" s="414" t="n">
        <x:f>IFERROR(COUNTIFS(Test_Cases!$B$5:$B$1000,A17,Test_Cases!$L$5:$L$1000,"Passed")/COUNTIF(Test_Cases!$B$5:$B$1000,A17),0)</x:f>
        <x:v>0</x:v>
      </x:c>
      <x:c r="H17" s="414" t="n">
        <x:f>IFERROR(COUNTIFS(Release_Gates!$B$5:$B$500,A17,Release_Gates!$I$5:$I$500,"Passed")/COUNTIF(Release_Gates!$B$5:$B$500,A17),0)</x:f>
        <x:v>0</x:v>
      </x:c>
      <x:c r="I17" s="414" t="n">
        <x:f>0.5*F17+0.3*G17+0.2*H17</x:f>
        <x:v>0</x:v>
      </x:c>
      <x:c r="J17" s="411" t="str">
        <x:v>Release the lifecycle-managed, readiness-driven, sensor-fused platform.</x:v>
      </x:c>
      <x:c r="K17" s="411" t="str">
        <x:v>All release gates pass and known limitations are documented.</x:v>
      </x:c>
      <x:c r="L17" s="411" t="str">
        <x:v>v0_2_0</x:v>
      </x:c>
      <x:c r="M17" s="373"/>
      <x:c r="N17" s="373"/>
      <x:c r="O17" s="373"/>
      <x:c r="P17" s="373"/>
      <x:c r="Q17" s="373"/>
      <x:c r="R17" s="373"/>
      <x:c r="S17" s="373"/>
      <x:c r="T17" s="373"/>
      <x:c r="U17" s="373"/>
      <x:c r="V17" s="373"/>
      <x:c r="W17" s="373"/>
      <x:c r="X17" s="373"/>
      <x:c r="Y17" s="373"/>
      <x:c r="Z17" s="373"/>
    </x:row>
    <x:row r="18">
      <x:c r="A18" s="411" t="str">
        <x:v>v0.2.1</x:v>
      </x:c>
      <x:c r="B18" s="411" t="str">
        <x:v>Ground Truth &amp; Logging Schema</x:v>
      </x:c>
      <x:c r="C18" s="460" t="n">
        <x:v>46253</x:v>
      </x:c>
      <x:c r="D18" s="460" t="n">
        <x:v>46255</x:v>
      </x:c>
      <x:c r="E18" s="411" t="str">
        <x:v>Backlog</x:v>
      </x:c>
      <x:c r="F18" s="414" t="n">
        <x:f>IFERROR(SUMIF(Features!$B$5:$B$500,A18,Features!$J$5:$J$500)/COUNTIF(Features!$B$5:$B$500,A18),0)</x:f>
        <x:v>0</x:v>
      </x:c>
      <x:c r="G18" s="414" t="n">
        <x:f>IFERROR(COUNTIFS(Test_Cases!$B$5:$B$1000,A18,Test_Cases!$L$5:$L$1000,"Passed")/COUNTIF(Test_Cases!$B$5:$B$1000,A18),0)</x:f>
        <x:v>0</x:v>
      </x:c>
      <x:c r="H18" s="414" t="n">
        <x:f>IFERROR(COUNTIFS(Release_Gates!$B$5:$B$500,A18,Release_Gates!$I$5:$I$500,"Passed")/COUNTIF(Release_Gates!$B$5:$B$500,A18),0)</x:f>
        <x:v>0</x:v>
      </x:c>
      <x:c r="I18" s="414" t="n">
        <x:f>0.5*F18+0.3*G18+0.2*H18</x:f>
        <x:v>0</x:v>
      </x:c>
      <x:c r="J18" s="411" t="str">
        <x:v>Standardize run IDs, configuration metadata, metrics, and evidence records.</x:v>
      </x:c>
      <x:c r="K18" s="411" t="str">
        <x:v>All runs produce schema-valid structured records.</x:v>
      </x:c>
      <x:c r="L18" s="411" t="str">
        <x:v>v0_2_1</x:v>
      </x:c>
      <x:c r="M18" s="373"/>
      <x:c r="N18" s="373"/>
      <x:c r="O18" s="373"/>
      <x:c r="P18" s="373"/>
      <x:c r="Q18" s="373"/>
      <x:c r="R18" s="373"/>
      <x:c r="S18" s="373"/>
      <x:c r="T18" s="373"/>
      <x:c r="U18" s="373"/>
      <x:c r="V18" s="373"/>
      <x:c r="W18" s="373"/>
      <x:c r="X18" s="373"/>
      <x:c r="Y18" s="373"/>
      <x:c r="Z18" s="373"/>
    </x:row>
    <x:row r="19">
      <x:c r="A19" s="411" t="str">
        <x:v>v0.2.2</x:v>
      </x:c>
      <x:c r="B19" s="411" t="str">
        <x:v>Scenario Runner</x:v>
      </x:c>
      <x:c r="C19" s="460" t="n">
        <x:v>46256</x:v>
      </x:c>
      <x:c r="D19" s="460" t="n">
        <x:v>46259</x:v>
      </x:c>
      <x:c r="E19" s="411" t="str">
        <x:v>Backlog</x:v>
      </x:c>
      <x:c r="F19" s="414" t="n">
        <x:f>IFERROR(SUMIF(Features!$B$5:$B$500,A19,Features!$J$5:$J$500)/COUNTIF(Features!$B$5:$B$500,A19),0)</x:f>
        <x:v>0</x:v>
      </x:c>
      <x:c r="G19" s="414" t="n">
        <x:f>IFERROR(COUNTIFS(Test_Cases!$B$5:$B$1000,A19,Test_Cases!$L$5:$L$1000,"Passed")/COUNTIF(Test_Cases!$B$5:$B$1000,A19),0)</x:f>
        <x:v>0</x:v>
      </x:c>
      <x:c r="H19" s="414" t="n">
        <x:f>IFERROR(COUNTIFS(Release_Gates!$B$5:$B$500,A19,Release_Gates!$I$5:$I$500,"Passed")/COUNTIF(Release_Gates!$B$5:$B$500,A19),0)</x:f>
        <x:v>0</x:v>
      </x:c>
      <x:c r="I19" s="414" t="n">
        <x:f>0.5*F19+0.3*G19+0.2*H19</x:f>
        <x:v>0</x:v>
      </x:c>
      <x:c r="J19" s="411" t="str">
        <x:v>Execute repeatable scenarios from CLI and backend APIs.</x:v>
      </x:c>
      <x:c r="K19" s="411" t="str">
        <x:v>One command launches, executes, records, evaluates, and shuts down.</x:v>
      </x:c>
      <x:c r="L19" s="411" t="str">
        <x:v>v0_2_2</x:v>
      </x:c>
      <x:c r="M19" s="373"/>
      <x:c r="N19" s="373"/>
      <x:c r="O19" s="373"/>
      <x:c r="P19" s="373"/>
      <x:c r="Q19" s="373"/>
      <x:c r="R19" s="373"/>
      <x:c r="S19" s="373"/>
      <x:c r="T19" s="373"/>
      <x:c r="U19" s="373"/>
      <x:c r="V19" s="373"/>
      <x:c r="W19" s="373"/>
      <x:c r="X19" s="373"/>
      <x:c r="Y19" s="373"/>
      <x:c r="Z19" s="373"/>
    </x:row>
    <x:row r="20">
      <x:c r="A20" s="411" t="str">
        <x:v>v0.2.3</x:v>
      </x:c>
      <x:c r="B20" s="411" t="str">
        <x:v>Metrics Engine</x:v>
      </x:c>
      <x:c r="C20" s="460" t="n">
        <x:v>46260</x:v>
      </x:c>
      <x:c r="D20" s="460" t="n">
        <x:v>46263</x:v>
      </x:c>
      <x:c r="E20" s="411" t="str">
        <x:v>Backlog</x:v>
      </x:c>
      <x:c r="F20" s="414" t="n">
        <x:f>IFERROR(SUMIF(Features!$B$5:$B$500,A20,Features!$J$5:$J$500)/COUNTIF(Features!$B$5:$B$500,A20),0)</x:f>
        <x:v>0</x:v>
      </x:c>
      <x:c r="G20" s="414" t="n">
        <x:f>IFERROR(COUNTIFS(Test_Cases!$B$5:$B$1000,A20,Test_Cases!$L$5:$L$1000,"Passed")/COUNTIF(Test_Cases!$B$5:$B$1000,A20),0)</x:f>
        <x:v>0</x:v>
      </x:c>
      <x:c r="H20" s="414" t="n">
        <x:f>IFERROR(COUNTIFS(Release_Gates!$B$5:$B$500,A20,Release_Gates!$I$5:$I$500,"Passed")/COUNTIF(Release_Gates!$B$5:$B$500,A20),0)</x:f>
        <x:v>0</x:v>
      </x:c>
      <x:c r="I20" s="414" t="n">
        <x:f>0.5*F20+0.3*G20+0.2*H20</x:f>
        <x:v>0</x:v>
      </x:c>
      <x:c r="J20" s="411" t="str">
        <x:v>Compute localization, navigation, safety, and performance metrics.</x:v>
      </x:c>
      <x:c r="K20" s="411" t="str">
        <x:v>Metrics are validated against known reference datasets.</x:v>
      </x:c>
      <x:c r="L20" s="411" t="str">
        <x:v>v0_2_3</x:v>
      </x:c>
      <x:c r="M20" s="373"/>
      <x:c r="N20" s="373"/>
      <x:c r="O20" s="373"/>
      <x:c r="P20" s="373"/>
      <x:c r="Q20" s="373"/>
      <x:c r="R20" s="373"/>
      <x:c r="S20" s="373"/>
      <x:c r="T20" s="373"/>
      <x:c r="U20" s="373"/>
      <x:c r="V20" s="373"/>
      <x:c r="W20" s="373"/>
      <x:c r="X20" s="373"/>
      <x:c r="Y20" s="373"/>
      <x:c r="Z20" s="373"/>
    </x:row>
    <x:row r="21">
      <x:c r="A21" s="411" t="str">
        <x:v>v0.2.4</x:v>
      </x:c>
      <x:c r="B21" s="411" t="str">
        <x:v>Batch Experimentation</x:v>
      </x:c>
      <x:c r="C21" s="460" t="n">
        <x:v>46264</x:v>
      </x:c>
      <x:c r="D21" s="460" t="n">
        <x:v>46267</x:v>
      </x:c>
      <x:c r="E21" s="411" t="str">
        <x:v>Backlog</x:v>
      </x:c>
      <x:c r="F21" s="414" t="n">
        <x:f>IFERROR(SUMIF(Features!$B$5:$B$500,A21,Features!$J$5:$J$500)/COUNTIF(Features!$B$5:$B$500,A21),0)</x:f>
        <x:v>0</x:v>
      </x:c>
      <x:c r="G21" s="414" t="n">
        <x:f>IFERROR(COUNTIFS(Test_Cases!$B$5:$B$1000,A21,Test_Cases!$L$5:$L$1000,"Passed")/COUNTIF(Test_Cases!$B$5:$B$1000,A21),0)</x:f>
        <x:v>0</x:v>
      </x:c>
      <x:c r="H21" s="414" t="n">
        <x:f>IFERROR(COUNTIFS(Release_Gates!$B$5:$B$500,A21,Release_Gates!$I$5:$I$500,"Passed")/COUNTIF(Release_Gates!$B$5:$B$500,A21),0)</x:f>
        <x:v>0</x:v>
      </x:c>
      <x:c r="I21" s="414" t="n">
        <x:f>0.5*F21+0.3*G21+0.2*H21</x:f>
        <x:v>0</x:v>
      </x:c>
      <x:c r="J21" s="411" t="str">
        <x:v>Run seeds, parameter sweeps, noise sweeps, and configuration comparisons.</x:v>
      </x:c>
      <x:c r="K21" s="411" t="str">
        <x:v>Batch runs are repeatable and preserve run-level traceability.</x:v>
      </x:c>
      <x:c r="L21" s="411" t="str">
        <x:v>v0_2_4</x:v>
      </x:c>
      <x:c r="M21" s="373"/>
      <x:c r="N21" s="373"/>
      <x:c r="O21" s="373"/>
      <x:c r="P21" s="373"/>
      <x:c r="Q21" s="373"/>
      <x:c r="R21" s="373"/>
      <x:c r="S21" s="373"/>
      <x:c r="T21" s="373"/>
      <x:c r="U21" s="373"/>
      <x:c r="V21" s="373"/>
      <x:c r="W21" s="373"/>
      <x:c r="X21" s="373"/>
      <x:c r="Y21" s="373"/>
      <x:c r="Z21" s="373"/>
    </x:row>
    <x:row r="22">
      <x:c r="A22" s="411" t="str">
        <x:v>v0.2.5</x:v>
      </x:c>
      <x:c r="B22" s="411" t="str">
        <x:v>Analytics Reports</x:v>
      </x:c>
      <x:c r="C22" s="460" t="n">
        <x:v>46268</x:v>
      </x:c>
      <x:c r="D22" s="460" t="n">
        <x:v>46271</x:v>
      </x:c>
      <x:c r="E22" s="411" t="str">
        <x:v>Backlog</x:v>
      </x:c>
      <x:c r="F22" s="414" t="n">
        <x:f>IFERROR(SUMIF(Features!$B$5:$B$500,A22,Features!$J$5:$J$500)/COUNTIF(Features!$B$5:$B$500,A22),0)</x:f>
        <x:v>0</x:v>
      </x:c>
      <x:c r="G22" s="414" t="n">
        <x:f>IFERROR(COUNTIFS(Test_Cases!$B$5:$B$1000,A22,Test_Cases!$L$5:$L$1000,"Passed")/COUNTIF(Test_Cases!$B$5:$B$1000,A22),0)</x:f>
        <x:v>0</x:v>
      </x:c>
      <x:c r="H22" s="414" t="n">
        <x:f>IFERROR(COUNTIFS(Release_Gates!$B$5:$B$500,A22,Release_Gates!$I$5:$I$500,"Passed")/COUNTIF(Release_Gates!$B$5:$B$500,A22),0)</x:f>
        <x:v>0</x:v>
      </x:c>
      <x:c r="I22" s="414" t="n">
        <x:f>0.5*F22+0.3*G22+0.2*H22</x:f>
        <x:v>0</x:v>
      </x:c>
      <x:c r="J22" s="411" t="str">
        <x:v>Generate CSV, JSON, Markdown, HTML, and visual summaries.</x:v>
      </x:c>
      <x:c r="K22" s="411" t="str">
        <x:v>Reports identify failures, regressions, and requirement status.</x:v>
      </x:c>
      <x:c r="L22" s="411" t="str">
        <x:v>v0_2_5</x:v>
      </x:c>
      <x:c r="M22" s="373"/>
      <x:c r="N22" s="373"/>
      <x:c r="O22" s="373"/>
      <x:c r="P22" s="373"/>
      <x:c r="Q22" s="373"/>
      <x:c r="R22" s="373"/>
      <x:c r="S22" s="373"/>
      <x:c r="T22" s="373"/>
      <x:c r="U22" s="373"/>
      <x:c r="V22" s="373"/>
      <x:c r="W22" s="373"/>
      <x:c r="X22" s="373"/>
      <x:c r="Y22" s="373"/>
      <x:c r="Z22" s="373"/>
    </x:row>
    <x:row r="23">
      <x:c r="A23" s="411" t="str">
        <x:v>v0.2.6</x:v>
      </x:c>
      <x:c r="B23" s="411" t="str">
        <x:v>Mode Explorer Interface</x:v>
      </x:c>
      <x:c r="C23" s="460" t="n">
        <x:v>46272</x:v>
      </x:c>
      <x:c r="D23" s="460" t="n">
        <x:v>46275</x:v>
      </x:c>
      <x:c r="E23" s="411" t="str">
        <x:v>Backlog</x:v>
      </x:c>
      <x:c r="F23" s="414" t="n">
        <x:f>IFERROR(SUMIF(Features!$B$5:$B$500,A23,Features!$J$5:$J$500)/COUNTIF(Features!$B$5:$B$500,A23),0)</x:f>
        <x:v>0</x:v>
      </x:c>
      <x:c r="G23" s="414" t="n">
        <x:f>IFERROR(COUNTIFS(Test_Cases!$B$5:$B$1000,A23,Test_Cases!$L$5:$L$1000,"Passed")/COUNTIF(Test_Cases!$B$5:$B$1000,A23),0)</x:f>
        <x:v>0</x:v>
      </x:c>
      <x:c r="H23" s="414" t="n">
        <x:f>IFERROR(COUNTIFS(Release_Gates!$B$5:$B$500,A23,Release_Gates!$I$5:$I$500,"Passed")/COUNTIF(Release_Gates!$B$5:$B$500,A23),0)</x:f>
        <x:v>0</x:v>
      </x:c>
      <x:c r="I23" s="414" t="n">
        <x:f>0.5*F23+0.3*G23+0.2*H23</x:f>
        <x:v>0</x:v>
      </x:c>
      <x:c r="J23" s="411" t="str">
        <x:v>Create a JS interface for mode, scenario, profile, and fault selection.</x:v>
      </x:c>
      <x:c r="K23" s="411" t="str">
        <x:v>Web UI uses the same tested backend contracts as the CLI.</x:v>
      </x:c>
      <x:c r="L23" s="411" t="str">
        <x:v>v0_2_6</x:v>
      </x:c>
      <x:c r="M23" s="373"/>
      <x:c r="N23" s="373"/>
      <x:c r="O23" s="373"/>
      <x:c r="P23" s="373"/>
      <x:c r="Q23" s="373"/>
      <x:c r="R23" s="373"/>
      <x:c r="S23" s="373"/>
      <x:c r="T23" s="373"/>
      <x:c r="U23" s="373"/>
      <x:c r="V23" s="373"/>
      <x:c r="W23" s="373"/>
      <x:c r="X23" s="373"/>
      <x:c r="Y23" s="373"/>
      <x:c r="Z23" s="373"/>
    </x:row>
    <x:row r="24">
      <x:c r="A24" s="411" t="str">
        <x:v>v0.2.7</x:v>
      </x:c>
      <x:c r="B24" s="411" t="str">
        <x:v>Verification Dashboard</x:v>
      </x:c>
      <x:c r="C24" s="460" t="n">
        <x:v>46276</x:v>
      </x:c>
      <x:c r="D24" s="460" t="n">
        <x:v>46279</x:v>
      </x:c>
      <x:c r="E24" s="411" t="str">
        <x:v>Backlog</x:v>
      </x:c>
      <x:c r="F24" s="414" t="n">
        <x:f>IFERROR(SUMIF(Features!$B$5:$B$500,A24,Features!$J$5:$J$500)/COUNTIF(Features!$B$5:$B$500,A24),0)</x:f>
        <x:v>0</x:v>
      </x:c>
      <x:c r="G24" s="414" t="n">
        <x:f>IFERROR(COUNTIFS(Test_Cases!$B$5:$B$1000,A24,Test_Cases!$L$5:$L$1000,"Passed")/COUNTIF(Test_Cases!$B$5:$B$1000,A24),0)</x:f>
        <x:v>0</x:v>
      </x:c>
      <x:c r="H24" s="414" t="n">
        <x:f>IFERROR(COUNTIFS(Release_Gates!$B$5:$B$500,A24,Release_Gates!$I$5:$I$500,"Passed")/COUNTIF(Release_Gates!$B$5:$B$500,A24),0)</x:f>
        <x:v>0</x:v>
      </x:c>
      <x:c r="I24" s="414" t="n">
        <x:f>0.5*F24+0.3*G24+0.2*H24</x:f>
        <x:v>0</x:v>
      </x:c>
      <x:c r="J24" s="411" t="str">
        <x:v>Visualize release, requirement, scenario, metric, and defect performance.</x:v>
      </x:c>
      <x:c r="K24" s="411" t="str">
        <x:v>Dashboard answers what failed, why, how often, and what regressed.</x:v>
      </x:c>
      <x:c r="L24" s="411" t="str">
        <x:v>v0_2_7</x:v>
      </x:c>
      <x:c r="M24" s="373"/>
      <x:c r="N24" s="373"/>
      <x:c r="O24" s="373"/>
      <x:c r="P24" s="373"/>
      <x:c r="Q24" s="373"/>
      <x:c r="R24" s="373"/>
      <x:c r="S24" s="373"/>
      <x:c r="T24" s="373"/>
      <x:c r="U24" s="373"/>
      <x:c r="V24" s="373"/>
      <x:c r="W24" s="373"/>
      <x:c r="X24" s="373"/>
      <x:c r="Y24" s="373"/>
      <x:c r="Z24" s="373"/>
    </x:row>
    <x:row r="25">
      <x:c r="A25" s="412" t="str">
        <x:v>v0.3.0</x:v>
      </x:c>
      <x:c r="B25" s="412" t="str">
        <x:v>Mode Exploration &amp; Analytics Platform</x:v>
      </x:c>
      <x:c r="C25" s="461" t="n">
        <x:v>46280</x:v>
      </x:c>
      <x:c r="D25" s="461" t="n">
        <x:v>46283</x:v>
      </x:c>
      <x:c r="E25" s="412" t="str">
        <x:v>Backlog</x:v>
      </x:c>
      <x:c r="F25" s="415" t="n">
        <x:f>IFERROR(SUMIF(Features!$B$5:$B$500,A25,Features!$J$5:$J$500)/COUNTIF(Features!$B$5:$B$500,A25),0)</x:f>
        <x:v>0</x:v>
      </x:c>
      <x:c r="G25" s="415" t="n">
        <x:f>IFERROR(COUNTIFS(Test_Cases!$B$5:$B$1000,A25,Test_Cases!$L$5:$L$1000,"Passed")/COUNTIF(Test_Cases!$B$5:$B$1000,A25),0)</x:f>
        <x:v>0</x:v>
      </x:c>
      <x:c r="H25" s="415" t="n">
        <x:f>IFERROR(COUNTIFS(Release_Gates!$B$5:$B$500,A25,Release_Gates!$I$5:$I$500,"Passed")/COUNTIF(Release_Gates!$B$5:$B$500,A25),0)</x:f>
        <x:v>0</x:v>
      </x:c>
      <x:c r="I25" s="415" t="n">
        <x:f>0.5*F25+0.3*G25+0.2*H25</x:f>
        <x:v>0</x:v>
      </x:c>
      <x:c r="J25" s="412" t="str">
        <x:v>Release a usable simulation, verification, and analytics product.</x:v>
      </x:c>
      <x:c r="K25" s="412" t="str">
        <x:v>End-to-end mode exploration and evidence generation are production-ready.</x:v>
      </x:c>
      <x:c r="L25" s="412" t="str">
        <x:v>v0_3_0</x:v>
      </x:c>
      <x:c r="M25" s="373"/>
      <x:c r="N25" s="373"/>
      <x:c r="O25" s="373"/>
      <x:c r="P25" s="373"/>
      <x:c r="Q25" s="373"/>
      <x:c r="R25" s="373"/>
      <x:c r="S25" s="373"/>
      <x:c r="T25" s="373"/>
      <x:c r="U25" s="373"/>
      <x:c r="V25" s="373"/>
      <x:c r="W25" s="373"/>
      <x:c r="X25" s="373"/>
      <x:c r="Y25" s="373"/>
      <x:c r="Z25" s="373"/>
    </x:row>
    <x:row r="26">
      <x:c r="A26" s="373"/>
      <x:c r="B26" s="373"/>
      <x:c r="C26" s="373"/>
      <x:c r="D26" s="373"/>
      <x:c r="E26" s="373"/>
      <x:c r="F26" s="373"/>
      <x:c r="G26" s="373"/>
      <x:c r="H26" s="373"/>
      <x:c r="I26" s="373"/>
      <x:c r="J26" s="373"/>
      <x:c r="K26" s="373"/>
      <x:c r="L26" s="373"/>
      <x:c r="M26" s="373"/>
      <x:c r="N26" s="373"/>
      <x:c r="O26" s="373"/>
      <x:c r="P26" s="373"/>
      <x:c r="Q26" s="373"/>
      <x:c r="R26" s="373"/>
      <x:c r="S26" s="373"/>
      <x:c r="T26" s="373"/>
      <x:c r="U26" s="373"/>
      <x:c r="V26" s="373"/>
      <x:c r="W26" s="373"/>
      <x:c r="X26" s="373"/>
      <x:c r="Y26" s="373"/>
      <x:c r="Z26" s="373"/>
    </x:row>
    <x:row r="27">
      <x:c r="A27" s="373"/>
      <x:c r="B27" s="373"/>
      <x:c r="C27" s="373"/>
      <x:c r="D27" s="373"/>
      <x:c r="E27" s="373"/>
      <x:c r="F27" s="373"/>
      <x:c r="G27" s="373"/>
      <x:c r="H27" s="373"/>
      <x:c r="I27" s="373"/>
      <x:c r="J27" s="373"/>
      <x:c r="K27" s="373"/>
      <x:c r="L27" s="373"/>
      <x:c r="M27" s="373"/>
      <x:c r="N27" s="373"/>
      <x:c r="O27" s="373"/>
      <x:c r="P27" s="373"/>
      <x:c r="Q27" s="373"/>
      <x:c r="R27" s="373"/>
      <x:c r="S27" s="373"/>
      <x:c r="T27" s="373"/>
      <x:c r="U27" s="373"/>
      <x:c r="V27" s="373"/>
      <x:c r="W27" s="373"/>
      <x:c r="X27" s="373"/>
      <x:c r="Y27" s="373"/>
      <x:c r="Z27" s="373"/>
    </x:row>
    <x:row r="28">
      <x:c r="A28" s="373"/>
      <x:c r="B28" s="373"/>
      <x:c r="C28" s="373"/>
      <x:c r="D28" s="373"/>
      <x:c r="E28" s="373"/>
      <x:c r="F28" s="373"/>
      <x:c r="G28" s="373"/>
      <x:c r="H28" s="373"/>
      <x:c r="I28" s="373"/>
      <x:c r="J28" s="373"/>
      <x:c r="K28" s="373"/>
      <x:c r="L28" s="373"/>
      <x:c r="M28" s="373"/>
      <x:c r="N28" s="373"/>
      <x:c r="O28" s="373"/>
      <x:c r="P28" s="373"/>
      <x:c r="Q28" s="373"/>
      <x:c r="R28" s="373"/>
      <x:c r="S28" s="373"/>
      <x:c r="T28" s="373"/>
      <x:c r="U28" s="373"/>
      <x:c r="V28" s="373"/>
      <x:c r="W28" s="373"/>
      <x:c r="X28" s="373"/>
      <x:c r="Y28" s="373"/>
      <x:c r="Z28" s="373"/>
    </x:row>
    <x:row r="29">
      <x:c r="A29" s="373"/>
      <x:c r="B29" s="373"/>
      <x:c r="C29" s="373"/>
      <x:c r="D29" s="373"/>
      <x:c r="E29" s="373"/>
      <x:c r="F29" s="373"/>
      <x:c r="G29" s="373"/>
      <x:c r="H29" s="373"/>
      <x:c r="I29" s="373"/>
      <x:c r="J29" s="373"/>
      <x:c r="K29" s="373"/>
      <x:c r="L29" s="373"/>
      <x:c r="M29" s="373"/>
      <x:c r="N29" s="373"/>
      <x:c r="O29" s="373"/>
      <x:c r="P29" s="373"/>
      <x:c r="Q29" s="373"/>
      <x:c r="R29" s="373"/>
      <x:c r="S29" s="373"/>
      <x:c r="T29" s="373"/>
      <x:c r="U29" s="373"/>
      <x:c r="V29" s="373"/>
      <x:c r="W29" s="373"/>
      <x:c r="X29" s="373"/>
      <x:c r="Y29" s="373"/>
      <x:c r="Z29" s="373"/>
    </x:row>
    <x:row r="30">
      <x:c r="A30" s="373"/>
      <x:c r="B30" s="373"/>
      <x:c r="C30" s="373"/>
      <x:c r="D30" s="373"/>
      <x:c r="E30" s="373"/>
      <x:c r="F30" s="373"/>
      <x:c r="G30" s="373"/>
      <x:c r="H30" s="373"/>
      <x:c r="I30" s="373"/>
      <x:c r="J30" s="373"/>
      <x:c r="K30" s="373"/>
      <x:c r="L30" s="373"/>
      <x:c r="M30" s="373"/>
      <x:c r="N30" s="373"/>
      <x:c r="O30" s="373"/>
      <x:c r="P30" s="373"/>
      <x:c r="Q30" s="373"/>
      <x:c r="R30" s="373"/>
      <x:c r="S30" s="373"/>
      <x:c r="T30" s="373"/>
      <x:c r="U30" s="373"/>
      <x:c r="V30" s="373"/>
      <x:c r="W30" s="373"/>
      <x:c r="X30" s="373"/>
      <x:c r="Y30" s="373"/>
      <x:c r="Z30" s="373"/>
    </x:row>
    <x:row r="31">
      <x:c r="A31" s="373"/>
      <x:c r="B31" s="373"/>
      <x:c r="C31" s="373"/>
      <x:c r="D31" s="373"/>
      <x:c r="E31" s="373"/>
      <x:c r="F31" s="373"/>
      <x:c r="G31" s="373"/>
      <x:c r="H31" s="373"/>
      <x:c r="I31" s="373"/>
      <x:c r="J31" s="373"/>
      <x:c r="K31" s="373"/>
      <x:c r="L31" s="373"/>
      <x:c r="M31" s="373"/>
      <x:c r="N31" s="373"/>
      <x:c r="O31" s="373"/>
      <x:c r="P31" s="373"/>
      <x:c r="Q31" s="373"/>
      <x:c r="R31" s="373"/>
      <x:c r="S31" s="373"/>
      <x:c r="T31" s="373"/>
      <x:c r="U31" s="373"/>
      <x:c r="V31" s="373"/>
      <x:c r="W31" s="373"/>
      <x:c r="X31" s="373"/>
      <x:c r="Y31" s="373"/>
      <x:c r="Z31" s="373"/>
    </x:row>
    <x:row r="32">
      <x:c r="A32" s="373"/>
      <x:c r="B32" s="373"/>
      <x:c r="C32" s="373"/>
      <x:c r="D32" s="373"/>
      <x:c r="E32" s="373"/>
      <x:c r="F32" s="373"/>
      <x:c r="G32" s="373"/>
      <x:c r="H32" s="373"/>
      <x:c r="I32" s="373"/>
      <x:c r="J32" s="373"/>
      <x:c r="K32" s="373"/>
      <x:c r="L32" s="373"/>
      <x:c r="M32" s="373"/>
      <x:c r="N32" s="373"/>
      <x:c r="O32" s="373"/>
      <x:c r="P32" s="373"/>
      <x:c r="Q32" s="373"/>
      <x:c r="R32" s="373"/>
      <x:c r="S32" s="373"/>
      <x:c r="T32" s="373"/>
      <x:c r="U32" s="373"/>
      <x:c r="V32" s="373"/>
      <x:c r="W32" s="373"/>
      <x:c r="X32" s="373"/>
      <x:c r="Y32" s="373"/>
      <x:c r="Z32" s="373"/>
    </x:row>
    <x:row r="33">
      <x:c r="A33" s="373"/>
      <x:c r="B33" s="373"/>
      <x:c r="C33" s="373"/>
      <x:c r="D33" s="373"/>
      <x:c r="E33" s="373"/>
      <x:c r="F33" s="373"/>
      <x:c r="G33" s="373"/>
      <x:c r="H33" s="373"/>
      <x:c r="I33" s="373"/>
      <x:c r="J33" s="373"/>
      <x:c r="K33" s="373"/>
      <x:c r="L33" s="373"/>
      <x:c r="M33" s="373"/>
      <x:c r="N33" s="373"/>
      <x:c r="O33" s="373"/>
      <x:c r="P33" s="373"/>
      <x:c r="Q33" s="373"/>
      <x:c r="R33" s="373"/>
      <x:c r="S33" s="373"/>
      <x:c r="T33" s="373"/>
      <x:c r="U33" s="373"/>
      <x:c r="V33" s="373"/>
      <x:c r="W33" s="373"/>
      <x:c r="X33" s="373"/>
      <x:c r="Y33" s="373"/>
      <x:c r="Z33" s="373"/>
    </x:row>
    <x:row r="34">
      <x:c r="A34" s="373"/>
      <x:c r="B34" s="373"/>
      <x:c r="C34" s="373"/>
      <x:c r="D34" s="373"/>
      <x:c r="E34" s="373"/>
      <x:c r="F34" s="373"/>
      <x:c r="G34" s="373"/>
      <x:c r="H34" s="373"/>
      <x:c r="I34" s="373"/>
      <x:c r="J34" s="373"/>
      <x:c r="K34" s="373"/>
      <x:c r="L34" s="373"/>
      <x:c r="M34" s="373"/>
      <x:c r="N34" s="373"/>
      <x:c r="O34" s="373"/>
      <x:c r="P34" s="373"/>
      <x:c r="Q34" s="373"/>
      <x:c r="R34" s="373"/>
      <x:c r="S34" s="373"/>
      <x:c r="T34" s="373"/>
      <x:c r="U34" s="373"/>
      <x:c r="V34" s="373"/>
      <x:c r="W34" s="373"/>
      <x:c r="X34" s="373"/>
      <x:c r="Y34" s="373"/>
      <x:c r="Z34" s="373"/>
    </x:row>
    <x:row r="35">
      <x:c r="A35" s="373"/>
      <x:c r="B35" s="373"/>
      <x:c r="C35" s="373"/>
      <x:c r="D35" s="373"/>
      <x:c r="E35" s="373"/>
      <x:c r="F35" s="373"/>
      <x:c r="G35" s="373"/>
      <x:c r="H35" s="373"/>
      <x:c r="I35" s="373"/>
      <x:c r="J35" s="373"/>
      <x:c r="K35" s="373"/>
      <x:c r="L35" s="373"/>
      <x:c r="M35" s="373"/>
      <x:c r="N35" s="373"/>
      <x:c r="O35" s="373"/>
      <x:c r="P35" s="373"/>
      <x:c r="Q35" s="373"/>
      <x:c r="R35" s="373"/>
      <x:c r="S35" s="373"/>
      <x:c r="T35" s="373"/>
      <x:c r="U35" s="373"/>
      <x:c r="V35" s="373"/>
      <x:c r="W35" s="373"/>
      <x:c r="X35" s="373"/>
      <x:c r="Y35" s="373"/>
      <x:c r="Z35" s="373"/>
    </x:row>
    <x:row r="36">
      <x:c r="A36" s="373"/>
      <x:c r="B36" s="373"/>
      <x:c r="C36" s="373"/>
      <x:c r="D36" s="373"/>
      <x:c r="E36" s="373"/>
      <x:c r="F36" s="373"/>
      <x:c r="G36" s="373"/>
      <x:c r="H36" s="373"/>
      <x:c r="I36" s="373"/>
      <x:c r="J36" s="373"/>
      <x:c r="K36" s="373"/>
      <x:c r="L36" s="373"/>
      <x:c r="M36" s="373"/>
      <x:c r="N36" s="373"/>
      <x:c r="O36" s="373"/>
      <x:c r="P36" s="373"/>
      <x:c r="Q36" s="373"/>
      <x:c r="R36" s="373"/>
      <x:c r="S36" s="373"/>
      <x:c r="T36" s="373"/>
      <x:c r="U36" s="373"/>
      <x:c r="V36" s="373"/>
      <x:c r="W36" s="373"/>
      <x:c r="X36" s="373"/>
      <x:c r="Y36" s="373"/>
      <x:c r="Z36" s="373"/>
    </x:row>
    <x:row r="37">
      <x:c r="A37" s="373"/>
      <x:c r="B37" s="373"/>
      <x:c r="C37" s="373"/>
      <x:c r="D37" s="373"/>
      <x:c r="E37" s="373"/>
      <x:c r="F37" s="373"/>
      <x:c r="G37" s="373"/>
      <x:c r="H37" s="373"/>
      <x:c r="I37" s="373"/>
      <x:c r="J37" s="373"/>
      <x:c r="K37" s="373"/>
      <x:c r="L37" s="373"/>
      <x:c r="M37" s="373"/>
      <x:c r="N37" s="373"/>
      <x:c r="O37" s="373"/>
      <x:c r="P37" s="373"/>
      <x:c r="Q37" s="373"/>
      <x:c r="R37" s="373"/>
      <x:c r="S37" s="373"/>
      <x:c r="T37" s="373"/>
      <x:c r="U37" s="373"/>
      <x:c r="V37" s="373"/>
      <x:c r="W37" s="373"/>
      <x:c r="X37" s="373"/>
      <x:c r="Y37" s="373"/>
      <x:c r="Z37" s="373"/>
    </x:row>
    <x:row r="38">
      <x:c r="A38" s="373"/>
      <x:c r="B38" s="373"/>
      <x:c r="C38" s="373"/>
      <x:c r="D38" s="373"/>
      <x:c r="E38" s="373"/>
      <x:c r="F38" s="373"/>
      <x:c r="G38" s="373"/>
      <x:c r="H38" s="373"/>
      <x:c r="I38" s="373"/>
      <x:c r="J38" s="373"/>
      <x:c r="K38" s="373"/>
      <x:c r="L38" s="373"/>
      <x:c r="M38" s="373"/>
      <x:c r="N38" s="373"/>
      <x:c r="O38" s="373"/>
      <x:c r="P38" s="373"/>
      <x:c r="Q38" s="373"/>
      <x:c r="R38" s="373"/>
      <x:c r="S38" s="373"/>
      <x:c r="T38" s="373"/>
      <x:c r="U38" s="373"/>
      <x:c r="V38" s="373"/>
      <x:c r="W38" s="373"/>
      <x:c r="X38" s="373"/>
      <x:c r="Y38" s="373"/>
      <x:c r="Z38" s="373"/>
    </x:row>
    <x:row r="39">
      <x:c r="A39" s="373"/>
      <x:c r="B39" s="373"/>
      <x:c r="C39" s="373"/>
      <x:c r="D39" s="373"/>
      <x:c r="E39" s="373"/>
      <x:c r="F39" s="373"/>
      <x:c r="G39" s="373"/>
      <x:c r="H39" s="373"/>
      <x:c r="I39" s="373"/>
      <x:c r="J39" s="373"/>
      <x:c r="K39" s="373"/>
      <x:c r="L39" s="373"/>
      <x:c r="M39" s="373"/>
      <x:c r="N39" s="373"/>
      <x:c r="O39" s="373"/>
      <x:c r="P39" s="373"/>
      <x:c r="Q39" s="373"/>
      <x:c r="R39" s="373"/>
      <x:c r="S39" s="373"/>
      <x:c r="T39" s="373"/>
      <x:c r="U39" s="373"/>
      <x:c r="V39" s="373"/>
      <x:c r="W39" s="373"/>
      <x:c r="X39" s="373"/>
      <x:c r="Y39" s="373"/>
      <x:c r="Z39" s="373"/>
    </x:row>
    <x:row r="40">
      <x:c r="A40" s="373"/>
      <x:c r="B40" s="373"/>
      <x:c r="C40" s="373"/>
      <x:c r="D40" s="373"/>
      <x:c r="E40" s="373"/>
      <x:c r="F40" s="373"/>
      <x:c r="G40" s="373"/>
      <x:c r="H40" s="373"/>
      <x:c r="I40" s="373"/>
      <x:c r="J40" s="373"/>
      <x:c r="K40" s="373"/>
      <x:c r="L40" s="373"/>
      <x:c r="M40" s="373"/>
      <x:c r="N40" s="373"/>
      <x:c r="O40" s="373"/>
      <x:c r="P40" s="373"/>
      <x:c r="Q40" s="373"/>
      <x:c r="R40" s="373"/>
      <x:c r="S40" s="373"/>
      <x:c r="T40" s="373"/>
      <x:c r="U40" s="373"/>
      <x:c r="V40" s="373"/>
      <x:c r="W40" s="373"/>
      <x:c r="X40" s="373"/>
      <x:c r="Y40" s="373"/>
      <x:c r="Z40" s="373"/>
    </x:row>
    <x:row r="41">
      <x:c r="A41" s="373"/>
      <x:c r="B41" s="373"/>
      <x:c r="C41" s="373"/>
      <x:c r="D41" s="373"/>
      <x:c r="E41" s="373"/>
      <x:c r="F41" s="373"/>
      <x:c r="G41" s="373"/>
      <x:c r="H41" s="373"/>
      <x:c r="I41" s="373"/>
      <x:c r="J41" s="373"/>
      <x:c r="K41" s="373"/>
      <x:c r="L41" s="373"/>
      <x:c r="M41" s="373"/>
      <x:c r="N41" s="373"/>
      <x:c r="O41" s="373"/>
      <x:c r="P41" s="373"/>
      <x:c r="Q41" s="373"/>
      <x:c r="R41" s="373"/>
      <x:c r="S41" s="373"/>
      <x:c r="T41" s="373"/>
      <x:c r="U41" s="373"/>
      <x:c r="V41" s="373"/>
      <x:c r="W41" s="373"/>
      <x:c r="X41" s="373"/>
      <x:c r="Y41" s="373"/>
      <x:c r="Z41" s="373"/>
    </x:row>
    <x:row r="42">
      <x:c r="A42" s="373"/>
      <x:c r="B42" s="373"/>
      <x:c r="C42" s="373"/>
      <x:c r="D42" s="373"/>
      <x:c r="E42" s="373"/>
      <x:c r="F42" s="373"/>
      <x:c r="G42" s="373"/>
      <x:c r="H42" s="373"/>
      <x:c r="I42" s="373"/>
      <x:c r="J42" s="373"/>
      <x:c r="K42" s="373"/>
      <x:c r="L42" s="373"/>
      <x:c r="M42" s="373"/>
      <x:c r="N42" s="373"/>
      <x:c r="O42" s="373"/>
      <x:c r="P42" s="373"/>
      <x:c r="Q42" s="373"/>
      <x:c r="R42" s="373"/>
      <x:c r="S42" s="373"/>
      <x:c r="T42" s="373"/>
      <x:c r="U42" s="373"/>
      <x:c r="V42" s="373"/>
      <x:c r="W42" s="373"/>
      <x:c r="X42" s="373"/>
      <x:c r="Y42" s="373"/>
      <x:c r="Z42" s="373"/>
    </x:row>
    <x:row r="43">
      <x:c r="A43" s="373"/>
      <x:c r="B43" s="373"/>
      <x:c r="C43" s="373"/>
      <x:c r="D43" s="373"/>
      <x:c r="E43" s="373"/>
      <x:c r="F43" s="373"/>
      <x:c r="G43" s="373"/>
      <x:c r="H43" s="373"/>
      <x:c r="I43" s="373"/>
      <x:c r="J43" s="373"/>
      <x:c r="K43" s="373"/>
      <x:c r="L43" s="373"/>
      <x:c r="M43" s="373"/>
      <x:c r="N43" s="373"/>
      <x:c r="O43" s="373"/>
      <x:c r="P43" s="373"/>
      <x:c r="Q43" s="373"/>
      <x:c r="R43" s="373"/>
      <x:c r="S43" s="373"/>
      <x:c r="T43" s="373"/>
      <x:c r="U43" s="373"/>
      <x:c r="V43" s="373"/>
      <x:c r="W43" s="373"/>
      <x:c r="X43" s="373"/>
      <x:c r="Y43" s="373"/>
      <x:c r="Z43" s="373"/>
    </x:row>
    <x:row r="44">
      <x:c r="A44" s="373"/>
      <x:c r="B44" s="373"/>
      <x:c r="C44" s="373"/>
      <x:c r="D44" s="373"/>
      <x:c r="E44" s="373"/>
      <x:c r="F44" s="373"/>
      <x:c r="G44" s="373"/>
      <x:c r="H44" s="373"/>
      <x:c r="I44" s="373"/>
      <x:c r="J44" s="373"/>
      <x:c r="K44" s="373"/>
      <x:c r="L44" s="373"/>
      <x:c r="M44" s="373"/>
      <x:c r="N44" s="373"/>
      <x:c r="O44" s="373"/>
      <x:c r="P44" s="373"/>
      <x:c r="Q44" s="373"/>
      <x:c r="R44" s="373"/>
      <x:c r="S44" s="373"/>
      <x:c r="T44" s="373"/>
      <x:c r="U44" s="373"/>
      <x:c r="V44" s="373"/>
      <x:c r="W44" s="373"/>
      <x:c r="X44" s="373"/>
      <x:c r="Y44" s="373"/>
      <x:c r="Z44" s="373"/>
    </x:row>
    <x:row r="45">
      <x:c r="A45" s="373"/>
      <x:c r="B45" s="373"/>
      <x:c r="C45" s="373"/>
      <x:c r="D45" s="373"/>
      <x:c r="E45" s="373"/>
      <x:c r="F45" s="373"/>
      <x:c r="G45" s="373"/>
      <x:c r="H45" s="373"/>
      <x:c r="I45" s="373"/>
      <x:c r="J45" s="373"/>
      <x:c r="K45" s="373"/>
      <x:c r="L45" s="373"/>
      <x:c r="M45" s="373"/>
      <x:c r="N45" s="373"/>
      <x:c r="O45" s="373"/>
      <x:c r="P45" s="373"/>
      <x:c r="Q45" s="373"/>
      <x:c r="R45" s="373"/>
      <x:c r="S45" s="373"/>
      <x:c r="T45" s="373"/>
      <x:c r="U45" s="373"/>
      <x:c r="V45" s="373"/>
      <x:c r="W45" s="373"/>
      <x:c r="X45" s="373"/>
      <x:c r="Y45" s="373"/>
      <x:c r="Z45" s="373"/>
    </x:row>
    <x:row r="46">
      <x:c r="A46" s="373"/>
      <x:c r="B46" s="373"/>
      <x:c r="C46" s="373"/>
      <x:c r="D46" s="373"/>
      <x:c r="E46" s="373"/>
      <x:c r="F46" s="373"/>
      <x:c r="G46" s="373"/>
      <x:c r="H46" s="373"/>
      <x:c r="I46" s="373"/>
      <x:c r="J46" s="373"/>
      <x:c r="K46" s="373"/>
      <x:c r="L46" s="373"/>
      <x:c r="M46" s="373"/>
      <x:c r="N46" s="373"/>
      <x:c r="O46" s="373"/>
      <x:c r="P46" s="373"/>
      <x:c r="Q46" s="373"/>
      <x:c r="R46" s="373"/>
      <x:c r="S46" s="373"/>
      <x:c r="T46" s="373"/>
      <x:c r="U46" s="373"/>
      <x:c r="V46" s="373"/>
      <x:c r="W46" s="373"/>
      <x:c r="X46" s="373"/>
      <x:c r="Y46" s="373"/>
      <x:c r="Z46" s="373"/>
    </x:row>
    <x:row r="47">
      <x:c r="A47" s="373"/>
      <x:c r="B47" s="373"/>
      <x:c r="C47" s="373"/>
      <x:c r="D47" s="373"/>
      <x:c r="E47" s="373"/>
      <x:c r="F47" s="373"/>
      <x:c r="G47" s="373"/>
      <x:c r="H47" s="373"/>
      <x:c r="I47" s="373"/>
      <x:c r="J47" s="373"/>
      <x:c r="K47" s="373"/>
      <x:c r="L47" s="373"/>
      <x:c r="M47" s="373"/>
      <x:c r="N47" s="373"/>
      <x:c r="O47" s="373"/>
      <x:c r="P47" s="373"/>
      <x:c r="Q47" s="373"/>
      <x:c r="R47" s="373"/>
      <x:c r="S47" s="373"/>
      <x:c r="T47" s="373"/>
      <x:c r="U47" s="373"/>
      <x:c r="V47" s="373"/>
      <x:c r="W47" s="373"/>
      <x:c r="X47" s="373"/>
      <x:c r="Y47" s="373"/>
      <x:c r="Z47" s="373"/>
    </x:row>
    <x:row r="48">
      <x:c r="A48" s="373"/>
      <x:c r="B48" s="373"/>
      <x:c r="C48" s="373"/>
      <x:c r="D48" s="373"/>
      <x:c r="E48" s="373"/>
      <x:c r="F48" s="373"/>
      <x:c r="G48" s="373"/>
      <x:c r="H48" s="373"/>
      <x:c r="I48" s="373"/>
      <x:c r="J48" s="373"/>
      <x:c r="K48" s="373"/>
      <x:c r="L48" s="373"/>
      <x:c r="M48" s="373"/>
      <x:c r="N48" s="373"/>
      <x:c r="O48" s="373"/>
      <x:c r="P48" s="373"/>
      <x:c r="Q48" s="373"/>
      <x:c r="R48" s="373"/>
      <x:c r="S48" s="373"/>
      <x:c r="T48" s="373"/>
      <x:c r="U48" s="373"/>
      <x:c r="V48" s="373"/>
      <x:c r="W48" s="373"/>
      <x:c r="X48" s="373"/>
      <x:c r="Y48" s="373"/>
      <x:c r="Z48" s="373"/>
    </x:row>
    <x:row r="49">
      <x:c r="A49" s="373"/>
      <x:c r="B49" s="373"/>
      <x:c r="C49" s="373"/>
      <x:c r="D49" s="373"/>
      <x:c r="E49" s="373"/>
      <x:c r="F49" s="373"/>
      <x:c r="G49" s="373"/>
      <x:c r="H49" s="373"/>
      <x:c r="I49" s="373"/>
      <x:c r="J49" s="373"/>
      <x:c r="K49" s="373"/>
      <x:c r="L49" s="373"/>
      <x:c r="M49" s="373"/>
      <x:c r="N49" s="373"/>
      <x:c r="O49" s="373"/>
      <x:c r="P49" s="373"/>
      <x:c r="Q49" s="373"/>
      <x:c r="R49" s="373"/>
      <x:c r="S49" s="373"/>
      <x:c r="T49" s="373"/>
      <x:c r="U49" s="373"/>
      <x:c r="V49" s="373"/>
      <x:c r="W49" s="373"/>
      <x:c r="X49" s="373"/>
      <x:c r="Y49" s="373"/>
      <x:c r="Z49" s="373"/>
    </x:row>
    <x:row r="50">
      <x:c r="A50" s="373"/>
      <x:c r="B50" s="373"/>
      <x:c r="C50" s="373"/>
      <x:c r="D50" s="373"/>
      <x:c r="E50" s="373"/>
      <x:c r="F50" s="373"/>
      <x:c r="G50" s="373"/>
      <x:c r="H50" s="373"/>
      <x:c r="I50" s="373"/>
      <x:c r="J50" s="373"/>
      <x:c r="K50" s="373"/>
      <x:c r="L50" s="373"/>
      <x:c r="M50" s="373"/>
      <x:c r="N50" s="373"/>
      <x:c r="O50" s="373"/>
      <x:c r="P50" s="373"/>
      <x:c r="Q50" s="373"/>
      <x:c r="R50" s="373"/>
      <x:c r="S50" s="373"/>
      <x:c r="T50" s="373"/>
      <x:c r="U50" s="373"/>
      <x:c r="V50" s="373"/>
      <x:c r="W50" s="373"/>
      <x:c r="X50" s="373"/>
      <x:c r="Y50" s="373"/>
      <x:c r="Z50" s="373"/>
    </x:row>
    <x:row r="51">
      <x:c r="A51" s="373"/>
      <x:c r="B51" s="373"/>
      <x:c r="C51" s="373"/>
      <x:c r="D51" s="373"/>
      <x:c r="E51" s="373"/>
      <x:c r="F51" s="373"/>
      <x:c r="G51" s="373"/>
      <x:c r="H51" s="373"/>
      <x:c r="I51" s="373"/>
      <x:c r="J51" s="373"/>
      <x:c r="K51" s="373"/>
      <x:c r="L51" s="373"/>
      <x:c r="M51" s="373"/>
      <x:c r="N51" s="373"/>
      <x:c r="O51" s="373"/>
      <x:c r="P51" s="373"/>
      <x:c r="Q51" s="373"/>
      <x:c r="R51" s="373"/>
      <x:c r="S51" s="373"/>
      <x:c r="T51" s="373"/>
      <x:c r="U51" s="373"/>
      <x:c r="V51" s="373"/>
      <x:c r="W51" s="373"/>
      <x:c r="X51" s="373"/>
      <x:c r="Y51" s="373"/>
      <x:c r="Z51" s="373"/>
    </x:row>
    <x:row r="52">
      <x:c r="A52" s="373"/>
      <x:c r="B52" s="373"/>
      <x:c r="C52" s="373"/>
      <x:c r="D52" s="373"/>
      <x:c r="E52" s="373"/>
      <x:c r="F52" s="373"/>
      <x:c r="G52" s="373"/>
      <x:c r="H52" s="373"/>
      <x:c r="I52" s="373"/>
      <x:c r="J52" s="373"/>
      <x:c r="K52" s="373"/>
      <x:c r="L52" s="373"/>
      <x:c r="M52" s="373"/>
      <x:c r="N52" s="373"/>
      <x:c r="O52" s="373"/>
      <x:c r="P52" s="373"/>
      <x:c r="Q52" s="373"/>
      <x:c r="R52" s="373"/>
      <x:c r="S52" s="373"/>
      <x:c r="T52" s="373"/>
      <x:c r="U52" s="373"/>
      <x:c r="V52" s="373"/>
      <x:c r="W52" s="373"/>
      <x:c r="X52" s="373"/>
      <x:c r="Y52" s="373"/>
      <x:c r="Z52" s="373"/>
    </x:row>
    <x:row r="53">
      <x:c r="A53" s="373"/>
      <x:c r="B53" s="373"/>
      <x:c r="C53" s="373"/>
      <x:c r="D53" s="373"/>
      <x:c r="E53" s="373"/>
      <x:c r="F53" s="373"/>
      <x:c r="G53" s="373"/>
      <x:c r="H53" s="373"/>
      <x:c r="I53" s="373"/>
      <x:c r="J53" s="373"/>
      <x:c r="K53" s="373"/>
      <x:c r="L53" s="373"/>
      <x:c r="M53" s="373"/>
      <x:c r="N53" s="373"/>
      <x:c r="O53" s="373"/>
      <x:c r="P53" s="373"/>
      <x:c r="Q53" s="373"/>
      <x:c r="R53" s="373"/>
      <x:c r="S53" s="373"/>
      <x:c r="T53" s="373"/>
      <x:c r="U53" s="373"/>
      <x:c r="V53" s="373"/>
      <x:c r="W53" s="373"/>
      <x:c r="X53" s="373"/>
      <x:c r="Y53" s="373"/>
      <x:c r="Z53" s="373"/>
    </x:row>
    <x:row r="54">
      <x:c r="A54" s="373"/>
      <x:c r="B54" s="373"/>
      <x:c r="C54" s="373"/>
      <x:c r="D54" s="373"/>
      <x:c r="E54" s="373"/>
      <x:c r="F54" s="373"/>
      <x:c r="G54" s="373"/>
      <x:c r="H54" s="373"/>
      <x:c r="I54" s="373"/>
      <x:c r="J54" s="373"/>
      <x:c r="K54" s="373"/>
      <x:c r="L54" s="373"/>
      <x:c r="M54" s="373"/>
      <x:c r="N54" s="373"/>
      <x:c r="O54" s="373"/>
      <x:c r="P54" s="373"/>
      <x:c r="Q54" s="373"/>
      <x:c r="R54" s="373"/>
      <x:c r="S54" s="373"/>
      <x:c r="T54" s="373"/>
      <x:c r="U54" s="373"/>
      <x:c r="V54" s="373"/>
      <x:c r="W54" s="373"/>
      <x:c r="X54" s="373"/>
      <x:c r="Y54" s="373"/>
      <x:c r="Z54" s="373"/>
    </x:row>
    <x:row r="55">
      <x:c r="A55" s="373"/>
      <x:c r="B55" s="373"/>
      <x:c r="C55" s="373"/>
      <x:c r="D55" s="373"/>
      <x:c r="E55" s="373"/>
      <x:c r="F55" s="373"/>
      <x:c r="G55" s="373"/>
      <x:c r="H55" s="373"/>
      <x:c r="I55" s="373"/>
      <x:c r="J55" s="373"/>
      <x:c r="K55" s="373"/>
      <x:c r="L55" s="373"/>
      <x:c r="M55" s="373"/>
      <x:c r="N55" s="373"/>
      <x:c r="O55" s="373"/>
      <x:c r="P55" s="373"/>
      <x:c r="Q55" s="373"/>
      <x:c r="R55" s="373"/>
      <x:c r="S55" s="373"/>
      <x:c r="T55" s="373"/>
      <x:c r="U55" s="373"/>
      <x:c r="V55" s="373"/>
      <x:c r="W55" s="373"/>
      <x:c r="X55" s="373"/>
      <x:c r="Y55" s="373"/>
      <x:c r="Z55" s="373"/>
    </x:row>
    <x:row r="56">
      <x:c r="A56" s="373"/>
      <x:c r="B56" s="373"/>
      <x:c r="C56" s="373"/>
      <x:c r="D56" s="373"/>
      <x:c r="E56" s="373"/>
      <x:c r="F56" s="373"/>
      <x:c r="G56" s="373"/>
      <x:c r="H56" s="373"/>
      <x:c r="I56" s="373"/>
      <x:c r="J56" s="373"/>
      <x:c r="K56" s="373"/>
      <x:c r="L56" s="373"/>
      <x:c r="M56" s="373"/>
      <x:c r="N56" s="373"/>
      <x:c r="O56" s="373"/>
      <x:c r="P56" s="373"/>
      <x:c r="Q56" s="373"/>
      <x:c r="R56" s="373"/>
      <x:c r="S56" s="373"/>
      <x:c r="T56" s="373"/>
      <x:c r="U56" s="373"/>
      <x:c r="V56" s="373"/>
      <x:c r="W56" s="373"/>
      <x:c r="X56" s="373"/>
      <x:c r="Y56" s="373"/>
      <x:c r="Z56" s="373"/>
    </x:row>
    <x:row r="57">
      <x:c r="A57" s="373"/>
      <x:c r="B57" s="373"/>
      <x:c r="C57" s="373"/>
      <x:c r="D57" s="373"/>
      <x:c r="E57" s="373"/>
      <x:c r="F57" s="373"/>
      <x:c r="G57" s="373"/>
      <x:c r="H57" s="373"/>
      <x:c r="I57" s="373"/>
      <x:c r="J57" s="373"/>
      <x:c r="K57" s="373"/>
      <x:c r="L57" s="373"/>
      <x:c r="M57" s="373"/>
      <x:c r="N57" s="373"/>
      <x:c r="O57" s="373"/>
      <x:c r="P57" s="373"/>
      <x:c r="Q57" s="373"/>
      <x:c r="R57" s="373"/>
      <x:c r="S57" s="373"/>
      <x:c r="T57" s="373"/>
      <x:c r="U57" s="373"/>
      <x:c r="V57" s="373"/>
      <x:c r="W57" s="373"/>
      <x:c r="X57" s="373"/>
      <x:c r="Y57" s="373"/>
      <x:c r="Z57" s="373"/>
    </x:row>
    <x:row r="58">
      <x:c r="A58" s="373"/>
      <x:c r="B58" s="373"/>
      <x:c r="C58" s="373"/>
      <x:c r="D58" s="373"/>
      <x:c r="E58" s="373"/>
      <x:c r="F58" s="373"/>
      <x:c r="G58" s="373"/>
      <x:c r="H58" s="373"/>
      <x:c r="I58" s="373"/>
      <x:c r="J58" s="373"/>
      <x:c r="K58" s="373"/>
      <x:c r="L58" s="373"/>
      <x:c r="M58" s="373"/>
      <x:c r="N58" s="373"/>
      <x:c r="O58" s="373"/>
      <x:c r="P58" s="373"/>
      <x:c r="Q58" s="373"/>
      <x:c r="R58" s="373"/>
      <x:c r="S58" s="373"/>
      <x:c r="T58" s="373"/>
      <x:c r="U58" s="373"/>
      <x:c r="V58" s="373"/>
      <x:c r="W58" s="373"/>
      <x:c r="X58" s="373"/>
      <x:c r="Y58" s="373"/>
      <x:c r="Z58" s="373"/>
    </x:row>
    <x:row r="59">
      <x:c r="A59" s="373"/>
      <x:c r="B59" s="373"/>
      <x:c r="C59" s="373"/>
      <x:c r="D59" s="373"/>
      <x:c r="E59" s="373"/>
      <x:c r="F59" s="373"/>
      <x:c r="G59" s="373"/>
      <x:c r="H59" s="373"/>
      <x:c r="I59" s="373"/>
      <x:c r="J59" s="373"/>
      <x:c r="K59" s="373"/>
      <x:c r="L59" s="373"/>
      <x:c r="M59" s="373"/>
      <x:c r="N59" s="373"/>
      <x:c r="O59" s="373"/>
      <x:c r="P59" s="373"/>
      <x:c r="Q59" s="373"/>
      <x:c r="R59" s="373"/>
      <x:c r="S59" s="373"/>
      <x:c r="T59" s="373"/>
      <x:c r="U59" s="373"/>
      <x:c r="V59" s="373"/>
      <x:c r="W59" s="373"/>
      <x:c r="X59" s="373"/>
      <x:c r="Y59" s="373"/>
      <x:c r="Z59" s="373"/>
    </x:row>
    <x:row r="60">
      <x:c r="A60" s="373"/>
      <x:c r="B60" s="373"/>
      <x:c r="C60" s="373"/>
      <x:c r="D60" s="373"/>
      <x:c r="E60" s="373"/>
      <x:c r="F60" s="373"/>
      <x:c r="G60" s="373"/>
      <x:c r="H60" s="373"/>
      <x:c r="I60" s="373"/>
      <x:c r="J60" s="373"/>
      <x:c r="K60" s="373"/>
      <x:c r="L60" s="373"/>
      <x:c r="M60" s="373"/>
      <x:c r="N60" s="373"/>
      <x:c r="O60" s="373"/>
      <x:c r="P60" s="373"/>
      <x:c r="Q60" s="373"/>
      <x:c r="R60" s="373"/>
      <x:c r="S60" s="373"/>
      <x:c r="T60" s="373"/>
      <x:c r="U60" s="373"/>
      <x:c r="V60" s="373"/>
      <x:c r="W60" s="373"/>
      <x:c r="X60" s="373"/>
      <x:c r="Y60" s="373"/>
      <x:c r="Z60" s="373"/>
    </x:row>
    <x:row r="61">
      <x:c r="A61" s="373"/>
      <x:c r="B61" s="373"/>
      <x:c r="C61" s="373"/>
      <x:c r="D61" s="373"/>
      <x:c r="E61" s="373"/>
      <x:c r="F61" s="373"/>
      <x:c r="G61" s="373"/>
      <x:c r="H61" s="373"/>
      <x:c r="I61" s="373"/>
      <x:c r="J61" s="373"/>
      <x:c r="K61" s="373"/>
      <x:c r="L61" s="373"/>
      <x:c r="M61" s="373"/>
      <x:c r="N61" s="373"/>
      <x:c r="O61" s="373"/>
      <x:c r="P61" s="373"/>
      <x:c r="Q61" s="373"/>
      <x:c r="R61" s="373"/>
      <x:c r="S61" s="373"/>
      <x:c r="T61" s="373"/>
      <x:c r="U61" s="373"/>
      <x:c r="V61" s="373"/>
      <x:c r="W61" s="373"/>
      <x:c r="X61" s="373"/>
      <x:c r="Y61" s="373"/>
      <x:c r="Z61" s="373"/>
    </x:row>
    <x:row r="62">
      <x:c r="A62" s="373"/>
      <x:c r="B62" s="373"/>
      <x:c r="C62" s="373"/>
      <x:c r="D62" s="373"/>
      <x:c r="E62" s="373"/>
      <x:c r="F62" s="373"/>
      <x:c r="G62" s="373"/>
      <x:c r="H62" s="373"/>
      <x:c r="I62" s="373"/>
      <x:c r="J62" s="373"/>
      <x:c r="K62" s="373"/>
      <x:c r="L62" s="373"/>
      <x:c r="M62" s="373"/>
      <x:c r="N62" s="373"/>
      <x:c r="O62" s="373"/>
      <x:c r="P62" s="373"/>
      <x:c r="Q62" s="373"/>
      <x:c r="R62" s="373"/>
      <x:c r="S62" s="373"/>
      <x:c r="T62" s="373"/>
      <x:c r="U62" s="373"/>
      <x:c r="V62" s="373"/>
      <x:c r="W62" s="373"/>
      <x:c r="X62" s="373"/>
      <x:c r="Y62" s="373"/>
      <x:c r="Z62" s="373"/>
    </x:row>
    <x:row r="63">
      <x:c r="A63" s="373"/>
      <x:c r="B63" s="373"/>
      <x:c r="C63" s="373"/>
      <x:c r="D63" s="373"/>
      <x:c r="E63" s="373"/>
      <x:c r="F63" s="373"/>
      <x:c r="G63" s="373"/>
      <x:c r="H63" s="373"/>
      <x:c r="I63" s="373"/>
      <x:c r="J63" s="373"/>
      <x:c r="K63" s="373"/>
      <x:c r="L63" s="373"/>
      <x:c r="M63" s="373"/>
      <x:c r="N63" s="373"/>
      <x:c r="O63" s="373"/>
      <x:c r="P63" s="373"/>
      <x:c r="Q63" s="373"/>
      <x:c r="R63" s="373"/>
      <x:c r="S63" s="373"/>
      <x:c r="T63" s="373"/>
      <x:c r="U63" s="373"/>
      <x:c r="V63" s="373"/>
      <x:c r="W63" s="373"/>
      <x:c r="X63" s="373"/>
      <x:c r="Y63" s="373"/>
      <x:c r="Z63" s="373"/>
    </x:row>
    <x:row r="64">
      <x:c r="A64" s="373"/>
      <x:c r="B64" s="373"/>
      <x:c r="C64" s="373"/>
      <x:c r="D64" s="373"/>
      <x:c r="E64" s="373"/>
      <x:c r="F64" s="373"/>
      <x:c r="G64" s="373"/>
      <x:c r="H64" s="373"/>
      <x:c r="I64" s="373"/>
      <x:c r="J64" s="373"/>
      <x:c r="K64" s="373"/>
      <x:c r="L64" s="373"/>
      <x:c r="M64" s="373"/>
      <x:c r="N64" s="373"/>
      <x:c r="O64" s="373"/>
      <x:c r="P64" s="373"/>
      <x:c r="Q64" s="373"/>
      <x:c r="R64" s="373"/>
      <x:c r="S64" s="373"/>
      <x:c r="T64" s="373"/>
      <x:c r="U64" s="373"/>
      <x:c r="V64" s="373"/>
      <x:c r="W64" s="373"/>
      <x:c r="X64" s="373"/>
      <x:c r="Y64" s="373"/>
      <x:c r="Z64" s="373"/>
    </x:row>
    <x:row r="65">
      <x:c r="A65" s="373"/>
      <x:c r="B65" s="373"/>
      <x:c r="C65" s="373"/>
      <x:c r="D65" s="373"/>
      <x:c r="E65" s="373"/>
      <x:c r="F65" s="373"/>
      <x:c r="G65" s="373"/>
      <x:c r="H65" s="373"/>
      <x:c r="I65" s="373"/>
      <x:c r="J65" s="373"/>
      <x:c r="K65" s="373"/>
      <x:c r="L65" s="373"/>
      <x:c r="M65" s="373"/>
      <x:c r="N65" s="373"/>
      <x:c r="O65" s="373"/>
      <x:c r="P65" s="373"/>
      <x:c r="Q65" s="373"/>
      <x:c r="R65" s="373"/>
      <x:c r="S65" s="373"/>
      <x:c r="T65" s="373"/>
      <x:c r="U65" s="373"/>
      <x:c r="V65" s="373"/>
      <x:c r="W65" s="373"/>
      <x:c r="X65" s="373"/>
      <x:c r="Y65" s="373"/>
      <x:c r="Z65" s="373"/>
    </x:row>
    <x:row r="66">
      <x:c r="A66" s="373"/>
      <x:c r="B66" s="373"/>
      <x:c r="C66" s="373"/>
      <x:c r="D66" s="373"/>
      <x:c r="E66" s="373"/>
      <x:c r="F66" s="373"/>
      <x:c r="G66" s="373"/>
      <x:c r="H66" s="373"/>
      <x:c r="I66" s="373"/>
      <x:c r="J66" s="373"/>
      <x:c r="K66" s="373"/>
      <x:c r="L66" s="373"/>
      <x:c r="M66" s="373"/>
      <x:c r="N66" s="373"/>
      <x:c r="O66" s="373"/>
      <x:c r="P66" s="373"/>
      <x:c r="Q66" s="373"/>
      <x:c r="R66" s="373"/>
      <x:c r="S66" s="373"/>
      <x:c r="T66" s="373"/>
      <x:c r="U66" s="373"/>
      <x:c r="V66" s="373"/>
      <x:c r="W66" s="373"/>
      <x:c r="X66" s="373"/>
      <x:c r="Y66" s="373"/>
      <x:c r="Z66" s="373"/>
    </x:row>
    <x:row r="67">
      <x:c r="A67" s="373"/>
      <x:c r="B67" s="373"/>
      <x:c r="C67" s="373"/>
      <x:c r="D67" s="373"/>
      <x:c r="E67" s="373"/>
      <x:c r="F67" s="373"/>
      <x:c r="G67" s="373"/>
      <x:c r="H67" s="373"/>
      <x:c r="I67" s="373"/>
      <x:c r="J67" s="373"/>
      <x:c r="K67" s="373"/>
      <x:c r="L67" s="373"/>
      <x:c r="M67" s="373"/>
      <x:c r="N67" s="373"/>
      <x:c r="O67" s="373"/>
      <x:c r="P67" s="373"/>
      <x:c r="Q67" s="373"/>
      <x:c r="R67" s="373"/>
      <x:c r="S67" s="373"/>
      <x:c r="T67" s="373"/>
      <x:c r="U67" s="373"/>
      <x:c r="V67" s="373"/>
      <x:c r="W67" s="373"/>
      <x:c r="X67" s="373"/>
      <x:c r="Y67" s="373"/>
      <x:c r="Z67" s="373"/>
    </x:row>
    <x:row r="68">
      <x:c r="A68" s="373"/>
      <x:c r="B68" s="373"/>
      <x:c r="C68" s="373"/>
      <x:c r="D68" s="373"/>
      <x:c r="E68" s="373"/>
      <x:c r="F68" s="373"/>
      <x:c r="G68" s="373"/>
      <x:c r="H68" s="373"/>
      <x:c r="I68" s="373"/>
      <x:c r="J68" s="373"/>
      <x:c r="K68" s="373"/>
      <x:c r="L68" s="373"/>
      <x:c r="M68" s="373"/>
      <x:c r="N68" s="373"/>
      <x:c r="O68" s="373"/>
      <x:c r="P68" s="373"/>
      <x:c r="Q68" s="373"/>
      <x:c r="R68" s="373"/>
      <x:c r="S68" s="373"/>
      <x:c r="T68" s="373"/>
      <x:c r="U68" s="373"/>
      <x:c r="V68" s="373"/>
      <x:c r="W68" s="373"/>
      <x:c r="X68" s="373"/>
      <x:c r="Y68" s="373"/>
      <x:c r="Z68" s="373"/>
    </x:row>
    <x:row r="69">
      <x:c r="A69" s="373"/>
      <x:c r="B69" s="373"/>
      <x:c r="C69" s="373"/>
      <x:c r="D69" s="373"/>
      <x:c r="E69" s="373"/>
      <x:c r="F69" s="373"/>
      <x:c r="G69" s="373"/>
      <x:c r="H69" s="373"/>
      <x:c r="I69" s="373"/>
      <x:c r="J69" s="373"/>
      <x:c r="K69" s="373"/>
      <x:c r="L69" s="373"/>
      <x:c r="M69" s="373"/>
      <x:c r="N69" s="373"/>
      <x:c r="O69" s="373"/>
      <x:c r="P69" s="373"/>
      <x:c r="Q69" s="373"/>
      <x:c r="R69" s="373"/>
      <x:c r="S69" s="373"/>
      <x:c r="T69" s="373"/>
      <x:c r="U69" s="373"/>
      <x:c r="V69" s="373"/>
      <x:c r="W69" s="373"/>
      <x:c r="X69" s="373"/>
      <x:c r="Y69" s="373"/>
      <x:c r="Z69" s="373"/>
    </x:row>
    <x:row r="70">
      <x:c r="A70" s="373"/>
      <x:c r="B70" s="373"/>
      <x:c r="C70" s="373"/>
      <x:c r="D70" s="373"/>
      <x:c r="E70" s="373"/>
      <x:c r="F70" s="373"/>
      <x:c r="G70" s="373"/>
      <x:c r="H70" s="373"/>
      <x:c r="I70" s="373"/>
      <x:c r="J70" s="373"/>
      <x:c r="K70" s="373"/>
      <x:c r="L70" s="373"/>
      <x:c r="M70" s="373"/>
      <x:c r="N70" s="373"/>
      <x:c r="O70" s="373"/>
      <x:c r="P70" s="373"/>
      <x:c r="Q70" s="373"/>
      <x:c r="R70" s="373"/>
      <x:c r="S70" s="373"/>
      <x:c r="T70" s="373"/>
      <x:c r="U70" s="373"/>
      <x:c r="V70" s="373"/>
      <x:c r="W70" s="373"/>
      <x:c r="X70" s="373"/>
      <x:c r="Y70" s="373"/>
      <x:c r="Z70" s="373"/>
    </x:row>
    <x:row r="71">
      <x:c r="A71" s="373"/>
      <x:c r="B71" s="373"/>
      <x:c r="C71" s="373"/>
      <x:c r="D71" s="373"/>
      <x:c r="E71" s="373"/>
      <x:c r="F71" s="373"/>
      <x:c r="G71" s="373"/>
      <x:c r="H71" s="373"/>
      <x:c r="I71" s="373"/>
      <x:c r="J71" s="373"/>
      <x:c r="K71" s="373"/>
      <x:c r="L71" s="373"/>
      <x:c r="M71" s="373"/>
      <x:c r="N71" s="373"/>
      <x:c r="O71" s="373"/>
      <x:c r="P71" s="373"/>
      <x:c r="Q71" s="373"/>
      <x:c r="R71" s="373"/>
      <x:c r="S71" s="373"/>
      <x:c r="T71" s="373"/>
      <x:c r="U71" s="373"/>
      <x:c r="V71" s="373"/>
      <x:c r="W71" s="373"/>
      <x:c r="X71" s="373"/>
      <x:c r="Y71" s="373"/>
      <x:c r="Z71" s="373"/>
    </x:row>
    <x:row r="72">
      <x:c r="A72" s="373"/>
      <x:c r="B72" s="373"/>
      <x:c r="C72" s="373"/>
      <x:c r="D72" s="373"/>
      <x:c r="E72" s="373"/>
      <x:c r="F72" s="373"/>
      <x:c r="G72" s="373"/>
      <x:c r="H72" s="373"/>
      <x:c r="I72" s="373"/>
      <x:c r="J72" s="373"/>
      <x:c r="K72" s="373"/>
      <x:c r="L72" s="373"/>
      <x:c r="M72" s="373"/>
      <x:c r="N72" s="373"/>
      <x:c r="O72" s="373"/>
      <x:c r="P72" s="373"/>
      <x:c r="Q72" s="373"/>
      <x:c r="R72" s="373"/>
      <x:c r="S72" s="373"/>
      <x:c r="T72" s="373"/>
      <x:c r="U72" s="373"/>
      <x:c r="V72" s="373"/>
      <x:c r="W72" s="373"/>
      <x:c r="X72" s="373"/>
      <x:c r="Y72" s="373"/>
      <x:c r="Z72" s="373"/>
    </x:row>
    <x:row r="73">
      <x:c r="A73" s="373"/>
      <x:c r="B73" s="373"/>
      <x:c r="C73" s="373"/>
      <x:c r="D73" s="373"/>
      <x:c r="E73" s="373"/>
      <x:c r="F73" s="373"/>
      <x:c r="G73" s="373"/>
      <x:c r="H73" s="373"/>
      <x:c r="I73" s="373"/>
      <x:c r="J73" s="373"/>
      <x:c r="K73" s="373"/>
      <x:c r="L73" s="373"/>
      <x:c r="M73" s="373"/>
      <x:c r="N73" s="373"/>
      <x:c r="O73" s="373"/>
      <x:c r="P73" s="373"/>
      <x:c r="Q73" s="373"/>
      <x:c r="R73" s="373"/>
      <x:c r="S73" s="373"/>
      <x:c r="T73" s="373"/>
      <x:c r="U73" s="373"/>
      <x:c r="V73" s="373"/>
      <x:c r="W73" s="373"/>
      <x:c r="X73" s="373"/>
      <x:c r="Y73" s="373"/>
      <x:c r="Z73" s="373"/>
    </x:row>
    <x:row r="74">
      <x:c r="A74" s="373"/>
      <x:c r="B74" s="373"/>
      <x:c r="C74" s="373"/>
      <x:c r="D74" s="373"/>
      <x:c r="E74" s="373"/>
      <x:c r="F74" s="373"/>
      <x:c r="G74" s="373"/>
      <x:c r="H74" s="373"/>
      <x:c r="I74" s="373"/>
      <x:c r="J74" s="373"/>
      <x:c r="K74" s="373"/>
      <x:c r="L74" s="373"/>
      <x:c r="M74" s="373"/>
      <x:c r="N74" s="373"/>
      <x:c r="O74" s="373"/>
      <x:c r="P74" s="373"/>
      <x:c r="Q74" s="373"/>
      <x:c r="R74" s="373"/>
      <x:c r="S74" s="373"/>
      <x:c r="T74" s="373"/>
      <x:c r="U74" s="373"/>
      <x:c r="V74" s="373"/>
      <x:c r="W74" s="373"/>
      <x:c r="X74" s="373"/>
      <x:c r="Y74" s="373"/>
      <x:c r="Z74" s="373"/>
    </x:row>
    <x:row r="75">
      <x:c r="A75" s="373"/>
      <x:c r="B75" s="373"/>
      <x:c r="C75" s="373"/>
      <x:c r="D75" s="373"/>
      <x:c r="E75" s="373"/>
      <x:c r="F75" s="373"/>
      <x:c r="G75" s="373"/>
      <x:c r="H75" s="373"/>
      <x:c r="I75" s="373"/>
      <x:c r="J75" s="373"/>
      <x:c r="K75" s="373"/>
      <x:c r="L75" s="373"/>
      <x:c r="M75" s="373"/>
      <x:c r="N75" s="373"/>
      <x:c r="O75" s="373"/>
      <x:c r="P75" s="373"/>
      <x:c r="Q75" s="373"/>
      <x:c r="R75" s="373"/>
      <x:c r="S75" s="373"/>
      <x:c r="T75" s="373"/>
      <x:c r="U75" s="373"/>
      <x:c r="V75" s="373"/>
      <x:c r="W75" s="373"/>
      <x:c r="X75" s="373"/>
      <x:c r="Y75" s="373"/>
      <x:c r="Z75" s="373"/>
    </x:row>
    <x:row r="76">
      <x:c r="A76" s="373"/>
      <x:c r="B76" s="373"/>
      <x:c r="C76" s="373"/>
      <x:c r="D76" s="373"/>
      <x:c r="E76" s="373"/>
      <x:c r="F76" s="373"/>
      <x:c r="G76" s="373"/>
      <x:c r="H76" s="373"/>
      <x:c r="I76" s="373"/>
      <x:c r="J76" s="373"/>
      <x:c r="K76" s="373"/>
      <x:c r="L76" s="373"/>
      <x:c r="M76" s="373"/>
      <x:c r="N76" s="373"/>
      <x:c r="O76" s="373"/>
      <x:c r="P76" s="373"/>
      <x:c r="Q76" s="373"/>
      <x:c r="R76" s="373"/>
      <x:c r="S76" s="373"/>
      <x:c r="T76" s="373"/>
      <x:c r="U76" s="373"/>
      <x:c r="V76" s="373"/>
      <x:c r="W76" s="373"/>
      <x:c r="X76" s="373"/>
      <x:c r="Y76" s="373"/>
      <x:c r="Z76" s="373"/>
    </x:row>
    <x:row r="77">
      <x:c r="A77" s="373"/>
      <x:c r="B77" s="373"/>
      <x:c r="C77" s="373"/>
      <x:c r="D77" s="373"/>
      <x:c r="E77" s="373"/>
      <x:c r="F77" s="373"/>
      <x:c r="G77" s="373"/>
      <x:c r="H77" s="373"/>
      <x:c r="I77" s="373"/>
      <x:c r="J77" s="373"/>
      <x:c r="K77" s="373"/>
      <x:c r="L77" s="373"/>
      <x:c r="M77" s="373"/>
      <x:c r="N77" s="373"/>
      <x:c r="O77" s="373"/>
      <x:c r="P77" s="373"/>
      <x:c r="Q77" s="373"/>
      <x:c r="R77" s="373"/>
      <x:c r="S77" s="373"/>
      <x:c r="T77" s="373"/>
      <x:c r="U77" s="373"/>
      <x:c r="V77" s="373"/>
      <x:c r="W77" s="373"/>
      <x:c r="X77" s="373"/>
      <x:c r="Y77" s="373"/>
      <x:c r="Z77" s="373"/>
    </x:row>
    <x:row r="78">
      <x:c r="A78" s="373"/>
      <x:c r="B78" s="373"/>
      <x:c r="C78" s="373"/>
      <x:c r="D78" s="373"/>
      <x:c r="E78" s="373"/>
      <x:c r="F78" s="373"/>
      <x:c r="G78" s="373"/>
      <x:c r="H78" s="373"/>
      <x:c r="I78" s="373"/>
      <x:c r="J78" s="373"/>
      <x:c r="K78" s="373"/>
      <x:c r="L78" s="373"/>
      <x:c r="M78" s="373"/>
      <x:c r="N78" s="373"/>
      <x:c r="O78" s="373"/>
      <x:c r="P78" s="373"/>
      <x:c r="Q78" s="373"/>
      <x:c r="R78" s="373"/>
      <x:c r="S78" s="373"/>
      <x:c r="T78" s="373"/>
      <x:c r="U78" s="373"/>
      <x:c r="V78" s="373"/>
      <x:c r="W78" s="373"/>
      <x:c r="X78" s="373"/>
      <x:c r="Y78" s="373"/>
      <x:c r="Z78" s="373"/>
    </x:row>
    <x:row r="79">
      <x:c r="A79" s="373"/>
      <x:c r="B79" s="373"/>
      <x:c r="C79" s="373"/>
      <x:c r="D79" s="373"/>
      <x:c r="E79" s="373"/>
      <x:c r="F79" s="373"/>
      <x:c r="G79" s="373"/>
      <x:c r="H79" s="373"/>
      <x:c r="I79" s="373"/>
      <x:c r="J79" s="373"/>
      <x:c r="K79" s="373"/>
      <x:c r="L79" s="373"/>
      <x:c r="M79" s="373"/>
      <x:c r="N79" s="373"/>
      <x:c r="O79" s="373"/>
      <x:c r="P79" s="373"/>
      <x:c r="Q79" s="373"/>
      <x:c r="R79" s="373"/>
      <x:c r="S79" s="373"/>
      <x:c r="T79" s="373"/>
      <x:c r="U79" s="373"/>
      <x:c r="V79" s="373"/>
      <x:c r="W79" s="373"/>
      <x:c r="X79" s="373"/>
      <x:c r="Y79" s="373"/>
      <x:c r="Z79" s="373"/>
    </x:row>
    <x:row r="80">
      <x:c r="A80" s="373"/>
      <x:c r="B80" s="373"/>
      <x:c r="C80" s="373"/>
      <x:c r="D80" s="373"/>
      <x:c r="E80" s="373"/>
      <x:c r="F80" s="373"/>
      <x:c r="G80" s="373"/>
      <x:c r="H80" s="373"/>
      <x:c r="I80" s="373"/>
      <x:c r="J80" s="373"/>
      <x:c r="K80" s="373"/>
      <x:c r="L80" s="373"/>
      <x:c r="M80" s="373"/>
      <x:c r="N80" s="373"/>
      <x:c r="O80" s="373"/>
      <x:c r="P80" s="373"/>
      <x:c r="Q80" s="373"/>
      <x:c r="R80" s="373"/>
      <x:c r="S80" s="373"/>
      <x:c r="T80" s="373"/>
      <x:c r="U80" s="373"/>
      <x:c r="V80" s="373"/>
      <x:c r="W80" s="373"/>
      <x:c r="X80" s="373"/>
      <x:c r="Y80" s="373"/>
      <x:c r="Z80" s="373"/>
    </x:row>
    <x:row r="81">
      <x:c r="A81" s="373"/>
      <x:c r="B81" s="373"/>
      <x:c r="C81" s="373"/>
      <x:c r="D81" s="373"/>
      <x:c r="E81" s="373"/>
      <x:c r="F81" s="373"/>
      <x:c r="G81" s="373"/>
      <x:c r="H81" s="373"/>
      <x:c r="I81" s="373"/>
      <x:c r="J81" s="373"/>
      <x:c r="K81" s="373"/>
      <x:c r="L81" s="373"/>
      <x:c r="M81" s="373"/>
      <x:c r="N81" s="373"/>
      <x:c r="O81" s="373"/>
      <x:c r="P81" s="373"/>
      <x:c r="Q81" s="373"/>
      <x:c r="R81" s="373"/>
      <x:c r="S81" s="373"/>
      <x:c r="T81" s="373"/>
      <x:c r="U81" s="373"/>
      <x:c r="V81" s="373"/>
      <x:c r="W81" s="373"/>
      <x:c r="X81" s="373"/>
      <x:c r="Y81" s="373"/>
      <x:c r="Z81" s="373"/>
    </x:row>
    <x:row r="82">
      <x:c r="A82" s="373"/>
      <x:c r="B82" s="373"/>
      <x:c r="C82" s="373"/>
      <x:c r="D82" s="373"/>
      <x:c r="E82" s="373"/>
      <x:c r="F82" s="373"/>
      <x:c r="G82" s="373"/>
      <x:c r="H82" s="373"/>
      <x:c r="I82" s="373"/>
      <x:c r="J82" s="373"/>
      <x:c r="K82" s="373"/>
      <x:c r="L82" s="373"/>
      <x:c r="M82" s="373"/>
      <x:c r="N82" s="373"/>
      <x:c r="O82" s="373"/>
      <x:c r="P82" s="373"/>
      <x:c r="Q82" s="373"/>
      <x:c r="R82" s="373"/>
      <x:c r="S82" s="373"/>
      <x:c r="T82" s="373"/>
      <x:c r="U82" s="373"/>
      <x:c r="V82" s="373"/>
      <x:c r="W82" s="373"/>
      <x:c r="X82" s="373"/>
      <x:c r="Y82" s="373"/>
      <x:c r="Z82" s="373"/>
    </x:row>
    <x:row r="83">
      <x:c r="A83" s="373"/>
      <x:c r="B83" s="373"/>
      <x:c r="C83" s="373"/>
      <x:c r="D83" s="373"/>
      <x:c r="E83" s="373"/>
      <x:c r="F83" s="373"/>
      <x:c r="G83" s="373"/>
      <x:c r="H83" s="373"/>
      <x:c r="I83" s="373"/>
      <x:c r="J83" s="373"/>
      <x:c r="K83" s="373"/>
      <x:c r="L83" s="373"/>
      <x:c r="M83" s="373"/>
      <x:c r="N83" s="373"/>
      <x:c r="O83" s="373"/>
      <x:c r="P83" s="373"/>
      <x:c r="Q83" s="373"/>
      <x:c r="R83" s="373"/>
      <x:c r="S83" s="373"/>
      <x:c r="T83" s="373"/>
      <x:c r="U83" s="373"/>
      <x:c r="V83" s="373"/>
      <x:c r="W83" s="373"/>
      <x:c r="X83" s="373"/>
      <x:c r="Y83" s="373"/>
      <x:c r="Z83" s="373"/>
    </x:row>
    <x:row r="84">
      <x:c r="A84" s="373"/>
      <x:c r="B84" s="373"/>
      <x:c r="C84" s="373"/>
      <x:c r="D84" s="373"/>
      <x:c r="E84" s="373"/>
      <x:c r="F84" s="373"/>
      <x:c r="G84" s="373"/>
      <x:c r="H84" s="373"/>
      <x:c r="I84" s="373"/>
      <x:c r="J84" s="373"/>
      <x:c r="K84" s="373"/>
      <x:c r="L84" s="373"/>
      <x:c r="M84" s="373"/>
      <x:c r="N84" s="373"/>
      <x:c r="O84" s="373"/>
      <x:c r="P84" s="373"/>
      <x:c r="Q84" s="373"/>
      <x:c r="R84" s="373"/>
      <x:c r="S84" s="373"/>
      <x:c r="T84" s="373"/>
      <x:c r="U84" s="373"/>
      <x:c r="V84" s="373"/>
      <x:c r="W84" s="373"/>
      <x:c r="X84" s="373"/>
      <x:c r="Y84" s="373"/>
      <x:c r="Z84" s="373"/>
    </x:row>
    <x:row r="85">
      <x:c r="A85" s="373"/>
      <x:c r="B85" s="373"/>
      <x:c r="C85" s="373"/>
      <x:c r="D85" s="373"/>
      <x:c r="E85" s="373"/>
      <x:c r="F85" s="373"/>
      <x:c r="G85" s="373"/>
      <x:c r="H85" s="373"/>
      <x:c r="I85" s="373"/>
      <x:c r="J85" s="373"/>
      <x:c r="K85" s="373"/>
      <x:c r="L85" s="373"/>
      <x:c r="M85" s="373"/>
      <x:c r="N85" s="373"/>
      <x:c r="O85" s="373"/>
      <x:c r="P85" s="373"/>
      <x:c r="Q85" s="373"/>
      <x:c r="R85" s="373"/>
      <x:c r="S85" s="373"/>
      <x:c r="T85" s="373"/>
      <x:c r="U85" s="373"/>
      <x:c r="V85" s="373"/>
      <x:c r="W85" s="373"/>
      <x:c r="X85" s="373"/>
      <x:c r="Y85" s="373"/>
      <x:c r="Z85" s="373"/>
    </x:row>
    <x:row r="86">
      <x:c r="A86" s="373"/>
      <x:c r="B86" s="373"/>
      <x:c r="C86" s="373"/>
      <x:c r="D86" s="373"/>
      <x:c r="E86" s="373"/>
      <x:c r="F86" s="373"/>
      <x:c r="G86" s="373"/>
      <x:c r="H86" s="373"/>
      <x:c r="I86" s="373"/>
      <x:c r="J86" s="373"/>
      <x:c r="K86" s="373"/>
      <x:c r="L86" s="373"/>
      <x:c r="M86" s="373"/>
      <x:c r="N86" s="373"/>
      <x:c r="O86" s="373"/>
      <x:c r="P86" s="373"/>
      <x:c r="Q86" s="373"/>
      <x:c r="R86" s="373"/>
      <x:c r="S86" s="373"/>
      <x:c r="T86" s="373"/>
      <x:c r="U86" s="373"/>
      <x:c r="V86" s="373"/>
      <x:c r="W86" s="373"/>
      <x:c r="X86" s="373"/>
      <x:c r="Y86" s="373"/>
      <x:c r="Z86" s="373"/>
    </x:row>
    <x:row r="87">
      <x:c r="A87" s="373"/>
      <x:c r="B87" s="373"/>
      <x:c r="C87" s="373"/>
      <x:c r="D87" s="373"/>
      <x:c r="E87" s="373"/>
      <x:c r="F87" s="373"/>
      <x:c r="G87" s="373"/>
      <x:c r="H87" s="373"/>
      <x:c r="I87" s="373"/>
      <x:c r="J87" s="373"/>
      <x:c r="K87" s="373"/>
      <x:c r="L87" s="373"/>
      <x:c r="M87" s="373"/>
      <x:c r="N87" s="373"/>
      <x:c r="O87" s="373"/>
      <x:c r="P87" s="373"/>
      <x:c r="Q87" s="373"/>
      <x:c r="R87" s="373"/>
      <x:c r="S87" s="373"/>
      <x:c r="T87" s="373"/>
      <x:c r="U87" s="373"/>
      <x:c r="V87" s="373"/>
      <x:c r="W87" s="373"/>
      <x:c r="X87" s="373"/>
      <x:c r="Y87" s="373"/>
      <x:c r="Z87" s="373"/>
    </x:row>
    <x:row r="88">
      <x:c r="A88" s="373"/>
      <x:c r="B88" s="373"/>
      <x:c r="C88" s="373"/>
      <x:c r="D88" s="373"/>
      <x:c r="E88" s="373"/>
      <x:c r="F88" s="373"/>
      <x:c r="G88" s="373"/>
      <x:c r="H88" s="373"/>
      <x:c r="I88" s="373"/>
      <x:c r="J88" s="373"/>
      <x:c r="K88" s="373"/>
      <x:c r="L88" s="373"/>
      <x:c r="M88" s="373"/>
      <x:c r="N88" s="373"/>
      <x:c r="O88" s="373"/>
      <x:c r="P88" s="373"/>
      <x:c r="Q88" s="373"/>
      <x:c r="R88" s="373"/>
      <x:c r="S88" s="373"/>
      <x:c r="T88" s="373"/>
      <x:c r="U88" s="373"/>
      <x:c r="V88" s="373"/>
      <x:c r="W88" s="373"/>
      <x:c r="X88" s="373"/>
      <x:c r="Y88" s="373"/>
      <x:c r="Z88" s="373"/>
    </x:row>
    <x:row r="89">
      <x:c r="A89" s="373"/>
      <x:c r="B89" s="373"/>
      <x:c r="C89" s="373"/>
      <x:c r="D89" s="373"/>
      <x:c r="E89" s="373"/>
      <x:c r="F89" s="373"/>
      <x:c r="G89" s="373"/>
      <x:c r="H89" s="373"/>
      <x:c r="I89" s="373"/>
      <x:c r="J89" s="373"/>
      <x:c r="K89" s="373"/>
      <x:c r="L89" s="373"/>
      <x:c r="M89" s="373"/>
      <x:c r="N89" s="373"/>
      <x:c r="O89" s="373"/>
      <x:c r="P89" s="373"/>
      <x:c r="Q89" s="373"/>
      <x:c r="R89" s="373"/>
      <x:c r="S89" s="373"/>
      <x:c r="T89" s="373"/>
      <x:c r="U89" s="373"/>
      <x:c r="V89" s="373"/>
      <x:c r="W89" s="373"/>
      <x:c r="X89" s="373"/>
      <x:c r="Y89" s="373"/>
      <x:c r="Z89" s="373"/>
    </x:row>
    <x:row r="90">
      <x:c r="A90" s="373"/>
      <x:c r="B90" s="373"/>
      <x:c r="C90" s="373"/>
      <x:c r="D90" s="373"/>
      <x:c r="E90" s="373"/>
      <x:c r="F90" s="373"/>
      <x:c r="G90" s="373"/>
      <x:c r="H90" s="373"/>
      <x:c r="I90" s="373"/>
      <x:c r="J90" s="373"/>
      <x:c r="K90" s="373"/>
      <x:c r="L90" s="373"/>
      <x:c r="M90" s="373"/>
      <x:c r="N90" s="373"/>
      <x:c r="O90" s="373"/>
      <x:c r="P90" s="373"/>
      <x:c r="Q90" s="373"/>
      <x:c r="R90" s="373"/>
      <x:c r="S90" s="373"/>
      <x:c r="T90" s="373"/>
      <x:c r="U90" s="373"/>
      <x:c r="V90" s="373"/>
      <x:c r="W90" s="373"/>
      <x:c r="X90" s="373"/>
      <x:c r="Y90" s="373"/>
      <x:c r="Z90" s="373"/>
    </x:row>
    <x:row r="91">
      <x:c r="A91" s="373"/>
      <x:c r="B91" s="373"/>
      <x:c r="C91" s="373"/>
      <x:c r="D91" s="373"/>
      <x:c r="E91" s="373"/>
      <x:c r="F91" s="373"/>
      <x:c r="G91" s="373"/>
      <x:c r="H91" s="373"/>
      <x:c r="I91" s="373"/>
      <x:c r="J91" s="373"/>
      <x:c r="K91" s="373"/>
      <x:c r="L91" s="373"/>
      <x:c r="M91" s="373"/>
      <x:c r="N91" s="373"/>
      <x:c r="O91" s="373"/>
      <x:c r="P91" s="373"/>
      <x:c r="Q91" s="373"/>
      <x:c r="R91" s="373"/>
      <x:c r="S91" s="373"/>
      <x:c r="T91" s="373"/>
      <x:c r="U91" s="373"/>
      <x:c r="V91" s="373"/>
      <x:c r="W91" s="373"/>
      <x:c r="X91" s="373"/>
      <x:c r="Y91" s="373"/>
      <x:c r="Z91" s="373"/>
    </x:row>
    <x:row r="92">
      <x:c r="A92" s="373"/>
      <x:c r="B92" s="373"/>
      <x:c r="C92" s="373"/>
      <x:c r="D92" s="373"/>
      <x:c r="E92" s="373"/>
      <x:c r="F92" s="373"/>
      <x:c r="G92" s="373"/>
      <x:c r="H92" s="373"/>
      <x:c r="I92" s="373"/>
      <x:c r="J92" s="373"/>
      <x:c r="K92" s="373"/>
      <x:c r="L92" s="373"/>
      <x:c r="M92" s="373"/>
      <x:c r="N92" s="373"/>
      <x:c r="O92" s="373"/>
      <x:c r="P92" s="373"/>
      <x:c r="Q92" s="373"/>
      <x:c r="R92" s="373"/>
      <x:c r="S92" s="373"/>
      <x:c r="T92" s="373"/>
      <x:c r="U92" s="373"/>
      <x:c r="V92" s="373"/>
      <x:c r="W92" s="373"/>
      <x:c r="X92" s="373"/>
      <x:c r="Y92" s="373"/>
      <x:c r="Z92" s="373"/>
    </x:row>
    <x:row r="93">
      <x:c r="A93" s="373"/>
      <x:c r="B93" s="373"/>
      <x:c r="C93" s="373"/>
      <x:c r="D93" s="373"/>
      <x:c r="E93" s="373"/>
      <x:c r="F93" s="373"/>
      <x:c r="G93" s="373"/>
      <x:c r="H93" s="373"/>
      <x:c r="I93" s="373"/>
      <x:c r="J93" s="373"/>
      <x:c r="K93" s="373"/>
      <x:c r="L93" s="373"/>
      <x:c r="M93" s="373"/>
      <x:c r="N93" s="373"/>
      <x:c r="O93" s="373"/>
      <x:c r="P93" s="373"/>
      <x:c r="Q93" s="373"/>
      <x:c r="R93" s="373"/>
      <x:c r="S93" s="373"/>
      <x:c r="T93" s="373"/>
      <x:c r="U93" s="373"/>
      <x:c r="V93" s="373"/>
      <x:c r="W93" s="373"/>
      <x:c r="X93" s="373"/>
      <x:c r="Y93" s="373"/>
      <x:c r="Z93" s="373"/>
    </x:row>
    <x:row r="94">
      <x:c r="A94" s="373"/>
      <x:c r="B94" s="373"/>
      <x:c r="C94" s="373"/>
      <x:c r="D94" s="373"/>
      <x:c r="E94" s="373"/>
      <x:c r="F94" s="373"/>
      <x:c r="G94" s="373"/>
      <x:c r="H94" s="373"/>
      <x:c r="I94" s="373"/>
      <x:c r="J94" s="373"/>
      <x:c r="K94" s="373"/>
      <x:c r="L94" s="373"/>
      <x:c r="M94" s="373"/>
      <x:c r="N94" s="373"/>
      <x:c r="O94" s="373"/>
      <x:c r="P94" s="373"/>
      <x:c r="Q94" s="373"/>
      <x:c r="R94" s="373"/>
      <x:c r="S94" s="373"/>
      <x:c r="T94" s="373"/>
      <x:c r="U94" s="373"/>
      <x:c r="V94" s="373"/>
      <x:c r="W94" s="373"/>
      <x:c r="X94" s="373"/>
      <x:c r="Y94" s="373"/>
      <x:c r="Z94" s="373"/>
    </x:row>
    <x:row r="95">
      <x:c r="A95" s="373"/>
      <x:c r="B95" s="373"/>
      <x:c r="C95" s="373"/>
      <x:c r="D95" s="373"/>
      <x:c r="E95" s="373"/>
      <x:c r="F95" s="373"/>
      <x:c r="G95" s="373"/>
      <x:c r="H95" s="373"/>
      <x:c r="I95" s="373"/>
      <x:c r="J95" s="373"/>
      <x:c r="K95" s="373"/>
      <x:c r="L95" s="373"/>
      <x:c r="M95" s="373"/>
      <x:c r="N95" s="373"/>
      <x:c r="O95" s="373"/>
      <x:c r="P95" s="373"/>
      <x:c r="Q95" s="373"/>
      <x:c r="R95" s="373"/>
      <x:c r="S95" s="373"/>
      <x:c r="T95" s="373"/>
      <x:c r="U95" s="373"/>
      <x:c r="V95" s="373"/>
      <x:c r="W95" s="373"/>
      <x:c r="X95" s="373"/>
      <x:c r="Y95" s="373"/>
      <x:c r="Z95" s="373"/>
    </x:row>
    <x:row r="96">
      <x:c r="A96" s="373"/>
      <x:c r="B96" s="373"/>
      <x:c r="C96" s="373"/>
      <x:c r="D96" s="373"/>
      <x:c r="E96" s="373"/>
      <x:c r="F96" s="373"/>
      <x:c r="G96" s="373"/>
      <x:c r="H96" s="373"/>
      <x:c r="I96" s="373"/>
      <x:c r="J96" s="373"/>
      <x:c r="K96" s="373"/>
      <x:c r="L96" s="373"/>
      <x:c r="M96" s="373"/>
      <x:c r="N96" s="373"/>
      <x:c r="O96" s="373"/>
      <x:c r="P96" s="373"/>
      <x:c r="Q96" s="373"/>
      <x:c r="R96" s="373"/>
      <x:c r="S96" s="373"/>
      <x:c r="T96" s="373"/>
      <x:c r="U96" s="373"/>
      <x:c r="V96" s="373"/>
      <x:c r="W96" s="373"/>
      <x:c r="X96" s="373"/>
      <x:c r="Y96" s="373"/>
      <x:c r="Z96" s="373"/>
    </x:row>
    <x:row r="97">
      <x:c r="A97" s="373"/>
      <x:c r="B97" s="373"/>
      <x:c r="C97" s="373"/>
      <x:c r="D97" s="373"/>
      <x:c r="E97" s="373"/>
      <x:c r="F97" s="373"/>
      <x:c r="G97" s="373"/>
      <x:c r="H97" s="373"/>
      <x:c r="I97" s="373"/>
      <x:c r="J97" s="373"/>
      <x:c r="K97" s="373"/>
      <x:c r="L97" s="373"/>
      <x:c r="M97" s="373"/>
      <x:c r="N97" s="373"/>
      <x:c r="O97" s="373"/>
      <x:c r="P97" s="373"/>
      <x:c r="Q97" s="373"/>
      <x:c r="R97" s="373"/>
      <x:c r="S97" s="373"/>
      <x:c r="T97" s="373"/>
      <x:c r="U97" s="373"/>
      <x:c r="V97" s="373"/>
      <x:c r="W97" s="373"/>
      <x:c r="X97" s="373"/>
      <x:c r="Y97" s="373"/>
      <x:c r="Z97" s="373"/>
    </x:row>
    <x:row r="98">
      <x:c r="A98" s="373"/>
      <x:c r="B98" s="373"/>
      <x:c r="C98" s="373"/>
      <x:c r="D98" s="373"/>
      <x:c r="E98" s="373"/>
      <x:c r="F98" s="373"/>
      <x:c r="G98" s="373"/>
      <x:c r="H98" s="373"/>
      <x:c r="I98" s="373"/>
      <x:c r="J98" s="373"/>
      <x:c r="K98" s="373"/>
      <x:c r="L98" s="373"/>
      <x:c r="M98" s="373"/>
      <x:c r="N98" s="373"/>
      <x:c r="O98" s="373"/>
      <x:c r="P98" s="373"/>
      <x:c r="Q98" s="373"/>
      <x:c r="R98" s="373"/>
      <x:c r="S98" s="373"/>
      <x:c r="T98" s="373"/>
      <x:c r="U98" s="373"/>
      <x:c r="V98" s="373"/>
      <x:c r="W98" s="373"/>
      <x:c r="X98" s="373"/>
      <x:c r="Y98" s="373"/>
      <x:c r="Z98" s="373"/>
    </x:row>
    <x:row r="99">
      <x:c r="A99" s="373"/>
      <x:c r="B99" s="373"/>
      <x:c r="C99" s="373"/>
      <x:c r="D99" s="373"/>
      <x:c r="E99" s="373"/>
      <x:c r="F99" s="373"/>
      <x:c r="G99" s="373"/>
      <x:c r="H99" s="373"/>
      <x:c r="I99" s="373"/>
      <x:c r="J99" s="373"/>
      <x:c r="K99" s="373"/>
      <x:c r="L99" s="373"/>
      <x:c r="M99" s="373"/>
      <x:c r="N99" s="373"/>
      <x:c r="O99" s="373"/>
      <x:c r="P99" s="373"/>
      <x:c r="Q99" s="373"/>
      <x:c r="R99" s="373"/>
      <x:c r="S99" s="373"/>
      <x:c r="T99" s="373"/>
      <x:c r="U99" s="373"/>
      <x:c r="V99" s="373"/>
      <x:c r="W99" s="373"/>
      <x:c r="X99" s="373"/>
      <x:c r="Y99" s="373"/>
      <x:c r="Z99" s="373"/>
    </x:row>
    <x:row r="100">
      <x:c r="A100" s="373"/>
      <x:c r="B100" s="373"/>
      <x:c r="C100" s="373"/>
      <x:c r="D100" s="373"/>
      <x:c r="E100" s="373"/>
      <x:c r="F100" s="373"/>
      <x:c r="G100" s="373"/>
      <x:c r="H100" s="373"/>
      <x:c r="I100" s="373"/>
      <x:c r="J100" s="373"/>
      <x:c r="K100" s="373"/>
      <x:c r="L100" s="373"/>
      <x:c r="M100" s="373"/>
      <x:c r="N100" s="373"/>
      <x:c r="O100" s="373"/>
      <x:c r="P100" s="373"/>
      <x:c r="Q100" s="373"/>
      <x:c r="R100" s="373"/>
      <x:c r="S100" s="373"/>
      <x:c r="T100" s="373"/>
      <x:c r="U100" s="373"/>
      <x:c r="V100" s="373"/>
      <x:c r="W100" s="373"/>
      <x:c r="X100" s="373"/>
      <x:c r="Y100" s="373"/>
      <x:c r="Z100" s="373"/>
    </x:row>
    <x:row r="101">
      <x:c r="A101" s="373"/>
      <x:c r="B101" s="373"/>
      <x:c r="C101" s="373"/>
      <x:c r="D101" s="373"/>
      <x:c r="E101" s="373"/>
      <x:c r="F101" s="373"/>
      <x:c r="G101" s="373"/>
      <x:c r="H101" s="373"/>
      <x:c r="I101" s="373"/>
      <x:c r="J101" s="373"/>
      <x:c r="K101" s="373"/>
      <x:c r="L101" s="373"/>
      <x:c r="M101" s="373"/>
      <x:c r="N101" s="373"/>
      <x:c r="O101" s="373"/>
      <x:c r="P101" s="373"/>
      <x:c r="Q101" s="373"/>
      <x:c r="R101" s="373"/>
      <x:c r="S101" s="373"/>
      <x:c r="T101" s="373"/>
      <x:c r="U101" s="373"/>
      <x:c r="V101" s="373"/>
      <x:c r="W101" s="373"/>
      <x:c r="X101" s="373"/>
      <x:c r="Y101" s="373"/>
      <x:c r="Z101" s="373"/>
    </x:row>
    <x:row r="102">
      <x:c r="A102" s="373"/>
      <x:c r="B102" s="373"/>
      <x:c r="C102" s="373"/>
      <x:c r="D102" s="373"/>
      <x:c r="E102" s="373"/>
      <x:c r="F102" s="373"/>
      <x:c r="G102" s="373"/>
      <x:c r="H102" s="373"/>
      <x:c r="I102" s="373"/>
      <x:c r="J102" s="373"/>
      <x:c r="K102" s="373"/>
      <x:c r="L102" s="373"/>
      <x:c r="M102" s="373"/>
      <x:c r="N102" s="373"/>
      <x:c r="O102" s="373"/>
      <x:c r="P102" s="373"/>
      <x:c r="Q102" s="373"/>
      <x:c r="R102" s="373"/>
      <x:c r="S102" s="373"/>
      <x:c r="T102" s="373"/>
      <x:c r="U102" s="373"/>
      <x:c r="V102" s="373"/>
      <x:c r="W102" s="373"/>
      <x:c r="X102" s="373"/>
      <x:c r="Y102" s="373"/>
      <x:c r="Z102" s="373"/>
    </x:row>
    <x:row r="103">
      <x:c r="A103" s="373"/>
      <x:c r="B103" s="373"/>
      <x:c r="C103" s="373"/>
      <x:c r="D103" s="373"/>
      <x:c r="E103" s="373"/>
      <x:c r="F103" s="373"/>
      <x:c r="G103" s="373"/>
      <x:c r="H103" s="373"/>
      <x:c r="I103" s="373"/>
      <x:c r="J103" s="373"/>
      <x:c r="K103" s="373"/>
      <x:c r="L103" s="373"/>
      <x:c r="M103" s="373"/>
      <x:c r="N103" s="373"/>
      <x:c r="O103" s="373"/>
      <x:c r="P103" s="373"/>
      <x:c r="Q103" s="373"/>
      <x:c r="R103" s="373"/>
      <x:c r="S103" s="373"/>
      <x:c r="T103" s="373"/>
      <x:c r="U103" s="373"/>
      <x:c r="V103" s="373"/>
      <x:c r="W103" s="373"/>
      <x:c r="X103" s="373"/>
      <x:c r="Y103" s="373"/>
      <x:c r="Z103" s="373"/>
    </x:row>
    <x:row r="104">
      <x:c r="A104" s="373"/>
      <x:c r="B104" s="373"/>
      <x:c r="C104" s="373"/>
      <x:c r="D104" s="373"/>
      <x:c r="E104" s="373"/>
      <x:c r="F104" s="373"/>
      <x:c r="G104" s="373"/>
      <x:c r="H104" s="373"/>
      <x:c r="I104" s="373"/>
      <x:c r="J104" s="373"/>
      <x:c r="K104" s="373"/>
      <x:c r="L104" s="373"/>
      <x:c r="M104" s="373"/>
      <x:c r="N104" s="373"/>
      <x:c r="O104" s="373"/>
      <x:c r="P104" s="373"/>
      <x:c r="Q104" s="373"/>
      <x:c r="R104" s="373"/>
      <x:c r="S104" s="373"/>
      <x:c r="T104" s="373"/>
      <x:c r="U104" s="373"/>
      <x:c r="V104" s="373"/>
      <x:c r="W104" s="373"/>
      <x:c r="X104" s="373"/>
      <x:c r="Y104" s="373"/>
      <x:c r="Z104" s="373"/>
    </x:row>
    <x:row r="105">
      <x:c r="A105" s="373"/>
      <x:c r="B105" s="373"/>
      <x:c r="C105" s="373"/>
      <x:c r="D105" s="373"/>
      <x:c r="E105" s="373"/>
      <x:c r="F105" s="373"/>
      <x:c r="G105" s="373"/>
      <x:c r="H105" s="373"/>
      <x:c r="I105" s="373"/>
      <x:c r="J105" s="373"/>
      <x:c r="K105" s="373"/>
      <x:c r="L105" s="373"/>
      <x:c r="M105" s="373"/>
      <x:c r="N105" s="373"/>
      <x:c r="O105" s="373"/>
      <x:c r="P105" s="373"/>
      <x:c r="Q105" s="373"/>
      <x:c r="R105" s="373"/>
      <x:c r="S105" s="373"/>
      <x:c r="T105" s="373"/>
      <x:c r="U105" s="373"/>
      <x:c r="V105" s="373"/>
      <x:c r="W105" s="373"/>
      <x:c r="X105" s="373"/>
      <x:c r="Y105" s="373"/>
      <x:c r="Z105" s="373"/>
    </x:row>
    <x:row r="106">
      <x:c r="A106" s="373"/>
      <x:c r="B106" s="373"/>
      <x:c r="C106" s="373"/>
      <x:c r="D106" s="373"/>
      <x:c r="E106" s="373"/>
      <x:c r="F106" s="373"/>
      <x:c r="G106" s="373"/>
      <x:c r="H106" s="373"/>
      <x:c r="I106" s="373"/>
      <x:c r="J106" s="373"/>
      <x:c r="K106" s="373"/>
      <x:c r="L106" s="373"/>
      <x:c r="M106" s="373"/>
      <x:c r="N106" s="373"/>
      <x:c r="O106" s="373"/>
      <x:c r="P106" s="373"/>
      <x:c r="Q106" s="373"/>
      <x:c r="R106" s="373"/>
      <x:c r="S106" s="373"/>
      <x:c r="T106" s="373"/>
      <x:c r="U106" s="373"/>
      <x:c r="V106" s="373"/>
      <x:c r="W106" s="373"/>
      <x:c r="X106" s="373"/>
      <x:c r="Y106" s="373"/>
      <x:c r="Z106" s="373"/>
    </x:row>
    <x:row r="107">
      <x:c r="A107" s="373"/>
      <x:c r="B107" s="373"/>
      <x:c r="C107" s="373"/>
      <x:c r="D107" s="373"/>
      <x:c r="E107" s="373"/>
      <x:c r="F107" s="373"/>
      <x:c r="G107" s="373"/>
      <x:c r="H107" s="373"/>
      <x:c r="I107" s="373"/>
      <x:c r="J107" s="373"/>
      <x:c r="K107" s="373"/>
      <x:c r="L107" s="373"/>
      <x:c r="M107" s="373"/>
      <x:c r="N107" s="373"/>
      <x:c r="O107" s="373"/>
      <x:c r="P107" s="373"/>
      <x:c r="Q107" s="373"/>
      <x:c r="R107" s="373"/>
      <x:c r="S107" s="373"/>
      <x:c r="T107" s="373"/>
      <x:c r="U107" s="373"/>
      <x:c r="V107" s="373"/>
      <x:c r="W107" s="373"/>
      <x:c r="X107" s="373"/>
      <x:c r="Y107" s="373"/>
      <x:c r="Z107" s="373"/>
    </x:row>
    <x:row r="108">
      <x:c r="A108" s="373"/>
      <x:c r="B108" s="373"/>
      <x:c r="C108" s="373"/>
      <x:c r="D108" s="373"/>
      <x:c r="E108" s="373"/>
      <x:c r="F108" s="373"/>
      <x:c r="G108" s="373"/>
      <x:c r="H108" s="373"/>
      <x:c r="I108" s="373"/>
      <x:c r="J108" s="373"/>
      <x:c r="K108" s="373"/>
      <x:c r="L108" s="373"/>
      <x:c r="M108" s="373"/>
      <x:c r="N108" s="373"/>
      <x:c r="O108" s="373"/>
      <x:c r="P108" s="373"/>
      <x:c r="Q108" s="373"/>
      <x:c r="R108" s="373"/>
      <x:c r="S108" s="373"/>
      <x:c r="T108" s="373"/>
      <x:c r="U108" s="373"/>
      <x:c r="V108" s="373"/>
      <x:c r="W108" s="373"/>
      <x:c r="X108" s="373"/>
      <x:c r="Y108" s="373"/>
      <x:c r="Z108" s="373"/>
    </x:row>
    <x:row r="109">
      <x:c r="A109" s="373"/>
      <x:c r="B109" s="373"/>
      <x:c r="C109" s="373"/>
      <x:c r="D109" s="373"/>
      <x:c r="E109" s="373"/>
      <x:c r="F109" s="373"/>
      <x:c r="G109" s="373"/>
      <x:c r="H109" s="373"/>
      <x:c r="I109" s="373"/>
      <x:c r="J109" s="373"/>
      <x:c r="K109" s="373"/>
      <x:c r="L109" s="373"/>
      <x:c r="M109" s="373"/>
      <x:c r="N109" s="373"/>
      <x:c r="O109" s="373"/>
      <x:c r="P109" s="373"/>
      <x:c r="Q109" s="373"/>
      <x:c r="R109" s="373"/>
      <x:c r="S109" s="373"/>
      <x:c r="T109" s="373"/>
      <x:c r="U109" s="373"/>
      <x:c r="V109" s="373"/>
      <x:c r="W109" s="373"/>
      <x:c r="X109" s="373"/>
      <x:c r="Y109" s="373"/>
      <x:c r="Z109" s="373"/>
    </x:row>
    <x:row r="110">
      <x:c r="A110" s="373"/>
      <x:c r="B110" s="373"/>
      <x:c r="C110" s="373"/>
      <x:c r="D110" s="373"/>
      <x:c r="E110" s="373"/>
      <x:c r="F110" s="373"/>
      <x:c r="G110" s="373"/>
      <x:c r="H110" s="373"/>
      <x:c r="I110" s="373"/>
      <x:c r="J110" s="373"/>
      <x:c r="K110" s="373"/>
      <x:c r="L110" s="373"/>
      <x:c r="M110" s="373"/>
      <x:c r="N110" s="373"/>
      <x:c r="O110" s="373"/>
      <x:c r="P110" s="373"/>
      <x:c r="Q110" s="373"/>
      <x:c r="R110" s="373"/>
      <x:c r="S110" s="373"/>
      <x:c r="T110" s="373"/>
      <x:c r="U110" s="373"/>
      <x:c r="V110" s="373"/>
      <x:c r="W110" s="373"/>
      <x:c r="X110" s="373"/>
      <x:c r="Y110" s="373"/>
      <x:c r="Z110" s="373"/>
    </x:row>
    <x:row r="111">
      <x:c r="A111" s="373"/>
      <x:c r="B111" s="373"/>
      <x:c r="C111" s="373"/>
      <x:c r="D111" s="373"/>
      <x:c r="E111" s="373"/>
      <x:c r="F111" s="373"/>
      <x:c r="G111" s="373"/>
      <x:c r="H111" s="373"/>
      <x:c r="I111" s="373"/>
      <x:c r="J111" s="373"/>
      <x:c r="K111" s="373"/>
      <x:c r="L111" s="373"/>
      <x:c r="M111" s="373"/>
      <x:c r="N111" s="373"/>
      <x:c r="O111" s="373"/>
      <x:c r="P111" s="373"/>
      <x:c r="Q111" s="373"/>
      <x:c r="R111" s="373"/>
      <x:c r="S111" s="373"/>
      <x:c r="T111" s="373"/>
      <x:c r="U111" s="373"/>
      <x:c r="V111" s="373"/>
      <x:c r="W111" s="373"/>
      <x:c r="X111" s="373"/>
      <x:c r="Y111" s="373"/>
      <x:c r="Z111" s="373"/>
    </x:row>
    <x:row r="112">
      <x:c r="A112" s="373"/>
      <x:c r="B112" s="373"/>
      <x:c r="C112" s="373"/>
      <x:c r="D112" s="373"/>
      <x:c r="E112" s="373"/>
      <x:c r="F112" s="373"/>
      <x:c r="G112" s="373"/>
      <x:c r="H112" s="373"/>
      <x:c r="I112" s="373"/>
      <x:c r="J112" s="373"/>
      <x:c r="K112" s="373"/>
      <x:c r="L112" s="373"/>
      <x:c r="M112" s="373"/>
      <x:c r="N112" s="373"/>
      <x:c r="O112" s="373"/>
      <x:c r="P112" s="373"/>
      <x:c r="Q112" s="373"/>
      <x:c r="R112" s="373"/>
      <x:c r="S112" s="373"/>
      <x:c r="T112" s="373"/>
      <x:c r="U112" s="373"/>
      <x:c r="V112" s="373"/>
      <x:c r="W112" s="373"/>
      <x:c r="X112" s="373"/>
      <x:c r="Y112" s="373"/>
      <x:c r="Z112" s="373"/>
    </x:row>
    <x:row r="113">
      <x:c r="A113" s="373"/>
      <x:c r="B113" s="373"/>
      <x:c r="C113" s="373"/>
      <x:c r="D113" s="373"/>
      <x:c r="E113" s="373"/>
      <x:c r="F113" s="373"/>
      <x:c r="G113" s="373"/>
      <x:c r="H113" s="373"/>
      <x:c r="I113" s="373"/>
      <x:c r="J113" s="373"/>
      <x:c r="K113" s="373"/>
      <x:c r="L113" s="373"/>
      <x:c r="M113" s="373"/>
      <x:c r="N113" s="373"/>
      <x:c r="O113" s="373"/>
      <x:c r="P113" s="373"/>
      <x:c r="Q113" s="373"/>
      <x:c r="R113" s="373"/>
      <x:c r="S113" s="373"/>
      <x:c r="T113" s="373"/>
      <x:c r="U113" s="373"/>
      <x:c r="V113" s="373"/>
      <x:c r="W113" s="373"/>
      <x:c r="X113" s="373"/>
      <x:c r="Y113" s="373"/>
      <x:c r="Z113" s="373"/>
    </x:row>
    <x:row r="114">
      <x:c r="A114" s="373"/>
      <x:c r="B114" s="373"/>
      <x:c r="C114" s="373"/>
      <x:c r="D114" s="373"/>
      <x:c r="E114" s="373"/>
      <x:c r="F114" s="373"/>
      <x:c r="G114" s="373"/>
      <x:c r="H114" s="373"/>
      <x:c r="I114" s="373"/>
      <x:c r="J114" s="373"/>
      <x:c r="K114" s="373"/>
      <x:c r="L114" s="373"/>
      <x:c r="M114" s="373"/>
      <x:c r="N114" s="373"/>
      <x:c r="O114" s="373"/>
      <x:c r="P114" s="373"/>
      <x:c r="Q114" s="373"/>
      <x:c r="R114" s="373"/>
      <x:c r="S114" s="373"/>
      <x:c r="T114" s="373"/>
      <x:c r="U114" s="373"/>
      <x:c r="V114" s="373"/>
      <x:c r="W114" s="373"/>
      <x:c r="X114" s="373"/>
      <x:c r="Y114" s="373"/>
      <x:c r="Z114" s="373"/>
    </x:row>
    <x:row r="115">
      <x:c r="A115" s="373"/>
      <x:c r="B115" s="373"/>
      <x:c r="C115" s="373"/>
      <x:c r="D115" s="373"/>
      <x:c r="E115" s="373"/>
      <x:c r="F115" s="373"/>
      <x:c r="G115" s="373"/>
      <x:c r="H115" s="373"/>
      <x:c r="I115" s="373"/>
      <x:c r="J115" s="373"/>
      <x:c r="K115" s="373"/>
      <x:c r="L115" s="373"/>
      <x:c r="M115" s="373"/>
      <x:c r="N115" s="373"/>
      <x:c r="O115" s="373"/>
      <x:c r="P115" s="373"/>
      <x:c r="Q115" s="373"/>
      <x:c r="R115" s="373"/>
      <x:c r="S115" s="373"/>
      <x:c r="T115" s="373"/>
      <x:c r="U115" s="373"/>
      <x:c r="V115" s="373"/>
      <x:c r="W115" s="373"/>
      <x:c r="X115" s="373"/>
      <x:c r="Y115" s="373"/>
      <x:c r="Z115" s="373"/>
    </x:row>
    <x:row r="116">
      <x:c r="A116" s="373"/>
      <x:c r="B116" s="373"/>
      <x:c r="C116" s="373"/>
      <x:c r="D116" s="373"/>
      <x:c r="E116" s="373"/>
      <x:c r="F116" s="373"/>
      <x:c r="G116" s="373"/>
      <x:c r="H116" s="373"/>
      <x:c r="I116" s="373"/>
      <x:c r="J116" s="373"/>
      <x:c r="K116" s="373"/>
      <x:c r="L116" s="373"/>
      <x:c r="M116" s="373"/>
      <x:c r="N116" s="373"/>
      <x:c r="O116" s="373"/>
      <x:c r="P116" s="373"/>
      <x:c r="Q116" s="373"/>
      <x:c r="R116" s="373"/>
      <x:c r="S116" s="373"/>
      <x:c r="T116" s="373"/>
      <x:c r="U116" s="373"/>
      <x:c r="V116" s="373"/>
      <x:c r="W116" s="373"/>
      <x:c r="X116" s="373"/>
      <x:c r="Y116" s="373"/>
      <x:c r="Z116" s="373"/>
    </x:row>
    <x:row r="117">
      <x:c r="A117" s="373"/>
      <x:c r="B117" s="373"/>
      <x:c r="C117" s="373"/>
      <x:c r="D117" s="373"/>
      <x:c r="E117" s="373"/>
      <x:c r="F117" s="373"/>
      <x:c r="G117" s="373"/>
      <x:c r="H117" s="373"/>
      <x:c r="I117" s="373"/>
      <x:c r="J117" s="373"/>
      <x:c r="K117" s="373"/>
      <x:c r="L117" s="373"/>
      <x:c r="M117" s="373"/>
      <x:c r="N117" s="373"/>
      <x:c r="O117" s="373"/>
      <x:c r="P117" s="373"/>
      <x:c r="Q117" s="373"/>
      <x:c r="R117" s="373"/>
      <x:c r="S117" s="373"/>
      <x:c r="T117" s="373"/>
      <x:c r="U117" s="373"/>
      <x:c r="V117" s="373"/>
      <x:c r="W117" s="373"/>
      <x:c r="X117" s="373"/>
      <x:c r="Y117" s="373"/>
      <x:c r="Z117" s="373"/>
    </x:row>
    <x:row r="118">
      <x:c r="A118" s="373"/>
      <x:c r="B118" s="373"/>
      <x:c r="C118" s="373"/>
      <x:c r="D118" s="373"/>
      <x:c r="E118" s="373"/>
      <x:c r="F118" s="373"/>
      <x:c r="G118" s="373"/>
      <x:c r="H118" s="373"/>
      <x:c r="I118" s="373"/>
      <x:c r="J118" s="373"/>
      <x:c r="K118" s="373"/>
      <x:c r="L118" s="373"/>
      <x:c r="M118" s="373"/>
      <x:c r="N118" s="373"/>
      <x:c r="O118" s="373"/>
      <x:c r="P118" s="373"/>
      <x:c r="Q118" s="373"/>
      <x:c r="R118" s="373"/>
      <x:c r="S118" s="373"/>
      <x:c r="T118" s="373"/>
      <x:c r="U118" s="373"/>
      <x:c r="V118" s="373"/>
      <x:c r="W118" s="373"/>
      <x:c r="X118" s="373"/>
      <x:c r="Y118" s="373"/>
      <x:c r="Z118" s="373"/>
    </x:row>
    <x:row r="119">
      <x:c r="A119" s="373"/>
      <x:c r="B119" s="373"/>
      <x:c r="C119" s="373"/>
      <x:c r="D119" s="373"/>
      <x:c r="E119" s="373"/>
      <x:c r="F119" s="373"/>
      <x:c r="G119" s="373"/>
      <x:c r="H119" s="373"/>
      <x:c r="I119" s="373"/>
      <x:c r="J119" s="373"/>
      <x:c r="K119" s="373"/>
      <x:c r="L119" s="373"/>
      <x:c r="M119" s="373"/>
      <x:c r="N119" s="373"/>
      <x:c r="O119" s="373"/>
      <x:c r="P119" s="373"/>
      <x:c r="Q119" s="373"/>
      <x:c r="R119" s="373"/>
      <x:c r="S119" s="373"/>
      <x:c r="T119" s="373"/>
      <x:c r="U119" s="373"/>
      <x:c r="V119" s="373"/>
      <x:c r="W119" s="373"/>
      <x:c r="X119" s="373"/>
      <x:c r="Y119" s="373"/>
      <x:c r="Z119" s="373"/>
    </x:row>
    <x:row r="120">
      <x:c r="A120" s="373"/>
      <x:c r="B120" s="373"/>
      <x:c r="C120" s="373"/>
      <x:c r="D120" s="373"/>
      <x:c r="E120" s="373"/>
      <x:c r="F120" s="373"/>
      <x:c r="G120" s="373"/>
      <x:c r="H120" s="373"/>
      <x:c r="I120" s="373"/>
      <x:c r="J120" s="373"/>
      <x:c r="K120" s="373"/>
      <x:c r="L120" s="373"/>
      <x:c r="M120" s="373"/>
      <x:c r="N120" s="373"/>
      <x:c r="O120" s="373"/>
      <x:c r="P120" s="373"/>
      <x:c r="Q120" s="373"/>
      <x:c r="R120" s="373"/>
      <x:c r="S120" s="373"/>
      <x:c r="T120" s="373"/>
      <x:c r="U120" s="373"/>
      <x:c r="V120" s="373"/>
      <x:c r="W120" s="373"/>
      <x:c r="X120" s="373"/>
      <x:c r="Y120" s="373"/>
      <x:c r="Z120" s="373"/>
    </x:row>
    <x:row r="121">
      <x:c r="A121" s="373"/>
      <x:c r="B121" s="373"/>
      <x:c r="C121" s="373"/>
      <x:c r="D121" s="373"/>
      <x:c r="E121" s="373"/>
      <x:c r="F121" s="373"/>
      <x:c r="G121" s="373"/>
      <x:c r="H121" s="373"/>
      <x:c r="I121" s="373"/>
      <x:c r="J121" s="373"/>
      <x:c r="K121" s="373"/>
      <x:c r="L121" s="373"/>
      <x:c r="M121" s="373"/>
      <x:c r="N121" s="373"/>
      <x:c r="O121" s="373"/>
      <x:c r="P121" s="373"/>
      <x:c r="Q121" s="373"/>
      <x:c r="R121" s="373"/>
      <x:c r="S121" s="373"/>
      <x:c r="T121" s="373"/>
      <x:c r="U121" s="373"/>
      <x:c r="V121" s="373"/>
      <x:c r="W121" s="373"/>
      <x:c r="X121" s="373"/>
      <x:c r="Y121" s="373"/>
      <x:c r="Z121" s="373"/>
    </x:row>
    <x:row r="122">
      <x:c r="A122" s="373"/>
      <x:c r="B122" s="373"/>
      <x:c r="C122" s="373"/>
      <x:c r="D122" s="373"/>
      <x:c r="E122" s="373"/>
      <x:c r="F122" s="373"/>
      <x:c r="G122" s="373"/>
      <x:c r="H122" s="373"/>
      <x:c r="I122" s="373"/>
      <x:c r="J122" s="373"/>
      <x:c r="K122" s="373"/>
      <x:c r="L122" s="373"/>
      <x:c r="M122" s="373"/>
      <x:c r="N122" s="373"/>
      <x:c r="O122" s="373"/>
      <x:c r="P122" s="373"/>
      <x:c r="Q122" s="373"/>
      <x:c r="R122" s="373"/>
      <x:c r="S122" s="373"/>
      <x:c r="T122" s="373"/>
      <x:c r="U122" s="373"/>
      <x:c r="V122" s="373"/>
      <x:c r="W122" s="373"/>
      <x:c r="X122" s="373"/>
      <x:c r="Y122" s="373"/>
      <x:c r="Z122" s="373"/>
    </x:row>
    <x:row r="123">
      <x:c r="A123" s="373"/>
      <x:c r="B123" s="373"/>
      <x:c r="C123" s="373"/>
      <x:c r="D123" s="373"/>
      <x:c r="E123" s="373"/>
      <x:c r="F123" s="373"/>
      <x:c r="G123" s="373"/>
      <x:c r="H123" s="373"/>
      <x:c r="I123" s="373"/>
      <x:c r="J123" s="373"/>
      <x:c r="K123" s="373"/>
      <x:c r="L123" s="373"/>
      <x:c r="M123" s="373"/>
      <x:c r="N123" s="373"/>
      <x:c r="O123" s="373"/>
      <x:c r="P123" s="373"/>
      <x:c r="Q123" s="373"/>
      <x:c r="R123" s="373"/>
      <x:c r="S123" s="373"/>
      <x:c r="T123" s="373"/>
      <x:c r="U123" s="373"/>
      <x:c r="V123" s="373"/>
      <x:c r="W123" s="373"/>
      <x:c r="X123" s="373"/>
      <x:c r="Y123" s="373"/>
      <x:c r="Z123" s="373"/>
    </x:row>
    <x:row r="124">
      <x:c r="A124" s="373"/>
      <x:c r="B124" s="373"/>
      <x:c r="C124" s="373"/>
      <x:c r="D124" s="373"/>
      <x:c r="E124" s="373"/>
      <x:c r="F124" s="373"/>
      <x:c r="G124" s="373"/>
      <x:c r="H124" s="373"/>
      <x:c r="I124" s="373"/>
      <x:c r="J124" s="373"/>
      <x:c r="K124" s="373"/>
      <x:c r="L124" s="373"/>
      <x:c r="M124" s="373"/>
      <x:c r="N124" s="373"/>
      <x:c r="O124" s="373"/>
      <x:c r="P124" s="373"/>
      <x:c r="Q124" s="373"/>
      <x:c r="R124" s="373"/>
      <x:c r="S124" s="373"/>
      <x:c r="T124" s="373"/>
      <x:c r="U124" s="373"/>
      <x:c r="V124" s="373"/>
      <x:c r="W124" s="373"/>
      <x:c r="X124" s="373"/>
      <x:c r="Y124" s="373"/>
      <x:c r="Z124" s="373"/>
    </x:row>
    <x:row r="125">
      <x:c r="A125" s="373"/>
      <x:c r="B125" s="373"/>
      <x:c r="C125" s="373"/>
      <x:c r="D125" s="373"/>
      <x:c r="E125" s="373"/>
      <x:c r="F125" s="373"/>
      <x:c r="G125" s="373"/>
      <x:c r="H125" s="373"/>
      <x:c r="I125" s="373"/>
      <x:c r="J125" s="373"/>
      <x:c r="K125" s="373"/>
      <x:c r="L125" s="373"/>
      <x:c r="M125" s="373"/>
      <x:c r="N125" s="373"/>
      <x:c r="O125" s="373"/>
      <x:c r="P125" s="373"/>
      <x:c r="Q125" s="373"/>
      <x:c r="R125" s="373"/>
      <x:c r="S125" s="373"/>
      <x:c r="T125" s="373"/>
      <x:c r="U125" s="373"/>
      <x:c r="V125" s="373"/>
      <x:c r="W125" s="373"/>
      <x:c r="X125" s="373"/>
      <x:c r="Y125" s="373"/>
      <x:c r="Z125" s="373"/>
    </x:row>
    <x:row r="126">
      <x:c r="A126" s="373"/>
      <x:c r="B126" s="373"/>
      <x:c r="C126" s="373"/>
      <x:c r="D126" s="373"/>
      <x:c r="E126" s="373"/>
      <x:c r="F126" s="373"/>
      <x:c r="G126" s="373"/>
      <x:c r="H126" s="373"/>
      <x:c r="I126" s="373"/>
      <x:c r="J126" s="373"/>
      <x:c r="K126" s="373"/>
      <x:c r="L126" s="373"/>
      <x:c r="M126" s="373"/>
      <x:c r="N126" s="373"/>
      <x:c r="O126" s="373"/>
      <x:c r="P126" s="373"/>
      <x:c r="Q126" s="373"/>
      <x:c r="R126" s="373"/>
      <x:c r="S126" s="373"/>
      <x:c r="T126" s="373"/>
      <x:c r="U126" s="373"/>
      <x:c r="V126" s="373"/>
      <x:c r="W126" s="373"/>
      <x:c r="X126" s="373"/>
      <x:c r="Y126" s="373"/>
      <x:c r="Z126" s="373"/>
    </x:row>
    <x:row r="127">
      <x:c r="A127" s="373"/>
      <x:c r="B127" s="373"/>
      <x:c r="C127" s="373"/>
      <x:c r="D127" s="373"/>
      <x:c r="E127" s="373"/>
      <x:c r="F127" s="373"/>
      <x:c r="G127" s="373"/>
      <x:c r="H127" s="373"/>
      <x:c r="I127" s="373"/>
      <x:c r="J127" s="373"/>
      <x:c r="K127" s="373"/>
      <x:c r="L127" s="373"/>
      <x:c r="M127" s="373"/>
      <x:c r="N127" s="373"/>
      <x:c r="O127" s="373"/>
      <x:c r="P127" s="373"/>
      <x:c r="Q127" s="373"/>
      <x:c r="R127" s="373"/>
      <x:c r="S127" s="373"/>
      <x:c r="T127" s="373"/>
      <x:c r="U127" s="373"/>
      <x:c r="V127" s="373"/>
      <x:c r="W127" s="373"/>
      <x:c r="X127" s="373"/>
      <x:c r="Y127" s="373"/>
      <x:c r="Z127" s="373"/>
    </x:row>
    <x:row r="128">
      <x:c r="A128" s="373"/>
      <x:c r="B128" s="373"/>
      <x:c r="C128" s="373"/>
      <x:c r="D128" s="373"/>
      <x:c r="E128" s="373"/>
      <x:c r="F128" s="373"/>
      <x:c r="G128" s="373"/>
      <x:c r="H128" s="373"/>
      <x:c r="I128" s="373"/>
      <x:c r="J128" s="373"/>
      <x:c r="K128" s="373"/>
      <x:c r="L128" s="373"/>
      <x:c r="M128" s="373"/>
      <x:c r="N128" s="373"/>
      <x:c r="O128" s="373"/>
      <x:c r="P128" s="373"/>
      <x:c r="Q128" s="373"/>
      <x:c r="R128" s="373"/>
      <x:c r="S128" s="373"/>
      <x:c r="T128" s="373"/>
      <x:c r="U128" s="373"/>
      <x:c r="V128" s="373"/>
      <x:c r="W128" s="373"/>
      <x:c r="X128" s="373"/>
      <x:c r="Y128" s="373"/>
      <x:c r="Z128" s="373"/>
    </x:row>
    <x:row r="129">
      <x:c r="A129" s="373"/>
      <x:c r="B129" s="373"/>
      <x:c r="C129" s="373"/>
      <x:c r="D129" s="373"/>
      <x:c r="E129" s="373"/>
      <x:c r="F129" s="373"/>
      <x:c r="G129" s="373"/>
      <x:c r="H129" s="373"/>
      <x:c r="I129" s="373"/>
      <x:c r="J129" s="373"/>
      <x:c r="K129" s="373"/>
      <x:c r="L129" s="373"/>
      <x:c r="M129" s="373"/>
      <x:c r="N129" s="373"/>
      <x:c r="O129" s="373"/>
      <x:c r="P129" s="373"/>
      <x:c r="Q129" s="373"/>
      <x:c r="R129" s="373"/>
      <x:c r="S129" s="373"/>
      <x:c r="T129" s="373"/>
      <x:c r="U129" s="373"/>
      <x:c r="V129" s="373"/>
      <x:c r="W129" s="373"/>
      <x:c r="X129" s="373"/>
      <x:c r="Y129" s="373"/>
      <x:c r="Z129" s="373"/>
    </x:row>
    <x:row r="130">
      <x:c r="A130" s="373"/>
      <x:c r="B130" s="373"/>
      <x:c r="C130" s="373"/>
      <x:c r="D130" s="373"/>
      <x:c r="E130" s="373"/>
      <x:c r="F130" s="373"/>
      <x:c r="G130" s="373"/>
      <x:c r="H130" s="373"/>
      <x:c r="I130" s="373"/>
      <x:c r="J130" s="373"/>
      <x:c r="K130" s="373"/>
      <x:c r="L130" s="373"/>
      <x:c r="M130" s="373"/>
      <x:c r="N130" s="373"/>
      <x:c r="O130" s="373"/>
      <x:c r="P130" s="373"/>
      <x:c r="Q130" s="373"/>
      <x:c r="R130" s="373"/>
      <x:c r="S130" s="373"/>
      <x:c r="T130" s="373"/>
      <x:c r="U130" s="373"/>
      <x:c r="V130" s="373"/>
      <x:c r="W130" s="373"/>
      <x:c r="X130" s="373"/>
      <x:c r="Y130" s="373"/>
      <x:c r="Z130" s="373"/>
    </x:row>
    <x:row r="131">
      <x:c r="A131" s="373"/>
      <x:c r="B131" s="373"/>
      <x:c r="C131" s="373"/>
      <x:c r="D131" s="373"/>
      <x:c r="E131" s="373"/>
      <x:c r="F131" s="373"/>
      <x:c r="G131" s="373"/>
      <x:c r="H131" s="373"/>
      <x:c r="I131" s="373"/>
      <x:c r="J131" s="373"/>
      <x:c r="K131" s="373"/>
      <x:c r="L131" s="373"/>
      <x:c r="M131" s="373"/>
      <x:c r="N131" s="373"/>
      <x:c r="O131" s="373"/>
      <x:c r="P131" s="373"/>
      <x:c r="Q131" s="373"/>
      <x:c r="R131" s="373"/>
      <x:c r="S131" s="373"/>
      <x:c r="T131" s="373"/>
      <x:c r="U131" s="373"/>
      <x:c r="V131" s="373"/>
      <x:c r="W131" s="373"/>
      <x:c r="X131" s="373"/>
      <x:c r="Y131" s="373"/>
      <x:c r="Z131" s="373"/>
    </x:row>
    <x:row r="132">
      <x:c r="A132" s="373"/>
      <x:c r="B132" s="373"/>
      <x:c r="C132" s="373"/>
      <x:c r="D132" s="373"/>
      <x:c r="E132" s="373"/>
      <x:c r="F132" s="373"/>
      <x:c r="G132" s="373"/>
      <x:c r="H132" s="373"/>
      <x:c r="I132" s="373"/>
      <x:c r="J132" s="373"/>
      <x:c r="K132" s="373"/>
      <x:c r="L132" s="373"/>
      <x:c r="M132" s="373"/>
      <x:c r="N132" s="373"/>
      <x:c r="O132" s="373"/>
      <x:c r="P132" s="373"/>
      <x:c r="Q132" s="373"/>
      <x:c r="R132" s="373"/>
      <x:c r="S132" s="373"/>
      <x:c r="T132" s="373"/>
      <x:c r="U132" s="373"/>
      <x:c r="V132" s="373"/>
      <x:c r="W132" s="373"/>
      <x:c r="X132" s="373"/>
      <x:c r="Y132" s="373"/>
      <x:c r="Z132" s="373"/>
    </x:row>
    <x:row r="133">
      <x:c r="A133" s="373"/>
      <x:c r="B133" s="373"/>
      <x:c r="C133" s="373"/>
      <x:c r="D133" s="373"/>
      <x:c r="E133" s="373"/>
      <x:c r="F133" s="373"/>
      <x:c r="G133" s="373"/>
      <x:c r="H133" s="373"/>
      <x:c r="I133" s="373"/>
      <x:c r="J133" s="373"/>
      <x:c r="K133" s="373"/>
      <x:c r="L133" s="373"/>
      <x:c r="M133" s="373"/>
      <x:c r="N133" s="373"/>
      <x:c r="O133" s="373"/>
      <x:c r="P133" s="373"/>
      <x:c r="Q133" s="373"/>
      <x:c r="R133" s="373"/>
      <x:c r="S133" s="373"/>
      <x:c r="T133" s="373"/>
      <x:c r="U133" s="373"/>
      <x:c r="V133" s="373"/>
      <x:c r="W133" s="373"/>
      <x:c r="X133" s="373"/>
      <x:c r="Y133" s="373"/>
      <x:c r="Z133" s="373"/>
    </x:row>
    <x:row r="134">
      <x:c r="A134" s="373"/>
      <x:c r="B134" s="373"/>
      <x:c r="C134" s="373"/>
      <x:c r="D134" s="373"/>
      <x:c r="E134" s="373"/>
      <x:c r="F134" s="373"/>
      <x:c r="G134" s="373"/>
      <x:c r="H134" s="373"/>
      <x:c r="I134" s="373"/>
      <x:c r="J134" s="373"/>
      <x:c r="K134" s="373"/>
      <x:c r="L134" s="373"/>
      <x:c r="M134" s="373"/>
      <x:c r="N134" s="373"/>
      <x:c r="O134" s="373"/>
      <x:c r="P134" s="373"/>
      <x:c r="Q134" s="373"/>
      <x:c r="R134" s="373"/>
      <x:c r="S134" s="373"/>
      <x:c r="T134" s="373"/>
      <x:c r="U134" s="373"/>
      <x:c r="V134" s="373"/>
      <x:c r="W134" s="373"/>
      <x:c r="X134" s="373"/>
      <x:c r="Y134" s="373"/>
      <x:c r="Z134" s="373"/>
    </x:row>
    <x:row r="135">
      <x:c r="A135" s="373"/>
      <x:c r="B135" s="373"/>
      <x:c r="C135" s="373"/>
      <x:c r="D135" s="373"/>
      <x:c r="E135" s="373"/>
      <x:c r="F135" s="373"/>
      <x:c r="G135" s="373"/>
      <x:c r="H135" s="373"/>
      <x:c r="I135" s="373"/>
      <x:c r="J135" s="373"/>
      <x:c r="K135" s="373"/>
      <x:c r="L135" s="373"/>
      <x:c r="M135" s="373"/>
      <x:c r="N135" s="373"/>
      <x:c r="O135" s="373"/>
      <x:c r="P135" s="373"/>
      <x:c r="Q135" s="373"/>
      <x:c r="R135" s="373"/>
      <x:c r="S135" s="373"/>
      <x:c r="T135" s="373"/>
      <x:c r="U135" s="373"/>
      <x:c r="V135" s="373"/>
      <x:c r="W135" s="373"/>
      <x:c r="X135" s="373"/>
      <x:c r="Y135" s="373"/>
      <x:c r="Z135" s="373"/>
    </x:row>
    <x:row r="136">
      <x:c r="A136" s="373"/>
      <x:c r="B136" s="373"/>
      <x:c r="C136" s="373"/>
      <x:c r="D136" s="373"/>
      <x:c r="E136" s="373"/>
      <x:c r="F136" s="373"/>
      <x:c r="G136" s="373"/>
      <x:c r="H136" s="373"/>
      <x:c r="I136" s="373"/>
      <x:c r="J136" s="373"/>
      <x:c r="K136" s="373"/>
      <x:c r="L136" s="373"/>
      <x:c r="M136" s="373"/>
      <x:c r="N136" s="373"/>
      <x:c r="O136" s="373"/>
      <x:c r="P136" s="373"/>
      <x:c r="Q136" s="373"/>
      <x:c r="R136" s="373"/>
      <x:c r="S136" s="373"/>
      <x:c r="T136" s="373"/>
      <x:c r="U136" s="373"/>
      <x:c r="V136" s="373"/>
      <x:c r="W136" s="373"/>
      <x:c r="X136" s="373"/>
      <x:c r="Y136" s="373"/>
      <x:c r="Z136" s="373"/>
    </x:row>
    <x:row r="137">
      <x:c r="A137" s="373"/>
      <x:c r="B137" s="373"/>
      <x:c r="C137" s="373"/>
      <x:c r="D137" s="373"/>
      <x:c r="E137" s="373"/>
      <x:c r="F137" s="373"/>
      <x:c r="G137" s="373"/>
      <x:c r="H137" s="373"/>
      <x:c r="I137" s="373"/>
      <x:c r="J137" s="373"/>
      <x:c r="K137" s="373"/>
      <x:c r="L137" s="373"/>
      <x:c r="M137" s="373"/>
      <x:c r="N137" s="373"/>
      <x:c r="O137" s="373"/>
      <x:c r="P137" s="373"/>
      <x:c r="Q137" s="373"/>
      <x:c r="R137" s="373"/>
      <x:c r="S137" s="373"/>
      <x:c r="T137" s="373"/>
      <x:c r="U137" s="373"/>
      <x:c r="V137" s="373"/>
      <x:c r="W137" s="373"/>
      <x:c r="X137" s="373"/>
      <x:c r="Y137" s="373"/>
      <x:c r="Z137" s="373"/>
    </x:row>
    <x:row r="138">
      <x:c r="A138" s="373"/>
      <x:c r="B138" s="373"/>
      <x:c r="C138" s="373"/>
      <x:c r="D138" s="373"/>
      <x:c r="E138" s="373"/>
      <x:c r="F138" s="373"/>
      <x:c r="G138" s="373"/>
      <x:c r="H138" s="373"/>
      <x:c r="I138" s="373"/>
      <x:c r="J138" s="373"/>
      <x:c r="K138" s="373"/>
      <x:c r="L138" s="373"/>
      <x:c r="M138" s="373"/>
      <x:c r="N138" s="373"/>
      <x:c r="O138" s="373"/>
      <x:c r="P138" s="373"/>
      <x:c r="Q138" s="373"/>
      <x:c r="R138" s="373"/>
      <x:c r="S138" s="373"/>
      <x:c r="T138" s="373"/>
      <x:c r="U138" s="373"/>
      <x:c r="V138" s="373"/>
      <x:c r="W138" s="373"/>
      <x:c r="X138" s="373"/>
      <x:c r="Y138" s="373"/>
      <x:c r="Z138" s="373"/>
    </x:row>
    <x:row r="139">
      <x:c r="A139" s="373"/>
      <x:c r="B139" s="373"/>
      <x:c r="C139" s="373"/>
      <x:c r="D139" s="373"/>
      <x:c r="E139" s="373"/>
      <x:c r="F139" s="373"/>
      <x:c r="G139" s="373"/>
      <x:c r="H139" s="373"/>
      <x:c r="I139" s="373"/>
      <x:c r="J139" s="373"/>
      <x:c r="K139" s="373"/>
      <x:c r="L139" s="373"/>
      <x:c r="M139" s="373"/>
      <x:c r="N139" s="373"/>
      <x:c r="O139" s="373"/>
      <x:c r="P139" s="373"/>
      <x:c r="Q139" s="373"/>
      <x:c r="R139" s="373"/>
      <x:c r="S139" s="373"/>
      <x:c r="T139" s="373"/>
      <x:c r="U139" s="373"/>
      <x:c r="V139" s="373"/>
      <x:c r="W139" s="373"/>
      <x:c r="X139" s="373"/>
      <x:c r="Y139" s="373"/>
      <x:c r="Z139" s="373"/>
    </x:row>
    <x:row r="140">
      <x:c r="A140" s="373"/>
      <x:c r="B140" s="373"/>
      <x:c r="C140" s="373"/>
      <x:c r="D140" s="373"/>
      <x:c r="E140" s="373"/>
      <x:c r="F140" s="373"/>
      <x:c r="G140" s="373"/>
      <x:c r="H140" s="373"/>
      <x:c r="I140" s="373"/>
      <x:c r="J140" s="373"/>
      <x:c r="K140" s="373"/>
      <x:c r="L140" s="373"/>
      <x:c r="M140" s="373"/>
      <x:c r="N140" s="373"/>
      <x:c r="O140" s="373"/>
      <x:c r="P140" s="373"/>
      <x:c r="Q140" s="373"/>
      <x:c r="R140" s="373"/>
      <x:c r="S140" s="373"/>
      <x:c r="T140" s="373"/>
      <x:c r="U140" s="373"/>
      <x:c r="V140" s="373"/>
      <x:c r="W140" s="373"/>
      <x:c r="X140" s="373"/>
      <x:c r="Y140" s="373"/>
      <x:c r="Z140" s="373"/>
    </x:row>
    <x:row r="141">
      <x:c r="A141" s="373"/>
      <x:c r="B141" s="373"/>
      <x:c r="C141" s="373"/>
      <x:c r="D141" s="373"/>
      <x:c r="E141" s="373"/>
      <x:c r="F141" s="373"/>
      <x:c r="G141" s="373"/>
      <x:c r="H141" s="373"/>
      <x:c r="I141" s="373"/>
      <x:c r="J141" s="373"/>
      <x:c r="K141" s="373"/>
      <x:c r="L141" s="373"/>
      <x:c r="M141" s="373"/>
      <x:c r="N141" s="373"/>
      <x:c r="O141" s="373"/>
      <x:c r="P141" s="373"/>
      <x:c r="Q141" s="373"/>
      <x:c r="R141" s="373"/>
      <x:c r="S141" s="373"/>
      <x:c r="T141" s="373"/>
      <x:c r="U141" s="373"/>
      <x:c r="V141" s="373"/>
      <x:c r="W141" s="373"/>
      <x:c r="X141" s="373"/>
      <x:c r="Y141" s="373"/>
      <x:c r="Z141" s="373"/>
    </x:row>
    <x:row r="142">
      <x:c r="A142" s="373"/>
      <x:c r="B142" s="373"/>
      <x:c r="C142" s="373"/>
      <x:c r="D142" s="373"/>
      <x:c r="E142" s="373"/>
      <x:c r="F142" s="373"/>
      <x:c r="G142" s="373"/>
      <x:c r="H142" s="373"/>
      <x:c r="I142" s="373"/>
      <x:c r="J142" s="373"/>
      <x:c r="K142" s="373"/>
      <x:c r="L142" s="373"/>
      <x:c r="M142" s="373"/>
      <x:c r="N142" s="373"/>
      <x:c r="O142" s="373"/>
      <x:c r="P142" s="373"/>
      <x:c r="Q142" s="373"/>
      <x:c r="R142" s="373"/>
      <x:c r="S142" s="373"/>
      <x:c r="T142" s="373"/>
      <x:c r="U142" s="373"/>
      <x:c r="V142" s="373"/>
      <x:c r="W142" s="373"/>
      <x:c r="X142" s="373"/>
      <x:c r="Y142" s="373"/>
      <x:c r="Z142" s="373"/>
    </x:row>
    <x:row r="143">
      <x:c r="A143" s="373"/>
      <x:c r="B143" s="373"/>
      <x:c r="C143" s="373"/>
      <x:c r="D143" s="373"/>
      <x:c r="E143" s="373"/>
      <x:c r="F143" s="373"/>
      <x:c r="G143" s="373"/>
      <x:c r="H143" s="373"/>
      <x:c r="I143" s="373"/>
      <x:c r="J143" s="373"/>
      <x:c r="K143" s="373"/>
      <x:c r="L143" s="373"/>
      <x:c r="M143" s="373"/>
      <x:c r="N143" s="373"/>
      <x:c r="O143" s="373"/>
      <x:c r="P143" s="373"/>
      <x:c r="Q143" s="373"/>
      <x:c r="R143" s="373"/>
      <x:c r="S143" s="373"/>
      <x:c r="T143" s="373"/>
      <x:c r="U143" s="373"/>
      <x:c r="V143" s="373"/>
      <x:c r="W143" s="373"/>
      <x:c r="X143" s="373"/>
      <x:c r="Y143" s="373"/>
      <x:c r="Z143" s="373"/>
    </x:row>
    <x:row r="144">
      <x:c r="A144" s="373"/>
      <x:c r="B144" s="373"/>
      <x:c r="C144" s="373"/>
      <x:c r="D144" s="373"/>
      <x:c r="E144" s="373"/>
      <x:c r="F144" s="373"/>
      <x:c r="G144" s="373"/>
      <x:c r="H144" s="373"/>
      <x:c r="I144" s="373"/>
      <x:c r="J144" s="373"/>
      <x:c r="K144" s="373"/>
      <x:c r="L144" s="373"/>
      <x:c r="M144" s="373"/>
      <x:c r="N144" s="373"/>
      <x:c r="O144" s="373"/>
      <x:c r="P144" s="373"/>
      <x:c r="Q144" s="373"/>
      <x:c r="R144" s="373"/>
      <x:c r="S144" s="373"/>
      <x:c r="T144" s="373"/>
      <x:c r="U144" s="373"/>
      <x:c r="V144" s="373"/>
      <x:c r="W144" s="373"/>
      <x:c r="X144" s="373"/>
      <x:c r="Y144" s="373"/>
      <x:c r="Z144" s="373"/>
    </x:row>
    <x:row r="145">
      <x:c r="A145" s="373"/>
      <x:c r="B145" s="373"/>
      <x:c r="C145" s="373"/>
      <x:c r="D145" s="373"/>
      <x:c r="E145" s="373"/>
      <x:c r="F145" s="373"/>
      <x:c r="G145" s="373"/>
      <x:c r="H145" s="373"/>
      <x:c r="I145" s="373"/>
      <x:c r="J145" s="373"/>
      <x:c r="K145" s="373"/>
      <x:c r="L145" s="373"/>
      <x:c r="M145" s="373"/>
      <x:c r="N145" s="373"/>
      <x:c r="O145" s="373"/>
      <x:c r="P145" s="373"/>
      <x:c r="Q145" s="373"/>
      <x:c r="R145" s="373"/>
      <x:c r="S145" s="373"/>
      <x:c r="T145" s="373"/>
      <x:c r="U145" s="373"/>
      <x:c r="V145" s="373"/>
      <x:c r="W145" s="373"/>
      <x:c r="X145" s="373"/>
      <x:c r="Y145" s="373"/>
      <x:c r="Z145" s="373"/>
    </x:row>
    <x:row r="146">
      <x:c r="A146" s="373"/>
      <x:c r="B146" s="373"/>
      <x:c r="C146" s="373"/>
      <x:c r="D146" s="373"/>
      <x:c r="E146" s="373"/>
      <x:c r="F146" s="373"/>
      <x:c r="G146" s="373"/>
      <x:c r="H146" s="373"/>
      <x:c r="I146" s="373"/>
      <x:c r="J146" s="373"/>
      <x:c r="K146" s="373"/>
      <x:c r="L146" s="373"/>
      <x:c r="M146" s="373"/>
      <x:c r="N146" s="373"/>
      <x:c r="O146" s="373"/>
      <x:c r="P146" s="373"/>
      <x:c r="Q146" s="373"/>
      <x:c r="R146" s="373"/>
      <x:c r="S146" s="373"/>
      <x:c r="T146" s="373"/>
      <x:c r="U146" s="373"/>
      <x:c r="V146" s="373"/>
      <x:c r="W146" s="373"/>
      <x:c r="X146" s="373"/>
      <x:c r="Y146" s="373"/>
      <x:c r="Z146" s="373"/>
    </x:row>
    <x:row r="147">
      <x:c r="A147" s="373"/>
      <x:c r="B147" s="373"/>
      <x:c r="C147" s="373"/>
      <x:c r="D147" s="373"/>
      <x:c r="E147" s="373"/>
      <x:c r="F147" s="373"/>
      <x:c r="G147" s="373"/>
      <x:c r="H147" s="373"/>
      <x:c r="I147" s="373"/>
      <x:c r="J147" s="373"/>
      <x:c r="K147" s="373"/>
      <x:c r="L147" s="373"/>
      <x:c r="M147" s="373"/>
      <x:c r="N147" s="373"/>
      <x:c r="O147" s="373"/>
      <x:c r="P147" s="373"/>
      <x:c r="Q147" s="373"/>
      <x:c r="R147" s="373"/>
      <x:c r="S147" s="373"/>
      <x:c r="T147" s="373"/>
      <x:c r="U147" s="373"/>
      <x:c r="V147" s="373"/>
      <x:c r="W147" s="373"/>
      <x:c r="X147" s="373"/>
      <x:c r="Y147" s="373"/>
      <x:c r="Z147" s="373"/>
    </x:row>
    <x:row r="148">
      <x:c r="A148" s="373"/>
      <x:c r="B148" s="373"/>
      <x:c r="C148" s="373"/>
      <x:c r="D148" s="373"/>
      <x:c r="E148" s="373"/>
      <x:c r="F148" s="373"/>
      <x:c r="G148" s="373"/>
      <x:c r="H148" s="373"/>
      <x:c r="I148" s="373"/>
      <x:c r="J148" s="373"/>
      <x:c r="K148" s="373"/>
      <x:c r="L148" s="373"/>
      <x:c r="M148" s="373"/>
      <x:c r="N148" s="373"/>
      <x:c r="O148" s="373"/>
      <x:c r="P148" s="373"/>
      <x:c r="Q148" s="373"/>
      <x:c r="R148" s="373"/>
      <x:c r="S148" s="373"/>
      <x:c r="T148" s="373"/>
      <x:c r="U148" s="373"/>
      <x:c r="V148" s="373"/>
      <x:c r="W148" s="373"/>
      <x:c r="X148" s="373"/>
      <x:c r="Y148" s="373"/>
      <x:c r="Z148" s="373"/>
    </x:row>
    <x:row r="149">
      <x:c r="A149" s="373"/>
      <x:c r="B149" s="373"/>
      <x:c r="C149" s="373"/>
      <x:c r="D149" s="373"/>
      <x:c r="E149" s="373"/>
      <x:c r="F149" s="373"/>
      <x:c r="G149" s="373"/>
      <x:c r="H149" s="373"/>
      <x:c r="I149" s="373"/>
      <x:c r="J149" s="373"/>
      <x:c r="K149" s="373"/>
      <x:c r="L149" s="373"/>
      <x:c r="M149" s="373"/>
      <x:c r="N149" s="373"/>
      <x:c r="O149" s="373"/>
      <x:c r="P149" s="373"/>
      <x:c r="Q149" s="373"/>
      <x:c r="R149" s="373"/>
      <x:c r="S149" s="373"/>
      <x:c r="T149" s="373"/>
      <x:c r="U149" s="373"/>
      <x:c r="V149" s="373"/>
      <x:c r="W149" s="373"/>
      <x:c r="X149" s="373"/>
      <x:c r="Y149" s="373"/>
      <x:c r="Z149" s="373"/>
    </x:row>
    <x:row r="150">
      <x:c r="A150" s="373"/>
      <x:c r="B150" s="373"/>
      <x:c r="C150" s="373"/>
      <x:c r="D150" s="373"/>
      <x:c r="E150" s="373"/>
      <x:c r="F150" s="373"/>
      <x:c r="G150" s="373"/>
      <x:c r="H150" s="373"/>
      <x:c r="I150" s="373"/>
      <x:c r="J150" s="373"/>
      <x:c r="K150" s="373"/>
      <x:c r="L150" s="373"/>
      <x:c r="M150" s="373"/>
      <x:c r="N150" s="373"/>
      <x:c r="O150" s="373"/>
      <x:c r="P150" s="373"/>
      <x:c r="Q150" s="373"/>
      <x:c r="R150" s="373"/>
      <x:c r="S150" s="373"/>
      <x:c r="T150" s="373"/>
      <x:c r="U150" s="373"/>
      <x:c r="V150" s="373"/>
      <x:c r="W150" s="373"/>
      <x:c r="X150" s="373"/>
      <x:c r="Y150" s="373"/>
      <x:c r="Z150" s="373"/>
    </x:row>
    <x:row r="151">
      <x:c r="A151" s="373"/>
      <x:c r="B151" s="373"/>
      <x:c r="C151" s="373"/>
      <x:c r="D151" s="373"/>
      <x:c r="E151" s="373"/>
      <x:c r="F151" s="373"/>
      <x:c r="G151" s="373"/>
      <x:c r="H151" s="373"/>
      <x:c r="I151" s="373"/>
      <x:c r="J151" s="373"/>
      <x:c r="K151" s="373"/>
      <x:c r="L151" s="373"/>
      <x:c r="M151" s="373"/>
      <x:c r="N151" s="373"/>
      <x:c r="O151" s="373"/>
      <x:c r="P151" s="373"/>
      <x:c r="Q151" s="373"/>
      <x:c r="R151" s="373"/>
      <x:c r="S151" s="373"/>
      <x:c r="T151" s="373"/>
      <x:c r="U151" s="373"/>
      <x:c r="V151" s="373"/>
      <x:c r="W151" s="373"/>
      <x:c r="X151" s="373"/>
      <x:c r="Y151" s="373"/>
      <x:c r="Z151" s="373"/>
    </x:row>
    <x:row r="152">
      <x:c r="A152" s="373"/>
      <x:c r="B152" s="373"/>
      <x:c r="C152" s="373"/>
      <x:c r="D152" s="373"/>
      <x:c r="E152" s="373"/>
      <x:c r="F152" s="373"/>
      <x:c r="G152" s="373"/>
      <x:c r="H152" s="373"/>
      <x:c r="I152" s="373"/>
      <x:c r="J152" s="373"/>
      <x:c r="K152" s="373"/>
      <x:c r="L152" s="373"/>
      <x:c r="M152" s="373"/>
      <x:c r="N152" s="373"/>
      <x:c r="O152" s="373"/>
      <x:c r="P152" s="373"/>
      <x:c r="Q152" s="373"/>
      <x:c r="R152" s="373"/>
      <x:c r="S152" s="373"/>
      <x:c r="T152" s="373"/>
      <x:c r="U152" s="373"/>
      <x:c r="V152" s="373"/>
      <x:c r="W152" s="373"/>
      <x:c r="X152" s="373"/>
      <x:c r="Y152" s="373"/>
      <x:c r="Z152" s="373"/>
    </x:row>
    <x:row r="153">
      <x:c r="A153" s="373"/>
      <x:c r="B153" s="373"/>
      <x:c r="C153" s="373"/>
      <x:c r="D153" s="373"/>
      <x:c r="E153" s="373"/>
      <x:c r="F153" s="373"/>
      <x:c r="G153" s="373"/>
      <x:c r="H153" s="373"/>
      <x:c r="I153" s="373"/>
      <x:c r="J153" s="373"/>
      <x:c r="K153" s="373"/>
      <x:c r="L153" s="373"/>
      <x:c r="M153" s="373"/>
      <x:c r="N153" s="373"/>
      <x:c r="O153" s="373"/>
      <x:c r="P153" s="373"/>
      <x:c r="Q153" s="373"/>
      <x:c r="R153" s="373"/>
      <x:c r="S153" s="373"/>
      <x:c r="T153" s="373"/>
      <x:c r="U153" s="373"/>
      <x:c r="V153" s="373"/>
      <x:c r="W153" s="373"/>
      <x:c r="X153" s="373"/>
      <x:c r="Y153" s="373"/>
      <x:c r="Z153" s="373"/>
    </x:row>
    <x:row r="154">
      <x:c r="A154" s="373"/>
      <x:c r="B154" s="373"/>
      <x:c r="C154" s="373"/>
      <x:c r="D154" s="373"/>
      <x:c r="E154" s="373"/>
      <x:c r="F154" s="373"/>
      <x:c r="G154" s="373"/>
      <x:c r="H154" s="373"/>
      <x:c r="I154" s="373"/>
      <x:c r="J154" s="373"/>
      <x:c r="K154" s="373"/>
      <x:c r="L154" s="373"/>
      <x:c r="M154" s="373"/>
      <x:c r="N154" s="373"/>
      <x:c r="O154" s="373"/>
      <x:c r="P154" s="373"/>
      <x:c r="Q154" s="373"/>
      <x:c r="R154" s="373"/>
      <x:c r="S154" s="373"/>
      <x:c r="T154" s="373"/>
      <x:c r="U154" s="373"/>
      <x:c r="V154" s="373"/>
      <x:c r="W154" s="373"/>
      <x:c r="X154" s="373"/>
      <x:c r="Y154" s="373"/>
      <x:c r="Z154" s="373"/>
    </x:row>
    <x:row r="155">
      <x:c r="A155" s="373"/>
      <x:c r="B155" s="373"/>
      <x:c r="C155" s="373"/>
      <x:c r="D155" s="373"/>
      <x:c r="E155" s="373"/>
      <x:c r="F155" s="373"/>
      <x:c r="G155" s="373"/>
      <x:c r="H155" s="373"/>
      <x:c r="I155" s="373"/>
      <x:c r="J155" s="373"/>
      <x:c r="K155" s="373"/>
      <x:c r="L155" s="373"/>
      <x:c r="M155" s="373"/>
      <x:c r="N155" s="373"/>
      <x:c r="O155" s="373"/>
      <x:c r="P155" s="373"/>
      <x:c r="Q155" s="373"/>
      <x:c r="R155" s="373"/>
      <x:c r="S155" s="373"/>
      <x:c r="T155" s="373"/>
      <x:c r="U155" s="373"/>
      <x:c r="V155" s="373"/>
      <x:c r="W155" s="373"/>
      <x:c r="X155" s="373"/>
      <x:c r="Y155" s="373"/>
      <x:c r="Z155" s="373"/>
    </x:row>
    <x:row r="156">
      <x:c r="A156" s="373"/>
      <x:c r="B156" s="373"/>
      <x:c r="C156" s="373"/>
      <x:c r="D156" s="373"/>
      <x:c r="E156" s="373"/>
      <x:c r="F156" s="373"/>
      <x:c r="G156" s="373"/>
      <x:c r="H156" s="373"/>
      <x:c r="I156" s="373"/>
      <x:c r="J156" s="373"/>
      <x:c r="K156" s="373"/>
      <x:c r="L156" s="373"/>
      <x:c r="M156" s="373"/>
      <x:c r="N156" s="373"/>
      <x:c r="O156" s="373"/>
      <x:c r="P156" s="373"/>
      <x:c r="Q156" s="373"/>
      <x:c r="R156" s="373"/>
      <x:c r="S156" s="373"/>
      <x:c r="T156" s="373"/>
      <x:c r="U156" s="373"/>
      <x:c r="V156" s="373"/>
      <x:c r="W156" s="373"/>
      <x:c r="X156" s="373"/>
      <x:c r="Y156" s="373"/>
      <x:c r="Z156" s="373"/>
    </x:row>
    <x:row r="157">
      <x:c r="A157" s="373"/>
      <x:c r="B157" s="373"/>
      <x:c r="C157" s="373"/>
      <x:c r="D157" s="373"/>
      <x:c r="E157" s="373"/>
      <x:c r="F157" s="373"/>
      <x:c r="G157" s="373"/>
      <x:c r="H157" s="373"/>
      <x:c r="I157" s="373"/>
      <x:c r="J157" s="373"/>
      <x:c r="K157" s="373"/>
      <x:c r="L157" s="373"/>
      <x:c r="M157" s="373"/>
      <x:c r="N157" s="373"/>
      <x:c r="O157" s="373"/>
      <x:c r="P157" s="373"/>
      <x:c r="Q157" s="373"/>
      <x:c r="R157" s="373"/>
      <x:c r="S157" s="373"/>
      <x:c r="T157" s="373"/>
      <x:c r="U157" s="373"/>
      <x:c r="V157" s="373"/>
      <x:c r="W157" s="373"/>
      <x:c r="X157" s="373"/>
      <x:c r="Y157" s="373"/>
      <x:c r="Z157" s="373"/>
    </x:row>
    <x:row r="158">
      <x:c r="A158" s="373"/>
      <x:c r="B158" s="373"/>
      <x:c r="C158" s="373"/>
      <x:c r="D158" s="373"/>
      <x:c r="E158" s="373"/>
      <x:c r="F158" s="373"/>
      <x:c r="G158" s="373"/>
      <x:c r="H158" s="373"/>
      <x:c r="I158" s="373"/>
      <x:c r="J158" s="373"/>
      <x:c r="K158" s="373"/>
      <x:c r="L158" s="373"/>
      <x:c r="M158" s="373"/>
      <x:c r="N158" s="373"/>
      <x:c r="O158" s="373"/>
      <x:c r="P158" s="373"/>
      <x:c r="Q158" s="373"/>
      <x:c r="R158" s="373"/>
      <x:c r="S158" s="373"/>
      <x:c r="T158" s="373"/>
      <x:c r="U158" s="373"/>
      <x:c r="V158" s="373"/>
      <x:c r="W158" s="373"/>
      <x:c r="X158" s="373"/>
      <x:c r="Y158" s="373"/>
      <x:c r="Z158" s="373"/>
    </x:row>
    <x:row r="159">
      <x:c r="A159" s="373"/>
      <x:c r="B159" s="373"/>
      <x:c r="C159" s="373"/>
      <x:c r="D159" s="373"/>
      <x:c r="E159" s="373"/>
      <x:c r="F159" s="373"/>
      <x:c r="G159" s="373"/>
      <x:c r="H159" s="373"/>
      <x:c r="I159" s="373"/>
      <x:c r="J159" s="373"/>
      <x:c r="K159" s="373"/>
      <x:c r="L159" s="373"/>
      <x:c r="M159" s="373"/>
      <x:c r="N159" s="373"/>
      <x:c r="O159" s="373"/>
      <x:c r="P159" s="373"/>
      <x:c r="Q159" s="373"/>
      <x:c r="R159" s="373"/>
      <x:c r="S159" s="373"/>
      <x:c r="T159" s="373"/>
      <x:c r="U159" s="373"/>
      <x:c r="V159" s="373"/>
      <x:c r="W159" s="373"/>
      <x:c r="X159" s="373"/>
      <x:c r="Y159" s="373"/>
      <x:c r="Z159" s="373"/>
    </x:row>
    <x:row r="160">
      <x:c r="A160" s="373"/>
      <x:c r="B160" s="373"/>
      <x:c r="C160" s="373"/>
      <x:c r="D160" s="373"/>
      <x:c r="E160" s="373"/>
      <x:c r="F160" s="373"/>
      <x:c r="G160" s="373"/>
      <x:c r="H160" s="373"/>
      <x:c r="I160" s="373"/>
      <x:c r="J160" s="373"/>
      <x:c r="K160" s="373"/>
      <x:c r="L160" s="373"/>
      <x:c r="M160" s="373"/>
      <x:c r="N160" s="373"/>
      <x:c r="O160" s="373"/>
      <x:c r="P160" s="373"/>
      <x:c r="Q160" s="373"/>
      <x:c r="R160" s="373"/>
      <x:c r="S160" s="373"/>
      <x:c r="T160" s="373"/>
      <x:c r="U160" s="373"/>
      <x:c r="V160" s="373"/>
      <x:c r="W160" s="373"/>
      <x:c r="X160" s="373"/>
      <x:c r="Y160" s="373"/>
      <x:c r="Z160" s="373"/>
    </x:row>
    <x:row r="161">
      <x:c r="A161" s="373"/>
      <x:c r="B161" s="373"/>
      <x:c r="C161" s="373"/>
      <x:c r="D161" s="373"/>
      <x:c r="E161" s="373"/>
      <x:c r="F161" s="373"/>
      <x:c r="G161" s="373"/>
      <x:c r="H161" s="373"/>
      <x:c r="I161" s="373"/>
      <x:c r="J161" s="373"/>
      <x:c r="K161" s="373"/>
      <x:c r="L161" s="373"/>
      <x:c r="M161" s="373"/>
      <x:c r="N161" s="373"/>
      <x:c r="O161" s="373"/>
      <x:c r="P161" s="373"/>
      <x:c r="Q161" s="373"/>
      <x:c r="R161" s="373"/>
      <x:c r="S161" s="373"/>
      <x:c r="T161" s="373"/>
      <x:c r="U161" s="373"/>
      <x:c r="V161" s="373"/>
      <x:c r="W161" s="373"/>
      <x:c r="X161" s="373"/>
      <x:c r="Y161" s="373"/>
      <x:c r="Z161" s="373"/>
    </x:row>
    <x:row r="162">
      <x:c r="A162" s="373"/>
      <x:c r="B162" s="373"/>
      <x:c r="C162" s="373"/>
      <x:c r="D162" s="373"/>
      <x:c r="E162" s="373"/>
      <x:c r="F162" s="373"/>
      <x:c r="G162" s="373"/>
      <x:c r="H162" s="373"/>
      <x:c r="I162" s="373"/>
      <x:c r="J162" s="373"/>
      <x:c r="K162" s="373"/>
      <x:c r="L162" s="373"/>
      <x:c r="M162" s="373"/>
      <x:c r="N162" s="373"/>
      <x:c r="O162" s="373"/>
      <x:c r="P162" s="373"/>
      <x:c r="Q162" s="373"/>
      <x:c r="R162" s="373"/>
      <x:c r="S162" s="373"/>
      <x:c r="T162" s="373"/>
      <x:c r="U162" s="373"/>
      <x:c r="V162" s="373"/>
      <x:c r="W162" s="373"/>
      <x:c r="X162" s="373"/>
      <x:c r="Y162" s="373"/>
      <x:c r="Z162" s="373"/>
    </x:row>
    <x:row r="163">
      <x:c r="A163" s="373"/>
      <x:c r="B163" s="373"/>
      <x:c r="C163" s="373"/>
      <x:c r="D163" s="373"/>
      <x:c r="E163" s="373"/>
      <x:c r="F163" s="373"/>
      <x:c r="G163" s="373"/>
      <x:c r="H163" s="373"/>
      <x:c r="I163" s="373"/>
      <x:c r="J163" s="373"/>
      <x:c r="K163" s="373"/>
      <x:c r="L163" s="373"/>
      <x:c r="M163" s="373"/>
      <x:c r="N163" s="373"/>
      <x:c r="O163" s="373"/>
      <x:c r="P163" s="373"/>
      <x:c r="Q163" s="373"/>
      <x:c r="R163" s="373"/>
      <x:c r="S163" s="373"/>
      <x:c r="T163" s="373"/>
      <x:c r="U163" s="373"/>
      <x:c r="V163" s="373"/>
      <x:c r="W163" s="373"/>
      <x:c r="X163" s="373"/>
      <x:c r="Y163" s="373"/>
      <x:c r="Z163" s="373"/>
    </x:row>
    <x:row r="164">
      <x:c r="A164" s="373"/>
      <x:c r="B164" s="373"/>
      <x:c r="C164" s="373"/>
      <x:c r="D164" s="373"/>
      <x:c r="E164" s="373"/>
      <x:c r="F164" s="373"/>
      <x:c r="G164" s="373"/>
      <x:c r="H164" s="373"/>
      <x:c r="I164" s="373"/>
      <x:c r="J164" s="373"/>
      <x:c r="K164" s="373"/>
      <x:c r="L164" s="373"/>
      <x:c r="M164" s="373"/>
      <x:c r="N164" s="373"/>
      <x:c r="O164" s="373"/>
      <x:c r="P164" s="373"/>
      <x:c r="Q164" s="373"/>
      <x:c r="R164" s="373"/>
      <x:c r="S164" s="373"/>
      <x:c r="T164" s="373"/>
      <x:c r="U164" s="373"/>
      <x:c r="V164" s="373"/>
      <x:c r="W164" s="373"/>
      <x:c r="X164" s="373"/>
      <x:c r="Y164" s="373"/>
      <x:c r="Z164" s="373"/>
    </x:row>
    <x:row r="165">
      <x:c r="A165" s="373"/>
      <x:c r="B165" s="373"/>
      <x:c r="C165" s="373"/>
      <x:c r="D165" s="373"/>
      <x:c r="E165" s="373"/>
      <x:c r="F165" s="373"/>
      <x:c r="G165" s="373"/>
      <x:c r="H165" s="373"/>
      <x:c r="I165" s="373"/>
      <x:c r="J165" s="373"/>
      <x:c r="K165" s="373"/>
      <x:c r="L165" s="373"/>
      <x:c r="M165" s="373"/>
      <x:c r="N165" s="373"/>
      <x:c r="O165" s="373"/>
      <x:c r="P165" s="373"/>
      <x:c r="Q165" s="373"/>
      <x:c r="R165" s="373"/>
      <x:c r="S165" s="373"/>
      <x:c r="T165" s="373"/>
      <x:c r="U165" s="373"/>
      <x:c r="V165" s="373"/>
      <x:c r="W165" s="373"/>
      <x:c r="X165" s="373"/>
      <x:c r="Y165" s="373"/>
      <x:c r="Z165" s="373"/>
    </x:row>
    <x:row r="166">
      <x:c r="A166" s="373"/>
      <x:c r="B166" s="373"/>
      <x:c r="C166" s="373"/>
      <x:c r="D166" s="373"/>
      <x:c r="E166" s="373"/>
      <x:c r="F166" s="373"/>
      <x:c r="G166" s="373"/>
      <x:c r="H166" s="373"/>
      <x:c r="I166" s="373"/>
      <x:c r="J166" s="373"/>
      <x:c r="K166" s="373"/>
      <x:c r="L166" s="373"/>
      <x:c r="M166" s="373"/>
      <x:c r="N166" s="373"/>
      <x:c r="O166" s="373"/>
      <x:c r="P166" s="373"/>
      <x:c r="Q166" s="373"/>
      <x:c r="R166" s="373"/>
      <x:c r="S166" s="373"/>
      <x:c r="T166" s="373"/>
      <x:c r="U166" s="373"/>
      <x:c r="V166" s="373"/>
      <x:c r="W166" s="373"/>
      <x:c r="X166" s="373"/>
      <x:c r="Y166" s="373"/>
      <x:c r="Z166" s="373"/>
    </x:row>
    <x:row r="167">
      <x:c r="A167" s="373"/>
      <x:c r="B167" s="373"/>
      <x:c r="C167" s="373"/>
      <x:c r="D167" s="373"/>
      <x:c r="E167" s="373"/>
      <x:c r="F167" s="373"/>
      <x:c r="G167" s="373"/>
      <x:c r="H167" s="373"/>
      <x:c r="I167" s="373"/>
      <x:c r="J167" s="373"/>
      <x:c r="K167" s="373"/>
      <x:c r="L167" s="373"/>
      <x:c r="M167" s="373"/>
      <x:c r="N167" s="373"/>
      <x:c r="O167" s="373"/>
      <x:c r="P167" s="373"/>
      <x:c r="Q167" s="373"/>
      <x:c r="R167" s="373"/>
      <x:c r="S167" s="373"/>
      <x:c r="T167" s="373"/>
      <x:c r="U167" s="373"/>
      <x:c r="V167" s="373"/>
      <x:c r="W167" s="373"/>
      <x:c r="X167" s="373"/>
      <x:c r="Y167" s="373"/>
      <x:c r="Z167" s="373"/>
    </x:row>
    <x:row r="168">
      <x:c r="A168" s="373"/>
      <x:c r="B168" s="373"/>
      <x:c r="C168" s="373"/>
      <x:c r="D168" s="373"/>
      <x:c r="E168" s="373"/>
      <x:c r="F168" s="373"/>
      <x:c r="G168" s="373"/>
      <x:c r="H168" s="373"/>
      <x:c r="I168" s="373"/>
      <x:c r="J168" s="373"/>
      <x:c r="K168" s="373"/>
      <x:c r="L168" s="373"/>
      <x:c r="M168" s="373"/>
      <x:c r="N168" s="373"/>
      <x:c r="O168" s="373"/>
      <x:c r="P168" s="373"/>
      <x:c r="Q168" s="373"/>
      <x:c r="R168" s="373"/>
      <x:c r="S168" s="373"/>
      <x:c r="T168" s="373"/>
      <x:c r="U168" s="373"/>
      <x:c r="V168" s="373"/>
      <x:c r="W168" s="373"/>
      <x:c r="X168" s="373"/>
      <x:c r="Y168" s="373"/>
      <x:c r="Z168" s="373"/>
    </x:row>
    <x:row r="169">
      <x:c r="A169" s="373"/>
      <x:c r="B169" s="373"/>
      <x:c r="C169" s="373"/>
      <x:c r="D169" s="373"/>
      <x:c r="E169" s="373"/>
      <x:c r="F169" s="373"/>
      <x:c r="G169" s="373"/>
      <x:c r="H169" s="373"/>
      <x:c r="I169" s="373"/>
      <x:c r="J169" s="373"/>
      <x:c r="K169" s="373"/>
      <x:c r="L169" s="373"/>
      <x:c r="M169" s="373"/>
      <x:c r="N169" s="373"/>
      <x:c r="O169" s="373"/>
      <x:c r="P169" s="373"/>
      <x:c r="Q169" s="373"/>
      <x:c r="R169" s="373"/>
      <x:c r="S169" s="373"/>
      <x:c r="T169" s="373"/>
      <x:c r="U169" s="373"/>
      <x:c r="V169" s="373"/>
      <x:c r="W169" s="373"/>
      <x:c r="X169" s="373"/>
      <x:c r="Y169" s="373"/>
      <x:c r="Z169" s="373"/>
    </x:row>
    <x:row r="170">
      <x:c r="A170" s="373"/>
      <x:c r="B170" s="373"/>
      <x:c r="C170" s="373"/>
      <x:c r="D170" s="373"/>
      <x:c r="E170" s="373"/>
      <x:c r="F170" s="373"/>
      <x:c r="G170" s="373"/>
      <x:c r="H170" s="373"/>
      <x:c r="I170" s="373"/>
      <x:c r="J170" s="373"/>
      <x:c r="K170" s="373"/>
      <x:c r="L170" s="373"/>
      <x:c r="M170" s="373"/>
      <x:c r="N170" s="373"/>
      <x:c r="O170" s="373"/>
      <x:c r="P170" s="373"/>
      <x:c r="Q170" s="373"/>
      <x:c r="R170" s="373"/>
      <x:c r="S170" s="373"/>
      <x:c r="T170" s="373"/>
      <x:c r="U170" s="373"/>
      <x:c r="V170" s="373"/>
      <x:c r="W170" s="373"/>
      <x:c r="X170" s="373"/>
      <x:c r="Y170" s="373"/>
      <x:c r="Z170" s="373"/>
    </x:row>
    <x:row r="171">
      <x:c r="A171" s="373"/>
      <x:c r="B171" s="373"/>
      <x:c r="C171" s="373"/>
      <x:c r="D171" s="373"/>
      <x:c r="E171" s="373"/>
      <x:c r="F171" s="373"/>
      <x:c r="G171" s="373"/>
      <x:c r="H171" s="373"/>
      <x:c r="I171" s="373"/>
      <x:c r="J171" s="373"/>
      <x:c r="K171" s="373"/>
      <x:c r="L171" s="373"/>
      <x:c r="M171" s="373"/>
      <x:c r="N171" s="373"/>
      <x:c r="O171" s="373"/>
      <x:c r="P171" s="373"/>
      <x:c r="Q171" s="373"/>
      <x:c r="R171" s="373"/>
      <x:c r="S171" s="373"/>
      <x:c r="T171" s="373"/>
      <x:c r="U171" s="373"/>
      <x:c r="V171" s="373"/>
      <x:c r="W171" s="373"/>
      <x:c r="X171" s="373"/>
      <x:c r="Y171" s="373"/>
      <x:c r="Z171" s="373"/>
    </x:row>
    <x:row r="172">
      <x:c r="A172" s="373"/>
      <x:c r="B172" s="373"/>
      <x:c r="C172" s="373"/>
      <x:c r="D172" s="373"/>
      <x:c r="E172" s="373"/>
      <x:c r="F172" s="373"/>
      <x:c r="G172" s="373"/>
      <x:c r="H172" s="373"/>
      <x:c r="I172" s="373"/>
      <x:c r="J172" s="373"/>
      <x:c r="K172" s="373"/>
      <x:c r="L172" s="373"/>
      <x:c r="M172" s="373"/>
      <x:c r="N172" s="373"/>
      <x:c r="O172" s="373"/>
      <x:c r="P172" s="373"/>
      <x:c r="Q172" s="373"/>
      <x:c r="R172" s="373"/>
      <x:c r="S172" s="373"/>
      <x:c r="T172" s="373"/>
      <x:c r="U172" s="373"/>
      <x:c r="V172" s="373"/>
      <x:c r="W172" s="373"/>
      <x:c r="X172" s="373"/>
      <x:c r="Y172" s="373"/>
      <x:c r="Z172" s="373"/>
    </x:row>
    <x:row r="173">
      <x:c r="A173" s="373"/>
      <x:c r="B173" s="373"/>
      <x:c r="C173" s="373"/>
      <x:c r="D173" s="373"/>
      <x:c r="E173" s="373"/>
      <x:c r="F173" s="373"/>
      <x:c r="G173" s="373"/>
      <x:c r="H173" s="373"/>
      <x:c r="I173" s="373"/>
      <x:c r="J173" s="373"/>
      <x:c r="K173" s="373"/>
      <x:c r="L173" s="373"/>
      <x:c r="M173" s="373"/>
      <x:c r="N173" s="373"/>
      <x:c r="O173" s="373"/>
      <x:c r="P173" s="373"/>
      <x:c r="Q173" s="373"/>
      <x:c r="R173" s="373"/>
      <x:c r="S173" s="373"/>
      <x:c r="T173" s="373"/>
      <x:c r="U173" s="373"/>
      <x:c r="V173" s="373"/>
      <x:c r="W173" s="373"/>
      <x:c r="X173" s="373"/>
      <x:c r="Y173" s="373"/>
      <x:c r="Z173" s="373"/>
    </x:row>
    <x:row r="174">
      <x:c r="A174" s="373"/>
      <x:c r="B174" s="373"/>
      <x:c r="C174" s="373"/>
      <x:c r="D174" s="373"/>
      <x:c r="E174" s="373"/>
      <x:c r="F174" s="373"/>
      <x:c r="G174" s="373"/>
      <x:c r="H174" s="373"/>
      <x:c r="I174" s="373"/>
      <x:c r="J174" s="373"/>
      <x:c r="K174" s="373"/>
      <x:c r="L174" s="373"/>
      <x:c r="M174" s="373"/>
      <x:c r="N174" s="373"/>
      <x:c r="O174" s="373"/>
      <x:c r="P174" s="373"/>
      <x:c r="Q174" s="373"/>
      <x:c r="R174" s="373"/>
      <x:c r="S174" s="373"/>
      <x:c r="T174" s="373"/>
      <x:c r="U174" s="373"/>
      <x:c r="V174" s="373"/>
      <x:c r="W174" s="373"/>
      <x:c r="X174" s="373"/>
      <x:c r="Y174" s="373"/>
      <x:c r="Z174" s="373"/>
    </x:row>
    <x:row r="175">
      <x:c r="A175" s="373"/>
      <x:c r="B175" s="373"/>
      <x:c r="C175" s="373"/>
      <x:c r="D175" s="373"/>
      <x:c r="E175" s="373"/>
      <x:c r="F175" s="373"/>
      <x:c r="G175" s="373"/>
      <x:c r="H175" s="373"/>
      <x:c r="I175" s="373"/>
      <x:c r="J175" s="373"/>
      <x:c r="K175" s="373"/>
      <x:c r="L175" s="373"/>
      <x:c r="M175" s="373"/>
      <x:c r="N175" s="373"/>
      <x:c r="O175" s="373"/>
      <x:c r="P175" s="373"/>
      <x:c r="Q175" s="373"/>
      <x:c r="R175" s="373"/>
      <x:c r="S175" s="373"/>
      <x:c r="T175" s="373"/>
      <x:c r="U175" s="373"/>
      <x:c r="V175" s="373"/>
      <x:c r="W175" s="373"/>
      <x:c r="X175" s="373"/>
      <x:c r="Y175" s="373"/>
      <x:c r="Z175" s="373"/>
    </x:row>
    <x:row r="176">
      <x:c r="A176" s="373"/>
      <x:c r="B176" s="373"/>
      <x:c r="C176" s="373"/>
      <x:c r="D176" s="373"/>
      <x:c r="E176" s="373"/>
      <x:c r="F176" s="373"/>
      <x:c r="G176" s="373"/>
      <x:c r="H176" s="373"/>
      <x:c r="I176" s="373"/>
      <x:c r="J176" s="373"/>
      <x:c r="K176" s="373"/>
      <x:c r="L176" s="373"/>
      <x:c r="M176" s="373"/>
      <x:c r="N176" s="373"/>
      <x:c r="O176" s="373"/>
      <x:c r="P176" s="373"/>
      <x:c r="Q176" s="373"/>
      <x:c r="R176" s="373"/>
      <x:c r="S176" s="373"/>
      <x:c r="T176" s="373"/>
      <x:c r="U176" s="373"/>
      <x:c r="V176" s="373"/>
      <x:c r="W176" s="373"/>
      <x:c r="X176" s="373"/>
      <x:c r="Y176" s="373"/>
      <x:c r="Z176" s="373"/>
    </x:row>
    <x:row r="177">
      <x:c r="A177" s="373"/>
      <x:c r="B177" s="373"/>
      <x:c r="C177" s="373"/>
      <x:c r="D177" s="373"/>
      <x:c r="E177" s="373"/>
      <x:c r="F177" s="373"/>
      <x:c r="G177" s="373"/>
      <x:c r="H177" s="373"/>
      <x:c r="I177" s="373"/>
      <x:c r="J177" s="373"/>
      <x:c r="K177" s="373"/>
      <x:c r="L177" s="373"/>
      <x:c r="M177" s="373"/>
      <x:c r="N177" s="373"/>
      <x:c r="O177" s="373"/>
      <x:c r="P177" s="373"/>
      <x:c r="Q177" s="373"/>
      <x:c r="R177" s="373"/>
      <x:c r="S177" s="373"/>
      <x:c r="T177" s="373"/>
      <x:c r="U177" s="373"/>
      <x:c r="V177" s="373"/>
      <x:c r="W177" s="373"/>
      <x:c r="X177" s="373"/>
      <x:c r="Y177" s="373"/>
      <x:c r="Z177" s="373"/>
    </x:row>
    <x:row r="178">
      <x:c r="A178" s="373"/>
      <x:c r="B178" s="373"/>
      <x:c r="C178" s="373"/>
      <x:c r="D178" s="373"/>
      <x:c r="E178" s="373"/>
      <x:c r="F178" s="373"/>
      <x:c r="G178" s="373"/>
      <x:c r="H178" s="373"/>
      <x:c r="I178" s="373"/>
      <x:c r="J178" s="373"/>
      <x:c r="K178" s="373"/>
      <x:c r="L178" s="373"/>
      <x:c r="M178" s="373"/>
      <x:c r="N178" s="373"/>
      <x:c r="O178" s="373"/>
      <x:c r="P178" s="373"/>
      <x:c r="Q178" s="373"/>
      <x:c r="R178" s="373"/>
      <x:c r="S178" s="373"/>
      <x:c r="T178" s="373"/>
      <x:c r="U178" s="373"/>
      <x:c r="V178" s="373"/>
      <x:c r="W178" s="373"/>
      <x:c r="X178" s="373"/>
      <x:c r="Y178" s="373"/>
      <x:c r="Z178" s="373"/>
    </x:row>
    <x:row r="179">
      <x:c r="A179" s="373"/>
      <x:c r="B179" s="373"/>
      <x:c r="C179" s="373"/>
      <x:c r="D179" s="373"/>
      <x:c r="E179" s="373"/>
      <x:c r="F179" s="373"/>
      <x:c r="G179" s="373"/>
      <x:c r="H179" s="373"/>
      <x:c r="I179" s="373"/>
      <x:c r="J179" s="373"/>
      <x:c r="K179" s="373"/>
      <x:c r="L179" s="373"/>
      <x:c r="M179" s="373"/>
      <x:c r="N179" s="373"/>
      <x:c r="O179" s="373"/>
      <x:c r="P179" s="373"/>
      <x:c r="Q179" s="373"/>
      <x:c r="R179" s="373"/>
      <x:c r="S179" s="373"/>
      <x:c r="T179" s="373"/>
      <x:c r="U179" s="373"/>
      <x:c r="V179" s="373"/>
      <x:c r="W179" s="373"/>
      <x:c r="X179" s="373"/>
      <x:c r="Y179" s="373"/>
      <x:c r="Z179" s="373"/>
    </x:row>
    <x:row r="180">
      <x:c r="A180" s="373"/>
      <x:c r="B180" s="373"/>
      <x:c r="C180" s="373"/>
      <x:c r="D180" s="373"/>
      <x:c r="E180" s="373"/>
      <x:c r="F180" s="373"/>
      <x:c r="G180" s="373"/>
      <x:c r="H180" s="373"/>
      <x:c r="I180" s="373"/>
      <x:c r="J180" s="373"/>
      <x:c r="K180" s="373"/>
      <x:c r="L180" s="373"/>
      <x:c r="M180" s="373"/>
      <x:c r="N180" s="373"/>
      <x:c r="O180" s="373"/>
      <x:c r="P180" s="373"/>
      <x:c r="Q180" s="373"/>
      <x:c r="R180" s="373"/>
      <x:c r="S180" s="373"/>
      <x:c r="T180" s="373"/>
      <x:c r="U180" s="373"/>
      <x:c r="V180" s="373"/>
      <x:c r="W180" s="373"/>
      <x:c r="X180" s="373"/>
      <x:c r="Y180" s="373"/>
      <x:c r="Z180" s="373"/>
    </x:row>
    <x:row r="181">
      <x:c r="A181" s="373"/>
      <x:c r="B181" s="373"/>
      <x:c r="C181" s="373"/>
      <x:c r="D181" s="373"/>
      <x:c r="E181" s="373"/>
      <x:c r="F181" s="373"/>
      <x:c r="G181" s="373"/>
      <x:c r="H181" s="373"/>
      <x:c r="I181" s="373"/>
      <x:c r="J181" s="373"/>
      <x:c r="K181" s="373"/>
      <x:c r="L181" s="373"/>
      <x:c r="M181" s="373"/>
      <x:c r="N181" s="373"/>
      <x:c r="O181" s="373"/>
      <x:c r="P181" s="373"/>
      <x:c r="Q181" s="373"/>
      <x:c r="R181" s="373"/>
      <x:c r="S181" s="373"/>
      <x:c r="T181" s="373"/>
      <x:c r="U181" s="373"/>
      <x:c r="V181" s="373"/>
      <x:c r="W181" s="373"/>
      <x:c r="X181" s="373"/>
      <x:c r="Y181" s="373"/>
      <x:c r="Z181" s="373"/>
    </x:row>
    <x:row r="182">
      <x:c r="A182" s="373"/>
      <x:c r="B182" s="373"/>
      <x:c r="C182" s="373"/>
      <x:c r="D182" s="373"/>
      <x:c r="E182" s="373"/>
      <x:c r="F182" s="373"/>
      <x:c r="G182" s="373"/>
      <x:c r="H182" s="373"/>
      <x:c r="I182" s="373"/>
      <x:c r="J182" s="373"/>
      <x:c r="K182" s="373"/>
      <x:c r="L182" s="373"/>
      <x:c r="M182" s="373"/>
      <x:c r="N182" s="373"/>
      <x:c r="O182" s="373"/>
      <x:c r="P182" s="373"/>
      <x:c r="Q182" s="373"/>
      <x:c r="R182" s="373"/>
      <x:c r="S182" s="373"/>
      <x:c r="T182" s="373"/>
      <x:c r="U182" s="373"/>
      <x:c r="V182" s="373"/>
      <x:c r="W182" s="373"/>
      <x:c r="X182" s="373"/>
      <x:c r="Y182" s="373"/>
      <x:c r="Z182" s="373"/>
    </x:row>
    <x:row r="183">
      <x:c r="A183" s="373"/>
      <x:c r="B183" s="373"/>
      <x:c r="C183" s="373"/>
      <x:c r="D183" s="373"/>
      <x:c r="E183" s="373"/>
      <x:c r="F183" s="373"/>
      <x:c r="G183" s="373"/>
      <x:c r="H183" s="373"/>
      <x:c r="I183" s="373"/>
      <x:c r="J183" s="373"/>
      <x:c r="K183" s="373"/>
      <x:c r="L183" s="373"/>
      <x:c r="M183" s="373"/>
      <x:c r="N183" s="373"/>
      <x:c r="O183" s="373"/>
      <x:c r="P183" s="373"/>
      <x:c r="Q183" s="373"/>
      <x:c r="R183" s="373"/>
      <x:c r="S183" s="373"/>
      <x:c r="T183" s="373"/>
      <x:c r="U183" s="373"/>
      <x:c r="V183" s="373"/>
      <x:c r="W183" s="373"/>
      <x:c r="X183" s="373"/>
      <x:c r="Y183" s="373"/>
      <x:c r="Z183" s="373"/>
    </x:row>
    <x:row r="184">
      <x:c r="A184" s="373"/>
      <x:c r="B184" s="373"/>
      <x:c r="C184" s="373"/>
      <x:c r="D184" s="373"/>
      <x:c r="E184" s="373"/>
      <x:c r="F184" s="373"/>
      <x:c r="G184" s="373"/>
      <x:c r="H184" s="373"/>
      <x:c r="I184" s="373"/>
      <x:c r="J184" s="373"/>
      <x:c r="K184" s="373"/>
      <x:c r="L184" s="373"/>
      <x:c r="M184" s="373"/>
      <x:c r="N184" s="373"/>
      <x:c r="O184" s="373"/>
      <x:c r="P184" s="373"/>
      <x:c r="Q184" s="373"/>
      <x:c r="R184" s="373"/>
      <x:c r="S184" s="373"/>
      <x:c r="T184" s="373"/>
      <x:c r="U184" s="373"/>
      <x:c r="V184" s="373"/>
      <x:c r="W184" s="373"/>
      <x:c r="X184" s="373"/>
      <x:c r="Y184" s="373"/>
      <x:c r="Z184" s="373"/>
    </x:row>
    <x:row r="185">
      <x:c r="A185" s="373"/>
      <x:c r="B185" s="373"/>
      <x:c r="C185" s="373"/>
      <x:c r="D185" s="373"/>
      <x:c r="E185" s="373"/>
      <x:c r="F185" s="373"/>
      <x:c r="G185" s="373"/>
      <x:c r="H185" s="373"/>
      <x:c r="I185" s="373"/>
      <x:c r="J185" s="373"/>
      <x:c r="K185" s="373"/>
      <x:c r="L185" s="373"/>
      <x:c r="M185" s="373"/>
      <x:c r="N185" s="373"/>
      <x:c r="O185" s="373"/>
      <x:c r="P185" s="373"/>
      <x:c r="Q185" s="373"/>
      <x:c r="R185" s="373"/>
      <x:c r="S185" s="373"/>
      <x:c r="T185" s="373"/>
      <x:c r="U185" s="373"/>
      <x:c r="V185" s="373"/>
      <x:c r="W185" s="373"/>
      <x:c r="X185" s="373"/>
      <x:c r="Y185" s="373"/>
      <x:c r="Z185" s="373"/>
    </x:row>
    <x:row r="186">
      <x:c r="A186" s="373"/>
      <x:c r="B186" s="373"/>
      <x:c r="C186" s="373"/>
      <x:c r="D186" s="373"/>
      <x:c r="E186" s="373"/>
      <x:c r="F186" s="373"/>
      <x:c r="G186" s="373"/>
      <x:c r="H186" s="373"/>
      <x:c r="I186" s="373"/>
      <x:c r="J186" s="373"/>
      <x:c r="K186" s="373"/>
      <x:c r="L186" s="373"/>
      <x:c r="M186" s="373"/>
      <x:c r="N186" s="373"/>
      <x:c r="O186" s="373"/>
      <x:c r="P186" s="373"/>
      <x:c r="Q186" s="373"/>
      <x:c r="R186" s="373"/>
      <x:c r="S186" s="373"/>
      <x:c r="T186" s="373"/>
      <x:c r="U186" s="373"/>
      <x:c r="V186" s="373"/>
      <x:c r="W186" s="373"/>
      <x:c r="X186" s="373"/>
      <x:c r="Y186" s="373"/>
      <x:c r="Z186" s="373"/>
    </x:row>
    <x:row r="187">
      <x:c r="A187" s="373"/>
      <x:c r="B187" s="373"/>
      <x:c r="C187" s="373"/>
      <x:c r="D187" s="373"/>
      <x:c r="E187" s="373"/>
      <x:c r="F187" s="373"/>
      <x:c r="G187" s="373"/>
      <x:c r="H187" s="373"/>
      <x:c r="I187" s="373"/>
      <x:c r="J187" s="373"/>
      <x:c r="K187" s="373"/>
      <x:c r="L187" s="373"/>
      <x:c r="M187" s="373"/>
      <x:c r="N187" s="373"/>
      <x:c r="O187" s="373"/>
      <x:c r="P187" s="373"/>
      <x:c r="Q187" s="373"/>
      <x:c r="R187" s="373"/>
      <x:c r="S187" s="373"/>
      <x:c r="T187" s="373"/>
      <x:c r="U187" s="373"/>
      <x:c r="V187" s="373"/>
      <x:c r="W187" s="373"/>
      <x:c r="X187" s="373"/>
      <x:c r="Y187" s="373"/>
      <x:c r="Z187" s="373"/>
    </x:row>
    <x:row r="188">
      <x:c r="A188" s="373"/>
      <x:c r="B188" s="373"/>
      <x:c r="C188" s="373"/>
      <x:c r="D188" s="373"/>
      <x:c r="E188" s="373"/>
      <x:c r="F188" s="373"/>
      <x:c r="G188" s="373"/>
      <x:c r="H188" s="373"/>
      <x:c r="I188" s="373"/>
      <x:c r="J188" s="373"/>
      <x:c r="K188" s="373"/>
      <x:c r="L188" s="373"/>
      <x:c r="M188" s="373"/>
      <x:c r="N188" s="373"/>
      <x:c r="O188" s="373"/>
      <x:c r="P188" s="373"/>
      <x:c r="Q188" s="373"/>
      <x:c r="R188" s="373"/>
      <x:c r="S188" s="373"/>
      <x:c r="T188" s="373"/>
      <x:c r="U188" s="373"/>
      <x:c r="V188" s="373"/>
      <x:c r="W188" s="373"/>
      <x:c r="X188" s="373"/>
      <x:c r="Y188" s="373"/>
      <x:c r="Z188" s="373"/>
    </x:row>
    <x:row r="189">
      <x:c r="A189" s="373"/>
      <x:c r="B189" s="373"/>
      <x:c r="C189" s="373"/>
      <x:c r="D189" s="373"/>
      <x:c r="E189" s="373"/>
      <x:c r="F189" s="373"/>
      <x:c r="G189" s="373"/>
      <x:c r="H189" s="373"/>
      <x:c r="I189" s="373"/>
      <x:c r="J189" s="373"/>
      <x:c r="K189" s="373"/>
      <x:c r="L189" s="373"/>
      <x:c r="M189" s="373"/>
      <x:c r="N189" s="373"/>
      <x:c r="O189" s="373"/>
      <x:c r="P189" s="373"/>
      <x:c r="Q189" s="373"/>
      <x:c r="R189" s="373"/>
      <x:c r="S189" s="373"/>
      <x:c r="T189" s="373"/>
      <x:c r="U189" s="373"/>
      <x:c r="V189" s="373"/>
      <x:c r="W189" s="373"/>
      <x:c r="X189" s="373"/>
      <x:c r="Y189" s="373"/>
      <x:c r="Z189" s="373"/>
    </x:row>
    <x:row r="190">
      <x:c r="A190" s="373"/>
      <x:c r="B190" s="373"/>
      <x:c r="C190" s="373"/>
      <x:c r="D190" s="373"/>
      <x:c r="E190" s="373"/>
      <x:c r="F190" s="373"/>
      <x:c r="G190" s="373"/>
      <x:c r="H190" s="373"/>
      <x:c r="I190" s="373"/>
      <x:c r="J190" s="373"/>
      <x:c r="K190" s="373"/>
      <x:c r="L190" s="373"/>
      <x:c r="M190" s="373"/>
      <x:c r="N190" s="373"/>
      <x:c r="O190" s="373"/>
      <x:c r="P190" s="373"/>
      <x:c r="Q190" s="373"/>
      <x:c r="R190" s="373"/>
      <x:c r="S190" s="373"/>
      <x:c r="T190" s="373"/>
      <x:c r="U190" s="373"/>
      <x:c r="V190" s="373"/>
      <x:c r="W190" s="373"/>
      <x:c r="X190" s="373"/>
      <x:c r="Y190" s="373"/>
      <x:c r="Z190" s="373"/>
    </x:row>
    <x:row r="191">
      <x:c r="A191" s="373"/>
      <x:c r="B191" s="373"/>
      <x:c r="C191" s="373"/>
      <x:c r="D191" s="373"/>
      <x:c r="E191" s="373"/>
      <x:c r="F191" s="373"/>
      <x:c r="G191" s="373"/>
      <x:c r="H191" s="373"/>
      <x:c r="I191" s="373"/>
      <x:c r="J191" s="373"/>
      <x:c r="K191" s="373"/>
      <x:c r="L191" s="373"/>
      <x:c r="M191" s="373"/>
      <x:c r="N191" s="373"/>
      <x:c r="O191" s="373"/>
      <x:c r="P191" s="373"/>
      <x:c r="Q191" s="373"/>
      <x:c r="R191" s="373"/>
      <x:c r="S191" s="373"/>
      <x:c r="T191" s="373"/>
      <x:c r="U191" s="373"/>
      <x:c r="V191" s="373"/>
      <x:c r="W191" s="373"/>
      <x:c r="X191" s="373"/>
      <x:c r="Y191" s="373"/>
      <x:c r="Z191" s="373"/>
    </x:row>
    <x:row r="192">
      <x:c r="A192" s="373"/>
      <x:c r="B192" s="373"/>
      <x:c r="C192" s="373"/>
      <x:c r="D192" s="373"/>
      <x:c r="E192" s="373"/>
      <x:c r="F192" s="373"/>
      <x:c r="G192" s="373"/>
      <x:c r="H192" s="373"/>
      <x:c r="I192" s="373"/>
      <x:c r="J192" s="373"/>
      <x:c r="K192" s="373"/>
      <x:c r="L192" s="373"/>
      <x:c r="M192" s="373"/>
      <x:c r="N192" s="373"/>
      <x:c r="O192" s="373"/>
      <x:c r="P192" s="373"/>
      <x:c r="Q192" s="373"/>
      <x:c r="R192" s="373"/>
      <x:c r="S192" s="373"/>
      <x:c r="T192" s="373"/>
      <x:c r="U192" s="373"/>
      <x:c r="V192" s="373"/>
      <x:c r="W192" s="373"/>
      <x:c r="X192" s="373"/>
      <x:c r="Y192" s="373"/>
      <x:c r="Z192" s="373"/>
    </x:row>
    <x:row r="193">
      <x:c r="A193" s="373"/>
      <x:c r="B193" s="373"/>
      <x:c r="C193" s="373"/>
      <x:c r="D193" s="373"/>
      <x:c r="E193" s="373"/>
      <x:c r="F193" s="373"/>
      <x:c r="G193" s="373"/>
      <x:c r="H193" s="373"/>
      <x:c r="I193" s="373"/>
      <x:c r="J193" s="373"/>
      <x:c r="K193" s="373"/>
      <x:c r="L193" s="373"/>
      <x:c r="M193" s="373"/>
      <x:c r="N193" s="373"/>
      <x:c r="O193" s="373"/>
      <x:c r="P193" s="373"/>
      <x:c r="Q193" s="373"/>
      <x:c r="R193" s="373"/>
      <x:c r="S193" s="373"/>
      <x:c r="T193" s="373"/>
      <x:c r="U193" s="373"/>
      <x:c r="V193" s="373"/>
      <x:c r="W193" s="373"/>
      <x:c r="X193" s="373"/>
      <x:c r="Y193" s="373"/>
      <x:c r="Z193" s="373"/>
    </x:row>
    <x:row r="194">
      <x:c r="A194" s="373"/>
      <x:c r="B194" s="373"/>
      <x:c r="C194" s="373"/>
      <x:c r="D194" s="373"/>
      <x:c r="E194" s="373"/>
      <x:c r="F194" s="373"/>
      <x:c r="G194" s="373"/>
      <x:c r="H194" s="373"/>
      <x:c r="I194" s="373"/>
      <x:c r="J194" s="373"/>
      <x:c r="K194" s="373"/>
      <x:c r="L194" s="373"/>
      <x:c r="M194" s="373"/>
      <x:c r="N194" s="373"/>
      <x:c r="O194" s="373"/>
      <x:c r="P194" s="373"/>
      <x:c r="Q194" s="373"/>
      <x:c r="R194" s="373"/>
      <x:c r="S194" s="373"/>
      <x:c r="T194" s="373"/>
      <x:c r="U194" s="373"/>
      <x:c r="V194" s="373"/>
      <x:c r="W194" s="373"/>
      <x:c r="X194" s="373"/>
      <x:c r="Y194" s="373"/>
      <x:c r="Z194" s="373"/>
    </x:row>
    <x:row r="195">
      <x:c r="A195" s="373"/>
      <x:c r="B195" s="373"/>
      <x:c r="C195" s="373"/>
      <x:c r="D195" s="373"/>
      <x:c r="E195" s="373"/>
      <x:c r="F195" s="373"/>
      <x:c r="G195" s="373"/>
      <x:c r="H195" s="373"/>
      <x:c r="I195" s="373"/>
      <x:c r="J195" s="373"/>
      <x:c r="K195" s="373"/>
      <x:c r="L195" s="373"/>
      <x:c r="M195" s="373"/>
      <x:c r="N195" s="373"/>
      <x:c r="O195" s="373"/>
      <x:c r="P195" s="373"/>
      <x:c r="Q195" s="373"/>
      <x:c r="R195" s="373"/>
      <x:c r="S195" s="373"/>
      <x:c r="T195" s="373"/>
      <x:c r="U195" s="373"/>
      <x:c r="V195" s="373"/>
      <x:c r="W195" s="373"/>
      <x:c r="X195" s="373"/>
      <x:c r="Y195" s="373"/>
      <x:c r="Z195" s="373"/>
    </x:row>
    <x:row r="196">
      <x:c r="A196" s="373"/>
      <x:c r="B196" s="373"/>
      <x:c r="C196" s="373"/>
      <x:c r="D196" s="373"/>
      <x:c r="E196" s="373"/>
      <x:c r="F196" s="373"/>
      <x:c r="G196" s="373"/>
      <x:c r="H196" s="373"/>
      <x:c r="I196" s="373"/>
      <x:c r="J196" s="373"/>
      <x:c r="K196" s="373"/>
      <x:c r="L196" s="373"/>
      <x:c r="M196" s="373"/>
      <x:c r="N196" s="373"/>
      <x:c r="O196" s="373"/>
      <x:c r="P196" s="373"/>
      <x:c r="Q196" s="373"/>
      <x:c r="R196" s="373"/>
      <x:c r="S196" s="373"/>
      <x:c r="T196" s="373"/>
      <x:c r="U196" s="373"/>
      <x:c r="V196" s="373"/>
      <x:c r="W196" s="373"/>
      <x:c r="X196" s="373"/>
      <x:c r="Y196" s="373"/>
      <x:c r="Z196" s="373"/>
    </x:row>
    <x:row r="197">
      <x:c r="A197" s="373"/>
      <x:c r="B197" s="373"/>
      <x:c r="C197" s="373"/>
      <x:c r="D197" s="373"/>
      <x:c r="E197" s="373"/>
      <x:c r="F197" s="373"/>
      <x:c r="G197" s="373"/>
      <x:c r="H197" s="373"/>
      <x:c r="I197" s="373"/>
      <x:c r="J197" s="373"/>
      <x:c r="K197" s="373"/>
      <x:c r="L197" s="373"/>
      <x:c r="M197" s="373"/>
      <x:c r="N197" s="373"/>
      <x:c r="O197" s="373"/>
      <x:c r="P197" s="373"/>
      <x:c r="Q197" s="373"/>
      <x:c r="R197" s="373"/>
      <x:c r="S197" s="373"/>
      <x:c r="T197" s="373"/>
      <x:c r="U197" s="373"/>
      <x:c r="V197" s="373"/>
      <x:c r="W197" s="373"/>
      <x:c r="X197" s="373"/>
      <x:c r="Y197" s="373"/>
      <x:c r="Z197" s="373"/>
    </x:row>
    <x:row r="198">
      <x:c r="A198" s="373"/>
      <x:c r="B198" s="373"/>
      <x:c r="C198" s="373"/>
      <x:c r="D198" s="373"/>
      <x:c r="E198" s="373"/>
      <x:c r="F198" s="373"/>
      <x:c r="G198" s="373"/>
      <x:c r="H198" s="373"/>
      <x:c r="I198" s="373"/>
      <x:c r="J198" s="373"/>
      <x:c r="K198" s="373"/>
      <x:c r="L198" s="373"/>
      <x:c r="M198" s="373"/>
      <x:c r="N198" s="373"/>
      <x:c r="O198" s="373"/>
      <x:c r="P198" s="373"/>
      <x:c r="Q198" s="373"/>
      <x:c r="R198" s="373"/>
      <x:c r="S198" s="373"/>
      <x:c r="T198" s="373"/>
      <x:c r="U198" s="373"/>
      <x:c r="V198" s="373"/>
      <x:c r="W198" s="373"/>
      <x:c r="X198" s="373"/>
      <x:c r="Y198" s="373"/>
      <x:c r="Z198" s="373"/>
    </x:row>
    <x:row r="199">
      <x:c r="A199" s="373"/>
      <x:c r="B199" s="373"/>
      <x:c r="C199" s="373"/>
      <x:c r="D199" s="373"/>
      <x:c r="E199" s="373"/>
      <x:c r="F199" s="373"/>
      <x:c r="G199" s="373"/>
      <x:c r="H199" s="373"/>
      <x:c r="I199" s="373"/>
      <x:c r="J199" s="373"/>
      <x:c r="K199" s="373"/>
      <x:c r="L199" s="373"/>
      <x:c r="M199" s="373"/>
      <x:c r="N199" s="373"/>
      <x:c r="O199" s="373"/>
      <x:c r="P199" s="373"/>
      <x:c r="Q199" s="373"/>
      <x:c r="R199" s="373"/>
      <x:c r="S199" s="373"/>
      <x:c r="T199" s="373"/>
      <x:c r="U199" s="373"/>
      <x:c r="V199" s="373"/>
      <x:c r="W199" s="373"/>
      <x:c r="X199" s="373"/>
      <x:c r="Y199" s="373"/>
      <x:c r="Z199" s="373"/>
    </x:row>
    <x:row r="200">
      <x:c r="A200" s="373"/>
      <x:c r="B200" s="373"/>
      <x:c r="C200" s="373"/>
      <x:c r="D200" s="373"/>
      <x:c r="E200" s="373"/>
      <x:c r="F200" s="373"/>
      <x:c r="G200" s="373"/>
      <x:c r="H200" s="373"/>
      <x:c r="I200" s="373"/>
      <x:c r="J200" s="373"/>
      <x:c r="K200" s="373"/>
      <x:c r="L200" s="373"/>
      <x:c r="M200" s="373"/>
      <x:c r="N200" s="373"/>
      <x:c r="O200" s="373"/>
      <x:c r="P200" s="373"/>
      <x:c r="Q200" s="373"/>
      <x:c r="R200" s="373"/>
      <x:c r="S200" s="373"/>
      <x:c r="T200" s="373"/>
      <x:c r="U200" s="373"/>
      <x:c r="V200" s="373"/>
      <x:c r="W200" s="373"/>
      <x:c r="X200" s="373"/>
      <x:c r="Y200" s="373"/>
      <x:c r="Z200" s="373"/>
    </x:row>
    <x:row r="201">
      <x:c r="A201" s="373"/>
      <x:c r="B201" s="373"/>
      <x:c r="C201" s="373"/>
      <x:c r="D201" s="373"/>
      <x:c r="E201" s="373"/>
      <x:c r="F201" s="373"/>
      <x:c r="G201" s="373"/>
      <x:c r="H201" s="373"/>
      <x:c r="I201" s="373"/>
      <x:c r="J201" s="373"/>
      <x:c r="K201" s="373"/>
      <x:c r="L201" s="373"/>
      <x:c r="M201" s="373"/>
      <x:c r="N201" s="373"/>
      <x:c r="O201" s="373"/>
      <x:c r="P201" s="373"/>
      <x:c r="Q201" s="373"/>
      <x:c r="R201" s="373"/>
      <x:c r="S201" s="373"/>
      <x:c r="T201" s="373"/>
      <x:c r="U201" s="373"/>
      <x:c r="V201" s="373"/>
      <x:c r="W201" s="373"/>
      <x:c r="X201" s="373"/>
      <x:c r="Y201" s="373"/>
      <x:c r="Z201" s="373"/>
    </x:row>
    <x:row r="202">
      <x:c r="A202" s="373"/>
      <x:c r="B202" s="373"/>
      <x:c r="C202" s="373"/>
      <x:c r="D202" s="373"/>
      <x:c r="E202" s="373"/>
      <x:c r="F202" s="373"/>
      <x:c r="G202" s="373"/>
      <x:c r="H202" s="373"/>
      <x:c r="I202" s="373"/>
      <x:c r="J202" s="373"/>
      <x:c r="K202" s="373"/>
      <x:c r="L202" s="373"/>
      <x:c r="M202" s="373"/>
      <x:c r="N202" s="373"/>
      <x:c r="O202" s="373"/>
      <x:c r="P202" s="373"/>
      <x:c r="Q202" s="373"/>
      <x:c r="R202" s="373"/>
      <x:c r="S202" s="373"/>
      <x:c r="T202" s="373"/>
      <x:c r="U202" s="373"/>
      <x:c r="V202" s="373"/>
      <x:c r="W202" s="373"/>
      <x:c r="X202" s="373"/>
      <x:c r="Y202" s="373"/>
      <x:c r="Z202" s="373"/>
    </x:row>
    <x:row r="203">
      <x:c r="A203" s="373"/>
      <x:c r="B203" s="373"/>
      <x:c r="C203" s="373"/>
      <x:c r="D203" s="373"/>
      <x:c r="E203" s="373"/>
      <x:c r="F203" s="373"/>
      <x:c r="G203" s="373"/>
      <x:c r="H203" s="373"/>
      <x:c r="I203" s="373"/>
      <x:c r="J203" s="373"/>
      <x:c r="K203" s="373"/>
      <x:c r="L203" s="373"/>
      <x:c r="M203" s="373"/>
      <x:c r="N203" s="373"/>
      <x:c r="O203" s="373"/>
      <x:c r="P203" s="373"/>
      <x:c r="Q203" s="373"/>
      <x:c r="R203" s="373"/>
      <x:c r="S203" s="373"/>
      <x:c r="T203" s="373"/>
      <x:c r="U203" s="373"/>
      <x:c r="V203" s="373"/>
      <x:c r="W203" s="373"/>
      <x:c r="X203" s="373"/>
      <x:c r="Y203" s="373"/>
      <x:c r="Z203" s="373"/>
    </x:row>
    <x:row r="204">
      <x:c r="A204" s="373"/>
      <x:c r="B204" s="373"/>
      <x:c r="C204" s="373"/>
      <x:c r="D204" s="373"/>
      <x:c r="E204" s="373"/>
      <x:c r="F204" s="373"/>
      <x:c r="G204" s="373"/>
      <x:c r="H204" s="373"/>
      <x:c r="I204" s="373"/>
      <x:c r="J204" s="373"/>
      <x:c r="K204" s="373"/>
      <x:c r="L204" s="373"/>
      <x:c r="M204" s="373"/>
      <x:c r="N204" s="373"/>
      <x:c r="O204" s="373"/>
      <x:c r="P204" s="373"/>
      <x:c r="Q204" s="373"/>
      <x:c r="R204" s="373"/>
      <x:c r="S204" s="373"/>
      <x:c r="T204" s="373"/>
      <x:c r="U204" s="373"/>
      <x:c r="V204" s="373"/>
      <x:c r="W204" s="373"/>
      <x:c r="X204" s="373"/>
      <x:c r="Y204" s="373"/>
      <x:c r="Z204" s="373"/>
    </x:row>
    <x:row r="205">
      <x:c r="A205" s="373"/>
      <x:c r="B205" s="373"/>
      <x:c r="C205" s="373"/>
      <x:c r="D205" s="373"/>
      <x:c r="E205" s="373"/>
      <x:c r="F205" s="373"/>
      <x:c r="G205" s="373"/>
      <x:c r="H205" s="373"/>
      <x:c r="I205" s="373"/>
      <x:c r="J205" s="373"/>
      <x:c r="K205" s="373"/>
      <x:c r="L205" s="373"/>
      <x:c r="M205" s="373"/>
      <x:c r="N205" s="373"/>
      <x:c r="O205" s="373"/>
      <x:c r="P205" s="373"/>
      <x:c r="Q205" s="373"/>
      <x:c r="R205" s="373"/>
      <x:c r="S205" s="373"/>
      <x:c r="T205" s="373"/>
      <x:c r="U205" s="373"/>
      <x:c r="V205" s="373"/>
      <x:c r="W205" s="373"/>
      <x:c r="X205" s="373"/>
      <x:c r="Y205" s="373"/>
      <x:c r="Z205" s="373"/>
    </x:row>
    <x:row r="206">
      <x:c r="A206" s="373"/>
      <x:c r="B206" s="373"/>
      <x:c r="C206" s="373"/>
      <x:c r="D206" s="373"/>
      <x:c r="E206" s="373"/>
      <x:c r="F206" s="373"/>
      <x:c r="G206" s="373"/>
      <x:c r="H206" s="373"/>
      <x:c r="I206" s="373"/>
      <x:c r="J206" s="373"/>
      <x:c r="K206" s="373"/>
      <x:c r="L206" s="373"/>
      <x:c r="M206" s="373"/>
      <x:c r="N206" s="373"/>
      <x:c r="O206" s="373"/>
      <x:c r="P206" s="373"/>
      <x:c r="Q206" s="373"/>
      <x:c r="R206" s="373"/>
      <x:c r="S206" s="373"/>
      <x:c r="T206" s="373"/>
      <x:c r="U206" s="373"/>
      <x:c r="V206" s="373"/>
      <x:c r="W206" s="373"/>
      <x:c r="X206" s="373"/>
      <x:c r="Y206" s="373"/>
      <x:c r="Z206" s="373"/>
    </x:row>
    <x:row r="207">
      <x:c r="A207" s="373"/>
      <x:c r="B207" s="373"/>
      <x:c r="C207" s="373"/>
      <x:c r="D207" s="373"/>
      <x:c r="E207" s="373"/>
      <x:c r="F207" s="373"/>
      <x:c r="G207" s="373"/>
      <x:c r="H207" s="373"/>
      <x:c r="I207" s="373"/>
      <x:c r="J207" s="373"/>
      <x:c r="K207" s="373"/>
      <x:c r="L207" s="373"/>
      <x:c r="M207" s="373"/>
      <x:c r="N207" s="373"/>
      <x:c r="O207" s="373"/>
      <x:c r="P207" s="373"/>
      <x:c r="Q207" s="373"/>
      <x:c r="R207" s="373"/>
      <x:c r="S207" s="373"/>
      <x:c r="T207" s="373"/>
      <x:c r="U207" s="373"/>
      <x:c r="V207" s="373"/>
      <x:c r="W207" s="373"/>
      <x:c r="X207" s="373"/>
      <x:c r="Y207" s="373"/>
      <x:c r="Z207" s="373"/>
    </x:row>
    <x:row r="208">
      <x:c r="A208" s="373"/>
      <x:c r="B208" s="373"/>
      <x:c r="C208" s="373"/>
      <x:c r="D208" s="373"/>
      <x:c r="E208" s="373"/>
      <x:c r="F208" s="373"/>
      <x:c r="G208" s="373"/>
      <x:c r="H208" s="373"/>
      <x:c r="I208" s="373"/>
      <x:c r="J208" s="373"/>
      <x:c r="K208" s="373"/>
      <x:c r="L208" s="373"/>
      <x:c r="M208" s="373"/>
      <x:c r="N208" s="373"/>
      <x:c r="O208" s="373"/>
      <x:c r="P208" s="373"/>
      <x:c r="Q208" s="373"/>
      <x:c r="R208" s="373"/>
      <x:c r="S208" s="373"/>
      <x:c r="T208" s="373"/>
      <x:c r="U208" s="373"/>
      <x:c r="V208" s="373"/>
      <x:c r="W208" s="373"/>
      <x:c r="X208" s="373"/>
      <x:c r="Y208" s="373"/>
      <x:c r="Z208" s="373"/>
    </x:row>
    <x:row r="209">
      <x:c r="A209" s="373"/>
      <x:c r="B209" s="373"/>
      <x:c r="C209" s="373"/>
      <x:c r="D209" s="373"/>
      <x:c r="E209" s="373"/>
      <x:c r="F209" s="373"/>
      <x:c r="G209" s="373"/>
      <x:c r="H209" s="373"/>
      <x:c r="I209" s="373"/>
      <x:c r="J209" s="373"/>
      <x:c r="K209" s="373"/>
      <x:c r="L209" s="373"/>
      <x:c r="M209" s="373"/>
      <x:c r="N209" s="373"/>
      <x:c r="O209" s="373"/>
      <x:c r="P209" s="373"/>
      <x:c r="Q209" s="373"/>
      <x:c r="R209" s="373"/>
      <x:c r="S209" s="373"/>
      <x:c r="T209" s="373"/>
      <x:c r="U209" s="373"/>
      <x:c r="V209" s="373"/>
      <x:c r="W209" s="373"/>
      <x:c r="X209" s="373"/>
      <x:c r="Y209" s="373"/>
      <x:c r="Z209" s="373"/>
    </x:row>
    <x:row r="210">
      <x:c r="A210" s="373"/>
      <x:c r="B210" s="373"/>
      <x:c r="C210" s="373"/>
      <x:c r="D210" s="373"/>
      <x:c r="E210" s="373"/>
      <x:c r="F210" s="373"/>
      <x:c r="G210" s="373"/>
      <x:c r="H210" s="373"/>
      <x:c r="I210" s="373"/>
      <x:c r="J210" s="373"/>
      <x:c r="K210" s="373"/>
      <x:c r="L210" s="373"/>
      <x:c r="M210" s="373"/>
      <x:c r="N210" s="373"/>
      <x:c r="O210" s="373"/>
      <x:c r="P210" s="373"/>
      <x:c r="Q210" s="373"/>
      <x:c r="R210" s="373"/>
      <x:c r="S210" s="373"/>
      <x:c r="T210" s="373"/>
      <x:c r="U210" s="373"/>
      <x:c r="V210" s="373"/>
      <x:c r="W210" s="373"/>
      <x:c r="X210" s="373"/>
      <x:c r="Y210" s="373"/>
      <x:c r="Z210" s="373"/>
    </x:row>
    <x:row r="211">
      <x:c r="A211" s="373"/>
      <x:c r="B211" s="373"/>
      <x:c r="C211" s="373"/>
      <x:c r="D211" s="373"/>
      <x:c r="E211" s="373"/>
      <x:c r="F211" s="373"/>
      <x:c r="G211" s="373"/>
      <x:c r="H211" s="373"/>
      <x:c r="I211" s="373"/>
      <x:c r="J211" s="373"/>
      <x:c r="K211" s="373"/>
      <x:c r="L211" s="373"/>
      <x:c r="M211" s="373"/>
      <x:c r="N211" s="373"/>
      <x:c r="O211" s="373"/>
      <x:c r="P211" s="373"/>
      <x:c r="Q211" s="373"/>
      <x:c r="R211" s="373"/>
      <x:c r="S211" s="373"/>
      <x:c r="T211" s="373"/>
      <x:c r="U211" s="373"/>
      <x:c r="V211" s="373"/>
      <x:c r="W211" s="373"/>
      <x:c r="X211" s="373"/>
      <x:c r="Y211" s="373"/>
      <x:c r="Z211" s="373"/>
    </x:row>
    <x:row r="212">
      <x:c r="A212" s="373"/>
      <x:c r="B212" s="373"/>
      <x:c r="C212" s="373"/>
      <x:c r="D212" s="373"/>
      <x:c r="E212" s="373"/>
      <x:c r="F212" s="373"/>
      <x:c r="G212" s="373"/>
      <x:c r="H212" s="373"/>
      <x:c r="I212" s="373"/>
      <x:c r="J212" s="373"/>
      <x:c r="K212" s="373"/>
      <x:c r="L212" s="373"/>
      <x:c r="M212" s="373"/>
      <x:c r="N212" s="373"/>
      <x:c r="O212" s="373"/>
      <x:c r="P212" s="373"/>
      <x:c r="Q212" s="373"/>
      <x:c r="R212" s="373"/>
      <x:c r="S212" s="373"/>
      <x:c r="T212" s="373"/>
      <x:c r="U212" s="373"/>
      <x:c r="V212" s="373"/>
      <x:c r="W212" s="373"/>
      <x:c r="X212" s="373"/>
      <x:c r="Y212" s="373"/>
      <x:c r="Z212" s="373"/>
    </x:row>
    <x:row r="213">
      <x:c r="A213" s="373"/>
      <x:c r="B213" s="373"/>
      <x:c r="C213" s="373"/>
      <x:c r="D213" s="373"/>
      <x:c r="E213" s="373"/>
      <x:c r="F213" s="373"/>
      <x:c r="G213" s="373"/>
      <x:c r="H213" s="373"/>
      <x:c r="I213" s="373"/>
      <x:c r="J213" s="373"/>
      <x:c r="K213" s="373"/>
      <x:c r="L213" s="373"/>
      <x:c r="M213" s="373"/>
      <x:c r="N213" s="373"/>
      <x:c r="O213" s="373"/>
      <x:c r="P213" s="373"/>
      <x:c r="Q213" s="373"/>
      <x:c r="R213" s="373"/>
      <x:c r="S213" s="373"/>
      <x:c r="T213" s="373"/>
      <x:c r="U213" s="373"/>
      <x:c r="V213" s="373"/>
      <x:c r="W213" s="373"/>
      <x:c r="X213" s="373"/>
      <x:c r="Y213" s="373"/>
      <x:c r="Z213" s="373"/>
    </x:row>
    <x:row r="214">
      <x:c r="A214" s="373"/>
      <x:c r="B214" s="373"/>
      <x:c r="C214" s="373"/>
      <x:c r="D214" s="373"/>
      <x:c r="E214" s="373"/>
      <x:c r="F214" s="373"/>
      <x:c r="G214" s="373"/>
      <x:c r="H214" s="373"/>
      <x:c r="I214" s="373"/>
      <x:c r="J214" s="373"/>
      <x:c r="K214" s="373"/>
      <x:c r="L214" s="373"/>
      <x:c r="M214" s="373"/>
      <x:c r="N214" s="373"/>
      <x:c r="O214" s="373"/>
      <x:c r="P214" s="373"/>
      <x:c r="Q214" s="373"/>
      <x:c r="R214" s="373"/>
      <x:c r="S214" s="373"/>
      <x:c r="T214" s="373"/>
      <x:c r="U214" s="373"/>
      <x:c r="V214" s="373"/>
      <x:c r="W214" s="373"/>
      <x:c r="X214" s="373"/>
      <x:c r="Y214" s="373"/>
      <x:c r="Z214" s="373"/>
    </x:row>
    <x:row r="215">
      <x:c r="A215" s="373"/>
      <x:c r="B215" s="373"/>
      <x:c r="C215" s="373"/>
      <x:c r="D215" s="373"/>
      <x:c r="E215" s="373"/>
      <x:c r="F215" s="373"/>
      <x:c r="G215" s="373"/>
      <x:c r="H215" s="373"/>
      <x:c r="I215" s="373"/>
      <x:c r="J215" s="373"/>
      <x:c r="K215" s="373"/>
      <x:c r="L215" s="373"/>
      <x:c r="M215" s="373"/>
      <x:c r="N215" s="373"/>
      <x:c r="O215" s="373"/>
      <x:c r="P215" s="373"/>
      <x:c r="Q215" s="373"/>
      <x:c r="R215" s="373"/>
      <x:c r="S215" s="373"/>
      <x:c r="T215" s="373"/>
      <x:c r="U215" s="373"/>
      <x:c r="V215" s="373"/>
      <x:c r="W215" s="373"/>
      <x:c r="X215" s="373"/>
      <x:c r="Y215" s="373"/>
      <x:c r="Z215" s="373"/>
    </x:row>
    <x:row r="216">
      <x:c r="A216" s="373"/>
      <x:c r="B216" s="373"/>
      <x:c r="C216" s="373"/>
      <x:c r="D216" s="373"/>
      <x:c r="E216" s="373"/>
      <x:c r="F216" s="373"/>
      <x:c r="G216" s="373"/>
      <x:c r="H216" s="373"/>
      <x:c r="I216" s="373"/>
      <x:c r="J216" s="373"/>
      <x:c r="K216" s="373"/>
      <x:c r="L216" s="373"/>
      <x:c r="M216" s="373"/>
      <x:c r="N216" s="373"/>
      <x:c r="O216" s="373"/>
      <x:c r="P216" s="373"/>
      <x:c r="Q216" s="373"/>
      <x:c r="R216" s="373"/>
      <x:c r="S216" s="373"/>
      <x:c r="T216" s="373"/>
      <x:c r="U216" s="373"/>
      <x:c r="V216" s="373"/>
      <x:c r="W216" s="373"/>
      <x:c r="X216" s="373"/>
      <x:c r="Y216" s="373"/>
      <x:c r="Z216" s="373"/>
    </x:row>
    <x:row r="217">
      <x:c r="A217" s="373"/>
      <x:c r="B217" s="373"/>
      <x:c r="C217" s="373"/>
      <x:c r="D217" s="373"/>
      <x:c r="E217" s="373"/>
      <x:c r="F217" s="373"/>
      <x:c r="G217" s="373"/>
      <x:c r="H217" s="373"/>
      <x:c r="I217" s="373"/>
      <x:c r="J217" s="373"/>
      <x:c r="K217" s="373"/>
      <x:c r="L217" s="373"/>
      <x:c r="M217" s="373"/>
      <x:c r="N217" s="373"/>
      <x:c r="O217" s="373"/>
      <x:c r="P217" s="373"/>
      <x:c r="Q217" s="373"/>
      <x:c r="R217" s="373"/>
      <x:c r="S217" s="373"/>
      <x:c r="T217" s="373"/>
      <x:c r="U217" s="373"/>
      <x:c r="V217" s="373"/>
      <x:c r="W217" s="373"/>
      <x:c r="X217" s="373"/>
      <x:c r="Y217" s="373"/>
      <x:c r="Z217" s="373"/>
    </x:row>
    <x:row r="218">
      <x:c r="A218" s="373"/>
      <x:c r="B218" s="373"/>
      <x:c r="C218" s="373"/>
      <x:c r="D218" s="373"/>
      <x:c r="E218" s="373"/>
      <x:c r="F218" s="373"/>
      <x:c r="G218" s="373"/>
      <x:c r="H218" s="373"/>
      <x:c r="I218" s="373"/>
      <x:c r="J218" s="373"/>
      <x:c r="K218" s="373"/>
      <x:c r="L218" s="373"/>
      <x:c r="M218" s="373"/>
      <x:c r="N218" s="373"/>
      <x:c r="O218" s="373"/>
      <x:c r="P218" s="373"/>
      <x:c r="Q218" s="373"/>
      <x:c r="R218" s="373"/>
      <x:c r="S218" s="373"/>
      <x:c r="T218" s="373"/>
      <x:c r="U218" s="373"/>
      <x:c r="V218" s="373"/>
      <x:c r="W218" s="373"/>
      <x:c r="X218" s="373"/>
      <x:c r="Y218" s="373"/>
      <x:c r="Z218" s="373"/>
    </x:row>
    <x:row r="219">
      <x:c r="A219" s="373"/>
      <x:c r="B219" s="373"/>
      <x:c r="C219" s="373"/>
      <x:c r="D219" s="373"/>
      <x:c r="E219" s="373"/>
      <x:c r="F219" s="373"/>
      <x:c r="G219" s="373"/>
      <x:c r="H219" s="373"/>
      <x:c r="I219" s="373"/>
      <x:c r="J219" s="373"/>
      <x:c r="K219" s="373"/>
      <x:c r="L219" s="373"/>
      <x:c r="M219" s="373"/>
      <x:c r="N219" s="373"/>
      <x:c r="O219" s="373"/>
      <x:c r="P219" s="373"/>
      <x:c r="Q219" s="373"/>
      <x:c r="R219" s="373"/>
      <x:c r="S219" s="373"/>
      <x:c r="T219" s="373"/>
      <x:c r="U219" s="373"/>
      <x:c r="V219" s="373"/>
      <x:c r="W219" s="373"/>
      <x:c r="X219" s="373"/>
      <x:c r="Y219" s="373"/>
      <x:c r="Z219" s="373"/>
    </x:row>
    <x:row r="220">
      <x:c r="A220" s="373"/>
      <x:c r="B220" s="373"/>
      <x:c r="C220" s="373"/>
      <x:c r="D220" s="373"/>
      <x:c r="E220" s="373"/>
      <x:c r="F220" s="373"/>
      <x:c r="G220" s="373"/>
      <x:c r="H220" s="373"/>
      <x:c r="I220" s="373"/>
      <x:c r="J220" s="373"/>
      <x:c r="K220" s="373"/>
      <x:c r="L220" s="373"/>
      <x:c r="M220" s="373"/>
      <x:c r="N220" s="373"/>
      <x:c r="O220" s="373"/>
      <x:c r="P220" s="373"/>
      <x:c r="Q220" s="373"/>
      <x:c r="R220" s="373"/>
      <x:c r="S220" s="373"/>
      <x:c r="T220" s="373"/>
      <x:c r="U220" s="373"/>
      <x:c r="V220" s="373"/>
      <x:c r="W220" s="373"/>
      <x:c r="X220" s="373"/>
      <x:c r="Y220" s="373"/>
      <x:c r="Z220" s="373"/>
    </x:row>
    <x:row r="221">
      <x:c r="A221" s="373"/>
      <x:c r="B221" s="373"/>
      <x:c r="C221" s="373"/>
      <x:c r="D221" s="373"/>
      <x:c r="E221" s="373"/>
      <x:c r="F221" s="373"/>
      <x:c r="G221" s="373"/>
      <x:c r="H221" s="373"/>
      <x:c r="I221" s="373"/>
      <x:c r="J221" s="373"/>
      <x:c r="K221" s="373"/>
      <x:c r="L221" s="373"/>
      <x:c r="M221" s="373"/>
      <x:c r="N221" s="373"/>
      <x:c r="O221" s="373"/>
      <x:c r="P221" s="373"/>
      <x:c r="Q221" s="373"/>
      <x:c r="R221" s="373"/>
      <x:c r="S221" s="373"/>
      <x:c r="T221" s="373"/>
      <x:c r="U221" s="373"/>
      <x:c r="V221" s="373"/>
      <x:c r="W221" s="373"/>
      <x:c r="X221" s="373"/>
      <x:c r="Y221" s="373"/>
      <x:c r="Z221" s="373"/>
    </x:row>
    <x:row r="222">
      <x:c r="A222" s="373"/>
      <x:c r="B222" s="373"/>
      <x:c r="C222" s="373"/>
      <x:c r="D222" s="373"/>
      <x:c r="E222" s="373"/>
      <x:c r="F222" s="373"/>
      <x:c r="G222" s="373"/>
      <x:c r="H222" s="373"/>
      <x:c r="I222" s="373"/>
      <x:c r="J222" s="373"/>
      <x:c r="K222" s="373"/>
      <x:c r="L222" s="373"/>
      <x:c r="M222" s="373"/>
      <x:c r="N222" s="373"/>
      <x:c r="O222" s="373"/>
      <x:c r="P222" s="373"/>
      <x:c r="Q222" s="373"/>
      <x:c r="R222" s="373"/>
      <x:c r="S222" s="373"/>
      <x:c r="T222" s="373"/>
      <x:c r="U222" s="373"/>
      <x:c r="V222" s="373"/>
      <x:c r="W222" s="373"/>
      <x:c r="X222" s="373"/>
      <x:c r="Y222" s="373"/>
      <x:c r="Z222" s="373"/>
    </x:row>
    <x:row r="223">
      <x:c r="A223" s="373"/>
      <x:c r="B223" s="373"/>
      <x:c r="C223" s="373"/>
      <x:c r="D223" s="373"/>
      <x:c r="E223" s="373"/>
      <x:c r="F223" s="373"/>
      <x:c r="G223" s="373"/>
      <x:c r="H223" s="373"/>
      <x:c r="I223" s="373"/>
      <x:c r="J223" s="373"/>
      <x:c r="K223" s="373"/>
      <x:c r="L223" s="373"/>
      <x:c r="M223" s="373"/>
      <x:c r="N223" s="373"/>
      <x:c r="O223" s="373"/>
      <x:c r="P223" s="373"/>
      <x:c r="Q223" s="373"/>
      <x:c r="R223" s="373"/>
      <x:c r="S223" s="373"/>
      <x:c r="T223" s="373"/>
      <x:c r="U223" s="373"/>
      <x:c r="V223" s="373"/>
      <x:c r="W223" s="373"/>
      <x:c r="X223" s="373"/>
      <x:c r="Y223" s="373"/>
      <x:c r="Z223" s="373"/>
    </x:row>
    <x:row r="224">
      <x:c r="A224" s="373"/>
      <x:c r="B224" s="373"/>
      <x:c r="C224" s="373"/>
      <x:c r="D224" s="373"/>
      <x:c r="E224" s="373"/>
      <x:c r="F224" s="373"/>
      <x:c r="G224" s="373"/>
      <x:c r="H224" s="373"/>
      <x:c r="I224" s="373"/>
      <x:c r="J224" s="373"/>
      <x:c r="K224" s="373"/>
      <x:c r="L224" s="373"/>
      <x:c r="M224" s="373"/>
      <x:c r="N224" s="373"/>
      <x:c r="O224" s="373"/>
      <x:c r="P224" s="373"/>
      <x:c r="Q224" s="373"/>
      <x:c r="R224" s="373"/>
      <x:c r="S224" s="373"/>
      <x:c r="T224" s="373"/>
      <x:c r="U224" s="373"/>
      <x:c r="V224" s="373"/>
      <x:c r="W224" s="373"/>
      <x:c r="X224" s="373"/>
      <x:c r="Y224" s="373"/>
      <x:c r="Z224" s="373"/>
    </x:row>
    <x:row r="225">
      <x:c r="A225" s="373"/>
      <x:c r="B225" s="373"/>
      <x:c r="C225" s="373"/>
      <x:c r="D225" s="373"/>
      <x:c r="E225" s="373"/>
      <x:c r="F225" s="373"/>
      <x:c r="G225" s="373"/>
      <x:c r="H225" s="373"/>
      <x:c r="I225" s="373"/>
      <x:c r="J225" s="373"/>
      <x:c r="K225" s="373"/>
      <x:c r="L225" s="373"/>
      <x:c r="M225" s="373"/>
      <x:c r="N225" s="373"/>
      <x:c r="O225" s="373"/>
      <x:c r="P225" s="373"/>
      <x:c r="Q225" s="373"/>
      <x:c r="R225" s="373"/>
      <x:c r="S225" s="373"/>
      <x:c r="T225" s="373"/>
      <x:c r="U225" s="373"/>
      <x:c r="V225" s="373"/>
      <x:c r="W225" s="373"/>
      <x:c r="X225" s="373"/>
      <x:c r="Y225" s="373"/>
      <x:c r="Z225" s="373"/>
    </x:row>
    <x:row r="226">
      <x:c r="A226" s="373"/>
      <x:c r="B226" s="373"/>
      <x:c r="C226" s="373"/>
      <x:c r="D226" s="373"/>
      <x:c r="E226" s="373"/>
      <x:c r="F226" s="373"/>
      <x:c r="G226" s="373"/>
      <x:c r="H226" s="373"/>
      <x:c r="I226" s="373"/>
      <x:c r="J226" s="373"/>
      <x:c r="K226" s="373"/>
      <x:c r="L226" s="373"/>
      <x:c r="M226" s="373"/>
      <x:c r="N226" s="373"/>
      <x:c r="O226" s="373"/>
      <x:c r="P226" s="373"/>
      <x:c r="Q226" s="373"/>
      <x:c r="R226" s="373"/>
      <x:c r="S226" s="373"/>
      <x:c r="T226" s="373"/>
      <x:c r="U226" s="373"/>
      <x:c r="V226" s="373"/>
      <x:c r="W226" s="373"/>
      <x:c r="X226" s="373"/>
      <x:c r="Y226" s="373"/>
      <x:c r="Z226" s="373"/>
    </x:row>
    <x:row r="227">
      <x:c r="A227" s="373"/>
      <x:c r="B227" s="373"/>
      <x:c r="C227" s="373"/>
      <x:c r="D227" s="373"/>
      <x:c r="E227" s="373"/>
      <x:c r="F227" s="373"/>
      <x:c r="G227" s="373"/>
      <x:c r="H227" s="373"/>
      <x:c r="I227" s="373"/>
      <x:c r="J227" s="373"/>
      <x:c r="K227" s="373"/>
      <x:c r="L227" s="373"/>
      <x:c r="M227" s="373"/>
      <x:c r="N227" s="373"/>
      <x:c r="O227" s="373"/>
      <x:c r="P227" s="373"/>
      <x:c r="Q227" s="373"/>
      <x:c r="R227" s="373"/>
      <x:c r="S227" s="373"/>
      <x:c r="T227" s="373"/>
      <x:c r="U227" s="373"/>
      <x:c r="V227" s="373"/>
      <x:c r="W227" s="373"/>
      <x:c r="X227" s="373"/>
      <x:c r="Y227" s="373"/>
      <x:c r="Z227" s="373"/>
    </x:row>
    <x:row r="228">
      <x:c r="A228" s="373"/>
      <x:c r="B228" s="373"/>
      <x:c r="C228" s="373"/>
      <x:c r="D228" s="373"/>
      <x:c r="E228" s="373"/>
      <x:c r="F228" s="373"/>
      <x:c r="G228" s="373"/>
      <x:c r="H228" s="373"/>
      <x:c r="I228" s="373"/>
      <x:c r="J228" s="373"/>
      <x:c r="K228" s="373"/>
      <x:c r="L228" s="373"/>
      <x:c r="M228" s="373"/>
      <x:c r="N228" s="373"/>
      <x:c r="O228" s="373"/>
      <x:c r="P228" s="373"/>
      <x:c r="Q228" s="373"/>
      <x:c r="R228" s="373"/>
      <x:c r="S228" s="373"/>
      <x:c r="T228" s="373"/>
      <x:c r="U228" s="373"/>
      <x:c r="V228" s="373"/>
      <x:c r="W228" s="373"/>
      <x:c r="X228" s="373"/>
      <x:c r="Y228" s="373"/>
      <x:c r="Z228" s="373"/>
    </x:row>
    <x:row r="229">
      <x:c r="A229" s="373"/>
      <x:c r="B229" s="373"/>
      <x:c r="C229" s="373"/>
      <x:c r="D229" s="373"/>
      <x:c r="E229" s="373"/>
      <x:c r="F229" s="373"/>
      <x:c r="G229" s="373"/>
      <x:c r="H229" s="373"/>
      <x:c r="I229" s="373"/>
      <x:c r="J229" s="373"/>
      <x:c r="K229" s="373"/>
      <x:c r="L229" s="373"/>
      <x:c r="M229" s="373"/>
      <x:c r="N229" s="373"/>
      <x:c r="O229" s="373"/>
      <x:c r="P229" s="373"/>
      <x:c r="Q229" s="373"/>
      <x:c r="R229" s="373"/>
      <x:c r="S229" s="373"/>
      <x:c r="T229" s="373"/>
      <x:c r="U229" s="373"/>
      <x:c r="V229" s="373"/>
      <x:c r="W229" s="373"/>
      <x:c r="X229" s="373"/>
      <x:c r="Y229" s="373"/>
      <x:c r="Z229" s="373"/>
    </x:row>
    <x:row r="230">
      <x:c r="A230" s="373"/>
      <x:c r="B230" s="373"/>
      <x:c r="C230" s="373"/>
      <x:c r="D230" s="373"/>
      <x:c r="E230" s="373"/>
      <x:c r="F230" s="373"/>
      <x:c r="G230" s="373"/>
      <x:c r="H230" s="373"/>
      <x:c r="I230" s="373"/>
      <x:c r="J230" s="373"/>
      <x:c r="K230" s="373"/>
      <x:c r="L230" s="373"/>
      <x:c r="M230" s="373"/>
      <x:c r="N230" s="373"/>
      <x:c r="O230" s="373"/>
      <x:c r="P230" s="373"/>
      <x:c r="Q230" s="373"/>
      <x:c r="R230" s="373"/>
      <x:c r="S230" s="373"/>
      <x:c r="T230" s="373"/>
      <x:c r="U230" s="373"/>
      <x:c r="V230" s="373"/>
      <x:c r="W230" s="373"/>
      <x:c r="X230" s="373"/>
      <x:c r="Y230" s="373"/>
      <x:c r="Z230" s="373"/>
    </x:row>
    <x:row r="231">
      <x:c r="A231" s="373"/>
      <x:c r="B231" s="373"/>
      <x:c r="C231" s="373"/>
      <x:c r="D231" s="373"/>
      <x:c r="E231" s="373"/>
      <x:c r="F231" s="373"/>
      <x:c r="G231" s="373"/>
      <x:c r="H231" s="373"/>
      <x:c r="I231" s="373"/>
      <x:c r="J231" s="373"/>
      <x:c r="K231" s="373"/>
      <x:c r="L231" s="373"/>
      <x:c r="M231" s="373"/>
      <x:c r="N231" s="373"/>
      <x:c r="O231" s="373"/>
      <x:c r="P231" s="373"/>
      <x:c r="Q231" s="373"/>
      <x:c r="R231" s="373"/>
      <x:c r="S231" s="373"/>
      <x:c r="T231" s="373"/>
      <x:c r="U231" s="373"/>
      <x:c r="V231" s="373"/>
      <x:c r="W231" s="373"/>
      <x:c r="X231" s="373"/>
      <x:c r="Y231" s="373"/>
      <x:c r="Z231" s="373"/>
    </x:row>
    <x:row r="232">
      <x:c r="A232" s="373"/>
      <x:c r="B232" s="373"/>
      <x:c r="C232" s="373"/>
      <x:c r="D232" s="373"/>
      <x:c r="E232" s="373"/>
      <x:c r="F232" s="373"/>
      <x:c r="G232" s="373"/>
      <x:c r="H232" s="373"/>
      <x:c r="I232" s="373"/>
      <x:c r="J232" s="373"/>
      <x:c r="K232" s="373"/>
      <x:c r="L232" s="373"/>
      <x:c r="M232" s="373"/>
      <x:c r="N232" s="373"/>
      <x:c r="O232" s="373"/>
      <x:c r="P232" s="373"/>
      <x:c r="Q232" s="373"/>
      <x:c r="R232" s="373"/>
      <x:c r="S232" s="373"/>
      <x:c r="T232" s="373"/>
      <x:c r="U232" s="373"/>
      <x:c r="V232" s="373"/>
      <x:c r="W232" s="373"/>
      <x:c r="X232" s="373"/>
      <x:c r="Y232" s="373"/>
      <x:c r="Z232" s="373"/>
    </x:row>
    <x:row r="233">
      <x:c r="A233" s="373"/>
      <x:c r="B233" s="373"/>
      <x:c r="C233" s="373"/>
      <x:c r="D233" s="373"/>
      <x:c r="E233" s="373"/>
      <x:c r="F233" s="373"/>
      <x:c r="G233" s="373"/>
      <x:c r="H233" s="373"/>
      <x:c r="I233" s="373"/>
      <x:c r="J233" s="373"/>
      <x:c r="K233" s="373"/>
      <x:c r="L233" s="373"/>
      <x:c r="M233" s="373"/>
      <x:c r="N233" s="373"/>
      <x:c r="O233" s="373"/>
      <x:c r="P233" s="373"/>
      <x:c r="Q233" s="373"/>
      <x:c r="R233" s="373"/>
      <x:c r="S233" s="373"/>
      <x:c r="T233" s="373"/>
      <x:c r="U233" s="373"/>
      <x:c r="V233" s="373"/>
      <x:c r="W233" s="373"/>
      <x:c r="X233" s="373"/>
      <x:c r="Y233" s="373"/>
      <x:c r="Z233" s="373"/>
    </x:row>
    <x:row r="234">
      <x:c r="A234" s="373"/>
      <x:c r="B234" s="373"/>
      <x:c r="C234" s="373"/>
      <x:c r="D234" s="373"/>
      <x:c r="E234" s="373"/>
      <x:c r="F234" s="373"/>
      <x:c r="G234" s="373"/>
      <x:c r="H234" s="373"/>
      <x:c r="I234" s="373"/>
      <x:c r="J234" s="373"/>
      <x:c r="K234" s="373"/>
      <x:c r="L234" s="373"/>
      <x:c r="M234" s="373"/>
      <x:c r="N234" s="373"/>
      <x:c r="O234" s="373"/>
      <x:c r="P234" s="373"/>
      <x:c r="Q234" s="373"/>
      <x:c r="R234" s="373"/>
      <x:c r="S234" s="373"/>
      <x:c r="T234" s="373"/>
      <x:c r="U234" s="373"/>
      <x:c r="V234" s="373"/>
      <x:c r="W234" s="373"/>
      <x:c r="X234" s="373"/>
      <x:c r="Y234" s="373"/>
      <x:c r="Z234" s="373"/>
    </x:row>
    <x:row r="235">
      <x:c r="A235" s="373"/>
      <x:c r="B235" s="373"/>
      <x:c r="C235" s="373"/>
      <x:c r="D235" s="373"/>
      <x:c r="E235" s="373"/>
      <x:c r="F235" s="373"/>
      <x:c r="G235" s="373"/>
      <x:c r="H235" s="373"/>
      <x:c r="I235" s="373"/>
      <x:c r="J235" s="373"/>
      <x:c r="K235" s="373"/>
      <x:c r="L235" s="373"/>
      <x:c r="M235" s="373"/>
      <x:c r="N235" s="373"/>
      <x:c r="O235" s="373"/>
      <x:c r="P235" s="373"/>
      <x:c r="Q235" s="373"/>
      <x:c r="R235" s="373"/>
      <x:c r="S235" s="373"/>
      <x:c r="T235" s="373"/>
      <x:c r="U235" s="373"/>
      <x:c r="V235" s="373"/>
      <x:c r="W235" s="373"/>
      <x:c r="X235" s="373"/>
      <x:c r="Y235" s="373"/>
      <x:c r="Z235" s="373"/>
    </x:row>
    <x:row r="236">
      <x:c r="A236" s="373"/>
      <x:c r="B236" s="373"/>
      <x:c r="C236" s="373"/>
      <x:c r="D236" s="373"/>
      <x:c r="E236" s="373"/>
      <x:c r="F236" s="373"/>
      <x:c r="G236" s="373"/>
      <x:c r="H236" s="373"/>
      <x:c r="I236" s="373"/>
      <x:c r="J236" s="373"/>
      <x:c r="K236" s="373"/>
      <x:c r="L236" s="373"/>
      <x:c r="M236" s="373"/>
      <x:c r="N236" s="373"/>
      <x:c r="O236" s="373"/>
      <x:c r="P236" s="373"/>
      <x:c r="Q236" s="373"/>
      <x:c r="R236" s="373"/>
      <x:c r="S236" s="373"/>
      <x:c r="T236" s="373"/>
      <x:c r="U236" s="373"/>
      <x:c r="V236" s="373"/>
      <x:c r="W236" s="373"/>
      <x:c r="X236" s="373"/>
      <x:c r="Y236" s="373"/>
      <x:c r="Z236" s="373"/>
    </x:row>
    <x:row r="237">
      <x:c r="A237" s="373"/>
      <x:c r="B237" s="373"/>
      <x:c r="C237" s="373"/>
      <x:c r="D237" s="373"/>
      <x:c r="E237" s="373"/>
      <x:c r="F237" s="373"/>
      <x:c r="G237" s="373"/>
      <x:c r="H237" s="373"/>
      <x:c r="I237" s="373"/>
      <x:c r="J237" s="373"/>
      <x:c r="K237" s="373"/>
      <x:c r="L237" s="373"/>
      <x:c r="M237" s="373"/>
      <x:c r="N237" s="373"/>
      <x:c r="O237" s="373"/>
      <x:c r="P237" s="373"/>
      <x:c r="Q237" s="373"/>
      <x:c r="R237" s="373"/>
      <x:c r="S237" s="373"/>
      <x:c r="T237" s="373"/>
      <x:c r="U237" s="373"/>
      <x:c r="V237" s="373"/>
      <x:c r="W237" s="373"/>
      <x:c r="X237" s="373"/>
      <x:c r="Y237" s="373"/>
      <x:c r="Z237" s="373"/>
    </x:row>
    <x:row r="238">
      <x:c r="A238" s="373"/>
      <x:c r="B238" s="373"/>
      <x:c r="C238" s="373"/>
      <x:c r="D238" s="373"/>
      <x:c r="E238" s="373"/>
      <x:c r="F238" s="373"/>
      <x:c r="G238" s="373"/>
      <x:c r="H238" s="373"/>
      <x:c r="I238" s="373"/>
      <x:c r="J238" s="373"/>
      <x:c r="K238" s="373"/>
      <x:c r="L238" s="373"/>
      <x:c r="M238" s="373"/>
      <x:c r="N238" s="373"/>
      <x:c r="O238" s="373"/>
      <x:c r="P238" s="373"/>
      <x:c r="Q238" s="373"/>
      <x:c r="R238" s="373"/>
      <x:c r="S238" s="373"/>
      <x:c r="T238" s="373"/>
      <x:c r="U238" s="373"/>
      <x:c r="V238" s="373"/>
      <x:c r="W238" s="373"/>
      <x:c r="X238" s="373"/>
      <x:c r="Y238" s="373"/>
      <x:c r="Z238" s="373"/>
    </x:row>
    <x:row r="239">
      <x:c r="A239" s="373"/>
      <x:c r="B239" s="373"/>
      <x:c r="C239" s="373"/>
      <x:c r="D239" s="373"/>
      <x:c r="E239" s="373"/>
      <x:c r="F239" s="373"/>
      <x:c r="G239" s="373"/>
      <x:c r="H239" s="373"/>
      <x:c r="I239" s="373"/>
      <x:c r="J239" s="373"/>
      <x:c r="K239" s="373"/>
      <x:c r="L239" s="373"/>
      <x:c r="M239" s="373"/>
      <x:c r="N239" s="373"/>
      <x:c r="O239" s="373"/>
      <x:c r="P239" s="373"/>
      <x:c r="Q239" s="373"/>
      <x:c r="R239" s="373"/>
      <x:c r="S239" s="373"/>
      <x:c r="T239" s="373"/>
      <x:c r="U239" s="373"/>
      <x:c r="V239" s="373"/>
      <x:c r="W239" s="373"/>
      <x:c r="X239" s="373"/>
      <x:c r="Y239" s="373"/>
      <x:c r="Z239" s="373"/>
    </x:row>
    <x:row r="240">
      <x:c r="A240" s="373"/>
      <x:c r="B240" s="373"/>
      <x:c r="C240" s="373"/>
      <x:c r="D240" s="373"/>
      <x:c r="E240" s="373"/>
      <x:c r="F240" s="373"/>
      <x:c r="G240" s="373"/>
      <x:c r="H240" s="373"/>
      <x:c r="I240" s="373"/>
      <x:c r="J240" s="373"/>
      <x:c r="K240" s="373"/>
      <x:c r="L240" s="373"/>
      <x:c r="M240" s="373"/>
      <x:c r="N240" s="373"/>
      <x:c r="O240" s="373"/>
      <x:c r="P240" s="373"/>
      <x:c r="Q240" s="373"/>
      <x:c r="R240" s="373"/>
      <x:c r="S240" s="373"/>
      <x:c r="T240" s="373"/>
      <x:c r="U240" s="373"/>
      <x:c r="V240" s="373"/>
      <x:c r="W240" s="373"/>
      <x:c r="X240" s="373"/>
      <x:c r="Y240" s="373"/>
      <x:c r="Z240" s="373"/>
    </x:row>
    <x:row r="241">
      <x:c r="A241" s="373"/>
      <x:c r="B241" s="373"/>
      <x:c r="C241" s="373"/>
      <x:c r="D241" s="373"/>
      <x:c r="E241" s="373"/>
      <x:c r="F241" s="373"/>
      <x:c r="G241" s="373"/>
      <x:c r="H241" s="373"/>
      <x:c r="I241" s="373"/>
      <x:c r="J241" s="373"/>
      <x:c r="K241" s="373"/>
      <x:c r="L241" s="373"/>
      <x:c r="M241" s="373"/>
      <x:c r="N241" s="373"/>
      <x:c r="O241" s="373"/>
      <x:c r="P241" s="373"/>
      <x:c r="Q241" s="373"/>
      <x:c r="R241" s="373"/>
      <x:c r="S241" s="373"/>
      <x:c r="T241" s="373"/>
      <x:c r="U241" s="373"/>
      <x:c r="V241" s="373"/>
      <x:c r="W241" s="373"/>
      <x:c r="X241" s="373"/>
      <x:c r="Y241" s="373"/>
      <x:c r="Z241" s="373"/>
    </x:row>
    <x:row r="242">
      <x:c r="A242" s="373"/>
      <x:c r="B242" s="373"/>
      <x:c r="C242" s="373"/>
      <x:c r="D242" s="373"/>
      <x:c r="E242" s="373"/>
      <x:c r="F242" s="373"/>
      <x:c r="G242" s="373"/>
      <x:c r="H242" s="373"/>
      <x:c r="I242" s="373"/>
      <x:c r="J242" s="373"/>
      <x:c r="K242" s="373"/>
      <x:c r="L242" s="373"/>
      <x:c r="M242" s="373"/>
      <x:c r="N242" s="373"/>
      <x:c r="O242" s="373"/>
      <x:c r="P242" s="373"/>
      <x:c r="Q242" s="373"/>
      <x:c r="R242" s="373"/>
      <x:c r="S242" s="373"/>
      <x:c r="T242" s="373"/>
      <x:c r="U242" s="373"/>
      <x:c r="V242" s="373"/>
      <x:c r="W242" s="373"/>
      <x:c r="X242" s="373"/>
      <x:c r="Y242" s="373"/>
      <x:c r="Z242" s="373"/>
    </x:row>
    <x:row r="243">
      <x:c r="A243" s="373"/>
      <x:c r="B243" s="373"/>
      <x:c r="C243" s="373"/>
      <x:c r="D243" s="373"/>
      <x:c r="E243" s="373"/>
      <x:c r="F243" s="373"/>
      <x:c r="G243" s="373"/>
      <x:c r="H243" s="373"/>
      <x:c r="I243" s="373"/>
      <x:c r="J243" s="373"/>
      <x:c r="K243" s="373"/>
      <x:c r="L243" s="373"/>
      <x:c r="M243" s="373"/>
      <x:c r="N243" s="373"/>
      <x:c r="O243" s="373"/>
      <x:c r="P243" s="373"/>
      <x:c r="Q243" s="373"/>
      <x:c r="R243" s="373"/>
      <x:c r="S243" s="373"/>
      <x:c r="T243" s="373"/>
      <x:c r="U243" s="373"/>
      <x:c r="V243" s="373"/>
      <x:c r="W243" s="373"/>
      <x:c r="X243" s="373"/>
      <x:c r="Y243" s="373"/>
      <x:c r="Z243" s="373"/>
    </x:row>
    <x:row r="244">
      <x:c r="A244" s="373"/>
      <x:c r="B244" s="373"/>
      <x:c r="C244" s="373"/>
      <x:c r="D244" s="373"/>
      <x:c r="E244" s="373"/>
      <x:c r="F244" s="373"/>
      <x:c r="G244" s="373"/>
      <x:c r="H244" s="373"/>
      <x:c r="I244" s="373"/>
      <x:c r="J244" s="373"/>
      <x:c r="K244" s="373"/>
      <x:c r="L244" s="373"/>
      <x:c r="M244" s="373"/>
      <x:c r="N244" s="373"/>
      <x:c r="O244" s="373"/>
      <x:c r="P244" s="373"/>
      <x:c r="Q244" s="373"/>
      <x:c r="R244" s="373"/>
      <x:c r="S244" s="373"/>
      <x:c r="T244" s="373"/>
      <x:c r="U244" s="373"/>
      <x:c r="V244" s="373"/>
      <x:c r="W244" s="373"/>
      <x:c r="X244" s="373"/>
      <x:c r="Y244" s="373"/>
      <x:c r="Z244" s="373"/>
    </x:row>
    <x:row r="245">
      <x:c r="A245" s="373"/>
      <x:c r="B245" s="373"/>
      <x:c r="C245" s="373"/>
      <x:c r="D245" s="373"/>
      <x:c r="E245" s="373"/>
      <x:c r="F245" s="373"/>
      <x:c r="G245" s="373"/>
      <x:c r="H245" s="373"/>
      <x:c r="I245" s="373"/>
      <x:c r="J245" s="373"/>
      <x:c r="K245" s="373"/>
      <x:c r="L245" s="373"/>
      <x:c r="M245" s="373"/>
      <x:c r="N245" s="373"/>
      <x:c r="O245" s="373"/>
      <x:c r="P245" s="373"/>
      <x:c r="Q245" s="373"/>
      <x:c r="R245" s="373"/>
      <x:c r="S245" s="373"/>
      <x:c r="T245" s="373"/>
      <x:c r="U245" s="373"/>
      <x:c r="V245" s="373"/>
      <x:c r="W245" s="373"/>
      <x:c r="X245" s="373"/>
      <x:c r="Y245" s="373"/>
      <x:c r="Z245" s="373"/>
    </x:row>
    <x:row r="246">
      <x:c r="A246" s="373"/>
      <x:c r="B246" s="373"/>
      <x:c r="C246" s="373"/>
      <x:c r="D246" s="373"/>
      <x:c r="E246" s="373"/>
      <x:c r="F246" s="373"/>
      <x:c r="G246" s="373"/>
      <x:c r="H246" s="373"/>
      <x:c r="I246" s="373"/>
      <x:c r="J246" s="373"/>
      <x:c r="K246" s="373"/>
      <x:c r="L246" s="373"/>
      <x:c r="M246" s="373"/>
      <x:c r="N246" s="373"/>
      <x:c r="O246" s="373"/>
      <x:c r="P246" s="373"/>
      <x:c r="Q246" s="373"/>
      <x:c r="R246" s="373"/>
      <x:c r="S246" s="373"/>
      <x:c r="T246" s="373"/>
      <x:c r="U246" s="373"/>
      <x:c r="V246" s="373"/>
      <x:c r="W246" s="373"/>
      <x:c r="X246" s="373"/>
      <x:c r="Y246" s="373"/>
      <x:c r="Z246" s="373"/>
    </x:row>
    <x:row r="247">
      <x:c r="A247" s="373"/>
      <x:c r="B247" s="373"/>
      <x:c r="C247" s="373"/>
      <x:c r="D247" s="373"/>
      <x:c r="E247" s="373"/>
      <x:c r="F247" s="373"/>
      <x:c r="G247" s="373"/>
      <x:c r="H247" s="373"/>
      <x:c r="I247" s="373"/>
      <x:c r="J247" s="373"/>
      <x:c r="K247" s="373"/>
      <x:c r="L247" s="373"/>
      <x:c r="M247" s="373"/>
      <x:c r="N247" s="373"/>
      <x:c r="O247" s="373"/>
      <x:c r="P247" s="373"/>
      <x:c r="Q247" s="373"/>
      <x:c r="R247" s="373"/>
      <x:c r="S247" s="373"/>
      <x:c r="T247" s="373"/>
      <x:c r="U247" s="373"/>
      <x:c r="V247" s="373"/>
      <x:c r="W247" s="373"/>
      <x:c r="X247" s="373"/>
      <x:c r="Y247" s="373"/>
      <x:c r="Z247" s="373"/>
    </x:row>
    <x:row r="248">
      <x:c r="A248" s="373"/>
      <x:c r="B248" s="373"/>
      <x:c r="C248" s="373"/>
      <x:c r="D248" s="373"/>
      <x:c r="E248" s="373"/>
      <x:c r="F248" s="373"/>
      <x:c r="G248" s="373"/>
      <x:c r="H248" s="373"/>
      <x:c r="I248" s="373"/>
      <x:c r="J248" s="373"/>
      <x:c r="K248" s="373"/>
      <x:c r="L248" s="373"/>
      <x:c r="M248" s="373"/>
      <x:c r="N248" s="373"/>
      <x:c r="O248" s="373"/>
      <x:c r="P248" s="373"/>
      <x:c r="Q248" s="373"/>
      <x:c r="R248" s="373"/>
      <x:c r="S248" s="373"/>
      <x:c r="T248" s="373"/>
      <x:c r="U248" s="373"/>
      <x:c r="V248" s="373"/>
      <x:c r="W248" s="373"/>
      <x:c r="X248" s="373"/>
      <x:c r="Y248" s="373"/>
      <x:c r="Z248" s="373"/>
    </x:row>
    <x:row r="249">
      <x:c r="A249" s="373"/>
      <x:c r="B249" s="373"/>
      <x:c r="C249" s="373"/>
      <x:c r="D249" s="373"/>
      <x:c r="E249" s="373"/>
      <x:c r="F249" s="373"/>
      <x:c r="G249" s="373"/>
      <x:c r="H249" s="373"/>
      <x:c r="I249" s="373"/>
      <x:c r="J249" s="373"/>
      <x:c r="K249" s="373"/>
      <x:c r="L249" s="373"/>
      <x:c r="M249" s="373"/>
      <x:c r="N249" s="373"/>
      <x:c r="O249" s="373"/>
      <x:c r="P249" s="373"/>
      <x:c r="Q249" s="373"/>
      <x:c r="R249" s="373"/>
      <x:c r="S249" s="373"/>
      <x:c r="T249" s="373"/>
      <x:c r="U249" s="373"/>
      <x:c r="V249" s="373"/>
      <x:c r="W249" s="373"/>
      <x:c r="X249" s="373"/>
      <x:c r="Y249" s="373"/>
      <x:c r="Z249" s="373"/>
    </x:row>
    <x:row r="250">
      <x:c r="A250" s="373"/>
      <x:c r="B250" s="373"/>
      <x:c r="C250" s="373"/>
      <x:c r="D250" s="373"/>
      <x:c r="E250" s="373"/>
      <x:c r="F250" s="373"/>
      <x:c r="G250" s="373"/>
      <x:c r="H250" s="373"/>
      <x:c r="I250" s="373"/>
      <x:c r="J250" s="373"/>
      <x:c r="K250" s="373"/>
      <x:c r="L250" s="373"/>
      <x:c r="M250" s="373"/>
      <x:c r="N250" s="373"/>
      <x:c r="O250" s="373"/>
      <x:c r="P250" s="373"/>
      <x:c r="Q250" s="373"/>
      <x:c r="R250" s="373"/>
      <x:c r="S250" s="373"/>
      <x:c r="T250" s="373"/>
      <x:c r="U250" s="373"/>
      <x:c r="V250" s="373"/>
      <x:c r="W250" s="373"/>
      <x:c r="X250" s="373"/>
      <x:c r="Y250" s="373"/>
      <x:c r="Z250" s="373"/>
    </x:row>
    <x:row r="251">
      <x:c r="A251" s="373"/>
      <x:c r="B251" s="373"/>
      <x:c r="C251" s="373"/>
      <x:c r="D251" s="373"/>
      <x:c r="E251" s="373"/>
      <x:c r="F251" s="373"/>
      <x:c r="G251" s="373"/>
      <x:c r="H251" s="373"/>
      <x:c r="I251" s="373"/>
      <x:c r="J251" s="373"/>
      <x:c r="K251" s="373"/>
      <x:c r="L251" s="373"/>
      <x:c r="M251" s="373"/>
      <x:c r="N251" s="373"/>
      <x:c r="O251" s="373"/>
      <x:c r="P251" s="373"/>
      <x:c r="Q251" s="373"/>
      <x:c r="R251" s="373"/>
      <x:c r="S251" s="373"/>
      <x:c r="T251" s="373"/>
      <x:c r="U251" s="373"/>
      <x:c r="V251" s="373"/>
      <x:c r="W251" s="373"/>
      <x:c r="X251" s="373"/>
      <x:c r="Y251" s="373"/>
      <x:c r="Z251" s="373"/>
    </x:row>
    <x:row r="252">
      <x:c r="A252" s="373"/>
      <x:c r="B252" s="373"/>
      <x:c r="C252" s="373"/>
      <x:c r="D252" s="373"/>
      <x:c r="E252" s="373"/>
      <x:c r="F252" s="373"/>
      <x:c r="G252" s="373"/>
      <x:c r="H252" s="373"/>
      <x:c r="I252" s="373"/>
      <x:c r="J252" s="373"/>
      <x:c r="K252" s="373"/>
      <x:c r="L252" s="373"/>
      <x:c r="M252" s="373"/>
      <x:c r="N252" s="373"/>
      <x:c r="O252" s="373"/>
      <x:c r="P252" s="373"/>
      <x:c r="Q252" s="373"/>
      <x:c r="R252" s="373"/>
      <x:c r="S252" s="373"/>
      <x:c r="T252" s="373"/>
      <x:c r="U252" s="373"/>
      <x:c r="V252" s="373"/>
      <x:c r="W252" s="373"/>
      <x:c r="X252" s="373"/>
      <x:c r="Y252" s="373"/>
      <x:c r="Z252" s="373"/>
    </x:row>
    <x:row r="253">
      <x:c r="A253" s="373"/>
      <x:c r="B253" s="373"/>
      <x:c r="C253" s="373"/>
      <x:c r="D253" s="373"/>
      <x:c r="E253" s="373"/>
      <x:c r="F253" s="373"/>
      <x:c r="G253" s="373"/>
      <x:c r="H253" s="373"/>
      <x:c r="I253" s="373"/>
      <x:c r="J253" s="373"/>
      <x:c r="K253" s="373"/>
      <x:c r="L253" s="373"/>
      <x:c r="M253" s="373"/>
      <x:c r="N253" s="373"/>
      <x:c r="O253" s="373"/>
      <x:c r="P253" s="373"/>
      <x:c r="Q253" s="373"/>
      <x:c r="R253" s="373"/>
      <x:c r="S253" s="373"/>
      <x:c r="T253" s="373"/>
      <x:c r="U253" s="373"/>
      <x:c r="V253" s="373"/>
      <x:c r="W253" s="373"/>
      <x:c r="X253" s="373"/>
      <x:c r="Y253" s="373"/>
      <x:c r="Z253" s="373"/>
    </x:row>
    <x:row r="254">
      <x:c r="A254" s="373"/>
      <x:c r="B254" s="373"/>
      <x:c r="C254" s="373"/>
      <x:c r="D254" s="373"/>
      <x:c r="E254" s="373"/>
      <x:c r="F254" s="373"/>
      <x:c r="G254" s="373"/>
      <x:c r="H254" s="373"/>
      <x:c r="I254" s="373"/>
      <x:c r="J254" s="373"/>
      <x:c r="K254" s="373"/>
      <x:c r="L254" s="373"/>
      <x:c r="M254" s="373"/>
      <x:c r="N254" s="373"/>
      <x:c r="O254" s="373"/>
      <x:c r="P254" s="373"/>
      <x:c r="Q254" s="373"/>
      <x:c r="R254" s="373"/>
      <x:c r="S254" s="373"/>
      <x:c r="T254" s="373"/>
      <x:c r="U254" s="373"/>
      <x:c r="V254" s="373"/>
      <x:c r="W254" s="373"/>
      <x:c r="X254" s="373"/>
      <x:c r="Y254" s="373"/>
      <x:c r="Z254" s="373"/>
    </x:row>
    <x:row r="255">
      <x:c r="A255" s="373"/>
      <x:c r="B255" s="373"/>
      <x:c r="C255" s="373"/>
      <x:c r="D255" s="373"/>
      <x:c r="E255" s="373"/>
      <x:c r="F255" s="373"/>
      <x:c r="G255" s="373"/>
      <x:c r="H255" s="373"/>
      <x:c r="I255" s="373"/>
      <x:c r="J255" s="373"/>
      <x:c r="K255" s="373"/>
      <x:c r="L255" s="373"/>
      <x:c r="M255" s="373"/>
      <x:c r="N255" s="373"/>
      <x:c r="O255" s="373"/>
      <x:c r="P255" s="373"/>
      <x:c r="Q255" s="373"/>
      <x:c r="R255" s="373"/>
      <x:c r="S255" s="373"/>
      <x:c r="T255" s="373"/>
      <x:c r="U255" s="373"/>
      <x:c r="V255" s="373"/>
      <x:c r="W255" s="373"/>
      <x:c r="X255" s="373"/>
      <x:c r="Y255" s="373"/>
      <x:c r="Z255" s="373"/>
    </x:row>
    <x:row r="256">
      <x:c r="A256" s="373"/>
      <x:c r="B256" s="373"/>
      <x:c r="C256" s="373"/>
      <x:c r="D256" s="373"/>
      <x:c r="E256" s="373"/>
      <x:c r="F256" s="373"/>
      <x:c r="G256" s="373"/>
      <x:c r="H256" s="373"/>
      <x:c r="I256" s="373"/>
      <x:c r="J256" s="373"/>
      <x:c r="K256" s="373"/>
      <x:c r="L256" s="373"/>
      <x:c r="M256" s="373"/>
      <x:c r="N256" s="373"/>
      <x:c r="O256" s="373"/>
      <x:c r="P256" s="373"/>
      <x:c r="Q256" s="373"/>
      <x:c r="R256" s="373"/>
      <x:c r="S256" s="373"/>
      <x:c r="T256" s="373"/>
      <x:c r="U256" s="373"/>
      <x:c r="V256" s="373"/>
      <x:c r="W256" s="373"/>
      <x:c r="X256" s="373"/>
      <x:c r="Y256" s="373"/>
      <x:c r="Z256" s="373"/>
    </x:row>
    <x:row r="257">
      <x:c r="A257" s="373"/>
      <x:c r="B257" s="373"/>
      <x:c r="C257" s="373"/>
      <x:c r="D257" s="373"/>
      <x:c r="E257" s="373"/>
      <x:c r="F257" s="373"/>
      <x:c r="G257" s="373"/>
      <x:c r="H257" s="373"/>
      <x:c r="I257" s="373"/>
      <x:c r="J257" s="373"/>
      <x:c r="K257" s="373"/>
      <x:c r="L257" s="373"/>
      <x:c r="M257" s="373"/>
      <x:c r="N257" s="373"/>
      <x:c r="O257" s="373"/>
      <x:c r="P257" s="373"/>
      <x:c r="Q257" s="373"/>
      <x:c r="R257" s="373"/>
      <x:c r="S257" s="373"/>
      <x:c r="T257" s="373"/>
      <x:c r="U257" s="373"/>
      <x:c r="V257" s="373"/>
      <x:c r="W257" s="373"/>
      <x:c r="X257" s="373"/>
      <x:c r="Y257" s="373"/>
      <x:c r="Z257" s="373"/>
    </x:row>
    <x:row r="258">
      <x:c r="A258" s="373"/>
      <x:c r="B258" s="373"/>
      <x:c r="C258" s="373"/>
      <x:c r="D258" s="373"/>
      <x:c r="E258" s="373"/>
      <x:c r="F258" s="373"/>
      <x:c r="G258" s="373"/>
      <x:c r="H258" s="373"/>
      <x:c r="I258" s="373"/>
      <x:c r="J258" s="373"/>
      <x:c r="K258" s="373"/>
      <x:c r="L258" s="373"/>
      <x:c r="M258" s="373"/>
      <x:c r="N258" s="373"/>
      <x:c r="O258" s="373"/>
      <x:c r="P258" s="373"/>
      <x:c r="Q258" s="373"/>
      <x:c r="R258" s="373"/>
      <x:c r="S258" s="373"/>
      <x:c r="T258" s="373"/>
      <x:c r="U258" s="373"/>
      <x:c r="V258" s="373"/>
      <x:c r="W258" s="373"/>
      <x:c r="X258" s="373"/>
      <x:c r="Y258" s="373"/>
      <x:c r="Z258" s="373"/>
    </x:row>
    <x:row r="259">
      <x:c r="A259" s="373"/>
      <x:c r="B259" s="373"/>
      <x:c r="C259" s="373"/>
      <x:c r="D259" s="373"/>
      <x:c r="E259" s="373"/>
      <x:c r="F259" s="373"/>
      <x:c r="G259" s="373"/>
      <x:c r="H259" s="373"/>
      <x:c r="I259" s="373"/>
      <x:c r="J259" s="373"/>
      <x:c r="K259" s="373"/>
      <x:c r="L259" s="373"/>
      <x:c r="M259" s="373"/>
      <x:c r="N259" s="373"/>
      <x:c r="O259" s="373"/>
      <x:c r="P259" s="373"/>
      <x:c r="Q259" s="373"/>
      <x:c r="R259" s="373"/>
      <x:c r="S259" s="373"/>
      <x:c r="T259" s="373"/>
      <x:c r="U259" s="373"/>
      <x:c r="V259" s="373"/>
      <x:c r="W259" s="373"/>
      <x:c r="X259" s="373"/>
      <x:c r="Y259" s="373"/>
      <x:c r="Z259" s="373"/>
    </x:row>
    <x:row r="260">
      <x:c r="A260" s="373"/>
      <x:c r="B260" s="373"/>
      <x:c r="C260" s="373"/>
      <x:c r="D260" s="373"/>
      <x:c r="E260" s="373"/>
      <x:c r="F260" s="373"/>
      <x:c r="G260" s="373"/>
      <x:c r="H260" s="373"/>
      <x:c r="I260" s="373"/>
      <x:c r="J260" s="373"/>
      <x:c r="K260" s="373"/>
      <x:c r="L260" s="373"/>
      <x:c r="M260" s="373"/>
      <x:c r="N260" s="373"/>
      <x:c r="O260" s="373"/>
      <x:c r="P260" s="373"/>
      <x:c r="Q260" s="373"/>
      <x:c r="R260" s="373"/>
      <x:c r="S260" s="373"/>
      <x:c r="T260" s="373"/>
      <x:c r="U260" s="373"/>
      <x:c r="V260" s="373"/>
      <x:c r="W260" s="373"/>
      <x:c r="X260" s="373"/>
      <x:c r="Y260" s="373"/>
      <x:c r="Z260" s="373"/>
    </x:row>
    <x:row r="261">
      <x:c r="A261" s="373"/>
      <x:c r="B261" s="373"/>
      <x:c r="C261" s="373"/>
      <x:c r="D261" s="373"/>
      <x:c r="E261" s="373"/>
      <x:c r="F261" s="373"/>
      <x:c r="G261" s="373"/>
      <x:c r="H261" s="373"/>
      <x:c r="I261" s="373"/>
      <x:c r="J261" s="373"/>
      <x:c r="K261" s="373"/>
      <x:c r="L261" s="373"/>
      <x:c r="M261" s="373"/>
      <x:c r="N261" s="373"/>
      <x:c r="O261" s="373"/>
      <x:c r="P261" s="373"/>
      <x:c r="Q261" s="373"/>
      <x:c r="R261" s="373"/>
      <x:c r="S261" s="373"/>
      <x:c r="T261" s="373"/>
      <x:c r="U261" s="373"/>
      <x:c r="V261" s="373"/>
      <x:c r="W261" s="373"/>
      <x:c r="X261" s="373"/>
      <x:c r="Y261" s="373"/>
      <x:c r="Z261" s="373"/>
    </x:row>
    <x:row r="262">
      <x:c r="A262" s="373"/>
      <x:c r="B262" s="373"/>
      <x:c r="C262" s="373"/>
      <x:c r="D262" s="373"/>
      <x:c r="E262" s="373"/>
      <x:c r="F262" s="373"/>
      <x:c r="G262" s="373"/>
      <x:c r="H262" s="373"/>
      <x:c r="I262" s="373"/>
      <x:c r="J262" s="373"/>
      <x:c r="K262" s="373"/>
      <x:c r="L262" s="373"/>
      <x:c r="M262" s="373"/>
      <x:c r="N262" s="373"/>
      <x:c r="O262" s="373"/>
      <x:c r="P262" s="373"/>
      <x:c r="Q262" s="373"/>
      <x:c r="R262" s="373"/>
      <x:c r="S262" s="373"/>
      <x:c r="T262" s="373"/>
      <x:c r="U262" s="373"/>
      <x:c r="V262" s="373"/>
      <x:c r="W262" s="373"/>
      <x:c r="X262" s="373"/>
      <x:c r="Y262" s="373"/>
      <x:c r="Z262" s="373"/>
    </x:row>
    <x:row r="263">
      <x:c r="A263" s="373"/>
      <x:c r="B263" s="373"/>
      <x:c r="C263" s="373"/>
      <x:c r="D263" s="373"/>
      <x:c r="E263" s="373"/>
      <x:c r="F263" s="373"/>
      <x:c r="G263" s="373"/>
      <x:c r="H263" s="373"/>
      <x:c r="I263" s="373"/>
      <x:c r="J263" s="373"/>
      <x:c r="K263" s="373"/>
      <x:c r="L263" s="373"/>
      <x:c r="M263" s="373"/>
      <x:c r="N263" s="373"/>
      <x:c r="O263" s="373"/>
      <x:c r="P263" s="373"/>
      <x:c r="Q263" s="373"/>
      <x:c r="R263" s="373"/>
      <x:c r="S263" s="373"/>
      <x:c r="T263" s="373"/>
      <x:c r="U263" s="373"/>
      <x:c r="V263" s="373"/>
      <x:c r="W263" s="373"/>
      <x:c r="X263" s="373"/>
      <x:c r="Y263" s="373"/>
      <x:c r="Z263" s="373"/>
    </x:row>
    <x:row r="264">
      <x:c r="A264" s="373"/>
      <x:c r="B264" s="373"/>
      <x:c r="C264" s="373"/>
      <x:c r="D264" s="373"/>
      <x:c r="E264" s="373"/>
      <x:c r="F264" s="373"/>
      <x:c r="G264" s="373"/>
      <x:c r="H264" s="373"/>
      <x:c r="I264" s="373"/>
      <x:c r="J264" s="373"/>
      <x:c r="K264" s="373"/>
      <x:c r="L264" s="373"/>
      <x:c r="M264" s="373"/>
      <x:c r="N264" s="373"/>
      <x:c r="O264" s="373"/>
      <x:c r="P264" s="373"/>
      <x:c r="Q264" s="373"/>
      <x:c r="R264" s="373"/>
      <x:c r="S264" s="373"/>
      <x:c r="T264" s="373"/>
      <x:c r="U264" s="373"/>
      <x:c r="V264" s="373"/>
      <x:c r="W264" s="373"/>
      <x:c r="X264" s="373"/>
      <x:c r="Y264" s="373"/>
      <x:c r="Z264" s="373"/>
    </x:row>
    <x:row r="265">
      <x:c r="A265" s="373"/>
      <x:c r="B265" s="373"/>
      <x:c r="C265" s="373"/>
      <x:c r="D265" s="373"/>
      <x:c r="E265" s="373"/>
      <x:c r="F265" s="373"/>
      <x:c r="G265" s="373"/>
      <x:c r="H265" s="373"/>
      <x:c r="I265" s="373"/>
      <x:c r="J265" s="373"/>
      <x:c r="K265" s="373"/>
      <x:c r="L265" s="373"/>
      <x:c r="M265" s="373"/>
      <x:c r="N265" s="373"/>
      <x:c r="O265" s="373"/>
      <x:c r="P265" s="373"/>
      <x:c r="Q265" s="373"/>
      <x:c r="R265" s="373"/>
      <x:c r="S265" s="373"/>
      <x:c r="T265" s="373"/>
      <x:c r="U265" s="373"/>
      <x:c r="V265" s="373"/>
      <x:c r="W265" s="373"/>
      <x:c r="X265" s="373"/>
      <x:c r="Y265" s="373"/>
      <x:c r="Z265" s="373"/>
    </x:row>
    <x:row r="266">
      <x:c r="A266" s="373"/>
      <x:c r="B266" s="373"/>
      <x:c r="C266" s="373"/>
      <x:c r="D266" s="373"/>
      <x:c r="E266" s="373"/>
      <x:c r="F266" s="373"/>
      <x:c r="G266" s="373"/>
      <x:c r="H266" s="373"/>
      <x:c r="I266" s="373"/>
      <x:c r="J266" s="373"/>
      <x:c r="K266" s="373"/>
      <x:c r="L266" s="373"/>
      <x:c r="M266" s="373"/>
      <x:c r="N266" s="373"/>
      <x:c r="O266" s="373"/>
      <x:c r="P266" s="373"/>
      <x:c r="Q266" s="373"/>
      <x:c r="R266" s="373"/>
      <x:c r="S266" s="373"/>
      <x:c r="T266" s="373"/>
      <x:c r="U266" s="373"/>
      <x:c r="V266" s="373"/>
      <x:c r="W266" s="373"/>
      <x:c r="X266" s="373"/>
      <x:c r="Y266" s="373"/>
      <x:c r="Z266" s="373"/>
    </x:row>
    <x:row r="267">
      <x:c r="A267" s="373"/>
      <x:c r="B267" s="373"/>
      <x:c r="C267" s="373"/>
      <x:c r="D267" s="373"/>
      <x:c r="E267" s="373"/>
      <x:c r="F267" s="373"/>
      <x:c r="G267" s="373"/>
      <x:c r="H267" s="373"/>
      <x:c r="I267" s="373"/>
      <x:c r="J267" s="373"/>
      <x:c r="K267" s="373"/>
      <x:c r="L267" s="373"/>
      <x:c r="M267" s="373"/>
      <x:c r="N267" s="373"/>
      <x:c r="O267" s="373"/>
      <x:c r="P267" s="373"/>
      <x:c r="Q267" s="373"/>
      <x:c r="R267" s="373"/>
      <x:c r="S267" s="373"/>
      <x:c r="T267" s="373"/>
      <x:c r="U267" s="373"/>
      <x:c r="V267" s="373"/>
      <x:c r="W267" s="373"/>
      <x:c r="X267" s="373"/>
      <x:c r="Y267" s="373"/>
      <x:c r="Z267" s="373"/>
    </x:row>
    <x:row r="268">
      <x:c r="A268" s="373"/>
      <x:c r="B268" s="373"/>
      <x:c r="C268" s="373"/>
      <x:c r="D268" s="373"/>
      <x:c r="E268" s="373"/>
      <x:c r="F268" s="373"/>
      <x:c r="G268" s="373"/>
      <x:c r="H268" s="373"/>
      <x:c r="I268" s="373"/>
      <x:c r="J268" s="373"/>
      <x:c r="K268" s="373"/>
      <x:c r="L268" s="373"/>
      <x:c r="M268" s="373"/>
      <x:c r="N268" s="373"/>
      <x:c r="O268" s="373"/>
      <x:c r="P268" s="373"/>
      <x:c r="Q268" s="373"/>
      <x:c r="R268" s="373"/>
      <x:c r="S268" s="373"/>
      <x:c r="T268" s="373"/>
      <x:c r="U268" s="373"/>
      <x:c r="V268" s="373"/>
      <x:c r="W268" s="373"/>
      <x:c r="X268" s="373"/>
      <x:c r="Y268" s="373"/>
      <x:c r="Z268" s="373"/>
    </x:row>
    <x:row r="269">
      <x:c r="A269" s="373"/>
      <x:c r="B269" s="373"/>
      <x:c r="C269" s="373"/>
      <x:c r="D269" s="373"/>
      <x:c r="E269" s="373"/>
      <x:c r="F269" s="373"/>
      <x:c r="G269" s="373"/>
      <x:c r="H269" s="373"/>
      <x:c r="I269" s="373"/>
      <x:c r="J269" s="373"/>
      <x:c r="K269" s="373"/>
      <x:c r="L269" s="373"/>
      <x:c r="M269" s="373"/>
      <x:c r="N269" s="373"/>
      <x:c r="O269" s="373"/>
      <x:c r="P269" s="373"/>
      <x:c r="Q269" s="373"/>
      <x:c r="R269" s="373"/>
      <x:c r="S269" s="373"/>
      <x:c r="T269" s="373"/>
      <x:c r="U269" s="373"/>
      <x:c r="V269" s="373"/>
      <x:c r="W269" s="373"/>
      <x:c r="X269" s="373"/>
      <x:c r="Y269" s="373"/>
      <x:c r="Z269" s="373"/>
    </x:row>
    <x:row r="270">
      <x:c r="A270" s="373"/>
      <x:c r="B270" s="373"/>
      <x:c r="C270" s="373"/>
      <x:c r="D270" s="373"/>
      <x:c r="E270" s="373"/>
      <x:c r="F270" s="373"/>
      <x:c r="G270" s="373"/>
      <x:c r="H270" s="373"/>
      <x:c r="I270" s="373"/>
      <x:c r="J270" s="373"/>
      <x:c r="K270" s="373"/>
      <x:c r="L270" s="373"/>
      <x:c r="M270" s="373"/>
      <x:c r="N270" s="373"/>
      <x:c r="O270" s="373"/>
      <x:c r="P270" s="373"/>
      <x:c r="Q270" s="373"/>
      <x:c r="R270" s="373"/>
      <x:c r="S270" s="373"/>
      <x:c r="T270" s="373"/>
      <x:c r="U270" s="373"/>
      <x:c r="V270" s="373"/>
      <x:c r="W270" s="373"/>
      <x:c r="X270" s="373"/>
      <x:c r="Y270" s="373"/>
      <x:c r="Z270" s="373"/>
    </x:row>
    <x:row r="271">
      <x:c r="A271" s="373"/>
      <x:c r="B271" s="373"/>
      <x:c r="C271" s="373"/>
      <x:c r="D271" s="373"/>
      <x:c r="E271" s="373"/>
      <x:c r="F271" s="373"/>
      <x:c r="G271" s="373"/>
      <x:c r="H271" s="373"/>
      <x:c r="I271" s="373"/>
      <x:c r="J271" s="373"/>
      <x:c r="K271" s="373"/>
      <x:c r="L271" s="373"/>
      <x:c r="M271" s="373"/>
      <x:c r="N271" s="373"/>
      <x:c r="O271" s="373"/>
      <x:c r="P271" s="373"/>
      <x:c r="Q271" s="373"/>
      <x:c r="R271" s="373"/>
      <x:c r="S271" s="373"/>
      <x:c r="T271" s="373"/>
      <x:c r="U271" s="373"/>
      <x:c r="V271" s="373"/>
      <x:c r="W271" s="373"/>
      <x:c r="X271" s="373"/>
      <x:c r="Y271" s="373"/>
      <x:c r="Z271" s="373"/>
    </x:row>
    <x:row r="272">
      <x:c r="A272" s="373"/>
      <x:c r="B272" s="373"/>
      <x:c r="C272" s="373"/>
      <x:c r="D272" s="373"/>
      <x:c r="E272" s="373"/>
      <x:c r="F272" s="373"/>
      <x:c r="G272" s="373"/>
      <x:c r="H272" s="373"/>
      <x:c r="I272" s="373"/>
      <x:c r="J272" s="373"/>
      <x:c r="K272" s="373"/>
      <x:c r="L272" s="373"/>
      <x:c r="M272" s="373"/>
      <x:c r="N272" s="373"/>
      <x:c r="O272" s="373"/>
      <x:c r="P272" s="373"/>
      <x:c r="Q272" s="373"/>
      <x:c r="R272" s="373"/>
      <x:c r="S272" s="373"/>
      <x:c r="T272" s="373"/>
      <x:c r="U272" s="373"/>
      <x:c r="V272" s="373"/>
      <x:c r="W272" s="373"/>
      <x:c r="X272" s="373"/>
      <x:c r="Y272" s="373"/>
      <x:c r="Z272" s="373"/>
    </x:row>
    <x:row r="273">
      <x:c r="A273" s="373"/>
      <x:c r="B273" s="373"/>
      <x:c r="C273" s="373"/>
      <x:c r="D273" s="373"/>
      <x:c r="E273" s="373"/>
      <x:c r="F273" s="373"/>
      <x:c r="G273" s="373"/>
      <x:c r="H273" s="373"/>
      <x:c r="I273" s="373"/>
      <x:c r="J273" s="373"/>
      <x:c r="K273" s="373"/>
      <x:c r="L273" s="373"/>
      <x:c r="M273" s="373"/>
      <x:c r="N273" s="373"/>
      <x:c r="O273" s="373"/>
      <x:c r="P273" s="373"/>
      <x:c r="Q273" s="373"/>
      <x:c r="R273" s="373"/>
      <x:c r="S273" s="373"/>
      <x:c r="T273" s="373"/>
      <x:c r="U273" s="373"/>
      <x:c r="V273" s="373"/>
      <x:c r="W273" s="373"/>
      <x:c r="X273" s="373"/>
      <x:c r="Y273" s="373"/>
      <x:c r="Z273" s="373"/>
    </x:row>
    <x:row r="274">
      <x:c r="A274" s="373"/>
      <x:c r="B274" s="373"/>
      <x:c r="C274" s="373"/>
      <x:c r="D274" s="373"/>
      <x:c r="E274" s="373"/>
      <x:c r="F274" s="373"/>
      <x:c r="G274" s="373"/>
      <x:c r="H274" s="373"/>
      <x:c r="I274" s="373"/>
      <x:c r="J274" s="373"/>
      <x:c r="K274" s="373"/>
      <x:c r="L274" s="373"/>
      <x:c r="M274" s="373"/>
      <x:c r="N274" s="373"/>
      <x:c r="O274" s="373"/>
      <x:c r="P274" s="373"/>
      <x:c r="Q274" s="373"/>
      <x:c r="R274" s="373"/>
      <x:c r="S274" s="373"/>
      <x:c r="T274" s="373"/>
      <x:c r="U274" s="373"/>
      <x:c r="V274" s="373"/>
      <x:c r="W274" s="373"/>
      <x:c r="X274" s="373"/>
      <x:c r="Y274" s="373"/>
      <x:c r="Z274" s="373"/>
    </x:row>
    <x:row r="275">
      <x:c r="A275" s="373"/>
      <x:c r="B275" s="373"/>
      <x:c r="C275" s="373"/>
      <x:c r="D275" s="373"/>
      <x:c r="E275" s="373"/>
      <x:c r="F275" s="373"/>
      <x:c r="G275" s="373"/>
      <x:c r="H275" s="373"/>
      <x:c r="I275" s="373"/>
      <x:c r="J275" s="373"/>
      <x:c r="K275" s="373"/>
      <x:c r="L275" s="373"/>
      <x:c r="M275" s="373"/>
      <x:c r="N275" s="373"/>
      <x:c r="O275" s="373"/>
      <x:c r="P275" s="373"/>
      <x:c r="Q275" s="373"/>
      <x:c r="R275" s="373"/>
      <x:c r="S275" s="373"/>
      <x:c r="T275" s="373"/>
      <x:c r="U275" s="373"/>
      <x:c r="V275" s="373"/>
      <x:c r="W275" s="373"/>
      <x:c r="X275" s="373"/>
      <x:c r="Y275" s="373"/>
      <x:c r="Z275" s="373"/>
    </x:row>
    <x:row r="276">
      <x:c r="A276" s="373"/>
      <x:c r="B276" s="373"/>
      <x:c r="C276" s="373"/>
      <x:c r="D276" s="373"/>
      <x:c r="E276" s="373"/>
      <x:c r="F276" s="373"/>
      <x:c r="G276" s="373"/>
      <x:c r="H276" s="373"/>
      <x:c r="I276" s="373"/>
      <x:c r="J276" s="373"/>
      <x:c r="K276" s="373"/>
      <x:c r="L276" s="373"/>
      <x:c r="M276" s="373"/>
      <x:c r="N276" s="373"/>
      <x:c r="O276" s="373"/>
      <x:c r="P276" s="373"/>
      <x:c r="Q276" s="373"/>
      <x:c r="R276" s="373"/>
      <x:c r="S276" s="373"/>
      <x:c r="T276" s="373"/>
      <x:c r="U276" s="373"/>
      <x:c r="V276" s="373"/>
      <x:c r="W276" s="373"/>
      <x:c r="X276" s="373"/>
      <x:c r="Y276" s="373"/>
      <x:c r="Z276" s="373"/>
    </x:row>
    <x:row r="277">
      <x:c r="A277" s="373"/>
      <x:c r="B277" s="373"/>
      <x:c r="C277" s="373"/>
      <x:c r="D277" s="373"/>
      <x:c r="E277" s="373"/>
      <x:c r="F277" s="373"/>
      <x:c r="G277" s="373"/>
      <x:c r="H277" s="373"/>
      <x:c r="I277" s="373"/>
      <x:c r="J277" s="373"/>
      <x:c r="K277" s="373"/>
      <x:c r="L277" s="373"/>
      <x:c r="M277" s="373"/>
      <x:c r="N277" s="373"/>
      <x:c r="O277" s="373"/>
      <x:c r="P277" s="373"/>
      <x:c r="Q277" s="373"/>
      <x:c r="R277" s="373"/>
      <x:c r="S277" s="373"/>
      <x:c r="T277" s="373"/>
      <x:c r="U277" s="373"/>
      <x:c r="V277" s="373"/>
      <x:c r="W277" s="373"/>
      <x:c r="X277" s="373"/>
      <x:c r="Y277" s="373"/>
      <x:c r="Z277" s="373"/>
    </x:row>
    <x:row r="278">
      <x:c r="A278" s="373"/>
      <x:c r="B278" s="373"/>
      <x:c r="C278" s="373"/>
      <x:c r="D278" s="373"/>
      <x:c r="E278" s="373"/>
      <x:c r="F278" s="373"/>
      <x:c r="G278" s="373"/>
      <x:c r="H278" s="373"/>
      <x:c r="I278" s="373"/>
      <x:c r="J278" s="373"/>
      <x:c r="K278" s="373"/>
      <x:c r="L278" s="373"/>
      <x:c r="M278" s="373"/>
      <x:c r="N278" s="373"/>
      <x:c r="O278" s="373"/>
      <x:c r="P278" s="373"/>
      <x:c r="Q278" s="373"/>
      <x:c r="R278" s="373"/>
      <x:c r="S278" s="373"/>
      <x:c r="T278" s="373"/>
      <x:c r="U278" s="373"/>
      <x:c r="V278" s="373"/>
      <x:c r="W278" s="373"/>
      <x:c r="X278" s="373"/>
      <x:c r="Y278" s="373"/>
      <x:c r="Z278" s="373"/>
    </x:row>
    <x:row r="279">
      <x:c r="A279" s="373"/>
      <x:c r="B279" s="373"/>
      <x:c r="C279" s="373"/>
      <x:c r="D279" s="373"/>
      <x:c r="E279" s="373"/>
      <x:c r="F279" s="373"/>
      <x:c r="G279" s="373"/>
      <x:c r="H279" s="373"/>
      <x:c r="I279" s="373"/>
      <x:c r="J279" s="373"/>
      <x:c r="K279" s="373"/>
      <x:c r="L279" s="373"/>
      <x:c r="M279" s="373"/>
      <x:c r="N279" s="373"/>
      <x:c r="O279" s="373"/>
      <x:c r="P279" s="373"/>
      <x:c r="Q279" s="373"/>
      <x:c r="R279" s="373"/>
      <x:c r="S279" s="373"/>
      <x:c r="T279" s="373"/>
      <x:c r="U279" s="373"/>
      <x:c r="V279" s="373"/>
      <x:c r="W279" s="373"/>
      <x:c r="X279" s="373"/>
      <x:c r="Y279" s="373"/>
      <x:c r="Z279" s="373"/>
    </x:row>
    <x:row r="280">
      <x:c r="A280" s="373"/>
      <x:c r="B280" s="373"/>
      <x:c r="C280" s="373"/>
      <x:c r="D280" s="373"/>
      <x:c r="E280" s="373"/>
      <x:c r="F280" s="373"/>
      <x:c r="G280" s="373"/>
      <x:c r="H280" s="373"/>
      <x:c r="I280" s="373"/>
      <x:c r="J280" s="373"/>
      <x:c r="K280" s="373"/>
      <x:c r="L280" s="373"/>
      <x:c r="M280" s="373"/>
      <x:c r="N280" s="373"/>
      <x:c r="O280" s="373"/>
      <x:c r="P280" s="373"/>
      <x:c r="Q280" s="373"/>
      <x:c r="R280" s="373"/>
      <x:c r="S280" s="373"/>
      <x:c r="T280" s="373"/>
      <x:c r="U280" s="373"/>
      <x:c r="V280" s="373"/>
      <x:c r="W280" s="373"/>
      <x:c r="X280" s="373"/>
      <x:c r="Y280" s="373"/>
      <x:c r="Z280" s="373"/>
    </x:row>
    <x:row r="281">
      <x:c r="A281" s="373"/>
      <x:c r="B281" s="373"/>
      <x:c r="C281" s="373"/>
      <x:c r="D281" s="373"/>
      <x:c r="E281" s="373"/>
      <x:c r="F281" s="373"/>
      <x:c r="G281" s="373"/>
      <x:c r="H281" s="373"/>
      <x:c r="I281" s="373"/>
      <x:c r="J281" s="373"/>
      <x:c r="K281" s="373"/>
      <x:c r="L281" s="373"/>
      <x:c r="M281" s="373"/>
      <x:c r="N281" s="373"/>
      <x:c r="O281" s="373"/>
      <x:c r="P281" s="373"/>
      <x:c r="Q281" s="373"/>
      <x:c r="R281" s="373"/>
      <x:c r="S281" s="373"/>
      <x:c r="T281" s="373"/>
      <x:c r="U281" s="373"/>
      <x:c r="V281" s="373"/>
      <x:c r="W281" s="373"/>
      <x:c r="X281" s="373"/>
      <x:c r="Y281" s="373"/>
      <x:c r="Z281" s="373"/>
    </x:row>
    <x:row r="282">
      <x:c r="A282" s="373"/>
      <x:c r="B282" s="373"/>
      <x:c r="C282" s="373"/>
      <x:c r="D282" s="373"/>
      <x:c r="E282" s="373"/>
      <x:c r="F282" s="373"/>
      <x:c r="G282" s="373"/>
      <x:c r="H282" s="373"/>
      <x:c r="I282" s="373"/>
      <x:c r="J282" s="373"/>
      <x:c r="K282" s="373"/>
      <x:c r="L282" s="373"/>
      <x:c r="M282" s="373"/>
      <x:c r="N282" s="373"/>
      <x:c r="O282" s="373"/>
      <x:c r="P282" s="373"/>
      <x:c r="Q282" s="373"/>
      <x:c r="R282" s="373"/>
      <x:c r="S282" s="373"/>
      <x:c r="T282" s="373"/>
      <x:c r="U282" s="373"/>
      <x:c r="V282" s="373"/>
      <x:c r="W282" s="373"/>
      <x:c r="X282" s="373"/>
      <x:c r="Y282" s="373"/>
      <x:c r="Z282" s="373"/>
    </x:row>
    <x:row r="283">
      <x:c r="A283" s="373"/>
      <x:c r="B283" s="373"/>
      <x:c r="C283" s="373"/>
      <x:c r="D283" s="373"/>
      <x:c r="E283" s="373"/>
      <x:c r="F283" s="373"/>
      <x:c r="G283" s="373"/>
      <x:c r="H283" s="373"/>
      <x:c r="I283" s="373"/>
      <x:c r="J283" s="373"/>
      <x:c r="K283" s="373"/>
      <x:c r="L283" s="373"/>
      <x:c r="M283" s="373"/>
      <x:c r="N283" s="373"/>
      <x:c r="O283" s="373"/>
      <x:c r="P283" s="373"/>
      <x:c r="Q283" s="373"/>
      <x:c r="R283" s="373"/>
      <x:c r="S283" s="373"/>
      <x:c r="T283" s="373"/>
      <x:c r="U283" s="373"/>
      <x:c r="V283" s="373"/>
      <x:c r="W283" s="373"/>
      <x:c r="X283" s="373"/>
      <x:c r="Y283" s="373"/>
      <x:c r="Z283" s="373"/>
    </x:row>
    <x:row r="284">
      <x:c r="A284" s="373"/>
      <x:c r="B284" s="373"/>
      <x:c r="C284" s="373"/>
      <x:c r="D284" s="373"/>
      <x:c r="E284" s="373"/>
      <x:c r="F284" s="373"/>
      <x:c r="G284" s="373"/>
      <x:c r="H284" s="373"/>
      <x:c r="I284" s="373"/>
      <x:c r="J284" s="373"/>
      <x:c r="K284" s="373"/>
      <x:c r="L284" s="373"/>
      <x:c r="M284" s="373"/>
      <x:c r="N284" s="373"/>
      <x:c r="O284" s="373"/>
      <x:c r="P284" s="373"/>
      <x:c r="Q284" s="373"/>
      <x:c r="R284" s="373"/>
      <x:c r="S284" s="373"/>
      <x:c r="T284" s="373"/>
      <x:c r="U284" s="373"/>
      <x:c r="V284" s="373"/>
      <x:c r="W284" s="373"/>
      <x:c r="X284" s="373"/>
      <x:c r="Y284" s="373"/>
      <x:c r="Z284" s="373"/>
    </x:row>
    <x:row r="285">
      <x:c r="A285" s="373"/>
      <x:c r="B285" s="373"/>
      <x:c r="C285" s="373"/>
      <x:c r="D285" s="373"/>
      <x:c r="E285" s="373"/>
      <x:c r="F285" s="373"/>
      <x:c r="G285" s="373"/>
      <x:c r="H285" s="373"/>
      <x:c r="I285" s="373"/>
      <x:c r="J285" s="373"/>
      <x:c r="K285" s="373"/>
      <x:c r="L285" s="373"/>
      <x:c r="M285" s="373"/>
      <x:c r="N285" s="373"/>
      <x:c r="O285" s="373"/>
      <x:c r="P285" s="373"/>
      <x:c r="Q285" s="373"/>
      <x:c r="R285" s="373"/>
      <x:c r="S285" s="373"/>
      <x:c r="T285" s="373"/>
      <x:c r="U285" s="373"/>
      <x:c r="V285" s="373"/>
      <x:c r="W285" s="373"/>
      <x:c r="X285" s="373"/>
      <x:c r="Y285" s="373"/>
      <x:c r="Z285" s="373"/>
    </x:row>
    <x:row r="286">
      <x:c r="A286" s="373"/>
      <x:c r="B286" s="373"/>
      <x:c r="C286" s="373"/>
      <x:c r="D286" s="373"/>
      <x:c r="E286" s="373"/>
      <x:c r="F286" s="373"/>
      <x:c r="G286" s="373"/>
      <x:c r="H286" s="373"/>
      <x:c r="I286" s="373"/>
      <x:c r="J286" s="373"/>
      <x:c r="K286" s="373"/>
      <x:c r="L286" s="373"/>
      <x:c r="M286" s="373"/>
      <x:c r="N286" s="373"/>
      <x:c r="O286" s="373"/>
      <x:c r="P286" s="373"/>
      <x:c r="Q286" s="373"/>
      <x:c r="R286" s="373"/>
      <x:c r="S286" s="373"/>
      <x:c r="T286" s="373"/>
      <x:c r="U286" s="373"/>
      <x:c r="V286" s="373"/>
      <x:c r="W286" s="373"/>
      <x:c r="X286" s="373"/>
      <x:c r="Y286" s="373"/>
      <x:c r="Z286" s="373"/>
    </x:row>
    <x:row r="287">
      <x:c r="A287" s="373"/>
      <x:c r="B287" s="373"/>
      <x:c r="C287" s="373"/>
      <x:c r="D287" s="373"/>
      <x:c r="E287" s="373"/>
      <x:c r="F287" s="373"/>
      <x:c r="G287" s="373"/>
      <x:c r="H287" s="373"/>
      <x:c r="I287" s="373"/>
      <x:c r="J287" s="373"/>
      <x:c r="K287" s="373"/>
      <x:c r="L287" s="373"/>
      <x:c r="M287" s="373"/>
      <x:c r="N287" s="373"/>
      <x:c r="O287" s="373"/>
      <x:c r="P287" s="373"/>
      <x:c r="Q287" s="373"/>
      <x:c r="R287" s="373"/>
      <x:c r="S287" s="373"/>
      <x:c r="T287" s="373"/>
      <x:c r="U287" s="373"/>
      <x:c r="V287" s="373"/>
      <x:c r="W287" s="373"/>
      <x:c r="X287" s="373"/>
      <x:c r="Y287" s="373"/>
      <x:c r="Z287" s="373"/>
    </x:row>
    <x:row r="288">
      <x:c r="A288" s="373"/>
      <x:c r="B288" s="373"/>
      <x:c r="C288" s="373"/>
      <x:c r="D288" s="373"/>
      <x:c r="E288" s="373"/>
      <x:c r="F288" s="373"/>
      <x:c r="G288" s="373"/>
      <x:c r="H288" s="373"/>
      <x:c r="I288" s="373"/>
      <x:c r="J288" s="373"/>
      <x:c r="K288" s="373"/>
      <x:c r="L288" s="373"/>
      <x:c r="M288" s="373"/>
      <x:c r="N288" s="373"/>
      <x:c r="O288" s="373"/>
      <x:c r="P288" s="373"/>
      <x:c r="Q288" s="373"/>
      <x:c r="R288" s="373"/>
      <x:c r="S288" s="373"/>
      <x:c r="T288" s="373"/>
      <x:c r="U288" s="373"/>
      <x:c r="V288" s="373"/>
      <x:c r="W288" s="373"/>
      <x:c r="X288" s="373"/>
      <x:c r="Y288" s="373"/>
      <x:c r="Z288" s="373"/>
    </x:row>
    <x:row r="289">
      <x:c r="A289" s="373"/>
      <x:c r="B289" s="373"/>
      <x:c r="C289" s="373"/>
      <x:c r="D289" s="373"/>
      <x:c r="E289" s="373"/>
      <x:c r="F289" s="373"/>
      <x:c r="G289" s="373"/>
      <x:c r="H289" s="373"/>
      <x:c r="I289" s="373"/>
      <x:c r="J289" s="373"/>
      <x:c r="K289" s="373"/>
      <x:c r="L289" s="373"/>
      <x:c r="M289" s="373"/>
      <x:c r="N289" s="373"/>
      <x:c r="O289" s="373"/>
      <x:c r="P289" s="373"/>
      <x:c r="Q289" s="373"/>
      <x:c r="R289" s="373"/>
      <x:c r="S289" s="373"/>
      <x:c r="T289" s="373"/>
      <x:c r="U289" s="373"/>
      <x:c r="V289" s="373"/>
      <x:c r="W289" s="373"/>
      <x:c r="X289" s="373"/>
      <x:c r="Y289" s="373"/>
      <x:c r="Z289" s="373"/>
    </x:row>
    <x:row r="290">
      <x:c r="A290" s="373"/>
      <x:c r="B290" s="373"/>
      <x:c r="C290" s="373"/>
      <x:c r="D290" s="373"/>
      <x:c r="E290" s="373"/>
      <x:c r="F290" s="373"/>
      <x:c r="G290" s="373"/>
      <x:c r="H290" s="373"/>
      <x:c r="I290" s="373"/>
      <x:c r="J290" s="373"/>
      <x:c r="K290" s="373"/>
      <x:c r="L290" s="373"/>
      <x:c r="M290" s="373"/>
      <x:c r="N290" s="373"/>
      <x:c r="O290" s="373"/>
      <x:c r="P290" s="373"/>
      <x:c r="Q290" s="373"/>
      <x:c r="R290" s="373"/>
      <x:c r="S290" s="373"/>
      <x:c r="T290" s="373"/>
      <x:c r="U290" s="373"/>
      <x:c r="V290" s="373"/>
      <x:c r="W290" s="373"/>
      <x:c r="X290" s="373"/>
      <x:c r="Y290" s="373"/>
      <x:c r="Z290" s="373"/>
    </x:row>
    <x:row r="291">
      <x:c r="A291" s="373"/>
      <x:c r="B291" s="373"/>
      <x:c r="C291" s="373"/>
      <x:c r="D291" s="373"/>
      <x:c r="E291" s="373"/>
      <x:c r="F291" s="373"/>
      <x:c r="G291" s="373"/>
      <x:c r="H291" s="373"/>
      <x:c r="I291" s="373"/>
      <x:c r="J291" s="373"/>
      <x:c r="K291" s="373"/>
      <x:c r="L291" s="373"/>
      <x:c r="M291" s="373"/>
      <x:c r="N291" s="373"/>
      <x:c r="O291" s="373"/>
      <x:c r="P291" s="373"/>
      <x:c r="Q291" s="373"/>
      <x:c r="R291" s="373"/>
      <x:c r="S291" s="373"/>
      <x:c r="T291" s="373"/>
      <x:c r="U291" s="373"/>
      <x:c r="V291" s="373"/>
      <x:c r="W291" s="373"/>
      <x:c r="X291" s="373"/>
      <x:c r="Y291" s="373"/>
      <x:c r="Z291" s="373"/>
    </x:row>
    <x:row r="292">
      <x:c r="A292" s="373"/>
      <x:c r="B292" s="373"/>
      <x:c r="C292" s="373"/>
      <x:c r="D292" s="373"/>
      <x:c r="E292" s="373"/>
      <x:c r="F292" s="373"/>
      <x:c r="G292" s="373"/>
      <x:c r="H292" s="373"/>
      <x:c r="I292" s="373"/>
      <x:c r="J292" s="373"/>
      <x:c r="K292" s="373"/>
      <x:c r="L292" s="373"/>
      <x:c r="M292" s="373"/>
      <x:c r="N292" s="373"/>
      <x:c r="O292" s="373"/>
      <x:c r="P292" s="373"/>
      <x:c r="Q292" s="373"/>
      <x:c r="R292" s="373"/>
      <x:c r="S292" s="373"/>
      <x:c r="T292" s="373"/>
      <x:c r="U292" s="373"/>
      <x:c r="V292" s="373"/>
      <x:c r="W292" s="373"/>
      <x:c r="X292" s="373"/>
      <x:c r="Y292" s="373"/>
      <x:c r="Z292" s="373"/>
    </x:row>
    <x:row r="293">
      <x:c r="A293" s="373"/>
      <x:c r="B293" s="373"/>
      <x:c r="C293" s="373"/>
      <x:c r="D293" s="373"/>
      <x:c r="E293" s="373"/>
      <x:c r="F293" s="373"/>
      <x:c r="G293" s="373"/>
      <x:c r="H293" s="373"/>
      <x:c r="I293" s="373"/>
      <x:c r="J293" s="373"/>
      <x:c r="K293" s="373"/>
      <x:c r="L293" s="373"/>
      <x:c r="M293" s="373"/>
      <x:c r="N293" s="373"/>
      <x:c r="O293" s="373"/>
      <x:c r="P293" s="373"/>
      <x:c r="Q293" s="373"/>
      <x:c r="R293" s="373"/>
      <x:c r="S293" s="373"/>
      <x:c r="T293" s="373"/>
      <x:c r="U293" s="373"/>
      <x:c r="V293" s="373"/>
      <x:c r="W293" s="373"/>
      <x:c r="X293" s="373"/>
      <x:c r="Y293" s="373"/>
      <x:c r="Z293" s="373"/>
    </x:row>
    <x:row r="294">
      <x:c r="A294" s="373"/>
      <x:c r="B294" s="373"/>
      <x:c r="C294" s="373"/>
      <x:c r="D294" s="373"/>
      <x:c r="E294" s="373"/>
      <x:c r="F294" s="373"/>
      <x:c r="G294" s="373"/>
      <x:c r="H294" s="373"/>
      <x:c r="I294" s="373"/>
      <x:c r="J294" s="373"/>
      <x:c r="K294" s="373"/>
      <x:c r="L294" s="373"/>
      <x:c r="M294" s="373"/>
      <x:c r="N294" s="373"/>
      <x:c r="O294" s="373"/>
      <x:c r="P294" s="373"/>
      <x:c r="Q294" s="373"/>
      <x:c r="R294" s="373"/>
      <x:c r="S294" s="373"/>
      <x:c r="T294" s="373"/>
      <x:c r="U294" s="373"/>
      <x:c r="V294" s="373"/>
      <x:c r="W294" s="373"/>
      <x:c r="X294" s="373"/>
      <x:c r="Y294" s="373"/>
      <x:c r="Z294" s="373"/>
    </x:row>
    <x:row r="295">
      <x:c r="A295" s="373"/>
      <x:c r="B295" s="373"/>
      <x:c r="C295" s="373"/>
      <x:c r="D295" s="373"/>
      <x:c r="E295" s="373"/>
      <x:c r="F295" s="373"/>
      <x:c r="G295" s="373"/>
      <x:c r="H295" s="373"/>
      <x:c r="I295" s="373"/>
      <x:c r="J295" s="373"/>
      <x:c r="K295" s="373"/>
      <x:c r="L295" s="373"/>
      <x:c r="M295" s="373"/>
      <x:c r="N295" s="373"/>
      <x:c r="O295" s="373"/>
      <x:c r="P295" s="373"/>
      <x:c r="Q295" s="373"/>
      <x:c r="R295" s="373"/>
      <x:c r="S295" s="373"/>
      <x:c r="T295" s="373"/>
      <x:c r="U295" s="373"/>
      <x:c r="V295" s="373"/>
      <x:c r="W295" s="373"/>
      <x:c r="X295" s="373"/>
      <x:c r="Y295" s="373"/>
      <x:c r="Z295" s="373"/>
    </x:row>
    <x:row r="296">
      <x:c r="A296" s="373"/>
      <x:c r="B296" s="373"/>
      <x:c r="C296" s="373"/>
      <x:c r="D296" s="373"/>
      <x:c r="E296" s="373"/>
      <x:c r="F296" s="373"/>
      <x:c r="G296" s="373"/>
      <x:c r="H296" s="373"/>
      <x:c r="I296" s="373"/>
      <x:c r="J296" s="373"/>
      <x:c r="K296" s="373"/>
      <x:c r="L296" s="373"/>
      <x:c r="M296" s="373"/>
      <x:c r="N296" s="373"/>
      <x:c r="O296" s="373"/>
      <x:c r="P296" s="373"/>
      <x:c r="Q296" s="373"/>
      <x:c r="R296" s="373"/>
      <x:c r="S296" s="373"/>
      <x:c r="T296" s="373"/>
      <x:c r="U296" s="373"/>
      <x:c r="V296" s="373"/>
      <x:c r="W296" s="373"/>
      <x:c r="X296" s="373"/>
      <x:c r="Y296" s="373"/>
      <x:c r="Z296" s="373"/>
    </x:row>
    <x:row r="297">
      <x:c r="A297" s="373"/>
      <x:c r="B297" s="373"/>
      <x:c r="C297" s="373"/>
      <x:c r="D297" s="373"/>
      <x:c r="E297" s="373"/>
      <x:c r="F297" s="373"/>
      <x:c r="G297" s="373"/>
      <x:c r="H297" s="373"/>
      <x:c r="I297" s="373"/>
      <x:c r="J297" s="373"/>
      <x:c r="K297" s="373"/>
      <x:c r="L297" s="373"/>
      <x:c r="M297" s="373"/>
      <x:c r="N297" s="373"/>
      <x:c r="O297" s="373"/>
      <x:c r="P297" s="373"/>
      <x:c r="Q297" s="373"/>
      <x:c r="R297" s="373"/>
      <x:c r="S297" s="373"/>
      <x:c r="T297" s="373"/>
      <x:c r="U297" s="373"/>
      <x:c r="V297" s="373"/>
      <x:c r="W297" s="373"/>
      <x:c r="X297" s="373"/>
      <x:c r="Y297" s="373"/>
      <x:c r="Z297" s="373"/>
    </x:row>
    <x:row r="298">
      <x:c r="A298" s="373"/>
      <x:c r="B298" s="373"/>
      <x:c r="C298" s="373"/>
      <x:c r="D298" s="373"/>
      <x:c r="E298" s="373"/>
      <x:c r="F298" s="373"/>
      <x:c r="G298" s="373"/>
      <x:c r="H298" s="373"/>
      <x:c r="I298" s="373"/>
      <x:c r="J298" s="373"/>
      <x:c r="K298" s="373"/>
      <x:c r="L298" s="373"/>
      <x:c r="M298" s="373"/>
      <x:c r="N298" s="373"/>
      <x:c r="O298" s="373"/>
      <x:c r="P298" s="373"/>
      <x:c r="Q298" s="373"/>
      <x:c r="R298" s="373"/>
      <x:c r="S298" s="373"/>
      <x:c r="T298" s="373"/>
      <x:c r="U298" s="373"/>
      <x:c r="V298" s="373"/>
      <x:c r="W298" s="373"/>
      <x:c r="X298" s="373"/>
      <x:c r="Y298" s="373"/>
      <x:c r="Z298" s="373"/>
    </x:row>
    <x:row r="299">
      <x:c r="A299" s="373"/>
      <x:c r="B299" s="373"/>
      <x:c r="C299" s="373"/>
      <x:c r="D299" s="373"/>
      <x:c r="E299" s="373"/>
      <x:c r="F299" s="373"/>
      <x:c r="G299" s="373"/>
      <x:c r="H299" s="373"/>
      <x:c r="I299" s="373"/>
      <x:c r="J299" s="373"/>
      <x:c r="K299" s="373"/>
      <x:c r="L299" s="373"/>
      <x:c r="M299" s="373"/>
      <x:c r="N299" s="373"/>
      <x:c r="O299" s="373"/>
      <x:c r="P299" s="373"/>
      <x:c r="Q299" s="373"/>
      <x:c r="R299" s="373"/>
      <x:c r="S299" s="373"/>
      <x:c r="T299" s="373"/>
      <x:c r="U299" s="373"/>
      <x:c r="V299" s="373"/>
      <x:c r="W299" s="373"/>
      <x:c r="X299" s="373"/>
      <x:c r="Y299" s="373"/>
      <x:c r="Z299" s="373"/>
    </x:row>
    <x:row r="300">
      <x:c r="A300" s="373"/>
      <x:c r="B300" s="373"/>
      <x:c r="C300" s="373"/>
      <x:c r="D300" s="373"/>
      <x:c r="E300" s="373"/>
      <x:c r="F300" s="373"/>
      <x:c r="G300" s="373"/>
      <x:c r="H300" s="373"/>
      <x:c r="I300" s="373"/>
      <x:c r="J300" s="373"/>
      <x:c r="K300" s="373"/>
      <x:c r="L300" s="373"/>
      <x:c r="M300" s="373"/>
      <x:c r="N300" s="373"/>
      <x:c r="O300" s="373"/>
      <x:c r="P300" s="373"/>
      <x:c r="Q300" s="373"/>
      <x:c r="R300" s="373"/>
      <x:c r="S300" s="373"/>
      <x:c r="T300" s="373"/>
      <x:c r="U300" s="373"/>
      <x:c r="V300" s="373"/>
      <x:c r="W300" s="373"/>
      <x:c r="X300" s="373"/>
      <x:c r="Y300" s="373"/>
      <x:c r="Z300" s="373"/>
    </x:row>
    <x:row r="301">
      <x:c r="A301" s="373"/>
      <x:c r="B301" s="373"/>
      <x:c r="C301" s="373"/>
      <x:c r="D301" s="373"/>
      <x:c r="E301" s="373"/>
      <x:c r="F301" s="373"/>
      <x:c r="G301" s="373"/>
      <x:c r="H301" s="373"/>
      <x:c r="I301" s="373"/>
      <x:c r="J301" s="373"/>
      <x:c r="K301" s="373"/>
      <x:c r="L301" s="373"/>
      <x:c r="M301" s="373"/>
      <x:c r="N301" s="373"/>
      <x:c r="O301" s="373"/>
      <x:c r="P301" s="373"/>
      <x:c r="Q301" s="373"/>
      <x:c r="R301" s="373"/>
      <x:c r="S301" s="373"/>
      <x:c r="T301" s="373"/>
      <x:c r="U301" s="373"/>
      <x:c r="V301" s="373"/>
      <x:c r="W301" s="373"/>
      <x:c r="X301" s="373"/>
      <x:c r="Y301" s="373"/>
      <x:c r="Z301" s="373"/>
    </x:row>
    <x:row r="302">
      <x:c r="A302" s="373"/>
      <x:c r="B302" s="373"/>
      <x:c r="C302" s="373"/>
      <x:c r="D302" s="373"/>
      <x:c r="E302" s="373"/>
      <x:c r="F302" s="373"/>
      <x:c r="G302" s="373"/>
      <x:c r="H302" s="373"/>
      <x:c r="I302" s="373"/>
      <x:c r="J302" s="373"/>
      <x:c r="K302" s="373"/>
      <x:c r="L302" s="373"/>
      <x:c r="M302" s="373"/>
      <x:c r="N302" s="373"/>
      <x:c r="O302" s="373"/>
      <x:c r="P302" s="373"/>
      <x:c r="Q302" s="373"/>
      <x:c r="R302" s="373"/>
      <x:c r="S302" s="373"/>
      <x:c r="T302" s="373"/>
      <x:c r="U302" s="373"/>
      <x:c r="V302" s="373"/>
      <x:c r="W302" s="373"/>
      <x:c r="X302" s="373"/>
      <x:c r="Y302" s="373"/>
      <x:c r="Z302" s="373"/>
    </x:row>
    <x:row r="303">
      <x:c r="A303" s="373"/>
      <x:c r="B303" s="373"/>
      <x:c r="C303" s="373"/>
      <x:c r="D303" s="373"/>
      <x:c r="E303" s="373"/>
      <x:c r="F303" s="373"/>
      <x:c r="G303" s="373"/>
      <x:c r="H303" s="373"/>
      <x:c r="I303" s="373"/>
      <x:c r="J303" s="373"/>
      <x:c r="K303" s="373"/>
      <x:c r="L303" s="373"/>
      <x:c r="M303" s="373"/>
      <x:c r="N303" s="373"/>
      <x:c r="O303" s="373"/>
      <x:c r="P303" s="373"/>
      <x:c r="Q303" s="373"/>
      <x:c r="R303" s="373"/>
      <x:c r="S303" s="373"/>
      <x:c r="T303" s="373"/>
      <x:c r="U303" s="373"/>
      <x:c r="V303" s="373"/>
      <x:c r="W303" s="373"/>
      <x:c r="X303" s="373"/>
      <x:c r="Y303" s="373"/>
      <x:c r="Z303" s="373"/>
    </x:row>
    <x:row r="304">
      <x:c r="A304" s="373"/>
      <x:c r="B304" s="373"/>
      <x:c r="C304" s="373"/>
      <x:c r="D304" s="373"/>
      <x:c r="E304" s="373"/>
      <x:c r="F304" s="373"/>
      <x:c r="G304" s="373"/>
      <x:c r="H304" s="373"/>
      <x:c r="I304" s="373"/>
      <x:c r="J304" s="373"/>
      <x:c r="K304" s="373"/>
      <x:c r="L304" s="373"/>
      <x:c r="M304" s="373"/>
      <x:c r="N304" s="373"/>
      <x:c r="O304" s="373"/>
      <x:c r="P304" s="373"/>
      <x:c r="Q304" s="373"/>
      <x:c r="R304" s="373"/>
      <x:c r="S304" s="373"/>
      <x:c r="T304" s="373"/>
      <x:c r="U304" s="373"/>
      <x:c r="V304" s="373"/>
      <x:c r="W304" s="373"/>
      <x:c r="X304" s="373"/>
      <x:c r="Y304" s="373"/>
      <x:c r="Z304" s="373"/>
    </x:row>
    <x:row r="305">
      <x:c r="A305" s="373"/>
      <x:c r="B305" s="373"/>
      <x:c r="C305" s="373"/>
      <x:c r="D305" s="373"/>
      <x:c r="E305" s="373"/>
      <x:c r="F305" s="373"/>
      <x:c r="G305" s="373"/>
      <x:c r="H305" s="373"/>
      <x:c r="I305" s="373"/>
      <x:c r="J305" s="373"/>
      <x:c r="K305" s="373"/>
      <x:c r="L305" s="373"/>
      <x:c r="M305" s="373"/>
      <x:c r="N305" s="373"/>
      <x:c r="O305" s="373"/>
      <x:c r="P305" s="373"/>
      <x:c r="Q305" s="373"/>
      <x:c r="R305" s="373"/>
      <x:c r="S305" s="373"/>
      <x:c r="T305" s="373"/>
      <x:c r="U305" s="373"/>
      <x:c r="V305" s="373"/>
      <x:c r="W305" s="373"/>
      <x:c r="X305" s="373"/>
      <x:c r="Y305" s="373"/>
      <x:c r="Z305" s="373"/>
    </x:row>
    <x:row r="306">
      <x:c r="A306" s="373"/>
      <x:c r="B306" s="373"/>
      <x:c r="C306" s="373"/>
      <x:c r="D306" s="373"/>
      <x:c r="E306" s="373"/>
      <x:c r="F306" s="373"/>
      <x:c r="G306" s="373"/>
      <x:c r="H306" s="373"/>
      <x:c r="I306" s="373"/>
      <x:c r="J306" s="373"/>
      <x:c r="K306" s="373"/>
      <x:c r="L306" s="373"/>
      <x:c r="M306" s="373"/>
      <x:c r="N306" s="373"/>
      <x:c r="O306" s="373"/>
      <x:c r="P306" s="373"/>
      <x:c r="Q306" s="373"/>
      <x:c r="R306" s="373"/>
      <x:c r="S306" s="373"/>
      <x:c r="T306" s="373"/>
      <x:c r="U306" s="373"/>
      <x:c r="V306" s="373"/>
      <x:c r="W306" s="373"/>
      <x:c r="X306" s="373"/>
      <x:c r="Y306" s="373"/>
      <x:c r="Z306" s="373"/>
    </x:row>
    <x:row r="307">
      <x:c r="A307" s="373"/>
      <x:c r="B307" s="373"/>
      <x:c r="C307" s="373"/>
      <x:c r="D307" s="373"/>
      <x:c r="E307" s="373"/>
      <x:c r="F307" s="373"/>
      <x:c r="G307" s="373"/>
      <x:c r="H307" s="373"/>
      <x:c r="I307" s="373"/>
      <x:c r="J307" s="373"/>
      <x:c r="K307" s="373"/>
      <x:c r="L307" s="373"/>
      <x:c r="M307" s="373"/>
      <x:c r="N307" s="373"/>
      <x:c r="O307" s="373"/>
      <x:c r="P307" s="373"/>
      <x:c r="Q307" s="373"/>
      <x:c r="R307" s="373"/>
      <x:c r="S307" s="373"/>
      <x:c r="T307" s="373"/>
      <x:c r="U307" s="373"/>
      <x:c r="V307" s="373"/>
      <x:c r="W307" s="373"/>
      <x:c r="X307" s="373"/>
      <x:c r="Y307" s="373"/>
      <x:c r="Z307" s="373"/>
    </x:row>
    <x:row r="308">
      <x:c r="A308" s="373"/>
      <x:c r="B308" s="373"/>
      <x:c r="C308" s="373"/>
      <x:c r="D308" s="373"/>
      <x:c r="E308" s="373"/>
      <x:c r="F308" s="373"/>
      <x:c r="G308" s="373"/>
      <x:c r="H308" s="373"/>
      <x:c r="I308" s="373"/>
      <x:c r="J308" s="373"/>
      <x:c r="K308" s="373"/>
      <x:c r="L308" s="373"/>
      <x:c r="M308" s="373"/>
      <x:c r="N308" s="373"/>
      <x:c r="O308" s="373"/>
      <x:c r="P308" s="373"/>
      <x:c r="Q308" s="373"/>
      <x:c r="R308" s="373"/>
      <x:c r="S308" s="373"/>
      <x:c r="T308" s="373"/>
      <x:c r="U308" s="373"/>
      <x:c r="V308" s="373"/>
      <x:c r="W308" s="373"/>
      <x:c r="X308" s="373"/>
      <x:c r="Y308" s="373"/>
      <x:c r="Z308" s="373"/>
    </x:row>
    <x:row r="309">
      <x:c r="A309" s="373"/>
      <x:c r="B309" s="373"/>
      <x:c r="C309" s="373"/>
      <x:c r="D309" s="373"/>
      <x:c r="E309" s="373"/>
      <x:c r="F309" s="373"/>
      <x:c r="G309" s="373"/>
      <x:c r="H309" s="373"/>
      <x:c r="I309" s="373"/>
      <x:c r="J309" s="373"/>
      <x:c r="K309" s="373"/>
      <x:c r="L309" s="373"/>
      <x:c r="M309" s="373"/>
      <x:c r="N309" s="373"/>
      <x:c r="O309" s="373"/>
      <x:c r="P309" s="373"/>
      <x:c r="Q309" s="373"/>
      <x:c r="R309" s="373"/>
      <x:c r="S309" s="373"/>
      <x:c r="T309" s="373"/>
      <x:c r="U309" s="373"/>
      <x:c r="V309" s="373"/>
      <x:c r="W309" s="373"/>
      <x:c r="X309" s="373"/>
      <x:c r="Y309" s="373"/>
      <x:c r="Z309" s="373"/>
    </x:row>
    <x:row r="310">
      <x:c r="A310" s="373"/>
      <x:c r="B310" s="373"/>
      <x:c r="C310" s="373"/>
      <x:c r="D310" s="373"/>
      <x:c r="E310" s="373"/>
      <x:c r="F310" s="373"/>
      <x:c r="G310" s="373"/>
      <x:c r="H310" s="373"/>
      <x:c r="I310" s="373"/>
      <x:c r="J310" s="373"/>
      <x:c r="K310" s="373"/>
      <x:c r="L310" s="373"/>
      <x:c r="M310" s="373"/>
      <x:c r="N310" s="373"/>
      <x:c r="O310" s="373"/>
      <x:c r="P310" s="373"/>
      <x:c r="Q310" s="373"/>
      <x:c r="R310" s="373"/>
      <x:c r="S310" s="373"/>
      <x:c r="T310" s="373"/>
      <x:c r="U310" s="373"/>
      <x:c r="V310" s="373"/>
      <x:c r="W310" s="373"/>
      <x:c r="X310" s="373"/>
      <x:c r="Y310" s="373"/>
      <x:c r="Z310" s="373"/>
    </x:row>
    <x:row r="311">
      <x:c r="A311" s="373"/>
      <x:c r="B311" s="373"/>
      <x:c r="C311" s="373"/>
      <x:c r="D311" s="373"/>
      <x:c r="E311" s="373"/>
      <x:c r="F311" s="373"/>
      <x:c r="G311" s="373"/>
      <x:c r="H311" s="373"/>
      <x:c r="I311" s="373"/>
      <x:c r="J311" s="373"/>
      <x:c r="K311" s="373"/>
      <x:c r="L311" s="373"/>
      <x:c r="M311" s="373"/>
      <x:c r="N311" s="373"/>
      <x:c r="O311" s="373"/>
      <x:c r="P311" s="373"/>
      <x:c r="Q311" s="373"/>
      <x:c r="R311" s="373"/>
      <x:c r="S311" s="373"/>
      <x:c r="T311" s="373"/>
      <x:c r="U311" s="373"/>
      <x:c r="V311" s="373"/>
      <x:c r="W311" s="373"/>
      <x:c r="X311" s="373"/>
      <x:c r="Y311" s="373"/>
      <x:c r="Z311" s="373"/>
    </x:row>
    <x:row r="312">
      <x:c r="A312" s="373"/>
      <x:c r="B312" s="373"/>
      <x:c r="C312" s="373"/>
      <x:c r="D312" s="373"/>
      <x:c r="E312" s="373"/>
      <x:c r="F312" s="373"/>
      <x:c r="G312" s="373"/>
      <x:c r="H312" s="373"/>
      <x:c r="I312" s="373"/>
      <x:c r="J312" s="373"/>
      <x:c r="K312" s="373"/>
      <x:c r="L312" s="373"/>
      <x:c r="M312" s="373"/>
      <x:c r="N312" s="373"/>
      <x:c r="O312" s="373"/>
      <x:c r="P312" s="373"/>
      <x:c r="Q312" s="373"/>
      <x:c r="R312" s="373"/>
      <x:c r="S312" s="373"/>
      <x:c r="T312" s="373"/>
      <x:c r="U312" s="373"/>
      <x:c r="V312" s="373"/>
      <x:c r="W312" s="373"/>
      <x:c r="X312" s="373"/>
      <x:c r="Y312" s="373"/>
      <x:c r="Z312" s="373"/>
    </x:row>
    <x:row r="313">
      <x:c r="A313" s="373"/>
      <x:c r="B313" s="373"/>
      <x:c r="C313" s="373"/>
      <x:c r="D313" s="373"/>
      <x:c r="E313" s="373"/>
      <x:c r="F313" s="373"/>
      <x:c r="G313" s="373"/>
      <x:c r="H313" s="373"/>
      <x:c r="I313" s="373"/>
      <x:c r="J313" s="373"/>
      <x:c r="K313" s="373"/>
      <x:c r="L313" s="373"/>
      <x:c r="M313" s="373"/>
      <x:c r="N313" s="373"/>
      <x:c r="O313" s="373"/>
      <x:c r="P313" s="373"/>
      <x:c r="Q313" s="373"/>
      <x:c r="R313" s="373"/>
      <x:c r="S313" s="373"/>
      <x:c r="T313" s="373"/>
      <x:c r="U313" s="373"/>
      <x:c r="V313" s="373"/>
      <x:c r="W313" s="373"/>
      <x:c r="X313" s="373"/>
      <x:c r="Y313" s="373"/>
      <x:c r="Z313" s="373"/>
    </x:row>
    <x:row r="314">
      <x:c r="A314" s="373"/>
      <x:c r="B314" s="373"/>
      <x:c r="C314" s="373"/>
      <x:c r="D314" s="373"/>
      <x:c r="E314" s="373"/>
      <x:c r="F314" s="373"/>
      <x:c r="G314" s="373"/>
      <x:c r="H314" s="373"/>
      <x:c r="I314" s="373"/>
      <x:c r="J314" s="373"/>
      <x:c r="K314" s="373"/>
      <x:c r="L314" s="373"/>
      <x:c r="M314" s="373"/>
      <x:c r="N314" s="373"/>
      <x:c r="O314" s="373"/>
      <x:c r="P314" s="373"/>
      <x:c r="Q314" s="373"/>
      <x:c r="R314" s="373"/>
      <x:c r="S314" s="373"/>
      <x:c r="T314" s="373"/>
      <x:c r="U314" s="373"/>
      <x:c r="V314" s="373"/>
      <x:c r="W314" s="373"/>
      <x:c r="X314" s="373"/>
      <x:c r="Y314" s="373"/>
      <x:c r="Z314" s="373"/>
    </x:row>
    <x:row r="315">
      <x:c r="A315" s="373"/>
      <x:c r="B315" s="373"/>
      <x:c r="C315" s="373"/>
      <x:c r="D315" s="373"/>
      <x:c r="E315" s="373"/>
      <x:c r="F315" s="373"/>
      <x:c r="G315" s="373"/>
      <x:c r="H315" s="373"/>
      <x:c r="I315" s="373"/>
      <x:c r="J315" s="373"/>
      <x:c r="K315" s="373"/>
      <x:c r="L315" s="373"/>
      <x:c r="M315" s="373"/>
      <x:c r="N315" s="373"/>
      <x:c r="O315" s="373"/>
      <x:c r="P315" s="373"/>
      <x:c r="Q315" s="373"/>
      <x:c r="R315" s="373"/>
      <x:c r="S315" s="373"/>
      <x:c r="T315" s="373"/>
      <x:c r="U315" s="373"/>
      <x:c r="V315" s="373"/>
      <x:c r="W315" s="373"/>
      <x:c r="X315" s="373"/>
      <x:c r="Y315" s="373"/>
      <x:c r="Z315" s="373"/>
    </x:row>
    <x:row r="316">
      <x:c r="A316" s="373"/>
      <x:c r="B316" s="373"/>
      <x:c r="C316" s="373"/>
      <x:c r="D316" s="373"/>
      <x:c r="E316" s="373"/>
      <x:c r="F316" s="373"/>
      <x:c r="G316" s="373"/>
      <x:c r="H316" s="373"/>
      <x:c r="I316" s="373"/>
      <x:c r="J316" s="373"/>
      <x:c r="K316" s="373"/>
      <x:c r="L316" s="373"/>
      <x:c r="M316" s="373"/>
      <x:c r="N316" s="373"/>
      <x:c r="O316" s="373"/>
      <x:c r="P316" s="373"/>
      <x:c r="Q316" s="373"/>
      <x:c r="R316" s="373"/>
      <x:c r="S316" s="373"/>
      <x:c r="T316" s="373"/>
      <x:c r="U316" s="373"/>
      <x:c r="V316" s="373"/>
      <x:c r="W316" s="373"/>
      <x:c r="X316" s="373"/>
      <x:c r="Y316" s="373"/>
      <x:c r="Z316" s="373"/>
    </x:row>
    <x:row r="317">
      <x:c r="A317" s="373"/>
      <x:c r="B317" s="373"/>
      <x:c r="C317" s="373"/>
      <x:c r="D317" s="373"/>
      <x:c r="E317" s="373"/>
      <x:c r="F317" s="373"/>
      <x:c r="G317" s="373"/>
      <x:c r="H317" s="373"/>
      <x:c r="I317" s="373"/>
      <x:c r="J317" s="373"/>
      <x:c r="K317" s="373"/>
      <x:c r="L317" s="373"/>
      <x:c r="M317" s="373"/>
      <x:c r="N317" s="373"/>
      <x:c r="O317" s="373"/>
      <x:c r="P317" s="373"/>
      <x:c r="Q317" s="373"/>
      <x:c r="R317" s="373"/>
      <x:c r="S317" s="373"/>
      <x:c r="T317" s="373"/>
      <x:c r="U317" s="373"/>
      <x:c r="V317" s="373"/>
      <x:c r="W317" s="373"/>
      <x:c r="X317" s="373"/>
      <x:c r="Y317" s="373"/>
      <x:c r="Z317" s="373"/>
    </x:row>
    <x:row r="318">
      <x:c r="A318" s="373"/>
      <x:c r="B318" s="373"/>
      <x:c r="C318" s="373"/>
      <x:c r="D318" s="373"/>
      <x:c r="E318" s="373"/>
      <x:c r="F318" s="373"/>
      <x:c r="G318" s="373"/>
      <x:c r="H318" s="373"/>
      <x:c r="I318" s="373"/>
      <x:c r="J318" s="373"/>
      <x:c r="K318" s="373"/>
      <x:c r="L318" s="373"/>
      <x:c r="M318" s="373"/>
      <x:c r="N318" s="373"/>
      <x:c r="O318" s="373"/>
      <x:c r="P318" s="373"/>
      <x:c r="Q318" s="373"/>
      <x:c r="R318" s="373"/>
      <x:c r="S318" s="373"/>
      <x:c r="T318" s="373"/>
      <x:c r="U318" s="373"/>
      <x:c r="V318" s="373"/>
      <x:c r="W318" s="373"/>
      <x:c r="X318" s="373"/>
      <x:c r="Y318" s="373"/>
      <x:c r="Z318" s="373"/>
    </x:row>
    <x:row r="319">
      <x:c r="A319" s="373"/>
      <x:c r="B319" s="373"/>
      <x:c r="C319" s="373"/>
      <x:c r="D319" s="373"/>
      <x:c r="E319" s="373"/>
      <x:c r="F319" s="373"/>
      <x:c r="G319" s="373"/>
      <x:c r="H319" s="373"/>
      <x:c r="I319" s="373"/>
      <x:c r="J319" s="373"/>
      <x:c r="K319" s="373"/>
      <x:c r="L319" s="373"/>
      <x:c r="M319" s="373"/>
      <x:c r="N319" s="373"/>
      <x:c r="O319" s="373"/>
      <x:c r="P319" s="373"/>
      <x:c r="Q319" s="373"/>
      <x:c r="R319" s="373"/>
      <x:c r="S319" s="373"/>
      <x:c r="T319" s="373"/>
      <x:c r="U319" s="373"/>
      <x:c r="V319" s="373"/>
      <x:c r="W319" s="373"/>
      <x:c r="X319" s="373"/>
      <x:c r="Y319" s="373"/>
      <x:c r="Z319" s="373"/>
    </x:row>
    <x:row r="320">
      <x:c r="A320" s="373"/>
      <x:c r="B320" s="373"/>
      <x:c r="C320" s="373"/>
      <x:c r="D320" s="373"/>
      <x:c r="E320" s="373"/>
      <x:c r="F320" s="373"/>
      <x:c r="G320" s="373"/>
      <x:c r="H320" s="373"/>
      <x:c r="I320" s="373"/>
      <x:c r="J320" s="373"/>
      <x:c r="K320" s="373"/>
      <x:c r="L320" s="373"/>
      <x:c r="M320" s="373"/>
      <x:c r="N320" s="373"/>
      <x:c r="O320" s="373"/>
      <x:c r="P320" s="373"/>
      <x:c r="Q320" s="373"/>
      <x:c r="R320" s="373"/>
      <x:c r="S320" s="373"/>
      <x:c r="T320" s="373"/>
      <x:c r="U320" s="373"/>
      <x:c r="V320" s="373"/>
      <x:c r="W320" s="373"/>
      <x:c r="X320" s="373"/>
      <x:c r="Y320" s="373"/>
      <x:c r="Z320" s="373"/>
    </x:row>
    <x:row r="321">
      <x:c r="A321" s="373"/>
      <x:c r="B321" s="373"/>
      <x:c r="C321" s="373"/>
      <x:c r="D321" s="373"/>
      <x:c r="E321" s="373"/>
      <x:c r="F321" s="373"/>
      <x:c r="G321" s="373"/>
      <x:c r="H321" s="373"/>
      <x:c r="I321" s="373"/>
      <x:c r="J321" s="373"/>
      <x:c r="K321" s="373"/>
      <x:c r="L321" s="373"/>
      <x:c r="M321" s="373"/>
      <x:c r="N321" s="373"/>
      <x:c r="O321" s="373"/>
      <x:c r="P321" s="373"/>
      <x:c r="Q321" s="373"/>
      <x:c r="R321" s="373"/>
      <x:c r="S321" s="373"/>
      <x:c r="T321" s="373"/>
      <x:c r="U321" s="373"/>
      <x:c r="V321" s="373"/>
      <x:c r="W321" s="373"/>
      <x:c r="X321" s="373"/>
      <x:c r="Y321" s="373"/>
      <x:c r="Z321" s="373"/>
    </x:row>
    <x:row r="322">
      <x:c r="A322" s="373"/>
      <x:c r="B322" s="373"/>
      <x:c r="C322" s="373"/>
      <x:c r="D322" s="373"/>
      <x:c r="E322" s="373"/>
      <x:c r="F322" s="373"/>
      <x:c r="G322" s="373"/>
      <x:c r="H322" s="373"/>
      <x:c r="I322" s="373"/>
      <x:c r="J322" s="373"/>
      <x:c r="K322" s="373"/>
      <x:c r="L322" s="373"/>
      <x:c r="M322" s="373"/>
      <x:c r="N322" s="373"/>
      <x:c r="O322" s="373"/>
      <x:c r="P322" s="373"/>
      <x:c r="Q322" s="373"/>
      <x:c r="R322" s="373"/>
      <x:c r="S322" s="373"/>
      <x:c r="T322" s="373"/>
      <x:c r="U322" s="373"/>
      <x:c r="V322" s="373"/>
      <x:c r="W322" s="373"/>
      <x:c r="X322" s="373"/>
      <x:c r="Y322" s="373"/>
      <x:c r="Z322" s="373"/>
    </x:row>
    <x:row r="323">
      <x:c r="A323" s="373"/>
      <x:c r="B323" s="373"/>
      <x:c r="C323" s="373"/>
      <x:c r="D323" s="373"/>
      <x:c r="E323" s="373"/>
      <x:c r="F323" s="373"/>
      <x:c r="G323" s="373"/>
      <x:c r="H323" s="373"/>
      <x:c r="I323" s="373"/>
      <x:c r="J323" s="373"/>
      <x:c r="K323" s="373"/>
      <x:c r="L323" s="373"/>
      <x:c r="M323" s="373"/>
      <x:c r="N323" s="373"/>
      <x:c r="O323" s="373"/>
      <x:c r="P323" s="373"/>
      <x:c r="Q323" s="373"/>
      <x:c r="R323" s="373"/>
      <x:c r="S323" s="373"/>
      <x:c r="T323" s="373"/>
      <x:c r="U323" s="373"/>
      <x:c r="V323" s="373"/>
      <x:c r="W323" s="373"/>
      <x:c r="X323" s="373"/>
      <x:c r="Y323" s="373"/>
      <x:c r="Z323" s="373"/>
    </x:row>
    <x:row r="324">
      <x:c r="A324" s="373"/>
      <x:c r="B324" s="373"/>
      <x:c r="C324" s="373"/>
      <x:c r="D324" s="373"/>
      <x:c r="E324" s="373"/>
      <x:c r="F324" s="373"/>
      <x:c r="G324" s="373"/>
      <x:c r="H324" s="373"/>
      <x:c r="I324" s="373"/>
      <x:c r="J324" s="373"/>
      <x:c r="K324" s="373"/>
      <x:c r="L324" s="373"/>
      <x:c r="M324" s="373"/>
      <x:c r="N324" s="373"/>
      <x:c r="O324" s="373"/>
      <x:c r="P324" s="373"/>
      <x:c r="Q324" s="373"/>
      <x:c r="R324" s="373"/>
      <x:c r="S324" s="373"/>
      <x:c r="T324" s="373"/>
      <x:c r="U324" s="373"/>
      <x:c r="V324" s="373"/>
      <x:c r="W324" s="373"/>
      <x:c r="X324" s="373"/>
      <x:c r="Y324" s="373"/>
      <x:c r="Z324" s="373"/>
    </x:row>
    <x:row r="325">
      <x:c r="A325" s="373"/>
      <x:c r="B325" s="373"/>
      <x:c r="C325" s="373"/>
      <x:c r="D325" s="373"/>
      <x:c r="E325" s="373"/>
      <x:c r="F325" s="373"/>
      <x:c r="G325" s="373"/>
      <x:c r="H325" s="373"/>
      <x:c r="I325" s="373"/>
      <x:c r="J325" s="373"/>
      <x:c r="K325" s="373"/>
      <x:c r="L325" s="373"/>
      <x:c r="M325" s="373"/>
      <x:c r="N325" s="373"/>
      <x:c r="O325" s="373"/>
      <x:c r="P325" s="373"/>
      <x:c r="Q325" s="373"/>
      <x:c r="R325" s="373"/>
      <x:c r="S325" s="373"/>
      <x:c r="T325" s="373"/>
      <x:c r="U325" s="373"/>
      <x:c r="V325" s="373"/>
      <x:c r="W325" s="373"/>
      <x:c r="X325" s="373"/>
      <x:c r="Y325" s="373"/>
      <x:c r="Z325" s="373"/>
    </x:row>
    <x:row r="326">
      <x:c r="A326" s="373"/>
      <x:c r="B326" s="373"/>
      <x:c r="C326" s="373"/>
      <x:c r="D326" s="373"/>
      <x:c r="E326" s="373"/>
      <x:c r="F326" s="373"/>
      <x:c r="G326" s="373"/>
      <x:c r="H326" s="373"/>
      <x:c r="I326" s="373"/>
      <x:c r="J326" s="373"/>
      <x:c r="K326" s="373"/>
      <x:c r="L326" s="373"/>
      <x:c r="M326" s="373"/>
      <x:c r="N326" s="373"/>
      <x:c r="O326" s="373"/>
      <x:c r="P326" s="373"/>
      <x:c r="Q326" s="373"/>
      <x:c r="R326" s="373"/>
      <x:c r="S326" s="373"/>
      <x:c r="T326" s="373"/>
      <x:c r="U326" s="373"/>
      <x:c r="V326" s="373"/>
      <x:c r="W326" s="373"/>
      <x:c r="X326" s="373"/>
      <x:c r="Y326" s="373"/>
      <x:c r="Z326" s="373"/>
    </x:row>
    <x:row r="327">
      <x:c r="A327" s="373"/>
      <x:c r="B327" s="373"/>
      <x:c r="C327" s="373"/>
      <x:c r="D327" s="373"/>
      <x:c r="E327" s="373"/>
      <x:c r="F327" s="373"/>
      <x:c r="G327" s="373"/>
      <x:c r="H327" s="373"/>
      <x:c r="I327" s="373"/>
      <x:c r="J327" s="373"/>
      <x:c r="K327" s="373"/>
      <x:c r="L327" s="373"/>
      <x:c r="M327" s="373"/>
      <x:c r="N327" s="373"/>
      <x:c r="O327" s="373"/>
      <x:c r="P327" s="373"/>
      <x:c r="Q327" s="373"/>
      <x:c r="R327" s="373"/>
      <x:c r="S327" s="373"/>
      <x:c r="T327" s="373"/>
      <x:c r="U327" s="373"/>
      <x:c r="V327" s="373"/>
      <x:c r="W327" s="373"/>
      <x:c r="X327" s="373"/>
      <x:c r="Y327" s="373"/>
      <x:c r="Z327" s="373"/>
    </x:row>
    <x:row r="328">
      <x:c r="A328" s="373"/>
      <x:c r="B328" s="373"/>
      <x:c r="C328" s="373"/>
      <x:c r="D328" s="373"/>
      <x:c r="E328" s="373"/>
      <x:c r="F328" s="373"/>
      <x:c r="G328" s="373"/>
      <x:c r="H328" s="373"/>
      <x:c r="I328" s="373"/>
      <x:c r="J328" s="373"/>
      <x:c r="K328" s="373"/>
      <x:c r="L328" s="373"/>
      <x:c r="M328" s="373"/>
      <x:c r="N328" s="373"/>
      <x:c r="O328" s="373"/>
      <x:c r="P328" s="373"/>
      <x:c r="Q328" s="373"/>
      <x:c r="R328" s="373"/>
      <x:c r="S328" s="373"/>
      <x:c r="T328" s="373"/>
      <x:c r="U328" s="373"/>
      <x:c r="V328" s="373"/>
      <x:c r="W328" s="373"/>
      <x:c r="X328" s="373"/>
      <x:c r="Y328" s="373"/>
      <x:c r="Z328" s="373"/>
    </x:row>
    <x:row r="329">
      <x:c r="A329" s="373"/>
      <x:c r="B329" s="373"/>
      <x:c r="C329" s="373"/>
      <x:c r="D329" s="373"/>
      <x:c r="E329" s="373"/>
      <x:c r="F329" s="373"/>
      <x:c r="G329" s="373"/>
      <x:c r="H329" s="373"/>
      <x:c r="I329" s="373"/>
      <x:c r="J329" s="373"/>
      <x:c r="K329" s="373"/>
      <x:c r="L329" s="373"/>
      <x:c r="M329" s="373"/>
      <x:c r="N329" s="373"/>
      <x:c r="O329" s="373"/>
      <x:c r="P329" s="373"/>
      <x:c r="Q329" s="373"/>
      <x:c r="R329" s="373"/>
      <x:c r="S329" s="373"/>
      <x:c r="T329" s="373"/>
      <x:c r="U329" s="373"/>
      <x:c r="V329" s="373"/>
      <x:c r="W329" s="373"/>
      <x:c r="X329" s="373"/>
      <x:c r="Y329" s="373"/>
      <x:c r="Z329" s="373"/>
    </x:row>
    <x:row r="330">
      <x:c r="A330" s="373"/>
      <x:c r="B330" s="373"/>
      <x:c r="C330" s="373"/>
      <x:c r="D330" s="373"/>
      <x:c r="E330" s="373"/>
      <x:c r="F330" s="373"/>
      <x:c r="G330" s="373"/>
      <x:c r="H330" s="373"/>
      <x:c r="I330" s="373"/>
      <x:c r="J330" s="373"/>
      <x:c r="K330" s="373"/>
      <x:c r="L330" s="373"/>
      <x:c r="M330" s="373"/>
      <x:c r="N330" s="373"/>
      <x:c r="O330" s="373"/>
      <x:c r="P330" s="373"/>
      <x:c r="Q330" s="373"/>
      <x:c r="R330" s="373"/>
      <x:c r="S330" s="373"/>
      <x:c r="T330" s="373"/>
      <x:c r="U330" s="373"/>
      <x:c r="V330" s="373"/>
      <x:c r="W330" s="373"/>
      <x:c r="X330" s="373"/>
      <x:c r="Y330" s="373"/>
      <x:c r="Z330" s="373"/>
    </x:row>
    <x:row r="331">
      <x:c r="A331" s="373"/>
      <x:c r="B331" s="373"/>
      <x:c r="C331" s="373"/>
      <x:c r="D331" s="373"/>
      <x:c r="E331" s="373"/>
      <x:c r="F331" s="373"/>
      <x:c r="G331" s="373"/>
      <x:c r="H331" s="373"/>
      <x:c r="I331" s="373"/>
      <x:c r="J331" s="373"/>
      <x:c r="K331" s="373"/>
      <x:c r="L331" s="373"/>
      <x:c r="M331" s="373"/>
      <x:c r="N331" s="373"/>
      <x:c r="O331" s="373"/>
      <x:c r="P331" s="373"/>
      <x:c r="Q331" s="373"/>
      <x:c r="R331" s="373"/>
      <x:c r="S331" s="373"/>
      <x:c r="T331" s="373"/>
      <x:c r="U331" s="373"/>
      <x:c r="V331" s="373"/>
      <x:c r="W331" s="373"/>
      <x:c r="X331" s="373"/>
      <x:c r="Y331" s="373"/>
      <x:c r="Z331" s="373"/>
    </x:row>
    <x:row r="332">
      <x:c r="A332" s="373"/>
      <x:c r="B332" s="373"/>
      <x:c r="C332" s="373"/>
      <x:c r="D332" s="373"/>
      <x:c r="E332" s="373"/>
      <x:c r="F332" s="373"/>
      <x:c r="G332" s="373"/>
      <x:c r="H332" s="373"/>
      <x:c r="I332" s="373"/>
      <x:c r="J332" s="373"/>
      <x:c r="K332" s="373"/>
      <x:c r="L332" s="373"/>
      <x:c r="M332" s="373"/>
      <x:c r="N332" s="373"/>
      <x:c r="O332" s="373"/>
      <x:c r="P332" s="373"/>
      <x:c r="Q332" s="373"/>
      <x:c r="R332" s="373"/>
      <x:c r="S332" s="373"/>
      <x:c r="T332" s="373"/>
      <x:c r="U332" s="373"/>
      <x:c r="V332" s="373"/>
      <x:c r="W332" s="373"/>
      <x:c r="X332" s="373"/>
      <x:c r="Y332" s="373"/>
      <x:c r="Z332" s="373"/>
    </x:row>
    <x:row r="333">
      <x:c r="A333" s="373"/>
      <x:c r="B333" s="373"/>
      <x:c r="C333" s="373"/>
      <x:c r="D333" s="373"/>
      <x:c r="E333" s="373"/>
      <x:c r="F333" s="373"/>
      <x:c r="G333" s="373"/>
      <x:c r="H333" s="373"/>
      <x:c r="I333" s="373"/>
      <x:c r="J333" s="373"/>
      <x:c r="K333" s="373"/>
      <x:c r="L333" s="373"/>
      <x:c r="M333" s="373"/>
      <x:c r="N333" s="373"/>
      <x:c r="O333" s="373"/>
      <x:c r="P333" s="373"/>
      <x:c r="Q333" s="373"/>
      <x:c r="R333" s="373"/>
      <x:c r="S333" s="373"/>
      <x:c r="T333" s="373"/>
      <x:c r="U333" s="373"/>
      <x:c r="V333" s="373"/>
      <x:c r="W333" s="373"/>
      <x:c r="X333" s="373"/>
      <x:c r="Y333" s="373"/>
      <x:c r="Z333" s="373"/>
    </x:row>
    <x:row r="334">
      <x:c r="A334" s="373"/>
      <x:c r="B334" s="373"/>
      <x:c r="C334" s="373"/>
      <x:c r="D334" s="373"/>
      <x:c r="E334" s="373"/>
      <x:c r="F334" s="373"/>
      <x:c r="G334" s="373"/>
      <x:c r="H334" s="373"/>
      <x:c r="I334" s="373"/>
      <x:c r="J334" s="373"/>
      <x:c r="K334" s="373"/>
      <x:c r="L334" s="373"/>
      <x:c r="M334" s="373"/>
      <x:c r="N334" s="373"/>
      <x:c r="O334" s="373"/>
      <x:c r="P334" s="373"/>
      <x:c r="Q334" s="373"/>
      <x:c r="R334" s="373"/>
      <x:c r="S334" s="373"/>
      <x:c r="T334" s="373"/>
      <x:c r="U334" s="373"/>
      <x:c r="V334" s="373"/>
      <x:c r="W334" s="373"/>
      <x:c r="X334" s="373"/>
      <x:c r="Y334" s="373"/>
      <x:c r="Z334" s="373"/>
    </x:row>
    <x:row r="335">
      <x:c r="A335" s="373"/>
      <x:c r="B335" s="373"/>
      <x:c r="C335" s="373"/>
      <x:c r="D335" s="373"/>
      <x:c r="E335" s="373"/>
      <x:c r="F335" s="373"/>
      <x:c r="G335" s="373"/>
      <x:c r="H335" s="373"/>
      <x:c r="I335" s="373"/>
      <x:c r="J335" s="373"/>
      <x:c r="K335" s="373"/>
      <x:c r="L335" s="373"/>
      <x:c r="M335" s="373"/>
      <x:c r="N335" s="373"/>
      <x:c r="O335" s="373"/>
      <x:c r="P335" s="373"/>
      <x:c r="Q335" s="373"/>
      <x:c r="R335" s="373"/>
      <x:c r="S335" s="373"/>
      <x:c r="T335" s="373"/>
      <x:c r="U335" s="373"/>
      <x:c r="V335" s="373"/>
      <x:c r="W335" s="373"/>
      <x:c r="X335" s="373"/>
      <x:c r="Y335" s="373"/>
      <x:c r="Z335" s="373"/>
    </x:row>
    <x:row r="336">
      <x:c r="A336" s="373"/>
      <x:c r="B336" s="373"/>
      <x:c r="C336" s="373"/>
      <x:c r="D336" s="373"/>
      <x:c r="E336" s="373"/>
      <x:c r="F336" s="373"/>
      <x:c r="G336" s="373"/>
      <x:c r="H336" s="373"/>
      <x:c r="I336" s="373"/>
      <x:c r="J336" s="373"/>
      <x:c r="K336" s="373"/>
      <x:c r="L336" s="373"/>
      <x:c r="M336" s="373"/>
      <x:c r="N336" s="373"/>
      <x:c r="O336" s="373"/>
      <x:c r="P336" s="373"/>
      <x:c r="Q336" s="373"/>
      <x:c r="R336" s="373"/>
      <x:c r="S336" s="373"/>
      <x:c r="T336" s="373"/>
      <x:c r="U336" s="373"/>
      <x:c r="V336" s="373"/>
      <x:c r="W336" s="373"/>
      <x:c r="X336" s="373"/>
      <x:c r="Y336" s="373"/>
      <x:c r="Z336" s="373"/>
    </x:row>
    <x:row r="337">
      <x:c r="A337" s="373"/>
      <x:c r="B337" s="373"/>
      <x:c r="C337" s="373"/>
      <x:c r="D337" s="373"/>
      <x:c r="E337" s="373"/>
      <x:c r="F337" s="373"/>
      <x:c r="G337" s="373"/>
      <x:c r="H337" s="373"/>
      <x:c r="I337" s="373"/>
      <x:c r="J337" s="373"/>
      <x:c r="K337" s="373"/>
      <x:c r="L337" s="373"/>
      <x:c r="M337" s="373"/>
      <x:c r="N337" s="373"/>
      <x:c r="O337" s="373"/>
      <x:c r="P337" s="373"/>
      <x:c r="Q337" s="373"/>
      <x:c r="R337" s="373"/>
      <x:c r="S337" s="373"/>
      <x:c r="T337" s="373"/>
      <x:c r="U337" s="373"/>
      <x:c r="V337" s="373"/>
      <x:c r="W337" s="373"/>
      <x:c r="X337" s="373"/>
      <x:c r="Y337" s="373"/>
      <x:c r="Z337" s="373"/>
    </x:row>
    <x:row r="338">
      <x:c r="A338" s="373"/>
      <x:c r="B338" s="373"/>
      <x:c r="C338" s="373"/>
      <x:c r="D338" s="373"/>
      <x:c r="E338" s="373"/>
      <x:c r="F338" s="373"/>
      <x:c r="G338" s="373"/>
      <x:c r="H338" s="373"/>
      <x:c r="I338" s="373"/>
      <x:c r="J338" s="373"/>
      <x:c r="K338" s="373"/>
      <x:c r="L338" s="373"/>
      <x:c r="M338" s="373"/>
      <x:c r="N338" s="373"/>
      <x:c r="O338" s="373"/>
      <x:c r="P338" s="373"/>
      <x:c r="Q338" s="373"/>
      <x:c r="R338" s="373"/>
      <x:c r="S338" s="373"/>
      <x:c r="T338" s="373"/>
      <x:c r="U338" s="373"/>
      <x:c r="V338" s="373"/>
      <x:c r="W338" s="373"/>
      <x:c r="X338" s="373"/>
      <x:c r="Y338" s="373"/>
      <x:c r="Z338" s="373"/>
    </x:row>
    <x:row r="339">
      <x:c r="A339" s="373"/>
      <x:c r="B339" s="373"/>
      <x:c r="C339" s="373"/>
      <x:c r="D339" s="373"/>
      <x:c r="E339" s="373"/>
      <x:c r="F339" s="373"/>
      <x:c r="G339" s="373"/>
      <x:c r="H339" s="373"/>
      <x:c r="I339" s="373"/>
      <x:c r="J339" s="373"/>
      <x:c r="K339" s="373"/>
      <x:c r="L339" s="373"/>
      <x:c r="M339" s="373"/>
      <x:c r="N339" s="373"/>
      <x:c r="O339" s="373"/>
      <x:c r="P339" s="373"/>
      <x:c r="Q339" s="373"/>
      <x:c r="R339" s="373"/>
      <x:c r="S339" s="373"/>
      <x:c r="T339" s="373"/>
      <x:c r="U339" s="373"/>
      <x:c r="V339" s="373"/>
      <x:c r="W339" s="373"/>
      <x:c r="X339" s="373"/>
      <x:c r="Y339" s="373"/>
      <x:c r="Z339" s="373"/>
    </x:row>
    <x:row r="340">
      <x:c r="A340" s="373"/>
      <x:c r="B340" s="373"/>
      <x:c r="C340" s="373"/>
      <x:c r="D340" s="373"/>
      <x:c r="E340" s="373"/>
      <x:c r="F340" s="373"/>
      <x:c r="G340" s="373"/>
      <x:c r="H340" s="373"/>
      <x:c r="I340" s="373"/>
      <x:c r="J340" s="373"/>
      <x:c r="K340" s="373"/>
      <x:c r="L340" s="373"/>
      <x:c r="M340" s="373"/>
      <x:c r="N340" s="373"/>
      <x:c r="O340" s="373"/>
      <x:c r="P340" s="373"/>
      <x:c r="Q340" s="373"/>
      <x:c r="R340" s="373"/>
      <x:c r="S340" s="373"/>
      <x:c r="T340" s="373"/>
      <x:c r="U340" s="373"/>
      <x:c r="V340" s="373"/>
      <x:c r="W340" s="373"/>
      <x:c r="X340" s="373"/>
      <x:c r="Y340" s="373"/>
      <x:c r="Z340" s="373"/>
    </x:row>
    <x:row r="341">
      <x:c r="A341" s="373"/>
      <x:c r="B341" s="373"/>
      <x:c r="C341" s="373"/>
      <x:c r="D341" s="373"/>
      <x:c r="E341" s="373"/>
      <x:c r="F341" s="373"/>
      <x:c r="G341" s="373"/>
      <x:c r="H341" s="373"/>
      <x:c r="I341" s="373"/>
      <x:c r="J341" s="373"/>
      <x:c r="K341" s="373"/>
      <x:c r="L341" s="373"/>
      <x:c r="M341" s="373"/>
      <x:c r="N341" s="373"/>
      <x:c r="O341" s="373"/>
      <x:c r="P341" s="373"/>
      <x:c r="Q341" s="373"/>
      <x:c r="R341" s="373"/>
      <x:c r="S341" s="373"/>
      <x:c r="T341" s="373"/>
      <x:c r="U341" s="373"/>
      <x:c r="V341" s="373"/>
      <x:c r="W341" s="373"/>
      <x:c r="X341" s="373"/>
      <x:c r="Y341" s="373"/>
      <x:c r="Z341" s="373"/>
    </x:row>
    <x:row r="342">
      <x:c r="A342" s="373"/>
      <x:c r="B342" s="373"/>
      <x:c r="C342" s="373"/>
      <x:c r="D342" s="373"/>
      <x:c r="E342" s="373"/>
      <x:c r="F342" s="373"/>
      <x:c r="G342" s="373"/>
      <x:c r="H342" s="373"/>
      <x:c r="I342" s="373"/>
      <x:c r="J342" s="373"/>
      <x:c r="K342" s="373"/>
      <x:c r="L342" s="373"/>
      <x:c r="M342" s="373"/>
      <x:c r="N342" s="373"/>
      <x:c r="O342" s="373"/>
      <x:c r="P342" s="373"/>
      <x:c r="Q342" s="373"/>
      <x:c r="R342" s="373"/>
      <x:c r="S342" s="373"/>
      <x:c r="T342" s="373"/>
      <x:c r="U342" s="373"/>
      <x:c r="V342" s="373"/>
      <x:c r="W342" s="373"/>
      <x:c r="X342" s="373"/>
      <x:c r="Y342" s="373"/>
      <x:c r="Z342" s="373"/>
    </x:row>
    <x:row r="343">
      <x:c r="A343" s="373"/>
      <x:c r="B343" s="373"/>
      <x:c r="C343" s="373"/>
      <x:c r="D343" s="373"/>
      <x:c r="E343" s="373"/>
      <x:c r="F343" s="373"/>
      <x:c r="G343" s="373"/>
      <x:c r="H343" s="373"/>
      <x:c r="I343" s="373"/>
      <x:c r="J343" s="373"/>
      <x:c r="K343" s="373"/>
      <x:c r="L343" s="373"/>
      <x:c r="M343" s="373"/>
      <x:c r="N343" s="373"/>
      <x:c r="O343" s="373"/>
      <x:c r="P343" s="373"/>
      <x:c r="Q343" s="373"/>
      <x:c r="R343" s="373"/>
      <x:c r="S343" s="373"/>
      <x:c r="T343" s="373"/>
      <x:c r="U343" s="373"/>
      <x:c r="V343" s="373"/>
      <x:c r="W343" s="373"/>
      <x:c r="X343" s="373"/>
      <x:c r="Y343" s="373"/>
      <x:c r="Z343" s="373"/>
    </x:row>
    <x:row r="344">
      <x:c r="A344" s="373"/>
      <x:c r="B344" s="373"/>
      <x:c r="C344" s="373"/>
      <x:c r="D344" s="373"/>
      <x:c r="E344" s="373"/>
      <x:c r="F344" s="373"/>
      <x:c r="G344" s="373"/>
      <x:c r="H344" s="373"/>
      <x:c r="I344" s="373"/>
      <x:c r="J344" s="373"/>
      <x:c r="K344" s="373"/>
      <x:c r="L344" s="373"/>
      <x:c r="M344" s="373"/>
      <x:c r="N344" s="373"/>
      <x:c r="O344" s="373"/>
      <x:c r="P344" s="373"/>
      <x:c r="Q344" s="373"/>
      <x:c r="R344" s="373"/>
      <x:c r="S344" s="373"/>
      <x:c r="T344" s="373"/>
      <x:c r="U344" s="373"/>
      <x:c r="V344" s="373"/>
      <x:c r="W344" s="373"/>
      <x:c r="X344" s="373"/>
      <x:c r="Y344" s="373"/>
      <x:c r="Z344" s="373"/>
    </x:row>
    <x:row r="345">
      <x:c r="A345" s="373"/>
      <x:c r="B345" s="373"/>
      <x:c r="C345" s="373"/>
      <x:c r="D345" s="373"/>
      <x:c r="E345" s="373"/>
      <x:c r="F345" s="373"/>
      <x:c r="G345" s="373"/>
      <x:c r="H345" s="373"/>
      <x:c r="I345" s="373"/>
      <x:c r="J345" s="373"/>
      <x:c r="K345" s="373"/>
      <x:c r="L345" s="373"/>
      <x:c r="M345" s="373"/>
      <x:c r="N345" s="373"/>
      <x:c r="O345" s="373"/>
      <x:c r="P345" s="373"/>
      <x:c r="Q345" s="373"/>
      <x:c r="R345" s="373"/>
      <x:c r="S345" s="373"/>
      <x:c r="T345" s="373"/>
      <x:c r="U345" s="373"/>
      <x:c r="V345" s="373"/>
      <x:c r="W345" s="373"/>
      <x:c r="X345" s="373"/>
      <x:c r="Y345" s="373"/>
      <x:c r="Z345" s="373"/>
    </x:row>
    <x:row r="346">
      <x:c r="A346" s="373"/>
      <x:c r="B346" s="373"/>
      <x:c r="C346" s="373"/>
      <x:c r="D346" s="373"/>
      <x:c r="E346" s="373"/>
      <x:c r="F346" s="373"/>
      <x:c r="G346" s="373"/>
      <x:c r="H346" s="373"/>
      <x:c r="I346" s="373"/>
      <x:c r="J346" s="373"/>
      <x:c r="K346" s="373"/>
      <x:c r="L346" s="373"/>
      <x:c r="M346" s="373"/>
      <x:c r="N346" s="373"/>
      <x:c r="O346" s="373"/>
      <x:c r="P346" s="373"/>
      <x:c r="Q346" s="373"/>
      <x:c r="R346" s="373"/>
      <x:c r="S346" s="373"/>
      <x:c r="T346" s="373"/>
      <x:c r="U346" s="373"/>
      <x:c r="V346" s="373"/>
      <x:c r="W346" s="373"/>
      <x:c r="X346" s="373"/>
      <x:c r="Y346" s="373"/>
      <x:c r="Z346" s="373"/>
    </x:row>
    <x:row r="347">
      <x:c r="A347" s="373"/>
      <x:c r="B347" s="373"/>
      <x:c r="C347" s="373"/>
      <x:c r="D347" s="373"/>
      <x:c r="E347" s="373"/>
      <x:c r="F347" s="373"/>
      <x:c r="G347" s="373"/>
      <x:c r="H347" s="373"/>
      <x:c r="I347" s="373"/>
      <x:c r="J347" s="373"/>
      <x:c r="K347" s="373"/>
      <x:c r="L347" s="373"/>
      <x:c r="M347" s="373"/>
      <x:c r="N347" s="373"/>
      <x:c r="O347" s="373"/>
      <x:c r="P347" s="373"/>
      <x:c r="Q347" s="373"/>
      <x:c r="R347" s="373"/>
      <x:c r="S347" s="373"/>
      <x:c r="T347" s="373"/>
      <x:c r="U347" s="373"/>
      <x:c r="V347" s="373"/>
      <x:c r="W347" s="373"/>
      <x:c r="X347" s="373"/>
      <x:c r="Y347" s="373"/>
      <x:c r="Z347" s="373"/>
    </x:row>
    <x:row r="348">
      <x:c r="A348" s="373"/>
      <x:c r="B348" s="373"/>
      <x:c r="C348" s="373"/>
      <x:c r="D348" s="373"/>
      <x:c r="E348" s="373"/>
      <x:c r="F348" s="373"/>
      <x:c r="G348" s="373"/>
      <x:c r="H348" s="373"/>
      <x:c r="I348" s="373"/>
      <x:c r="J348" s="373"/>
      <x:c r="K348" s="373"/>
      <x:c r="L348" s="373"/>
      <x:c r="M348" s="373"/>
      <x:c r="N348" s="373"/>
      <x:c r="O348" s="373"/>
      <x:c r="P348" s="373"/>
      <x:c r="Q348" s="373"/>
      <x:c r="R348" s="373"/>
      <x:c r="S348" s="373"/>
      <x:c r="T348" s="373"/>
      <x:c r="U348" s="373"/>
      <x:c r="V348" s="373"/>
      <x:c r="W348" s="373"/>
      <x:c r="X348" s="373"/>
      <x:c r="Y348" s="373"/>
      <x:c r="Z348" s="373"/>
    </x:row>
    <x:row r="349">
      <x:c r="A349" s="373"/>
      <x:c r="B349" s="373"/>
      <x:c r="C349" s="373"/>
      <x:c r="D349" s="373"/>
      <x:c r="E349" s="373"/>
      <x:c r="F349" s="373"/>
      <x:c r="G349" s="373"/>
      <x:c r="H349" s="373"/>
      <x:c r="I349" s="373"/>
      <x:c r="J349" s="373"/>
      <x:c r="K349" s="373"/>
      <x:c r="L349" s="373"/>
      <x:c r="M349" s="373"/>
      <x:c r="N349" s="373"/>
      <x:c r="O349" s="373"/>
      <x:c r="P349" s="373"/>
      <x:c r="Q349" s="373"/>
      <x:c r="R349" s="373"/>
      <x:c r="S349" s="373"/>
      <x:c r="T349" s="373"/>
      <x:c r="U349" s="373"/>
      <x:c r="V349" s="373"/>
      <x:c r="W349" s="373"/>
      <x:c r="X349" s="373"/>
      <x:c r="Y349" s="373"/>
      <x:c r="Z349" s="373"/>
    </x:row>
    <x:row r="350">
      <x:c r="A350" s="373"/>
      <x:c r="B350" s="373"/>
      <x:c r="C350" s="373"/>
      <x:c r="D350" s="373"/>
      <x:c r="E350" s="373"/>
      <x:c r="F350" s="373"/>
      <x:c r="G350" s="373"/>
      <x:c r="H350" s="373"/>
      <x:c r="I350" s="373"/>
      <x:c r="J350" s="373"/>
      <x:c r="K350" s="373"/>
      <x:c r="L350" s="373"/>
      <x:c r="M350" s="373"/>
      <x:c r="N350" s="373"/>
      <x:c r="O350" s="373"/>
      <x:c r="P350" s="373"/>
      <x:c r="Q350" s="373"/>
      <x:c r="R350" s="373"/>
      <x:c r="S350" s="373"/>
      <x:c r="T350" s="373"/>
      <x:c r="U350" s="373"/>
      <x:c r="V350" s="373"/>
      <x:c r="W350" s="373"/>
      <x:c r="X350" s="373"/>
      <x:c r="Y350" s="373"/>
      <x:c r="Z350" s="373"/>
    </x:row>
    <x:row r="351">
      <x:c r="A351" s="373"/>
      <x:c r="B351" s="373"/>
      <x:c r="C351" s="373"/>
      <x:c r="D351" s="373"/>
      <x:c r="E351" s="373"/>
      <x:c r="F351" s="373"/>
      <x:c r="G351" s="373"/>
      <x:c r="H351" s="373"/>
      <x:c r="I351" s="373"/>
      <x:c r="J351" s="373"/>
      <x:c r="K351" s="373"/>
      <x:c r="L351" s="373"/>
      <x:c r="M351" s="373"/>
      <x:c r="N351" s="373"/>
      <x:c r="O351" s="373"/>
      <x:c r="P351" s="373"/>
      <x:c r="Q351" s="373"/>
      <x:c r="R351" s="373"/>
      <x:c r="S351" s="373"/>
      <x:c r="T351" s="373"/>
      <x:c r="U351" s="373"/>
      <x:c r="V351" s="373"/>
      <x:c r="W351" s="373"/>
      <x:c r="X351" s="373"/>
      <x:c r="Y351" s="373"/>
      <x:c r="Z351" s="373"/>
    </x:row>
    <x:row r="352">
      <x:c r="A352" s="373"/>
      <x:c r="B352" s="373"/>
      <x:c r="C352" s="373"/>
      <x:c r="D352" s="373"/>
      <x:c r="E352" s="373"/>
      <x:c r="F352" s="373"/>
      <x:c r="G352" s="373"/>
      <x:c r="H352" s="373"/>
      <x:c r="I352" s="373"/>
      <x:c r="J352" s="373"/>
      <x:c r="K352" s="373"/>
      <x:c r="L352" s="373"/>
      <x:c r="M352" s="373"/>
      <x:c r="N352" s="373"/>
      <x:c r="O352" s="373"/>
      <x:c r="P352" s="373"/>
      <x:c r="Q352" s="373"/>
      <x:c r="R352" s="373"/>
      <x:c r="S352" s="373"/>
      <x:c r="T352" s="373"/>
      <x:c r="U352" s="373"/>
      <x:c r="V352" s="373"/>
      <x:c r="W352" s="373"/>
      <x:c r="X352" s="373"/>
      <x:c r="Y352" s="373"/>
      <x:c r="Z352" s="373"/>
    </x:row>
    <x:row r="353">
      <x:c r="A353" s="373"/>
      <x:c r="B353" s="373"/>
      <x:c r="C353" s="373"/>
      <x:c r="D353" s="373"/>
      <x:c r="E353" s="373"/>
      <x:c r="F353" s="373"/>
      <x:c r="G353" s="373"/>
      <x:c r="H353" s="373"/>
      <x:c r="I353" s="373"/>
      <x:c r="J353" s="373"/>
      <x:c r="K353" s="373"/>
      <x:c r="L353" s="373"/>
      <x:c r="M353" s="373"/>
      <x:c r="N353" s="373"/>
      <x:c r="O353" s="373"/>
      <x:c r="P353" s="373"/>
      <x:c r="Q353" s="373"/>
      <x:c r="R353" s="373"/>
      <x:c r="S353" s="373"/>
      <x:c r="T353" s="373"/>
      <x:c r="U353" s="373"/>
      <x:c r="V353" s="373"/>
      <x:c r="W353" s="373"/>
      <x:c r="X353" s="373"/>
      <x:c r="Y353" s="373"/>
      <x:c r="Z353" s="373"/>
    </x:row>
    <x:row r="354">
      <x:c r="A354" s="373"/>
      <x:c r="B354" s="373"/>
      <x:c r="C354" s="373"/>
      <x:c r="D354" s="373"/>
      <x:c r="E354" s="373"/>
      <x:c r="F354" s="373"/>
      <x:c r="G354" s="373"/>
      <x:c r="H354" s="373"/>
      <x:c r="I354" s="373"/>
      <x:c r="J354" s="373"/>
      <x:c r="K354" s="373"/>
      <x:c r="L354" s="373"/>
      <x:c r="M354" s="373"/>
      <x:c r="N354" s="373"/>
      <x:c r="O354" s="373"/>
      <x:c r="P354" s="373"/>
      <x:c r="Q354" s="373"/>
      <x:c r="R354" s="373"/>
      <x:c r="S354" s="373"/>
      <x:c r="T354" s="373"/>
      <x:c r="U354" s="373"/>
      <x:c r="V354" s="373"/>
      <x:c r="W354" s="373"/>
      <x:c r="X354" s="373"/>
      <x:c r="Y354" s="373"/>
      <x:c r="Z354" s="373"/>
    </x:row>
    <x:row r="355">
      <x:c r="A355" s="373"/>
      <x:c r="B355" s="373"/>
      <x:c r="C355" s="373"/>
      <x:c r="D355" s="373"/>
      <x:c r="E355" s="373"/>
      <x:c r="F355" s="373"/>
      <x:c r="G355" s="373"/>
      <x:c r="H355" s="373"/>
      <x:c r="I355" s="373"/>
      <x:c r="J355" s="373"/>
      <x:c r="K355" s="373"/>
      <x:c r="L355" s="373"/>
      <x:c r="M355" s="373"/>
      <x:c r="N355" s="373"/>
      <x:c r="O355" s="373"/>
      <x:c r="P355" s="373"/>
      <x:c r="Q355" s="373"/>
      <x:c r="R355" s="373"/>
      <x:c r="S355" s="373"/>
      <x:c r="T355" s="373"/>
      <x:c r="U355" s="373"/>
      <x:c r="V355" s="373"/>
      <x:c r="W355" s="373"/>
      <x:c r="X355" s="373"/>
      <x:c r="Y355" s="373"/>
      <x:c r="Z355" s="373"/>
    </x:row>
    <x:row r="356">
      <x:c r="A356" s="373"/>
      <x:c r="B356" s="373"/>
      <x:c r="C356" s="373"/>
      <x:c r="D356" s="373"/>
      <x:c r="E356" s="373"/>
      <x:c r="F356" s="373"/>
      <x:c r="G356" s="373"/>
      <x:c r="H356" s="373"/>
      <x:c r="I356" s="373"/>
      <x:c r="J356" s="373"/>
      <x:c r="K356" s="373"/>
      <x:c r="L356" s="373"/>
      <x:c r="M356" s="373"/>
      <x:c r="N356" s="373"/>
      <x:c r="O356" s="373"/>
      <x:c r="P356" s="373"/>
      <x:c r="Q356" s="373"/>
      <x:c r="R356" s="373"/>
      <x:c r="S356" s="373"/>
      <x:c r="T356" s="373"/>
      <x:c r="U356" s="373"/>
      <x:c r="V356" s="373"/>
      <x:c r="W356" s="373"/>
      <x:c r="X356" s="373"/>
      <x:c r="Y356" s="373"/>
      <x:c r="Z356" s="373"/>
    </x:row>
    <x:row r="357">
      <x:c r="A357" s="373"/>
      <x:c r="B357" s="373"/>
      <x:c r="C357" s="373"/>
      <x:c r="D357" s="373"/>
      <x:c r="E357" s="373"/>
      <x:c r="F357" s="373"/>
      <x:c r="G357" s="373"/>
      <x:c r="H357" s="373"/>
      <x:c r="I357" s="373"/>
      <x:c r="J357" s="373"/>
      <x:c r="K357" s="373"/>
      <x:c r="L357" s="373"/>
      <x:c r="M357" s="373"/>
      <x:c r="N357" s="373"/>
      <x:c r="O357" s="373"/>
      <x:c r="P357" s="373"/>
      <x:c r="Q357" s="373"/>
      <x:c r="R357" s="373"/>
      <x:c r="S357" s="373"/>
      <x:c r="T357" s="373"/>
      <x:c r="U357" s="373"/>
      <x:c r="V357" s="373"/>
      <x:c r="W357" s="373"/>
      <x:c r="X357" s="373"/>
      <x:c r="Y357" s="373"/>
      <x:c r="Z357" s="373"/>
    </x:row>
    <x:row r="358">
      <x:c r="A358" s="373"/>
      <x:c r="B358" s="373"/>
      <x:c r="C358" s="373"/>
      <x:c r="D358" s="373"/>
      <x:c r="E358" s="373"/>
      <x:c r="F358" s="373"/>
      <x:c r="G358" s="373"/>
      <x:c r="H358" s="373"/>
      <x:c r="I358" s="373"/>
      <x:c r="J358" s="373"/>
      <x:c r="K358" s="373"/>
      <x:c r="L358" s="373"/>
      <x:c r="M358" s="373"/>
      <x:c r="N358" s="373"/>
      <x:c r="O358" s="373"/>
      <x:c r="P358" s="373"/>
      <x:c r="Q358" s="373"/>
      <x:c r="R358" s="373"/>
      <x:c r="S358" s="373"/>
      <x:c r="T358" s="373"/>
      <x:c r="U358" s="373"/>
      <x:c r="V358" s="373"/>
      <x:c r="W358" s="373"/>
      <x:c r="X358" s="373"/>
      <x:c r="Y358" s="373"/>
      <x:c r="Z358" s="373"/>
    </x:row>
    <x:row r="359">
      <x:c r="A359" s="373"/>
      <x:c r="B359" s="373"/>
      <x:c r="C359" s="373"/>
      <x:c r="D359" s="373"/>
      <x:c r="E359" s="373"/>
      <x:c r="F359" s="373"/>
      <x:c r="G359" s="373"/>
      <x:c r="H359" s="373"/>
      <x:c r="I359" s="373"/>
      <x:c r="J359" s="373"/>
      <x:c r="K359" s="373"/>
      <x:c r="L359" s="373"/>
      <x:c r="M359" s="373"/>
      <x:c r="N359" s="373"/>
      <x:c r="O359" s="373"/>
      <x:c r="P359" s="373"/>
      <x:c r="Q359" s="373"/>
      <x:c r="R359" s="373"/>
      <x:c r="S359" s="373"/>
      <x:c r="T359" s="373"/>
      <x:c r="U359" s="373"/>
      <x:c r="V359" s="373"/>
      <x:c r="W359" s="373"/>
      <x:c r="X359" s="373"/>
      <x:c r="Y359" s="373"/>
      <x:c r="Z359" s="373"/>
    </x:row>
    <x:row r="360">
      <x:c r="A360" s="373"/>
      <x:c r="B360" s="373"/>
      <x:c r="C360" s="373"/>
      <x:c r="D360" s="373"/>
      <x:c r="E360" s="373"/>
      <x:c r="F360" s="373"/>
      <x:c r="G360" s="373"/>
      <x:c r="H360" s="373"/>
      <x:c r="I360" s="373"/>
      <x:c r="J360" s="373"/>
      <x:c r="K360" s="373"/>
      <x:c r="L360" s="373"/>
      <x:c r="M360" s="373"/>
      <x:c r="N360" s="373"/>
      <x:c r="O360" s="373"/>
      <x:c r="P360" s="373"/>
      <x:c r="Q360" s="373"/>
      <x:c r="R360" s="373"/>
      <x:c r="S360" s="373"/>
      <x:c r="T360" s="373"/>
      <x:c r="U360" s="373"/>
      <x:c r="V360" s="373"/>
      <x:c r="W360" s="373"/>
      <x:c r="X360" s="373"/>
      <x:c r="Y360" s="373"/>
      <x:c r="Z360" s="373"/>
    </x:row>
    <x:row r="361">
      <x:c r="A361" s="373"/>
      <x:c r="B361" s="373"/>
      <x:c r="C361" s="373"/>
      <x:c r="D361" s="373"/>
      <x:c r="E361" s="373"/>
      <x:c r="F361" s="373"/>
      <x:c r="G361" s="373"/>
      <x:c r="H361" s="373"/>
      <x:c r="I361" s="373"/>
      <x:c r="J361" s="373"/>
      <x:c r="K361" s="373"/>
      <x:c r="L361" s="373"/>
      <x:c r="M361" s="373"/>
      <x:c r="N361" s="373"/>
      <x:c r="O361" s="373"/>
      <x:c r="P361" s="373"/>
      <x:c r="Q361" s="373"/>
      <x:c r="R361" s="373"/>
      <x:c r="S361" s="373"/>
      <x:c r="T361" s="373"/>
      <x:c r="U361" s="373"/>
      <x:c r="V361" s="373"/>
      <x:c r="W361" s="373"/>
      <x:c r="X361" s="373"/>
      <x:c r="Y361" s="373"/>
      <x:c r="Z361" s="373"/>
    </x:row>
    <x:row r="362">
      <x:c r="A362" s="373"/>
      <x:c r="B362" s="373"/>
      <x:c r="C362" s="373"/>
      <x:c r="D362" s="373"/>
      <x:c r="E362" s="373"/>
      <x:c r="F362" s="373"/>
      <x:c r="G362" s="373"/>
      <x:c r="H362" s="373"/>
      <x:c r="I362" s="373"/>
      <x:c r="J362" s="373"/>
      <x:c r="K362" s="373"/>
      <x:c r="L362" s="373"/>
      <x:c r="M362" s="373"/>
      <x:c r="N362" s="373"/>
      <x:c r="O362" s="373"/>
      <x:c r="P362" s="373"/>
      <x:c r="Q362" s="373"/>
      <x:c r="R362" s="373"/>
      <x:c r="S362" s="373"/>
      <x:c r="T362" s="373"/>
      <x:c r="U362" s="373"/>
      <x:c r="V362" s="373"/>
      <x:c r="W362" s="373"/>
      <x:c r="X362" s="373"/>
      <x:c r="Y362" s="373"/>
      <x:c r="Z362" s="373"/>
    </x:row>
    <x:row r="363">
      <x:c r="A363" s="373"/>
      <x:c r="B363" s="373"/>
      <x:c r="C363" s="373"/>
      <x:c r="D363" s="373"/>
      <x:c r="E363" s="373"/>
      <x:c r="F363" s="373"/>
      <x:c r="G363" s="373"/>
      <x:c r="H363" s="373"/>
      <x:c r="I363" s="373"/>
      <x:c r="J363" s="373"/>
      <x:c r="K363" s="373"/>
      <x:c r="L363" s="373"/>
      <x:c r="M363" s="373"/>
      <x:c r="N363" s="373"/>
      <x:c r="O363" s="373"/>
      <x:c r="P363" s="373"/>
      <x:c r="Q363" s="373"/>
      <x:c r="R363" s="373"/>
      <x:c r="S363" s="373"/>
      <x:c r="T363" s="373"/>
      <x:c r="U363" s="373"/>
      <x:c r="V363" s="373"/>
      <x:c r="W363" s="373"/>
      <x:c r="X363" s="373"/>
      <x:c r="Y363" s="373"/>
      <x:c r="Z363" s="373"/>
    </x:row>
    <x:row r="364">
      <x:c r="A364" s="373"/>
      <x:c r="B364" s="373"/>
      <x:c r="C364" s="373"/>
      <x:c r="D364" s="373"/>
      <x:c r="E364" s="373"/>
      <x:c r="F364" s="373"/>
      <x:c r="G364" s="373"/>
      <x:c r="H364" s="373"/>
      <x:c r="I364" s="373"/>
      <x:c r="J364" s="373"/>
      <x:c r="K364" s="373"/>
      <x:c r="L364" s="373"/>
      <x:c r="M364" s="373"/>
      <x:c r="N364" s="373"/>
      <x:c r="O364" s="373"/>
      <x:c r="P364" s="373"/>
      <x:c r="Q364" s="373"/>
      <x:c r="R364" s="373"/>
      <x:c r="S364" s="373"/>
      <x:c r="T364" s="373"/>
      <x:c r="U364" s="373"/>
      <x:c r="V364" s="373"/>
      <x:c r="W364" s="373"/>
      <x:c r="X364" s="373"/>
      <x:c r="Y364" s="373"/>
      <x:c r="Z364" s="373"/>
    </x:row>
    <x:row r="365">
      <x:c r="A365" s="373"/>
      <x:c r="B365" s="373"/>
      <x:c r="C365" s="373"/>
      <x:c r="D365" s="373"/>
      <x:c r="E365" s="373"/>
      <x:c r="F365" s="373"/>
      <x:c r="G365" s="373"/>
      <x:c r="H365" s="373"/>
      <x:c r="I365" s="373"/>
      <x:c r="J365" s="373"/>
      <x:c r="K365" s="373"/>
      <x:c r="L365" s="373"/>
      <x:c r="M365" s="373"/>
      <x:c r="N365" s="373"/>
      <x:c r="O365" s="373"/>
      <x:c r="P365" s="373"/>
      <x:c r="Q365" s="373"/>
      <x:c r="R365" s="373"/>
      <x:c r="S365" s="373"/>
      <x:c r="T365" s="373"/>
      <x:c r="U365" s="373"/>
      <x:c r="V365" s="373"/>
      <x:c r="W365" s="373"/>
      <x:c r="X365" s="373"/>
      <x:c r="Y365" s="373"/>
      <x:c r="Z365" s="373"/>
    </x:row>
    <x:row r="366">
      <x:c r="A366" s="373"/>
      <x:c r="B366" s="373"/>
      <x:c r="C366" s="373"/>
      <x:c r="D366" s="373"/>
      <x:c r="E366" s="373"/>
      <x:c r="F366" s="373"/>
      <x:c r="G366" s="373"/>
      <x:c r="H366" s="373"/>
      <x:c r="I366" s="373"/>
      <x:c r="J366" s="373"/>
      <x:c r="K366" s="373"/>
      <x:c r="L366" s="373"/>
      <x:c r="M366" s="373"/>
      <x:c r="N366" s="373"/>
      <x:c r="O366" s="373"/>
      <x:c r="P366" s="373"/>
      <x:c r="Q366" s="373"/>
      <x:c r="R366" s="373"/>
      <x:c r="S366" s="373"/>
      <x:c r="T366" s="373"/>
      <x:c r="U366" s="373"/>
      <x:c r="V366" s="373"/>
      <x:c r="W366" s="373"/>
      <x:c r="X366" s="373"/>
      <x:c r="Y366" s="373"/>
      <x:c r="Z366" s="373"/>
    </x:row>
    <x:row r="367">
      <x:c r="A367" s="373"/>
      <x:c r="B367" s="373"/>
      <x:c r="C367" s="373"/>
      <x:c r="D367" s="373"/>
      <x:c r="E367" s="373"/>
      <x:c r="F367" s="373"/>
      <x:c r="G367" s="373"/>
      <x:c r="H367" s="373"/>
      <x:c r="I367" s="373"/>
      <x:c r="J367" s="373"/>
      <x:c r="K367" s="373"/>
      <x:c r="L367" s="373"/>
      <x:c r="M367" s="373"/>
      <x:c r="N367" s="373"/>
      <x:c r="O367" s="373"/>
      <x:c r="P367" s="373"/>
      <x:c r="Q367" s="373"/>
      <x:c r="R367" s="373"/>
      <x:c r="S367" s="373"/>
      <x:c r="T367" s="373"/>
      <x:c r="U367" s="373"/>
      <x:c r="V367" s="373"/>
      <x:c r="W367" s="373"/>
      <x:c r="X367" s="373"/>
      <x:c r="Y367" s="373"/>
      <x:c r="Z367" s="373"/>
    </x:row>
    <x:row r="368">
      <x:c r="A368" s="373"/>
      <x:c r="B368" s="373"/>
      <x:c r="C368" s="373"/>
      <x:c r="D368" s="373"/>
      <x:c r="E368" s="373"/>
      <x:c r="F368" s="373"/>
      <x:c r="G368" s="373"/>
      <x:c r="H368" s="373"/>
      <x:c r="I368" s="373"/>
      <x:c r="J368" s="373"/>
      <x:c r="K368" s="373"/>
      <x:c r="L368" s="373"/>
      <x:c r="M368" s="373"/>
      <x:c r="N368" s="373"/>
      <x:c r="O368" s="373"/>
      <x:c r="P368" s="373"/>
      <x:c r="Q368" s="373"/>
      <x:c r="R368" s="373"/>
      <x:c r="S368" s="373"/>
      <x:c r="T368" s="373"/>
      <x:c r="U368" s="373"/>
      <x:c r="V368" s="373"/>
      <x:c r="W368" s="373"/>
      <x:c r="X368" s="373"/>
      <x:c r="Y368" s="373"/>
      <x:c r="Z368" s="373"/>
    </x:row>
    <x:row r="369">
      <x:c r="A369" s="373"/>
      <x:c r="B369" s="373"/>
      <x:c r="C369" s="373"/>
      <x:c r="D369" s="373"/>
      <x:c r="E369" s="373"/>
      <x:c r="F369" s="373"/>
      <x:c r="G369" s="373"/>
      <x:c r="H369" s="373"/>
      <x:c r="I369" s="373"/>
      <x:c r="J369" s="373"/>
      <x:c r="K369" s="373"/>
      <x:c r="L369" s="373"/>
      <x:c r="M369" s="373"/>
      <x:c r="N369" s="373"/>
      <x:c r="O369" s="373"/>
      <x:c r="P369" s="373"/>
      <x:c r="Q369" s="373"/>
      <x:c r="R369" s="373"/>
      <x:c r="S369" s="373"/>
      <x:c r="T369" s="373"/>
      <x:c r="U369" s="373"/>
      <x:c r="V369" s="373"/>
      <x:c r="W369" s="373"/>
      <x:c r="X369" s="373"/>
      <x:c r="Y369" s="373"/>
      <x:c r="Z369" s="373"/>
    </x:row>
    <x:row r="370">
      <x:c r="A370" s="373"/>
      <x:c r="B370" s="373"/>
      <x:c r="C370" s="373"/>
      <x:c r="D370" s="373"/>
      <x:c r="E370" s="373"/>
      <x:c r="F370" s="373"/>
      <x:c r="G370" s="373"/>
      <x:c r="H370" s="373"/>
      <x:c r="I370" s="373"/>
      <x:c r="J370" s="373"/>
      <x:c r="K370" s="373"/>
      <x:c r="L370" s="373"/>
      <x:c r="M370" s="373"/>
      <x:c r="N370" s="373"/>
      <x:c r="O370" s="373"/>
      <x:c r="P370" s="373"/>
      <x:c r="Q370" s="373"/>
      <x:c r="R370" s="373"/>
      <x:c r="S370" s="373"/>
      <x:c r="T370" s="373"/>
      <x:c r="U370" s="373"/>
      <x:c r="V370" s="373"/>
      <x:c r="W370" s="373"/>
      <x:c r="X370" s="373"/>
      <x:c r="Y370" s="373"/>
      <x:c r="Z370" s="373"/>
    </x:row>
    <x:row r="371">
      <x:c r="A371" s="373"/>
      <x:c r="B371" s="373"/>
      <x:c r="C371" s="373"/>
      <x:c r="D371" s="373"/>
      <x:c r="E371" s="373"/>
      <x:c r="F371" s="373"/>
      <x:c r="G371" s="373"/>
      <x:c r="H371" s="373"/>
      <x:c r="I371" s="373"/>
      <x:c r="J371" s="373"/>
      <x:c r="K371" s="373"/>
      <x:c r="L371" s="373"/>
      <x:c r="M371" s="373"/>
      <x:c r="N371" s="373"/>
      <x:c r="O371" s="373"/>
      <x:c r="P371" s="373"/>
      <x:c r="Q371" s="373"/>
      <x:c r="R371" s="373"/>
      <x:c r="S371" s="373"/>
      <x:c r="T371" s="373"/>
      <x:c r="U371" s="373"/>
      <x:c r="V371" s="373"/>
      <x:c r="W371" s="373"/>
      <x:c r="X371" s="373"/>
      <x:c r="Y371" s="373"/>
      <x:c r="Z371" s="373"/>
    </x:row>
    <x:row r="372">
      <x:c r="A372" s="373"/>
      <x:c r="B372" s="373"/>
      <x:c r="C372" s="373"/>
      <x:c r="D372" s="373"/>
      <x:c r="E372" s="373"/>
      <x:c r="F372" s="373"/>
      <x:c r="G372" s="373"/>
      <x:c r="H372" s="373"/>
      <x:c r="I372" s="373"/>
      <x:c r="J372" s="373"/>
      <x:c r="K372" s="373"/>
      <x:c r="L372" s="373"/>
      <x:c r="M372" s="373"/>
      <x:c r="N372" s="373"/>
      <x:c r="O372" s="373"/>
      <x:c r="P372" s="373"/>
      <x:c r="Q372" s="373"/>
      <x:c r="R372" s="373"/>
      <x:c r="S372" s="373"/>
      <x:c r="T372" s="373"/>
      <x:c r="U372" s="373"/>
      <x:c r="V372" s="373"/>
      <x:c r="W372" s="373"/>
      <x:c r="X372" s="373"/>
      <x:c r="Y372" s="373"/>
      <x:c r="Z372" s="373"/>
    </x:row>
    <x:row r="373">
      <x:c r="A373" s="373"/>
      <x:c r="B373" s="373"/>
      <x:c r="C373" s="373"/>
      <x:c r="D373" s="373"/>
      <x:c r="E373" s="373"/>
      <x:c r="F373" s="373"/>
      <x:c r="G373" s="373"/>
      <x:c r="H373" s="373"/>
      <x:c r="I373" s="373"/>
      <x:c r="J373" s="373"/>
      <x:c r="K373" s="373"/>
      <x:c r="L373" s="373"/>
      <x:c r="M373" s="373"/>
      <x:c r="N373" s="373"/>
      <x:c r="O373" s="373"/>
      <x:c r="P373" s="373"/>
      <x:c r="Q373" s="373"/>
      <x:c r="R373" s="373"/>
      <x:c r="S373" s="373"/>
      <x:c r="T373" s="373"/>
      <x:c r="U373" s="373"/>
      <x:c r="V373" s="373"/>
      <x:c r="W373" s="373"/>
      <x:c r="X373" s="373"/>
      <x:c r="Y373" s="373"/>
      <x:c r="Z373" s="373"/>
    </x:row>
    <x:row r="374">
      <x:c r="A374" s="373"/>
      <x:c r="B374" s="373"/>
      <x:c r="C374" s="373"/>
      <x:c r="D374" s="373"/>
      <x:c r="E374" s="373"/>
      <x:c r="F374" s="373"/>
      <x:c r="G374" s="373"/>
      <x:c r="H374" s="373"/>
      <x:c r="I374" s="373"/>
      <x:c r="J374" s="373"/>
      <x:c r="K374" s="373"/>
      <x:c r="L374" s="373"/>
      <x:c r="M374" s="373"/>
      <x:c r="N374" s="373"/>
      <x:c r="O374" s="373"/>
      <x:c r="P374" s="373"/>
      <x:c r="Q374" s="373"/>
      <x:c r="R374" s="373"/>
      <x:c r="S374" s="373"/>
      <x:c r="T374" s="373"/>
      <x:c r="U374" s="373"/>
      <x:c r="V374" s="373"/>
      <x:c r="W374" s="373"/>
      <x:c r="X374" s="373"/>
      <x:c r="Y374" s="373"/>
      <x:c r="Z374" s="373"/>
    </x:row>
    <x:row r="375">
      <x:c r="A375" s="373"/>
      <x:c r="B375" s="373"/>
      <x:c r="C375" s="373"/>
      <x:c r="D375" s="373"/>
      <x:c r="E375" s="373"/>
      <x:c r="F375" s="373"/>
      <x:c r="G375" s="373"/>
      <x:c r="H375" s="373"/>
      <x:c r="I375" s="373"/>
      <x:c r="J375" s="373"/>
      <x:c r="K375" s="373"/>
      <x:c r="L375" s="373"/>
      <x:c r="M375" s="373"/>
      <x:c r="N375" s="373"/>
      <x:c r="O375" s="373"/>
      <x:c r="P375" s="373"/>
      <x:c r="Q375" s="373"/>
      <x:c r="R375" s="373"/>
      <x:c r="S375" s="373"/>
      <x:c r="T375" s="373"/>
      <x:c r="U375" s="373"/>
      <x:c r="V375" s="373"/>
      <x:c r="W375" s="373"/>
      <x:c r="X375" s="373"/>
      <x:c r="Y375" s="373"/>
      <x:c r="Z375" s="373"/>
    </x:row>
    <x:row r="376">
      <x:c r="A376" s="373"/>
      <x:c r="B376" s="373"/>
      <x:c r="C376" s="373"/>
      <x:c r="D376" s="373"/>
      <x:c r="E376" s="373"/>
      <x:c r="F376" s="373"/>
      <x:c r="G376" s="373"/>
      <x:c r="H376" s="373"/>
      <x:c r="I376" s="373"/>
      <x:c r="J376" s="373"/>
      <x:c r="K376" s="373"/>
      <x:c r="L376" s="373"/>
      <x:c r="M376" s="373"/>
      <x:c r="N376" s="373"/>
      <x:c r="O376" s="373"/>
      <x:c r="P376" s="373"/>
      <x:c r="Q376" s="373"/>
      <x:c r="R376" s="373"/>
      <x:c r="S376" s="373"/>
      <x:c r="T376" s="373"/>
      <x:c r="U376" s="373"/>
      <x:c r="V376" s="373"/>
      <x:c r="W376" s="373"/>
      <x:c r="X376" s="373"/>
      <x:c r="Y376" s="373"/>
      <x:c r="Z376" s="373"/>
    </x:row>
    <x:row r="377">
      <x:c r="A377" s="373"/>
      <x:c r="B377" s="373"/>
      <x:c r="C377" s="373"/>
      <x:c r="D377" s="373"/>
      <x:c r="E377" s="373"/>
      <x:c r="F377" s="373"/>
      <x:c r="G377" s="373"/>
      <x:c r="H377" s="373"/>
      <x:c r="I377" s="373"/>
      <x:c r="J377" s="373"/>
      <x:c r="K377" s="373"/>
      <x:c r="L377" s="373"/>
      <x:c r="M377" s="373"/>
      <x:c r="N377" s="373"/>
      <x:c r="O377" s="373"/>
      <x:c r="P377" s="373"/>
      <x:c r="Q377" s="373"/>
      <x:c r="R377" s="373"/>
      <x:c r="S377" s="373"/>
      <x:c r="T377" s="373"/>
      <x:c r="U377" s="373"/>
      <x:c r="V377" s="373"/>
      <x:c r="W377" s="373"/>
      <x:c r="X377" s="373"/>
      <x:c r="Y377" s="373"/>
      <x:c r="Z377" s="373"/>
    </x:row>
    <x:row r="378">
      <x:c r="A378" s="373"/>
      <x:c r="B378" s="373"/>
      <x:c r="C378" s="373"/>
      <x:c r="D378" s="373"/>
      <x:c r="E378" s="373"/>
      <x:c r="F378" s="373"/>
      <x:c r="G378" s="373"/>
      <x:c r="H378" s="373"/>
      <x:c r="I378" s="373"/>
      <x:c r="J378" s="373"/>
      <x:c r="K378" s="373"/>
      <x:c r="L378" s="373"/>
      <x:c r="M378" s="373"/>
      <x:c r="N378" s="373"/>
      <x:c r="O378" s="373"/>
      <x:c r="P378" s="373"/>
      <x:c r="Q378" s="373"/>
      <x:c r="R378" s="373"/>
      <x:c r="S378" s="373"/>
      <x:c r="T378" s="373"/>
      <x:c r="U378" s="373"/>
      <x:c r="V378" s="373"/>
      <x:c r="W378" s="373"/>
      <x:c r="X378" s="373"/>
      <x:c r="Y378" s="373"/>
      <x:c r="Z378" s="373"/>
    </x:row>
    <x:row r="379">
      <x:c r="A379" s="373"/>
      <x:c r="B379" s="373"/>
      <x:c r="C379" s="373"/>
      <x:c r="D379" s="373"/>
      <x:c r="E379" s="373"/>
      <x:c r="F379" s="373"/>
      <x:c r="G379" s="373"/>
      <x:c r="H379" s="373"/>
      <x:c r="I379" s="373"/>
      <x:c r="J379" s="373"/>
      <x:c r="K379" s="373"/>
      <x:c r="L379" s="373"/>
      <x:c r="M379" s="373"/>
      <x:c r="N379" s="373"/>
      <x:c r="O379" s="373"/>
      <x:c r="P379" s="373"/>
      <x:c r="Q379" s="373"/>
      <x:c r="R379" s="373"/>
      <x:c r="S379" s="373"/>
      <x:c r="T379" s="373"/>
      <x:c r="U379" s="373"/>
      <x:c r="V379" s="373"/>
      <x:c r="W379" s="373"/>
      <x:c r="X379" s="373"/>
      <x:c r="Y379" s="373"/>
      <x:c r="Z379" s="373"/>
    </x:row>
    <x:row r="380">
      <x:c r="A380" s="373"/>
      <x:c r="B380" s="373"/>
      <x:c r="C380" s="373"/>
      <x:c r="D380" s="373"/>
      <x:c r="E380" s="373"/>
      <x:c r="F380" s="373"/>
      <x:c r="G380" s="373"/>
      <x:c r="H380" s="373"/>
      <x:c r="I380" s="373"/>
      <x:c r="J380" s="373"/>
      <x:c r="K380" s="373"/>
      <x:c r="L380" s="373"/>
      <x:c r="M380" s="373"/>
      <x:c r="N380" s="373"/>
      <x:c r="O380" s="373"/>
      <x:c r="P380" s="373"/>
      <x:c r="Q380" s="373"/>
      <x:c r="R380" s="373"/>
      <x:c r="S380" s="373"/>
      <x:c r="T380" s="373"/>
      <x:c r="U380" s="373"/>
      <x:c r="V380" s="373"/>
      <x:c r="W380" s="373"/>
      <x:c r="X380" s="373"/>
      <x:c r="Y380" s="373"/>
      <x:c r="Z380" s="373"/>
    </x:row>
    <x:row r="381">
      <x:c r="A381" s="373"/>
      <x:c r="B381" s="373"/>
      <x:c r="C381" s="373"/>
      <x:c r="D381" s="373"/>
      <x:c r="E381" s="373"/>
      <x:c r="F381" s="373"/>
      <x:c r="G381" s="373"/>
      <x:c r="H381" s="373"/>
      <x:c r="I381" s="373"/>
      <x:c r="J381" s="373"/>
      <x:c r="K381" s="373"/>
      <x:c r="L381" s="373"/>
      <x:c r="M381" s="373"/>
      <x:c r="N381" s="373"/>
      <x:c r="O381" s="373"/>
      <x:c r="P381" s="373"/>
      <x:c r="Q381" s="373"/>
      <x:c r="R381" s="373"/>
      <x:c r="S381" s="373"/>
      <x:c r="T381" s="373"/>
      <x:c r="U381" s="373"/>
      <x:c r="V381" s="373"/>
      <x:c r="W381" s="373"/>
      <x:c r="X381" s="373"/>
      <x:c r="Y381" s="373"/>
      <x:c r="Z381" s="373"/>
    </x:row>
    <x:row r="382">
      <x:c r="A382" s="373"/>
      <x:c r="B382" s="373"/>
      <x:c r="C382" s="373"/>
      <x:c r="D382" s="373"/>
      <x:c r="E382" s="373"/>
      <x:c r="F382" s="373"/>
      <x:c r="G382" s="373"/>
      <x:c r="H382" s="373"/>
      <x:c r="I382" s="373"/>
      <x:c r="J382" s="373"/>
      <x:c r="K382" s="373"/>
      <x:c r="L382" s="373"/>
      <x:c r="M382" s="373"/>
      <x:c r="N382" s="373"/>
      <x:c r="O382" s="373"/>
      <x:c r="P382" s="373"/>
      <x:c r="Q382" s="373"/>
      <x:c r="R382" s="373"/>
      <x:c r="S382" s="373"/>
      <x:c r="T382" s="373"/>
      <x:c r="U382" s="373"/>
      <x:c r="V382" s="373"/>
      <x:c r="W382" s="373"/>
      <x:c r="X382" s="373"/>
      <x:c r="Y382" s="373"/>
      <x:c r="Z382" s="373"/>
    </x:row>
    <x:row r="383">
      <x:c r="A383" s="373"/>
      <x:c r="B383" s="373"/>
      <x:c r="C383" s="373"/>
      <x:c r="D383" s="373"/>
      <x:c r="E383" s="373"/>
      <x:c r="F383" s="373"/>
      <x:c r="G383" s="373"/>
      <x:c r="H383" s="373"/>
      <x:c r="I383" s="373"/>
      <x:c r="J383" s="373"/>
      <x:c r="K383" s="373"/>
      <x:c r="L383" s="373"/>
      <x:c r="M383" s="373"/>
      <x:c r="N383" s="373"/>
      <x:c r="O383" s="373"/>
      <x:c r="P383" s="373"/>
      <x:c r="Q383" s="373"/>
      <x:c r="R383" s="373"/>
      <x:c r="S383" s="373"/>
      <x:c r="T383" s="373"/>
      <x:c r="U383" s="373"/>
      <x:c r="V383" s="373"/>
      <x:c r="W383" s="373"/>
      <x:c r="X383" s="373"/>
      <x:c r="Y383" s="373"/>
      <x:c r="Z383" s="373"/>
    </x:row>
    <x:row r="384">
      <x:c r="A384" s="373"/>
      <x:c r="B384" s="373"/>
      <x:c r="C384" s="373"/>
      <x:c r="D384" s="373"/>
      <x:c r="E384" s="373"/>
      <x:c r="F384" s="373"/>
      <x:c r="G384" s="373"/>
      <x:c r="H384" s="373"/>
      <x:c r="I384" s="373"/>
      <x:c r="J384" s="373"/>
      <x:c r="K384" s="373"/>
      <x:c r="L384" s="373"/>
      <x:c r="M384" s="373"/>
      <x:c r="N384" s="373"/>
      <x:c r="O384" s="373"/>
      <x:c r="P384" s="373"/>
      <x:c r="Q384" s="373"/>
      <x:c r="R384" s="373"/>
      <x:c r="S384" s="373"/>
      <x:c r="T384" s="373"/>
      <x:c r="U384" s="373"/>
      <x:c r="V384" s="373"/>
      <x:c r="W384" s="373"/>
      <x:c r="X384" s="373"/>
      <x:c r="Y384" s="373"/>
      <x:c r="Z384" s="373"/>
    </x:row>
    <x:row r="385">
      <x:c r="A385" s="373"/>
      <x:c r="B385" s="373"/>
      <x:c r="C385" s="373"/>
      <x:c r="D385" s="373"/>
      <x:c r="E385" s="373"/>
      <x:c r="F385" s="373"/>
      <x:c r="G385" s="373"/>
      <x:c r="H385" s="373"/>
      <x:c r="I385" s="373"/>
      <x:c r="J385" s="373"/>
      <x:c r="K385" s="373"/>
      <x:c r="L385" s="373"/>
      <x:c r="M385" s="373"/>
      <x:c r="N385" s="373"/>
      <x:c r="O385" s="373"/>
      <x:c r="P385" s="373"/>
      <x:c r="Q385" s="373"/>
      <x:c r="R385" s="373"/>
      <x:c r="S385" s="373"/>
      <x:c r="T385" s="373"/>
      <x:c r="U385" s="373"/>
      <x:c r="V385" s="373"/>
      <x:c r="W385" s="373"/>
      <x:c r="X385" s="373"/>
      <x:c r="Y385" s="373"/>
      <x:c r="Z385" s="373"/>
    </x:row>
    <x:row r="386">
      <x:c r="A386" s="373"/>
      <x:c r="B386" s="373"/>
      <x:c r="C386" s="373"/>
      <x:c r="D386" s="373"/>
      <x:c r="E386" s="373"/>
      <x:c r="F386" s="373"/>
      <x:c r="G386" s="373"/>
      <x:c r="H386" s="373"/>
      <x:c r="I386" s="373"/>
      <x:c r="J386" s="373"/>
      <x:c r="K386" s="373"/>
      <x:c r="L386" s="373"/>
      <x:c r="M386" s="373"/>
      <x:c r="N386" s="373"/>
      <x:c r="O386" s="373"/>
      <x:c r="P386" s="373"/>
      <x:c r="Q386" s="373"/>
      <x:c r="R386" s="373"/>
      <x:c r="S386" s="373"/>
      <x:c r="T386" s="373"/>
      <x:c r="U386" s="373"/>
      <x:c r="V386" s="373"/>
      <x:c r="W386" s="373"/>
      <x:c r="X386" s="373"/>
      <x:c r="Y386" s="373"/>
      <x:c r="Z386" s="373"/>
    </x:row>
    <x:row r="387">
      <x:c r="A387" s="373"/>
      <x:c r="B387" s="373"/>
      <x:c r="C387" s="373"/>
      <x:c r="D387" s="373"/>
      <x:c r="E387" s="373"/>
      <x:c r="F387" s="373"/>
      <x:c r="G387" s="373"/>
      <x:c r="H387" s="373"/>
      <x:c r="I387" s="373"/>
      <x:c r="J387" s="373"/>
      <x:c r="K387" s="373"/>
      <x:c r="L387" s="373"/>
      <x:c r="M387" s="373"/>
      <x:c r="N387" s="373"/>
      <x:c r="O387" s="373"/>
      <x:c r="P387" s="373"/>
      <x:c r="Q387" s="373"/>
      <x:c r="R387" s="373"/>
      <x:c r="S387" s="373"/>
      <x:c r="T387" s="373"/>
      <x:c r="U387" s="373"/>
      <x:c r="V387" s="373"/>
      <x:c r="W387" s="373"/>
      <x:c r="X387" s="373"/>
      <x:c r="Y387" s="373"/>
      <x:c r="Z387" s="373"/>
    </x:row>
    <x:row r="388">
      <x:c r="A388" s="373"/>
      <x:c r="B388" s="373"/>
      <x:c r="C388" s="373"/>
      <x:c r="D388" s="373"/>
      <x:c r="E388" s="373"/>
      <x:c r="F388" s="373"/>
      <x:c r="G388" s="373"/>
      <x:c r="H388" s="373"/>
      <x:c r="I388" s="373"/>
      <x:c r="J388" s="373"/>
      <x:c r="K388" s="373"/>
      <x:c r="L388" s="373"/>
      <x:c r="M388" s="373"/>
      <x:c r="N388" s="373"/>
      <x:c r="O388" s="373"/>
      <x:c r="P388" s="373"/>
      <x:c r="Q388" s="373"/>
      <x:c r="R388" s="373"/>
      <x:c r="S388" s="373"/>
      <x:c r="T388" s="373"/>
      <x:c r="U388" s="373"/>
      <x:c r="V388" s="373"/>
      <x:c r="W388" s="373"/>
      <x:c r="X388" s="373"/>
      <x:c r="Y388" s="373"/>
      <x:c r="Z388" s="373"/>
    </x:row>
    <x:row r="389">
      <x:c r="A389" s="373"/>
      <x:c r="B389" s="373"/>
      <x:c r="C389" s="373"/>
      <x:c r="D389" s="373"/>
      <x:c r="E389" s="373"/>
      <x:c r="F389" s="373"/>
      <x:c r="G389" s="373"/>
      <x:c r="H389" s="373"/>
      <x:c r="I389" s="373"/>
      <x:c r="J389" s="373"/>
      <x:c r="K389" s="373"/>
      <x:c r="L389" s="373"/>
      <x:c r="M389" s="373"/>
      <x:c r="N389" s="373"/>
      <x:c r="O389" s="373"/>
      <x:c r="P389" s="373"/>
      <x:c r="Q389" s="373"/>
      <x:c r="R389" s="373"/>
      <x:c r="S389" s="373"/>
      <x:c r="T389" s="373"/>
      <x:c r="U389" s="373"/>
      <x:c r="V389" s="373"/>
      <x:c r="W389" s="373"/>
      <x:c r="X389" s="373"/>
      <x:c r="Y389" s="373"/>
      <x:c r="Z389" s="373"/>
    </x:row>
    <x:row r="390">
      <x:c r="A390" s="373"/>
      <x:c r="B390" s="373"/>
      <x:c r="C390" s="373"/>
      <x:c r="D390" s="373"/>
      <x:c r="E390" s="373"/>
      <x:c r="F390" s="373"/>
      <x:c r="G390" s="373"/>
      <x:c r="H390" s="373"/>
      <x:c r="I390" s="373"/>
      <x:c r="J390" s="373"/>
      <x:c r="K390" s="373"/>
      <x:c r="L390" s="373"/>
      <x:c r="M390" s="373"/>
      <x:c r="N390" s="373"/>
      <x:c r="O390" s="373"/>
      <x:c r="P390" s="373"/>
      <x:c r="Q390" s="373"/>
      <x:c r="R390" s="373"/>
      <x:c r="S390" s="373"/>
      <x:c r="T390" s="373"/>
      <x:c r="U390" s="373"/>
      <x:c r="V390" s="373"/>
      <x:c r="W390" s="373"/>
      <x:c r="X390" s="373"/>
      <x:c r="Y390" s="373"/>
      <x:c r="Z390" s="373"/>
    </x:row>
    <x:row r="391">
      <x:c r="A391" s="373"/>
      <x:c r="B391" s="373"/>
      <x:c r="C391" s="373"/>
      <x:c r="D391" s="373"/>
      <x:c r="E391" s="373"/>
      <x:c r="F391" s="373"/>
      <x:c r="G391" s="373"/>
      <x:c r="H391" s="373"/>
      <x:c r="I391" s="373"/>
      <x:c r="J391" s="373"/>
      <x:c r="K391" s="373"/>
      <x:c r="L391" s="373"/>
      <x:c r="M391" s="373"/>
      <x:c r="N391" s="373"/>
      <x:c r="O391" s="373"/>
      <x:c r="P391" s="373"/>
      <x:c r="Q391" s="373"/>
      <x:c r="R391" s="373"/>
      <x:c r="S391" s="373"/>
      <x:c r="T391" s="373"/>
      <x:c r="U391" s="373"/>
      <x:c r="V391" s="373"/>
      <x:c r="W391" s="373"/>
      <x:c r="X391" s="373"/>
      <x:c r="Y391" s="373"/>
      <x:c r="Z391" s="373"/>
    </x:row>
    <x:row r="392">
      <x:c r="A392" s="373"/>
      <x:c r="B392" s="373"/>
      <x:c r="C392" s="373"/>
      <x:c r="D392" s="373"/>
      <x:c r="E392" s="373"/>
      <x:c r="F392" s="373"/>
      <x:c r="G392" s="373"/>
      <x:c r="H392" s="373"/>
      <x:c r="I392" s="373"/>
      <x:c r="J392" s="373"/>
      <x:c r="K392" s="373"/>
      <x:c r="L392" s="373"/>
      <x:c r="M392" s="373"/>
      <x:c r="N392" s="373"/>
      <x:c r="O392" s="373"/>
      <x:c r="P392" s="373"/>
      <x:c r="Q392" s="373"/>
      <x:c r="R392" s="373"/>
      <x:c r="S392" s="373"/>
      <x:c r="T392" s="373"/>
      <x:c r="U392" s="373"/>
      <x:c r="V392" s="373"/>
      <x:c r="W392" s="373"/>
      <x:c r="X392" s="373"/>
      <x:c r="Y392" s="373"/>
      <x:c r="Z392" s="373"/>
    </x:row>
    <x:row r="393">
      <x:c r="A393" s="373"/>
      <x:c r="B393" s="373"/>
      <x:c r="C393" s="373"/>
      <x:c r="D393" s="373"/>
      <x:c r="E393" s="373"/>
      <x:c r="F393" s="373"/>
      <x:c r="G393" s="373"/>
      <x:c r="H393" s="373"/>
      <x:c r="I393" s="373"/>
      <x:c r="J393" s="373"/>
      <x:c r="K393" s="373"/>
      <x:c r="L393" s="373"/>
      <x:c r="M393" s="373"/>
      <x:c r="N393" s="373"/>
      <x:c r="O393" s="373"/>
      <x:c r="P393" s="373"/>
      <x:c r="Q393" s="373"/>
      <x:c r="R393" s="373"/>
      <x:c r="S393" s="373"/>
      <x:c r="T393" s="373"/>
      <x:c r="U393" s="373"/>
      <x:c r="V393" s="373"/>
      <x:c r="W393" s="373"/>
      <x:c r="X393" s="373"/>
      <x:c r="Y393" s="373"/>
      <x:c r="Z393" s="373"/>
    </x:row>
    <x:row r="394">
      <x:c r="A394" s="373"/>
      <x:c r="B394" s="373"/>
      <x:c r="C394" s="373"/>
      <x:c r="D394" s="373"/>
      <x:c r="E394" s="373"/>
      <x:c r="F394" s="373"/>
      <x:c r="G394" s="373"/>
      <x:c r="H394" s="373"/>
      <x:c r="I394" s="373"/>
      <x:c r="J394" s="373"/>
      <x:c r="K394" s="373"/>
      <x:c r="L394" s="373"/>
      <x:c r="M394" s="373"/>
      <x:c r="N394" s="373"/>
      <x:c r="O394" s="373"/>
      <x:c r="P394" s="373"/>
      <x:c r="Q394" s="373"/>
      <x:c r="R394" s="373"/>
      <x:c r="S394" s="373"/>
      <x:c r="T394" s="373"/>
      <x:c r="U394" s="373"/>
      <x:c r="V394" s="373"/>
      <x:c r="W394" s="373"/>
      <x:c r="X394" s="373"/>
      <x:c r="Y394" s="373"/>
      <x:c r="Z394" s="373"/>
    </x:row>
    <x:row r="395">
      <x:c r="A395" s="373"/>
      <x:c r="B395" s="373"/>
      <x:c r="C395" s="373"/>
      <x:c r="D395" s="373"/>
      <x:c r="E395" s="373"/>
      <x:c r="F395" s="373"/>
      <x:c r="G395" s="373"/>
      <x:c r="H395" s="373"/>
      <x:c r="I395" s="373"/>
      <x:c r="J395" s="373"/>
      <x:c r="K395" s="373"/>
      <x:c r="L395" s="373"/>
      <x:c r="M395" s="373"/>
      <x:c r="N395" s="373"/>
      <x:c r="O395" s="373"/>
      <x:c r="P395" s="373"/>
      <x:c r="Q395" s="373"/>
      <x:c r="R395" s="373"/>
      <x:c r="S395" s="373"/>
      <x:c r="T395" s="373"/>
      <x:c r="U395" s="373"/>
      <x:c r="V395" s="373"/>
      <x:c r="W395" s="373"/>
      <x:c r="X395" s="373"/>
      <x:c r="Y395" s="373"/>
      <x:c r="Z395" s="373"/>
    </x:row>
    <x:row r="396">
      <x:c r="A396" s="373"/>
      <x:c r="B396" s="373"/>
      <x:c r="C396" s="373"/>
      <x:c r="D396" s="373"/>
      <x:c r="E396" s="373"/>
      <x:c r="F396" s="373"/>
      <x:c r="G396" s="373"/>
      <x:c r="H396" s="373"/>
      <x:c r="I396" s="373"/>
      <x:c r="J396" s="373"/>
      <x:c r="K396" s="373"/>
      <x:c r="L396" s="373"/>
      <x:c r="M396" s="373"/>
      <x:c r="N396" s="373"/>
      <x:c r="O396" s="373"/>
      <x:c r="P396" s="373"/>
      <x:c r="Q396" s="373"/>
      <x:c r="R396" s="373"/>
      <x:c r="S396" s="373"/>
      <x:c r="T396" s="373"/>
      <x:c r="U396" s="373"/>
      <x:c r="V396" s="373"/>
      <x:c r="W396" s="373"/>
      <x:c r="X396" s="373"/>
      <x:c r="Y396" s="373"/>
      <x:c r="Z396" s="373"/>
    </x:row>
    <x:row r="397">
      <x:c r="A397" s="373"/>
      <x:c r="B397" s="373"/>
      <x:c r="C397" s="373"/>
      <x:c r="D397" s="373"/>
      <x:c r="E397" s="373"/>
      <x:c r="F397" s="373"/>
      <x:c r="G397" s="373"/>
      <x:c r="H397" s="373"/>
      <x:c r="I397" s="373"/>
      <x:c r="J397" s="373"/>
      <x:c r="K397" s="373"/>
      <x:c r="L397" s="373"/>
      <x:c r="M397" s="373"/>
      <x:c r="N397" s="373"/>
      <x:c r="O397" s="373"/>
      <x:c r="P397" s="373"/>
      <x:c r="Q397" s="373"/>
      <x:c r="R397" s="373"/>
      <x:c r="S397" s="373"/>
      <x:c r="T397" s="373"/>
      <x:c r="U397" s="373"/>
      <x:c r="V397" s="373"/>
      <x:c r="W397" s="373"/>
      <x:c r="X397" s="373"/>
      <x:c r="Y397" s="373"/>
      <x:c r="Z397" s="373"/>
    </x:row>
    <x:row r="398">
      <x:c r="A398" s="373"/>
      <x:c r="B398" s="373"/>
      <x:c r="C398" s="373"/>
      <x:c r="D398" s="373"/>
      <x:c r="E398" s="373"/>
      <x:c r="F398" s="373"/>
      <x:c r="G398" s="373"/>
      <x:c r="H398" s="373"/>
      <x:c r="I398" s="373"/>
      <x:c r="J398" s="373"/>
      <x:c r="K398" s="373"/>
      <x:c r="L398" s="373"/>
      <x:c r="M398" s="373"/>
      <x:c r="N398" s="373"/>
      <x:c r="O398" s="373"/>
      <x:c r="P398" s="373"/>
      <x:c r="Q398" s="373"/>
      <x:c r="R398" s="373"/>
      <x:c r="S398" s="373"/>
      <x:c r="T398" s="373"/>
      <x:c r="U398" s="373"/>
      <x:c r="V398" s="373"/>
      <x:c r="W398" s="373"/>
      <x:c r="X398" s="373"/>
      <x:c r="Y398" s="373"/>
      <x:c r="Z398" s="373"/>
    </x:row>
    <x:row r="399">
      <x:c r="A399" s="373"/>
      <x:c r="B399" s="373"/>
      <x:c r="C399" s="373"/>
      <x:c r="D399" s="373"/>
      <x:c r="E399" s="373"/>
      <x:c r="F399" s="373"/>
      <x:c r="G399" s="373"/>
      <x:c r="H399" s="373"/>
      <x:c r="I399" s="373"/>
      <x:c r="J399" s="373"/>
      <x:c r="K399" s="373"/>
      <x:c r="L399" s="373"/>
      <x:c r="M399" s="373"/>
      <x:c r="N399" s="373"/>
      <x:c r="O399" s="373"/>
      <x:c r="P399" s="373"/>
      <x:c r="Q399" s="373"/>
      <x:c r="R399" s="373"/>
      <x:c r="S399" s="373"/>
      <x:c r="T399" s="373"/>
      <x:c r="U399" s="373"/>
      <x:c r="V399" s="373"/>
      <x:c r="W399" s="373"/>
      <x:c r="X399" s="373"/>
      <x:c r="Y399" s="373"/>
      <x:c r="Z399" s="373"/>
    </x:row>
    <x:row r="400">
      <x:c r="A400" s="373"/>
      <x:c r="B400" s="373"/>
      <x:c r="C400" s="373"/>
      <x:c r="D400" s="373"/>
      <x:c r="E400" s="373"/>
      <x:c r="F400" s="373"/>
      <x:c r="G400" s="373"/>
      <x:c r="H400" s="373"/>
      <x:c r="I400" s="373"/>
      <x:c r="J400" s="373"/>
      <x:c r="K400" s="373"/>
      <x:c r="L400" s="373"/>
      <x:c r="M400" s="373"/>
      <x:c r="N400" s="373"/>
      <x:c r="O400" s="373"/>
      <x:c r="P400" s="373"/>
      <x:c r="Q400" s="373"/>
      <x:c r="R400" s="373"/>
      <x:c r="S400" s="373"/>
      <x:c r="T400" s="373"/>
      <x:c r="U400" s="373"/>
      <x:c r="V400" s="373"/>
      <x:c r="W400" s="373"/>
      <x:c r="X400" s="373"/>
      <x:c r="Y400" s="373"/>
      <x:c r="Z400" s="373"/>
    </x:row>
    <x:row r="401">
      <x:c r="A401" s="373"/>
      <x:c r="B401" s="373"/>
      <x:c r="C401" s="373"/>
      <x:c r="D401" s="373"/>
      <x:c r="E401" s="373"/>
      <x:c r="F401" s="373"/>
      <x:c r="G401" s="373"/>
      <x:c r="H401" s="373"/>
      <x:c r="I401" s="373"/>
      <x:c r="J401" s="373"/>
      <x:c r="K401" s="373"/>
      <x:c r="L401" s="373"/>
      <x:c r="M401" s="373"/>
      <x:c r="N401" s="373"/>
      <x:c r="O401" s="373"/>
      <x:c r="P401" s="373"/>
      <x:c r="Q401" s="373"/>
      <x:c r="R401" s="373"/>
      <x:c r="S401" s="373"/>
      <x:c r="T401" s="373"/>
      <x:c r="U401" s="373"/>
      <x:c r="V401" s="373"/>
      <x:c r="W401" s="373"/>
      <x:c r="X401" s="373"/>
      <x:c r="Y401" s="373"/>
      <x:c r="Z401" s="373"/>
    </x:row>
    <x:row r="402">
      <x:c r="A402" s="373"/>
      <x:c r="B402" s="373"/>
      <x:c r="C402" s="373"/>
      <x:c r="D402" s="373"/>
      <x:c r="E402" s="373"/>
      <x:c r="F402" s="373"/>
      <x:c r="G402" s="373"/>
      <x:c r="H402" s="373"/>
      <x:c r="I402" s="373"/>
      <x:c r="J402" s="373"/>
      <x:c r="K402" s="373"/>
      <x:c r="L402" s="373"/>
      <x:c r="M402" s="373"/>
      <x:c r="N402" s="373"/>
      <x:c r="O402" s="373"/>
      <x:c r="P402" s="373"/>
      <x:c r="Q402" s="373"/>
      <x:c r="R402" s="373"/>
      <x:c r="S402" s="373"/>
      <x:c r="T402" s="373"/>
      <x:c r="U402" s="373"/>
      <x:c r="V402" s="373"/>
      <x:c r="W402" s="373"/>
      <x:c r="X402" s="373"/>
      <x:c r="Y402" s="373"/>
      <x:c r="Z402" s="373"/>
    </x:row>
    <x:row r="403">
      <x:c r="A403" s="373"/>
      <x:c r="B403" s="373"/>
      <x:c r="C403" s="373"/>
      <x:c r="D403" s="373"/>
      <x:c r="E403" s="373"/>
      <x:c r="F403" s="373"/>
      <x:c r="G403" s="373"/>
      <x:c r="H403" s="373"/>
      <x:c r="I403" s="373"/>
      <x:c r="J403" s="373"/>
      <x:c r="K403" s="373"/>
      <x:c r="L403" s="373"/>
      <x:c r="M403" s="373"/>
      <x:c r="N403" s="373"/>
      <x:c r="O403" s="373"/>
      <x:c r="P403" s="373"/>
      <x:c r="Q403" s="373"/>
      <x:c r="R403" s="373"/>
      <x:c r="S403" s="373"/>
      <x:c r="T403" s="373"/>
      <x:c r="U403" s="373"/>
      <x:c r="V403" s="373"/>
      <x:c r="W403" s="373"/>
      <x:c r="X403" s="373"/>
      <x:c r="Y403" s="373"/>
      <x:c r="Z403" s="373"/>
    </x:row>
    <x:row r="404">
      <x:c r="A404" s="373"/>
      <x:c r="B404" s="373"/>
      <x:c r="C404" s="373"/>
      <x:c r="D404" s="373"/>
      <x:c r="E404" s="373"/>
      <x:c r="F404" s="373"/>
      <x:c r="G404" s="373"/>
      <x:c r="H404" s="373"/>
      <x:c r="I404" s="373"/>
      <x:c r="J404" s="373"/>
      <x:c r="K404" s="373"/>
      <x:c r="L404" s="373"/>
      <x:c r="M404" s="373"/>
      <x:c r="N404" s="373"/>
      <x:c r="O404" s="373"/>
      <x:c r="P404" s="373"/>
      <x:c r="Q404" s="373"/>
      <x:c r="R404" s="373"/>
      <x:c r="S404" s="373"/>
      <x:c r="T404" s="373"/>
      <x:c r="U404" s="373"/>
      <x:c r="V404" s="373"/>
      <x:c r="W404" s="373"/>
      <x:c r="X404" s="373"/>
      <x:c r="Y404" s="373"/>
      <x:c r="Z404" s="373"/>
    </x:row>
    <x:row r="405">
      <x:c r="A405" s="373"/>
      <x:c r="B405" s="373"/>
      <x:c r="C405" s="373"/>
      <x:c r="D405" s="373"/>
      <x:c r="E405" s="373"/>
      <x:c r="F405" s="373"/>
      <x:c r="G405" s="373"/>
      <x:c r="H405" s="373"/>
      <x:c r="I405" s="373"/>
      <x:c r="J405" s="373"/>
      <x:c r="K405" s="373"/>
      <x:c r="L405" s="373"/>
      <x:c r="M405" s="373"/>
      <x:c r="N405" s="373"/>
      <x:c r="O405" s="373"/>
      <x:c r="P405" s="373"/>
      <x:c r="Q405" s="373"/>
      <x:c r="R405" s="373"/>
      <x:c r="S405" s="373"/>
      <x:c r="T405" s="373"/>
      <x:c r="U405" s="373"/>
      <x:c r="V405" s="373"/>
      <x:c r="W405" s="373"/>
      <x:c r="X405" s="373"/>
      <x:c r="Y405" s="373"/>
      <x:c r="Z405" s="373"/>
    </x:row>
    <x:row r="406">
      <x:c r="A406" s="373"/>
      <x:c r="B406" s="373"/>
      <x:c r="C406" s="373"/>
      <x:c r="D406" s="373"/>
      <x:c r="E406" s="373"/>
      <x:c r="F406" s="373"/>
      <x:c r="G406" s="373"/>
      <x:c r="H406" s="373"/>
      <x:c r="I406" s="373"/>
      <x:c r="J406" s="373"/>
      <x:c r="K406" s="373"/>
      <x:c r="L406" s="373"/>
      <x:c r="M406" s="373"/>
      <x:c r="N406" s="373"/>
      <x:c r="O406" s="373"/>
      <x:c r="P406" s="373"/>
      <x:c r="Q406" s="373"/>
      <x:c r="R406" s="373"/>
      <x:c r="S406" s="373"/>
      <x:c r="T406" s="373"/>
      <x:c r="U406" s="373"/>
      <x:c r="V406" s="373"/>
      <x:c r="W406" s="373"/>
      <x:c r="X406" s="373"/>
      <x:c r="Y406" s="373"/>
      <x:c r="Z406" s="373"/>
    </x:row>
    <x:row r="407">
      <x:c r="A407" s="373"/>
      <x:c r="B407" s="373"/>
      <x:c r="C407" s="373"/>
      <x:c r="D407" s="373"/>
      <x:c r="E407" s="373"/>
      <x:c r="F407" s="373"/>
      <x:c r="G407" s="373"/>
      <x:c r="H407" s="373"/>
      <x:c r="I407" s="373"/>
      <x:c r="J407" s="373"/>
      <x:c r="K407" s="373"/>
      <x:c r="L407" s="373"/>
      <x:c r="M407" s="373"/>
      <x:c r="N407" s="373"/>
      <x:c r="O407" s="373"/>
      <x:c r="P407" s="373"/>
      <x:c r="Q407" s="373"/>
      <x:c r="R407" s="373"/>
      <x:c r="S407" s="373"/>
      <x:c r="T407" s="373"/>
      <x:c r="U407" s="373"/>
      <x:c r="V407" s="373"/>
      <x:c r="W407" s="373"/>
      <x:c r="X407" s="373"/>
      <x:c r="Y407" s="373"/>
      <x:c r="Z407" s="373"/>
    </x:row>
    <x:row r="408">
      <x:c r="A408" s="373"/>
      <x:c r="B408" s="373"/>
      <x:c r="C408" s="373"/>
      <x:c r="D408" s="373"/>
      <x:c r="E408" s="373"/>
      <x:c r="F408" s="373"/>
      <x:c r="G408" s="373"/>
      <x:c r="H408" s="373"/>
      <x:c r="I408" s="373"/>
      <x:c r="J408" s="373"/>
      <x:c r="K408" s="373"/>
      <x:c r="L408" s="373"/>
      <x:c r="M408" s="373"/>
      <x:c r="N408" s="373"/>
      <x:c r="O408" s="373"/>
      <x:c r="P408" s="373"/>
      <x:c r="Q408" s="373"/>
      <x:c r="R408" s="373"/>
      <x:c r="S408" s="373"/>
      <x:c r="T408" s="373"/>
      <x:c r="U408" s="373"/>
      <x:c r="V408" s="373"/>
      <x:c r="W408" s="373"/>
      <x:c r="X408" s="373"/>
      <x:c r="Y408" s="373"/>
      <x:c r="Z408" s="373"/>
    </x:row>
    <x:row r="409">
      <x:c r="A409" s="373"/>
      <x:c r="B409" s="373"/>
      <x:c r="C409" s="373"/>
      <x:c r="D409" s="373"/>
      <x:c r="E409" s="373"/>
      <x:c r="F409" s="373"/>
      <x:c r="G409" s="373"/>
      <x:c r="H409" s="373"/>
      <x:c r="I409" s="373"/>
      <x:c r="J409" s="373"/>
      <x:c r="K409" s="373"/>
      <x:c r="L409" s="373"/>
      <x:c r="M409" s="373"/>
      <x:c r="N409" s="373"/>
      <x:c r="O409" s="373"/>
      <x:c r="P409" s="373"/>
      <x:c r="Q409" s="373"/>
      <x:c r="R409" s="373"/>
      <x:c r="S409" s="373"/>
      <x:c r="T409" s="373"/>
      <x:c r="U409" s="373"/>
      <x:c r="V409" s="373"/>
      <x:c r="W409" s="373"/>
      <x:c r="X409" s="373"/>
      <x:c r="Y409" s="373"/>
      <x:c r="Z409" s="373"/>
    </x:row>
    <x:row r="410">
      <x:c r="A410" s="373"/>
      <x:c r="B410" s="373"/>
      <x:c r="C410" s="373"/>
      <x:c r="D410" s="373"/>
      <x:c r="E410" s="373"/>
      <x:c r="F410" s="373"/>
      <x:c r="G410" s="373"/>
      <x:c r="H410" s="373"/>
      <x:c r="I410" s="373"/>
      <x:c r="J410" s="373"/>
      <x:c r="K410" s="373"/>
      <x:c r="L410" s="373"/>
      <x:c r="M410" s="373"/>
      <x:c r="N410" s="373"/>
      <x:c r="O410" s="373"/>
      <x:c r="P410" s="373"/>
      <x:c r="Q410" s="373"/>
      <x:c r="R410" s="373"/>
      <x:c r="S410" s="373"/>
      <x:c r="T410" s="373"/>
      <x:c r="U410" s="373"/>
      <x:c r="V410" s="373"/>
      <x:c r="W410" s="373"/>
      <x:c r="X410" s="373"/>
      <x:c r="Y410" s="373"/>
      <x:c r="Z410" s="373"/>
    </x:row>
    <x:row r="411">
      <x:c r="A411" s="373"/>
      <x:c r="B411" s="373"/>
      <x:c r="C411" s="373"/>
      <x:c r="D411" s="373"/>
      <x:c r="E411" s="373"/>
      <x:c r="F411" s="373"/>
      <x:c r="G411" s="373"/>
      <x:c r="H411" s="373"/>
      <x:c r="I411" s="373"/>
      <x:c r="J411" s="373"/>
      <x:c r="K411" s="373"/>
      <x:c r="L411" s="373"/>
      <x:c r="M411" s="373"/>
      <x:c r="N411" s="373"/>
      <x:c r="O411" s="373"/>
      <x:c r="P411" s="373"/>
      <x:c r="Q411" s="373"/>
      <x:c r="R411" s="373"/>
      <x:c r="S411" s="373"/>
      <x:c r="T411" s="373"/>
      <x:c r="U411" s="373"/>
      <x:c r="V411" s="373"/>
      <x:c r="W411" s="373"/>
      <x:c r="X411" s="373"/>
      <x:c r="Y411" s="373"/>
      <x:c r="Z411" s="373"/>
    </x:row>
    <x:row r="412">
      <x:c r="A412" s="373"/>
      <x:c r="B412" s="373"/>
      <x:c r="C412" s="373"/>
      <x:c r="D412" s="373"/>
      <x:c r="E412" s="373"/>
      <x:c r="F412" s="373"/>
      <x:c r="G412" s="373"/>
      <x:c r="H412" s="373"/>
      <x:c r="I412" s="373"/>
      <x:c r="J412" s="373"/>
      <x:c r="K412" s="373"/>
      <x:c r="L412" s="373"/>
      <x:c r="M412" s="373"/>
      <x:c r="N412" s="373"/>
      <x:c r="O412" s="373"/>
      <x:c r="P412" s="373"/>
      <x:c r="Q412" s="373"/>
      <x:c r="R412" s="373"/>
      <x:c r="S412" s="373"/>
      <x:c r="T412" s="373"/>
      <x:c r="U412" s="373"/>
      <x:c r="V412" s="373"/>
      <x:c r="W412" s="373"/>
      <x:c r="X412" s="373"/>
      <x:c r="Y412" s="373"/>
      <x:c r="Z412" s="373"/>
    </x:row>
    <x:row r="413">
      <x:c r="A413" s="373"/>
      <x:c r="B413" s="373"/>
      <x:c r="C413" s="373"/>
      <x:c r="D413" s="373"/>
      <x:c r="E413" s="373"/>
      <x:c r="F413" s="373"/>
      <x:c r="G413" s="373"/>
      <x:c r="H413" s="373"/>
      <x:c r="I413" s="373"/>
      <x:c r="J413" s="373"/>
      <x:c r="K413" s="373"/>
      <x:c r="L413" s="373"/>
      <x:c r="M413" s="373"/>
      <x:c r="N413" s="373"/>
      <x:c r="O413" s="373"/>
      <x:c r="P413" s="373"/>
      <x:c r="Q413" s="373"/>
      <x:c r="R413" s="373"/>
      <x:c r="S413" s="373"/>
      <x:c r="T413" s="373"/>
      <x:c r="U413" s="373"/>
      <x:c r="V413" s="373"/>
      <x:c r="W413" s="373"/>
      <x:c r="X413" s="373"/>
      <x:c r="Y413" s="373"/>
      <x:c r="Z413" s="373"/>
    </x:row>
    <x:row r="414">
      <x:c r="A414" s="373"/>
      <x:c r="B414" s="373"/>
      <x:c r="C414" s="373"/>
      <x:c r="D414" s="373"/>
      <x:c r="E414" s="373"/>
      <x:c r="F414" s="373"/>
      <x:c r="G414" s="373"/>
      <x:c r="H414" s="373"/>
      <x:c r="I414" s="373"/>
      <x:c r="J414" s="373"/>
      <x:c r="K414" s="373"/>
      <x:c r="L414" s="373"/>
      <x:c r="M414" s="373"/>
      <x:c r="N414" s="373"/>
      <x:c r="O414" s="373"/>
      <x:c r="P414" s="373"/>
      <x:c r="Q414" s="373"/>
      <x:c r="R414" s="373"/>
      <x:c r="S414" s="373"/>
      <x:c r="T414" s="373"/>
      <x:c r="U414" s="373"/>
      <x:c r="V414" s="373"/>
      <x:c r="W414" s="373"/>
      <x:c r="X414" s="373"/>
      <x:c r="Y414" s="373"/>
      <x:c r="Z414" s="373"/>
    </x:row>
    <x:row r="415">
      <x:c r="A415" s="373"/>
      <x:c r="B415" s="373"/>
      <x:c r="C415" s="373"/>
      <x:c r="D415" s="373"/>
      <x:c r="E415" s="373"/>
      <x:c r="F415" s="373"/>
      <x:c r="G415" s="373"/>
      <x:c r="H415" s="373"/>
      <x:c r="I415" s="373"/>
      <x:c r="J415" s="373"/>
      <x:c r="K415" s="373"/>
      <x:c r="L415" s="373"/>
      <x:c r="M415" s="373"/>
      <x:c r="N415" s="373"/>
      <x:c r="O415" s="373"/>
      <x:c r="P415" s="373"/>
      <x:c r="Q415" s="373"/>
      <x:c r="R415" s="373"/>
      <x:c r="S415" s="373"/>
      <x:c r="T415" s="373"/>
      <x:c r="U415" s="373"/>
      <x:c r="V415" s="373"/>
      <x:c r="W415" s="373"/>
      <x:c r="X415" s="373"/>
      <x:c r="Y415" s="373"/>
      <x:c r="Z415" s="373"/>
    </x:row>
    <x:row r="416">
      <x:c r="A416" s="373"/>
      <x:c r="B416" s="373"/>
      <x:c r="C416" s="373"/>
      <x:c r="D416" s="373"/>
      <x:c r="E416" s="373"/>
      <x:c r="F416" s="373"/>
      <x:c r="G416" s="373"/>
      <x:c r="H416" s="373"/>
      <x:c r="I416" s="373"/>
      <x:c r="J416" s="373"/>
      <x:c r="K416" s="373"/>
      <x:c r="L416" s="373"/>
      <x:c r="M416" s="373"/>
      <x:c r="N416" s="373"/>
      <x:c r="O416" s="373"/>
      <x:c r="P416" s="373"/>
      <x:c r="Q416" s="373"/>
      <x:c r="R416" s="373"/>
      <x:c r="S416" s="373"/>
      <x:c r="T416" s="373"/>
      <x:c r="U416" s="373"/>
      <x:c r="V416" s="373"/>
      <x:c r="W416" s="373"/>
      <x:c r="X416" s="373"/>
      <x:c r="Y416" s="373"/>
      <x:c r="Z416" s="373"/>
    </x:row>
    <x:row r="417">
      <x:c r="A417" s="373"/>
      <x:c r="B417" s="373"/>
      <x:c r="C417" s="373"/>
      <x:c r="D417" s="373"/>
      <x:c r="E417" s="373"/>
      <x:c r="F417" s="373"/>
      <x:c r="G417" s="373"/>
      <x:c r="H417" s="373"/>
      <x:c r="I417" s="373"/>
      <x:c r="J417" s="373"/>
      <x:c r="K417" s="373"/>
      <x:c r="L417" s="373"/>
      <x:c r="M417" s="373"/>
      <x:c r="N417" s="373"/>
      <x:c r="O417" s="373"/>
      <x:c r="P417" s="373"/>
      <x:c r="Q417" s="373"/>
      <x:c r="R417" s="373"/>
      <x:c r="S417" s="373"/>
      <x:c r="T417" s="373"/>
      <x:c r="U417" s="373"/>
      <x:c r="V417" s="373"/>
      <x:c r="W417" s="373"/>
      <x:c r="X417" s="373"/>
      <x:c r="Y417" s="373"/>
      <x:c r="Z417" s="373"/>
    </x:row>
    <x:row r="418">
      <x:c r="A418" s="373"/>
      <x:c r="B418" s="373"/>
      <x:c r="C418" s="373"/>
      <x:c r="D418" s="373"/>
      <x:c r="E418" s="373"/>
      <x:c r="F418" s="373"/>
      <x:c r="G418" s="373"/>
      <x:c r="H418" s="373"/>
      <x:c r="I418" s="373"/>
      <x:c r="J418" s="373"/>
      <x:c r="K418" s="373"/>
      <x:c r="L418" s="373"/>
      <x:c r="M418" s="373"/>
      <x:c r="N418" s="373"/>
      <x:c r="O418" s="373"/>
      <x:c r="P418" s="373"/>
      <x:c r="Q418" s="373"/>
      <x:c r="R418" s="373"/>
      <x:c r="S418" s="373"/>
      <x:c r="T418" s="373"/>
      <x:c r="U418" s="373"/>
      <x:c r="V418" s="373"/>
      <x:c r="W418" s="373"/>
      <x:c r="X418" s="373"/>
      <x:c r="Y418" s="373"/>
      <x:c r="Z418" s="373"/>
    </x:row>
    <x:row r="419">
      <x:c r="A419" s="373"/>
      <x:c r="B419" s="373"/>
      <x:c r="C419" s="373"/>
      <x:c r="D419" s="373"/>
      <x:c r="E419" s="373"/>
      <x:c r="F419" s="373"/>
      <x:c r="G419" s="373"/>
      <x:c r="H419" s="373"/>
      <x:c r="I419" s="373"/>
      <x:c r="J419" s="373"/>
      <x:c r="K419" s="373"/>
      <x:c r="L419" s="373"/>
      <x:c r="M419" s="373"/>
      <x:c r="N419" s="373"/>
      <x:c r="O419" s="373"/>
      <x:c r="P419" s="373"/>
      <x:c r="Q419" s="373"/>
      <x:c r="R419" s="373"/>
      <x:c r="S419" s="373"/>
      <x:c r="T419" s="373"/>
      <x:c r="U419" s="373"/>
      <x:c r="V419" s="373"/>
      <x:c r="W419" s="373"/>
      <x:c r="X419" s="373"/>
      <x:c r="Y419" s="373"/>
      <x:c r="Z419" s="373"/>
    </x:row>
    <x:row r="420">
      <x:c r="A420" s="373"/>
      <x:c r="B420" s="373"/>
      <x:c r="C420" s="373"/>
      <x:c r="D420" s="373"/>
      <x:c r="E420" s="373"/>
      <x:c r="F420" s="373"/>
      <x:c r="G420" s="373"/>
      <x:c r="H420" s="373"/>
      <x:c r="I420" s="373"/>
      <x:c r="J420" s="373"/>
      <x:c r="K420" s="373"/>
      <x:c r="L420" s="373"/>
      <x:c r="M420" s="373"/>
      <x:c r="N420" s="373"/>
      <x:c r="O420" s="373"/>
      <x:c r="P420" s="373"/>
      <x:c r="Q420" s="373"/>
      <x:c r="R420" s="373"/>
      <x:c r="S420" s="373"/>
      <x:c r="T420" s="373"/>
      <x:c r="U420" s="373"/>
      <x:c r="V420" s="373"/>
      <x:c r="W420" s="373"/>
      <x:c r="X420" s="373"/>
      <x:c r="Y420" s="373"/>
      <x:c r="Z420" s="373"/>
    </x:row>
    <x:row r="421">
      <x:c r="A421" s="373"/>
      <x:c r="B421" s="373"/>
      <x:c r="C421" s="373"/>
      <x:c r="D421" s="373"/>
      <x:c r="E421" s="373"/>
      <x:c r="F421" s="373"/>
      <x:c r="G421" s="373"/>
      <x:c r="H421" s="373"/>
      <x:c r="I421" s="373"/>
      <x:c r="J421" s="373"/>
      <x:c r="K421" s="373"/>
      <x:c r="L421" s="373"/>
      <x:c r="M421" s="373"/>
      <x:c r="N421" s="373"/>
      <x:c r="O421" s="373"/>
      <x:c r="P421" s="373"/>
      <x:c r="Q421" s="373"/>
      <x:c r="R421" s="373"/>
      <x:c r="S421" s="373"/>
      <x:c r="T421" s="373"/>
      <x:c r="U421" s="373"/>
      <x:c r="V421" s="373"/>
      <x:c r="W421" s="373"/>
      <x:c r="X421" s="373"/>
      <x:c r="Y421" s="373"/>
      <x:c r="Z421" s="373"/>
    </x:row>
    <x:row r="422">
      <x:c r="A422" s="373"/>
      <x:c r="B422" s="373"/>
      <x:c r="C422" s="373"/>
      <x:c r="D422" s="373"/>
      <x:c r="E422" s="373"/>
      <x:c r="F422" s="373"/>
      <x:c r="G422" s="373"/>
      <x:c r="H422" s="373"/>
      <x:c r="I422" s="373"/>
      <x:c r="J422" s="373"/>
      <x:c r="K422" s="373"/>
      <x:c r="L422" s="373"/>
      <x:c r="M422" s="373"/>
      <x:c r="N422" s="373"/>
      <x:c r="O422" s="373"/>
      <x:c r="P422" s="373"/>
      <x:c r="Q422" s="373"/>
      <x:c r="R422" s="373"/>
      <x:c r="S422" s="373"/>
      <x:c r="T422" s="373"/>
      <x:c r="U422" s="373"/>
      <x:c r="V422" s="373"/>
      <x:c r="W422" s="373"/>
      <x:c r="X422" s="373"/>
      <x:c r="Y422" s="373"/>
      <x:c r="Z422" s="373"/>
    </x:row>
    <x:row r="423">
      <x:c r="A423" s="373"/>
      <x:c r="B423" s="373"/>
      <x:c r="C423" s="373"/>
      <x:c r="D423" s="373"/>
      <x:c r="E423" s="373"/>
      <x:c r="F423" s="373"/>
      <x:c r="G423" s="373"/>
      <x:c r="H423" s="373"/>
      <x:c r="I423" s="373"/>
      <x:c r="J423" s="373"/>
      <x:c r="K423" s="373"/>
      <x:c r="L423" s="373"/>
      <x:c r="M423" s="373"/>
      <x:c r="N423" s="373"/>
      <x:c r="O423" s="373"/>
      <x:c r="P423" s="373"/>
      <x:c r="Q423" s="373"/>
      <x:c r="R423" s="373"/>
      <x:c r="S423" s="373"/>
      <x:c r="T423" s="373"/>
      <x:c r="U423" s="373"/>
      <x:c r="V423" s="373"/>
      <x:c r="W423" s="373"/>
      <x:c r="X423" s="373"/>
      <x:c r="Y423" s="373"/>
      <x:c r="Z423" s="373"/>
    </x:row>
    <x:row r="424">
      <x:c r="A424" s="373"/>
      <x:c r="B424" s="373"/>
      <x:c r="C424" s="373"/>
      <x:c r="D424" s="373"/>
      <x:c r="E424" s="373"/>
      <x:c r="F424" s="373"/>
      <x:c r="G424" s="373"/>
      <x:c r="H424" s="373"/>
      <x:c r="I424" s="373"/>
      <x:c r="J424" s="373"/>
      <x:c r="K424" s="373"/>
      <x:c r="L424" s="373"/>
      <x:c r="M424" s="373"/>
      <x:c r="N424" s="373"/>
      <x:c r="O424" s="373"/>
      <x:c r="P424" s="373"/>
      <x:c r="Q424" s="373"/>
      <x:c r="R424" s="373"/>
      <x:c r="S424" s="373"/>
      <x:c r="T424" s="373"/>
      <x:c r="U424" s="373"/>
      <x:c r="V424" s="373"/>
      <x:c r="W424" s="373"/>
      <x:c r="X424" s="373"/>
      <x:c r="Y424" s="373"/>
      <x:c r="Z424" s="373"/>
    </x:row>
    <x:row r="425">
      <x:c r="A425" s="373"/>
      <x:c r="B425" s="373"/>
      <x:c r="C425" s="373"/>
      <x:c r="D425" s="373"/>
      <x:c r="E425" s="373"/>
      <x:c r="F425" s="373"/>
      <x:c r="G425" s="373"/>
      <x:c r="H425" s="373"/>
      <x:c r="I425" s="373"/>
      <x:c r="J425" s="373"/>
      <x:c r="K425" s="373"/>
      <x:c r="L425" s="373"/>
      <x:c r="M425" s="373"/>
      <x:c r="N425" s="373"/>
      <x:c r="O425" s="373"/>
      <x:c r="P425" s="373"/>
      <x:c r="Q425" s="373"/>
      <x:c r="R425" s="373"/>
      <x:c r="S425" s="373"/>
      <x:c r="T425" s="373"/>
      <x:c r="U425" s="373"/>
      <x:c r="V425" s="373"/>
      <x:c r="W425" s="373"/>
      <x:c r="X425" s="373"/>
      <x:c r="Y425" s="373"/>
      <x:c r="Z425" s="373"/>
    </x:row>
    <x:row r="426">
      <x:c r="A426" s="373"/>
      <x:c r="B426" s="373"/>
      <x:c r="C426" s="373"/>
      <x:c r="D426" s="373"/>
      <x:c r="E426" s="373"/>
      <x:c r="F426" s="373"/>
      <x:c r="G426" s="373"/>
      <x:c r="H426" s="373"/>
      <x:c r="I426" s="373"/>
      <x:c r="J426" s="373"/>
      <x:c r="K426" s="373"/>
      <x:c r="L426" s="373"/>
      <x:c r="M426" s="373"/>
      <x:c r="N426" s="373"/>
      <x:c r="O426" s="373"/>
      <x:c r="P426" s="373"/>
      <x:c r="Q426" s="373"/>
      <x:c r="R426" s="373"/>
      <x:c r="S426" s="373"/>
      <x:c r="T426" s="373"/>
      <x:c r="U426" s="373"/>
      <x:c r="V426" s="373"/>
      <x:c r="W426" s="373"/>
      <x:c r="X426" s="373"/>
      <x:c r="Y426" s="373"/>
      <x:c r="Z426" s="373"/>
    </x:row>
    <x:row r="427">
      <x:c r="A427" s="373"/>
      <x:c r="B427" s="373"/>
      <x:c r="C427" s="373"/>
      <x:c r="D427" s="373"/>
      <x:c r="E427" s="373"/>
      <x:c r="F427" s="373"/>
      <x:c r="G427" s="373"/>
      <x:c r="H427" s="373"/>
      <x:c r="I427" s="373"/>
      <x:c r="J427" s="373"/>
      <x:c r="K427" s="373"/>
      <x:c r="L427" s="373"/>
      <x:c r="M427" s="373"/>
      <x:c r="N427" s="373"/>
      <x:c r="O427" s="373"/>
      <x:c r="P427" s="373"/>
      <x:c r="Q427" s="373"/>
      <x:c r="R427" s="373"/>
      <x:c r="S427" s="373"/>
      <x:c r="T427" s="373"/>
      <x:c r="U427" s="373"/>
      <x:c r="V427" s="373"/>
      <x:c r="W427" s="373"/>
      <x:c r="X427" s="373"/>
      <x:c r="Y427" s="373"/>
      <x:c r="Z427" s="373"/>
    </x:row>
    <x:row r="428">
      <x:c r="A428" s="373"/>
      <x:c r="B428" s="373"/>
      <x:c r="C428" s="373"/>
      <x:c r="D428" s="373"/>
      <x:c r="E428" s="373"/>
      <x:c r="F428" s="373"/>
      <x:c r="G428" s="373"/>
      <x:c r="H428" s="373"/>
      <x:c r="I428" s="373"/>
      <x:c r="J428" s="373"/>
      <x:c r="K428" s="373"/>
      <x:c r="L428" s="373"/>
      <x:c r="M428" s="373"/>
      <x:c r="N428" s="373"/>
      <x:c r="O428" s="373"/>
      <x:c r="P428" s="373"/>
      <x:c r="Q428" s="373"/>
      <x:c r="R428" s="373"/>
      <x:c r="S428" s="373"/>
      <x:c r="T428" s="373"/>
      <x:c r="U428" s="373"/>
      <x:c r="V428" s="373"/>
      <x:c r="W428" s="373"/>
      <x:c r="X428" s="373"/>
      <x:c r="Y428" s="373"/>
      <x:c r="Z428" s="373"/>
    </x:row>
    <x:row r="429">
      <x:c r="A429" s="373"/>
      <x:c r="B429" s="373"/>
      <x:c r="C429" s="373"/>
      <x:c r="D429" s="373"/>
      <x:c r="E429" s="373"/>
      <x:c r="F429" s="373"/>
      <x:c r="G429" s="373"/>
      <x:c r="H429" s="373"/>
      <x:c r="I429" s="373"/>
      <x:c r="J429" s="373"/>
      <x:c r="K429" s="373"/>
      <x:c r="L429" s="373"/>
      <x:c r="M429" s="373"/>
      <x:c r="N429" s="373"/>
      <x:c r="O429" s="373"/>
      <x:c r="P429" s="373"/>
      <x:c r="Q429" s="373"/>
      <x:c r="R429" s="373"/>
      <x:c r="S429" s="373"/>
      <x:c r="T429" s="373"/>
      <x:c r="U429" s="373"/>
      <x:c r="V429" s="373"/>
      <x:c r="W429" s="373"/>
      <x:c r="X429" s="373"/>
      <x:c r="Y429" s="373"/>
      <x:c r="Z429" s="373"/>
    </x:row>
    <x:row r="430">
      <x:c r="A430" s="373"/>
      <x:c r="B430" s="373"/>
      <x:c r="C430" s="373"/>
      <x:c r="D430" s="373"/>
      <x:c r="E430" s="373"/>
      <x:c r="F430" s="373"/>
      <x:c r="G430" s="373"/>
      <x:c r="H430" s="373"/>
      <x:c r="I430" s="373"/>
      <x:c r="J430" s="373"/>
      <x:c r="K430" s="373"/>
      <x:c r="L430" s="373"/>
      <x:c r="M430" s="373"/>
      <x:c r="N430" s="373"/>
      <x:c r="O430" s="373"/>
      <x:c r="P430" s="373"/>
      <x:c r="Q430" s="373"/>
      <x:c r="R430" s="373"/>
      <x:c r="S430" s="373"/>
      <x:c r="T430" s="373"/>
      <x:c r="U430" s="373"/>
      <x:c r="V430" s="373"/>
      <x:c r="W430" s="373"/>
      <x:c r="X430" s="373"/>
      <x:c r="Y430" s="373"/>
      <x:c r="Z430" s="373"/>
    </x:row>
    <x:row r="431">
      <x:c r="A431" s="373"/>
      <x:c r="B431" s="373"/>
      <x:c r="C431" s="373"/>
      <x:c r="D431" s="373"/>
      <x:c r="E431" s="373"/>
      <x:c r="F431" s="373"/>
      <x:c r="G431" s="373"/>
      <x:c r="H431" s="373"/>
      <x:c r="I431" s="373"/>
      <x:c r="J431" s="373"/>
      <x:c r="K431" s="373"/>
      <x:c r="L431" s="373"/>
      <x:c r="M431" s="373"/>
      <x:c r="N431" s="373"/>
      <x:c r="O431" s="373"/>
      <x:c r="P431" s="373"/>
      <x:c r="Q431" s="373"/>
      <x:c r="R431" s="373"/>
      <x:c r="S431" s="373"/>
      <x:c r="T431" s="373"/>
      <x:c r="U431" s="373"/>
      <x:c r="V431" s="373"/>
      <x:c r="W431" s="373"/>
      <x:c r="X431" s="373"/>
      <x:c r="Y431" s="373"/>
      <x:c r="Z431" s="373"/>
    </x:row>
    <x:row r="432">
      <x:c r="A432" s="373"/>
      <x:c r="B432" s="373"/>
      <x:c r="C432" s="373"/>
      <x:c r="D432" s="373"/>
      <x:c r="E432" s="373"/>
      <x:c r="F432" s="373"/>
      <x:c r="G432" s="373"/>
      <x:c r="H432" s="373"/>
      <x:c r="I432" s="373"/>
      <x:c r="J432" s="373"/>
      <x:c r="K432" s="373"/>
      <x:c r="L432" s="373"/>
      <x:c r="M432" s="373"/>
      <x:c r="N432" s="373"/>
      <x:c r="O432" s="373"/>
      <x:c r="P432" s="373"/>
      <x:c r="Q432" s="373"/>
      <x:c r="R432" s="373"/>
      <x:c r="S432" s="373"/>
      <x:c r="T432" s="373"/>
      <x:c r="U432" s="373"/>
      <x:c r="V432" s="373"/>
      <x:c r="W432" s="373"/>
      <x:c r="X432" s="373"/>
      <x:c r="Y432" s="373"/>
      <x:c r="Z432" s="373"/>
    </x:row>
    <x:row r="433">
      <x:c r="A433" s="373"/>
      <x:c r="B433" s="373"/>
      <x:c r="C433" s="373"/>
      <x:c r="D433" s="373"/>
      <x:c r="E433" s="373"/>
      <x:c r="F433" s="373"/>
      <x:c r="G433" s="373"/>
      <x:c r="H433" s="373"/>
      <x:c r="I433" s="373"/>
      <x:c r="J433" s="373"/>
      <x:c r="K433" s="373"/>
      <x:c r="L433" s="373"/>
      <x:c r="M433" s="373"/>
      <x:c r="N433" s="373"/>
      <x:c r="O433" s="373"/>
      <x:c r="P433" s="373"/>
      <x:c r="Q433" s="373"/>
      <x:c r="R433" s="373"/>
      <x:c r="S433" s="373"/>
      <x:c r="T433" s="373"/>
      <x:c r="U433" s="373"/>
      <x:c r="V433" s="373"/>
      <x:c r="W433" s="373"/>
      <x:c r="X433" s="373"/>
      <x:c r="Y433" s="373"/>
      <x:c r="Z433" s="373"/>
    </x:row>
    <x:row r="434">
      <x:c r="A434" s="373"/>
      <x:c r="B434" s="373"/>
      <x:c r="C434" s="373"/>
      <x:c r="D434" s="373"/>
      <x:c r="E434" s="373"/>
      <x:c r="F434" s="373"/>
      <x:c r="G434" s="373"/>
      <x:c r="H434" s="373"/>
      <x:c r="I434" s="373"/>
      <x:c r="J434" s="373"/>
      <x:c r="K434" s="373"/>
      <x:c r="L434" s="373"/>
      <x:c r="M434" s="373"/>
      <x:c r="N434" s="373"/>
      <x:c r="O434" s="373"/>
      <x:c r="P434" s="373"/>
      <x:c r="Q434" s="373"/>
      <x:c r="R434" s="373"/>
      <x:c r="S434" s="373"/>
      <x:c r="T434" s="373"/>
      <x:c r="U434" s="373"/>
      <x:c r="V434" s="373"/>
      <x:c r="W434" s="373"/>
      <x:c r="X434" s="373"/>
      <x:c r="Y434" s="373"/>
      <x:c r="Z434" s="373"/>
    </x:row>
    <x:row r="435">
      <x:c r="A435" s="373"/>
      <x:c r="B435" s="373"/>
      <x:c r="C435" s="373"/>
      <x:c r="D435" s="373"/>
      <x:c r="E435" s="373"/>
      <x:c r="F435" s="373"/>
      <x:c r="G435" s="373"/>
      <x:c r="H435" s="373"/>
      <x:c r="I435" s="373"/>
      <x:c r="J435" s="373"/>
      <x:c r="K435" s="373"/>
      <x:c r="L435" s="373"/>
      <x:c r="M435" s="373"/>
      <x:c r="N435" s="373"/>
      <x:c r="O435" s="373"/>
      <x:c r="P435" s="373"/>
      <x:c r="Q435" s="373"/>
      <x:c r="R435" s="373"/>
      <x:c r="S435" s="373"/>
      <x:c r="T435" s="373"/>
      <x:c r="U435" s="373"/>
      <x:c r="V435" s="373"/>
      <x:c r="W435" s="373"/>
      <x:c r="X435" s="373"/>
      <x:c r="Y435" s="373"/>
      <x:c r="Z435" s="373"/>
    </x:row>
    <x:row r="436">
      <x:c r="A436" s="373"/>
      <x:c r="B436" s="373"/>
      <x:c r="C436" s="373"/>
      <x:c r="D436" s="373"/>
      <x:c r="E436" s="373"/>
      <x:c r="F436" s="373"/>
      <x:c r="G436" s="373"/>
      <x:c r="H436" s="373"/>
      <x:c r="I436" s="373"/>
      <x:c r="J436" s="373"/>
      <x:c r="K436" s="373"/>
      <x:c r="L436" s="373"/>
      <x:c r="M436" s="373"/>
      <x:c r="N436" s="373"/>
      <x:c r="O436" s="373"/>
      <x:c r="P436" s="373"/>
      <x:c r="Q436" s="373"/>
      <x:c r="R436" s="373"/>
      <x:c r="S436" s="373"/>
      <x:c r="T436" s="373"/>
      <x:c r="U436" s="373"/>
      <x:c r="V436" s="373"/>
      <x:c r="W436" s="373"/>
      <x:c r="X436" s="373"/>
      <x:c r="Y436" s="373"/>
      <x:c r="Z436" s="373"/>
    </x:row>
    <x:row r="437">
      <x:c r="A437" s="373"/>
      <x:c r="B437" s="373"/>
      <x:c r="C437" s="373"/>
      <x:c r="D437" s="373"/>
      <x:c r="E437" s="373"/>
      <x:c r="F437" s="373"/>
      <x:c r="G437" s="373"/>
      <x:c r="H437" s="373"/>
      <x:c r="I437" s="373"/>
      <x:c r="J437" s="373"/>
      <x:c r="K437" s="373"/>
      <x:c r="L437" s="373"/>
      <x:c r="M437" s="373"/>
      <x:c r="N437" s="373"/>
      <x:c r="O437" s="373"/>
      <x:c r="P437" s="373"/>
      <x:c r="Q437" s="373"/>
      <x:c r="R437" s="373"/>
      <x:c r="S437" s="373"/>
      <x:c r="T437" s="373"/>
      <x:c r="U437" s="373"/>
      <x:c r="V437" s="373"/>
      <x:c r="W437" s="373"/>
      <x:c r="X437" s="373"/>
      <x:c r="Y437" s="373"/>
      <x:c r="Z437" s="373"/>
    </x:row>
    <x:row r="438">
      <x:c r="A438" s="373"/>
      <x:c r="B438" s="373"/>
      <x:c r="C438" s="373"/>
      <x:c r="D438" s="373"/>
      <x:c r="E438" s="373"/>
      <x:c r="F438" s="373"/>
      <x:c r="G438" s="373"/>
      <x:c r="H438" s="373"/>
      <x:c r="I438" s="373"/>
      <x:c r="J438" s="373"/>
      <x:c r="K438" s="373"/>
      <x:c r="L438" s="373"/>
      <x:c r="M438" s="373"/>
      <x:c r="N438" s="373"/>
      <x:c r="O438" s="373"/>
      <x:c r="P438" s="373"/>
      <x:c r="Q438" s="373"/>
      <x:c r="R438" s="373"/>
      <x:c r="S438" s="373"/>
      <x:c r="T438" s="373"/>
      <x:c r="U438" s="373"/>
      <x:c r="V438" s="373"/>
      <x:c r="W438" s="373"/>
      <x:c r="X438" s="373"/>
      <x:c r="Y438" s="373"/>
      <x:c r="Z438" s="373"/>
    </x:row>
    <x:row r="439">
      <x:c r="A439" s="373"/>
      <x:c r="B439" s="373"/>
      <x:c r="C439" s="373"/>
      <x:c r="D439" s="373"/>
      <x:c r="E439" s="373"/>
      <x:c r="F439" s="373"/>
      <x:c r="G439" s="373"/>
      <x:c r="H439" s="373"/>
      <x:c r="I439" s="373"/>
      <x:c r="J439" s="373"/>
      <x:c r="K439" s="373"/>
      <x:c r="L439" s="373"/>
      <x:c r="M439" s="373"/>
      <x:c r="N439" s="373"/>
      <x:c r="O439" s="373"/>
      <x:c r="P439" s="373"/>
      <x:c r="Q439" s="373"/>
      <x:c r="R439" s="373"/>
      <x:c r="S439" s="373"/>
      <x:c r="T439" s="373"/>
      <x:c r="U439" s="373"/>
      <x:c r="V439" s="373"/>
      <x:c r="W439" s="373"/>
      <x:c r="X439" s="373"/>
      <x:c r="Y439" s="373"/>
      <x:c r="Z439" s="373"/>
    </x:row>
    <x:row r="440">
      <x:c r="A440" s="373"/>
      <x:c r="B440" s="373"/>
      <x:c r="C440" s="373"/>
      <x:c r="D440" s="373"/>
      <x:c r="E440" s="373"/>
      <x:c r="F440" s="373"/>
      <x:c r="G440" s="373"/>
      <x:c r="H440" s="373"/>
      <x:c r="I440" s="373"/>
      <x:c r="J440" s="373"/>
      <x:c r="K440" s="373"/>
      <x:c r="L440" s="373"/>
      <x:c r="M440" s="373"/>
      <x:c r="N440" s="373"/>
      <x:c r="O440" s="373"/>
      <x:c r="P440" s="373"/>
      <x:c r="Q440" s="373"/>
      <x:c r="R440" s="373"/>
      <x:c r="S440" s="373"/>
      <x:c r="T440" s="373"/>
      <x:c r="U440" s="373"/>
      <x:c r="V440" s="373"/>
      <x:c r="W440" s="373"/>
      <x:c r="X440" s="373"/>
      <x:c r="Y440" s="373"/>
      <x:c r="Z440" s="373"/>
    </x:row>
    <x:row r="441">
      <x:c r="A441" s="373"/>
      <x:c r="B441" s="373"/>
      <x:c r="C441" s="373"/>
      <x:c r="D441" s="373"/>
      <x:c r="E441" s="373"/>
      <x:c r="F441" s="373"/>
      <x:c r="G441" s="373"/>
      <x:c r="H441" s="373"/>
      <x:c r="I441" s="373"/>
      <x:c r="J441" s="373"/>
      <x:c r="K441" s="373"/>
      <x:c r="L441" s="373"/>
      <x:c r="M441" s="373"/>
      <x:c r="N441" s="373"/>
      <x:c r="O441" s="373"/>
      <x:c r="P441" s="373"/>
      <x:c r="Q441" s="373"/>
      <x:c r="R441" s="373"/>
      <x:c r="S441" s="373"/>
      <x:c r="T441" s="373"/>
      <x:c r="U441" s="373"/>
      <x:c r="V441" s="373"/>
      <x:c r="W441" s="373"/>
      <x:c r="X441" s="373"/>
      <x:c r="Y441" s="373"/>
      <x:c r="Z441" s="373"/>
    </x:row>
    <x:row r="442">
      <x:c r="A442" s="373"/>
      <x:c r="B442" s="373"/>
      <x:c r="C442" s="373"/>
      <x:c r="D442" s="373"/>
      <x:c r="E442" s="373"/>
      <x:c r="F442" s="373"/>
      <x:c r="G442" s="373"/>
      <x:c r="H442" s="373"/>
      <x:c r="I442" s="373"/>
      <x:c r="J442" s="373"/>
      <x:c r="K442" s="373"/>
      <x:c r="L442" s="373"/>
      <x:c r="M442" s="373"/>
      <x:c r="N442" s="373"/>
      <x:c r="O442" s="373"/>
      <x:c r="P442" s="373"/>
      <x:c r="Q442" s="373"/>
      <x:c r="R442" s="373"/>
      <x:c r="S442" s="373"/>
      <x:c r="T442" s="373"/>
      <x:c r="U442" s="373"/>
      <x:c r="V442" s="373"/>
      <x:c r="W442" s="373"/>
      <x:c r="X442" s="373"/>
      <x:c r="Y442" s="373"/>
      <x:c r="Z442" s="373"/>
    </x:row>
    <x:row r="443">
      <x:c r="A443" s="373"/>
      <x:c r="B443" s="373"/>
      <x:c r="C443" s="373"/>
      <x:c r="D443" s="373"/>
      <x:c r="E443" s="373"/>
      <x:c r="F443" s="373"/>
      <x:c r="G443" s="373"/>
      <x:c r="H443" s="373"/>
      <x:c r="I443" s="373"/>
      <x:c r="J443" s="373"/>
      <x:c r="K443" s="373"/>
      <x:c r="L443" s="373"/>
      <x:c r="M443" s="373"/>
      <x:c r="N443" s="373"/>
      <x:c r="O443" s="373"/>
      <x:c r="P443" s="373"/>
      <x:c r="Q443" s="373"/>
      <x:c r="R443" s="373"/>
      <x:c r="S443" s="373"/>
      <x:c r="T443" s="373"/>
      <x:c r="U443" s="373"/>
      <x:c r="V443" s="373"/>
      <x:c r="W443" s="373"/>
      <x:c r="X443" s="373"/>
      <x:c r="Y443" s="373"/>
      <x:c r="Z443" s="373"/>
    </x:row>
    <x:row r="444">
      <x:c r="A444" s="373"/>
      <x:c r="B444" s="373"/>
      <x:c r="C444" s="373"/>
      <x:c r="D444" s="373"/>
      <x:c r="E444" s="373"/>
      <x:c r="F444" s="373"/>
      <x:c r="G444" s="373"/>
      <x:c r="H444" s="373"/>
      <x:c r="I444" s="373"/>
      <x:c r="J444" s="373"/>
      <x:c r="K444" s="373"/>
      <x:c r="L444" s="373"/>
      <x:c r="M444" s="373"/>
      <x:c r="N444" s="373"/>
      <x:c r="O444" s="373"/>
      <x:c r="P444" s="373"/>
      <x:c r="Q444" s="373"/>
      <x:c r="R444" s="373"/>
      <x:c r="S444" s="373"/>
      <x:c r="T444" s="373"/>
      <x:c r="U444" s="373"/>
      <x:c r="V444" s="373"/>
      <x:c r="W444" s="373"/>
      <x:c r="X444" s="373"/>
      <x:c r="Y444" s="373"/>
      <x:c r="Z444" s="373"/>
    </x:row>
    <x:row r="445">
      <x:c r="A445" s="373"/>
      <x:c r="B445" s="373"/>
      <x:c r="C445" s="373"/>
      <x:c r="D445" s="373"/>
      <x:c r="E445" s="373"/>
      <x:c r="F445" s="373"/>
      <x:c r="G445" s="373"/>
      <x:c r="H445" s="373"/>
      <x:c r="I445" s="373"/>
      <x:c r="J445" s="373"/>
      <x:c r="K445" s="373"/>
      <x:c r="L445" s="373"/>
      <x:c r="M445" s="373"/>
      <x:c r="N445" s="373"/>
      <x:c r="O445" s="373"/>
      <x:c r="P445" s="373"/>
      <x:c r="Q445" s="373"/>
      <x:c r="R445" s="373"/>
      <x:c r="S445" s="373"/>
      <x:c r="T445" s="373"/>
      <x:c r="U445" s="373"/>
      <x:c r="V445" s="373"/>
      <x:c r="W445" s="373"/>
      <x:c r="X445" s="373"/>
      <x:c r="Y445" s="373"/>
      <x:c r="Z445" s="373"/>
    </x:row>
    <x:row r="446">
      <x:c r="A446" s="373"/>
      <x:c r="B446" s="373"/>
      <x:c r="C446" s="373"/>
      <x:c r="D446" s="373"/>
      <x:c r="E446" s="373"/>
      <x:c r="F446" s="373"/>
      <x:c r="G446" s="373"/>
      <x:c r="H446" s="373"/>
      <x:c r="I446" s="373"/>
      <x:c r="J446" s="373"/>
      <x:c r="K446" s="373"/>
      <x:c r="L446" s="373"/>
      <x:c r="M446" s="373"/>
      <x:c r="N446" s="373"/>
      <x:c r="O446" s="373"/>
      <x:c r="P446" s="373"/>
      <x:c r="Q446" s="373"/>
      <x:c r="R446" s="373"/>
      <x:c r="S446" s="373"/>
      <x:c r="T446" s="373"/>
      <x:c r="U446" s="373"/>
      <x:c r="V446" s="373"/>
      <x:c r="W446" s="373"/>
      <x:c r="X446" s="373"/>
      <x:c r="Y446" s="373"/>
      <x:c r="Z446" s="373"/>
    </x:row>
    <x:row r="447">
      <x:c r="A447" s="373"/>
      <x:c r="B447" s="373"/>
      <x:c r="C447" s="373"/>
      <x:c r="D447" s="373"/>
      <x:c r="E447" s="373"/>
      <x:c r="F447" s="373"/>
      <x:c r="G447" s="373"/>
      <x:c r="H447" s="373"/>
      <x:c r="I447" s="373"/>
      <x:c r="J447" s="373"/>
      <x:c r="K447" s="373"/>
      <x:c r="L447" s="373"/>
      <x:c r="M447" s="373"/>
      <x:c r="N447" s="373"/>
      <x:c r="O447" s="373"/>
      <x:c r="P447" s="373"/>
      <x:c r="Q447" s="373"/>
      <x:c r="R447" s="373"/>
      <x:c r="S447" s="373"/>
      <x:c r="T447" s="373"/>
      <x:c r="U447" s="373"/>
      <x:c r="V447" s="373"/>
      <x:c r="W447" s="373"/>
      <x:c r="X447" s="373"/>
      <x:c r="Y447" s="373"/>
      <x:c r="Z447" s="373"/>
    </x:row>
    <x:row r="448">
      <x:c r="A448" s="373"/>
      <x:c r="B448" s="373"/>
      <x:c r="C448" s="373"/>
      <x:c r="D448" s="373"/>
      <x:c r="E448" s="373"/>
      <x:c r="F448" s="373"/>
      <x:c r="G448" s="373"/>
      <x:c r="H448" s="373"/>
      <x:c r="I448" s="373"/>
      <x:c r="J448" s="373"/>
      <x:c r="K448" s="373"/>
      <x:c r="L448" s="373"/>
      <x:c r="M448" s="373"/>
      <x:c r="N448" s="373"/>
      <x:c r="O448" s="373"/>
      <x:c r="P448" s="373"/>
      <x:c r="Q448" s="373"/>
      <x:c r="R448" s="373"/>
      <x:c r="S448" s="373"/>
      <x:c r="T448" s="373"/>
      <x:c r="U448" s="373"/>
      <x:c r="V448" s="373"/>
      <x:c r="W448" s="373"/>
      <x:c r="X448" s="373"/>
      <x:c r="Y448" s="373"/>
      <x:c r="Z448" s="373"/>
    </x:row>
    <x:row r="449">
      <x:c r="A449" s="373"/>
      <x:c r="B449" s="373"/>
      <x:c r="C449" s="373"/>
      <x:c r="D449" s="373"/>
      <x:c r="E449" s="373"/>
      <x:c r="F449" s="373"/>
      <x:c r="G449" s="373"/>
      <x:c r="H449" s="373"/>
      <x:c r="I449" s="373"/>
      <x:c r="J449" s="373"/>
      <x:c r="K449" s="373"/>
      <x:c r="L449" s="373"/>
      <x:c r="M449" s="373"/>
      <x:c r="N449" s="373"/>
      <x:c r="O449" s="373"/>
      <x:c r="P449" s="373"/>
      <x:c r="Q449" s="373"/>
      <x:c r="R449" s="373"/>
      <x:c r="S449" s="373"/>
      <x:c r="T449" s="373"/>
      <x:c r="U449" s="373"/>
      <x:c r="V449" s="373"/>
      <x:c r="W449" s="373"/>
      <x:c r="X449" s="373"/>
      <x:c r="Y449" s="373"/>
      <x:c r="Z449" s="373"/>
    </x:row>
    <x:row r="450">
      <x:c r="A450" s="373"/>
      <x:c r="B450" s="373"/>
      <x:c r="C450" s="373"/>
      <x:c r="D450" s="373"/>
      <x:c r="E450" s="373"/>
      <x:c r="F450" s="373"/>
      <x:c r="G450" s="373"/>
      <x:c r="H450" s="373"/>
      <x:c r="I450" s="373"/>
      <x:c r="J450" s="373"/>
      <x:c r="K450" s="373"/>
      <x:c r="L450" s="373"/>
      <x:c r="M450" s="373"/>
      <x:c r="N450" s="373"/>
      <x:c r="O450" s="373"/>
      <x:c r="P450" s="373"/>
      <x:c r="Q450" s="373"/>
      <x:c r="R450" s="373"/>
      <x:c r="S450" s="373"/>
      <x:c r="T450" s="373"/>
      <x:c r="U450" s="373"/>
      <x:c r="V450" s="373"/>
      <x:c r="W450" s="373"/>
      <x:c r="X450" s="373"/>
      <x:c r="Y450" s="373"/>
      <x:c r="Z450" s="373"/>
    </x:row>
    <x:row r="451">
      <x:c r="A451" s="373"/>
      <x:c r="B451" s="373"/>
      <x:c r="C451" s="373"/>
      <x:c r="D451" s="373"/>
      <x:c r="E451" s="373"/>
      <x:c r="F451" s="373"/>
      <x:c r="G451" s="373"/>
      <x:c r="H451" s="373"/>
      <x:c r="I451" s="373"/>
      <x:c r="J451" s="373"/>
      <x:c r="K451" s="373"/>
      <x:c r="L451" s="373"/>
      <x:c r="M451" s="373"/>
      <x:c r="N451" s="373"/>
      <x:c r="O451" s="373"/>
      <x:c r="P451" s="373"/>
      <x:c r="Q451" s="373"/>
      <x:c r="R451" s="373"/>
      <x:c r="S451" s="373"/>
      <x:c r="T451" s="373"/>
      <x:c r="U451" s="373"/>
      <x:c r="V451" s="373"/>
      <x:c r="W451" s="373"/>
      <x:c r="X451" s="373"/>
      <x:c r="Y451" s="373"/>
      <x:c r="Z451" s="373"/>
    </x:row>
    <x:row r="452">
      <x:c r="A452" s="373"/>
      <x:c r="B452" s="373"/>
      <x:c r="C452" s="373"/>
      <x:c r="D452" s="373"/>
      <x:c r="E452" s="373"/>
      <x:c r="F452" s="373"/>
      <x:c r="G452" s="373"/>
      <x:c r="H452" s="373"/>
      <x:c r="I452" s="373"/>
      <x:c r="J452" s="373"/>
      <x:c r="K452" s="373"/>
      <x:c r="L452" s="373"/>
      <x:c r="M452" s="373"/>
      <x:c r="N452" s="373"/>
      <x:c r="O452" s="373"/>
      <x:c r="P452" s="373"/>
      <x:c r="Q452" s="373"/>
      <x:c r="R452" s="373"/>
      <x:c r="S452" s="373"/>
      <x:c r="T452" s="373"/>
      <x:c r="U452" s="373"/>
      <x:c r="V452" s="373"/>
      <x:c r="W452" s="373"/>
      <x:c r="X452" s="373"/>
      <x:c r="Y452" s="373"/>
      <x:c r="Z452" s="373"/>
    </x:row>
    <x:row r="453">
      <x:c r="A453" s="373"/>
      <x:c r="B453" s="373"/>
      <x:c r="C453" s="373"/>
      <x:c r="D453" s="373"/>
      <x:c r="E453" s="373"/>
      <x:c r="F453" s="373"/>
      <x:c r="G453" s="373"/>
      <x:c r="H453" s="373"/>
      <x:c r="I453" s="373"/>
      <x:c r="J453" s="373"/>
      <x:c r="K453" s="373"/>
      <x:c r="L453" s="373"/>
      <x:c r="M453" s="373"/>
      <x:c r="N453" s="373"/>
      <x:c r="O453" s="373"/>
      <x:c r="P453" s="373"/>
      <x:c r="Q453" s="373"/>
      <x:c r="R453" s="373"/>
      <x:c r="S453" s="373"/>
      <x:c r="T453" s="373"/>
      <x:c r="U453" s="373"/>
      <x:c r="V453" s="373"/>
      <x:c r="W453" s="373"/>
      <x:c r="X453" s="373"/>
      <x:c r="Y453" s="373"/>
      <x:c r="Z453" s="373"/>
    </x:row>
    <x:row r="454">
      <x:c r="A454" s="373"/>
      <x:c r="B454" s="373"/>
      <x:c r="C454" s="373"/>
      <x:c r="D454" s="373"/>
      <x:c r="E454" s="373"/>
      <x:c r="F454" s="373"/>
      <x:c r="G454" s="373"/>
      <x:c r="H454" s="373"/>
      <x:c r="I454" s="373"/>
      <x:c r="J454" s="373"/>
      <x:c r="K454" s="373"/>
      <x:c r="L454" s="373"/>
      <x:c r="M454" s="373"/>
      <x:c r="N454" s="373"/>
      <x:c r="O454" s="373"/>
      <x:c r="P454" s="373"/>
      <x:c r="Q454" s="373"/>
      <x:c r="R454" s="373"/>
      <x:c r="S454" s="373"/>
      <x:c r="T454" s="373"/>
      <x:c r="U454" s="373"/>
      <x:c r="V454" s="373"/>
      <x:c r="W454" s="373"/>
      <x:c r="X454" s="373"/>
      <x:c r="Y454" s="373"/>
      <x:c r="Z454" s="373"/>
    </x:row>
    <x:row r="455">
      <x:c r="A455" s="373"/>
      <x:c r="B455" s="373"/>
      <x:c r="C455" s="373"/>
      <x:c r="D455" s="373"/>
      <x:c r="E455" s="373"/>
      <x:c r="F455" s="373"/>
      <x:c r="G455" s="373"/>
      <x:c r="H455" s="373"/>
      <x:c r="I455" s="373"/>
      <x:c r="J455" s="373"/>
      <x:c r="K455" s="373"/>
      <x:c r="L455" s="373"/>
      <x:c r="M455" s="373"/>
      <x:c r="N455" s="373"/>
      <x:c r="O455" s="373"/>
      <x:c r="P455" s="373"/>
      <x:c r="Q455" s="373"/>
      <x:c r="R455" s="373"/>
      <x:c r="S455" s="373"/>
      <x:c r="T455" s="373"/>
      <x:c r="U455" s="373"/>
      <x:c r="V455" s="373"/>
      <x:c r="W455" s="373"/>
      <x:c r="X455" s="373"/>
      <x:c r="Y455" s="373"/>
      <x:c r="Z455" s="373"/>
    </x:row>
    <x:row r="456">
      <x:c r="A456" s="373"/>
      <x:c r="B456" s="373"/>
      <x:c r="C456" s="373"/>
      <x:c r="D456" s="373"/>
      <x:c r="E456" s="373"/>
      <x:c r="F456" s="373"/>
      <x:c r="G456" s="373"/>
      <x:c r="H456" s="373"/>
      <x:c r="I456" s="373"/>
      <x:c r="J456" s="373"/>
      <x:c r="K456" s="373"/>
      <x:c r="L456" s="373"/>
      <x:c r="M456" s="373"/>
      <x:c r="N456" s="373"/>
      <x:c r="O456" s="373"/>
      <x:c r="P456" s="373"/>
      <x:c r="Q456" s="373"/>
      <x:c r="R456" s="373"/>
      <x:c r="S456" s="373"/>
      <x:c r="T456" s="373"/>
      <x:c r="U456" s="373"/>
      <x:c r="V456" s="373"/>
      <x:c r="W456" s="373"/>
      <x:c r="X456" s="373"/>
      <x:c r="Y456" s="373"/>
      <x:c r="Z456" s="373"/>
    </x:row>
    <x:row r="457">
      <x:c r="A457" s="373"/>
      <x:c r="B457" s="373"/>
      <x:c r="C457" s="373"/>
      <x:c r="D457" s="373"/>
      <x:c r="E457" s="373"/>
      <x:c r="F457" s="373"/>
      <x:c r="G457" s="373"/>
      <x:c r="H457" s="373"/>
      <x:c r="I457" s="373"/>
      <x:c r="J457" s="373"/>
      <x:c r="K457" s="373"/>
      <x:c r="L457" s="373"/>
      <x:c r="M457" s="373"/>
      <x:c r="N457" s="373"/>
      <x:c r="O457" s="373"/>
      <x:c r="P457" s="373"/>
      <x:c r="Q457" s="373"/>
      <x:c r="R457" s="373"/>
      <x:c r="S457" s="373"/>
      <x:c r="T457" s="373"/>
      <x:c r="U457" s="373"/>
      <x:c r="V457" s="373"/>
      <x:c r="W457" s="373"/>
      <x:c r="X457" s="373"/>
      <x:c r="Y457" s="373"/>
      <x:c r="Z457" s="373"/>
    </x:row>
    <x:row r="458">
      <x:c r="A458" s="373"/>
      <x:c r="B458" s="373"/>
      <x:c r="C458" s="373"/>
      <x:c r="D458" s="373"/>
      <x:c r="E458" s="373"/>
      <x:c r="F458" s="373"/>
      <x:c r="G458" s="373"/>
      <x:c r="H458" s="373"/>
      <x:c r="I458" s="373"/>
      <x:c r="J458" s="373"/>
      <x:c r="K458" s="373"/>
      <x:c r="L458" s="373"/>
      <x:c r="M458" s="373"/>
      <x:c r="N458" s="373"/>
      <x:c r="O458" s="373"/>
      <x:c r="P458" s="373"/>
      <x:c r="Q458" s="373"/>
      <x:c r="R458" s="373"/>
      <x:c r="S458" s="373"/>
      <x:c r="T458" s="373"/>
      <x:c r="U458" s="373"/>
      <x:c r="V458" s="373"/>
      <x:c r="W458" s="373"/>
      <x:c r="X458" s="373"/>
      <x:c r="Y458" s="373"/>
      <x:c r="Z458" s="373"/>
    </x:row>
    <x:row r="459">
      <x:c r="A459" s="373"/>
      <x:c r="B459" s="373"/>
      <x:c r="C459" s="373"/>
      <x:c r="D459" s="373"/>
      <x:c r="E459" s="373"/>
      <x:c r="F459" s="373"/>
      <x:c r="G459" s="373"/>
      <x:c r="H459" s="373"/>
      <x:c r="I459" s="373"/>
      <x:c r="J459" s="373"/>
      <x:c r="K459" s="373"/>
      <x:c r="L459" s="373"/>
      <x:c r="M459" s="373"/>
      <x:c r="N459" s="373"/>
      <x:c r="O459" s="373"/>
      <x:c r="P459" s="373"/>
      <x:c r="Q459" s="373"/>
      <x:c r="R459" s="373"/>
      <x:c r="S459" s="373"/>
      <x:c r="T459" s="373"/>
      <x:c r="U459" s="373"/>
      <x:c r="V459" s="373"/>
      <x:c r="W459" s="373"/>
      <x:c r="X459" s="373"/>
      <x:c r="Y459" s="373"/>
      <x:c r="Z459" s="373"/>
    </x:row>
    <x:row r="460">
      <x:c r="A460" s="373"/>
      <x:c r="B460" s="373"/>
      <x:c r="C460" s="373"/>
      <x:c r="D460" s="373"/>
      <x:c r="E460" s="373"/>
      <x:c r="F460" s="373"/>
      <x:c r="G460" s="373"/>
      <x:c r="H460" s="373"/>
      <x:c r="I460" s="373"/>
      <x:c r="J460" s="373"/>
      <x:c r="K460" s="373"/>
      <x:c r="L460" s="373"/>
      <x:c r="M460" s="373"/>
      <x:c r="N460" s="373"/>
      <x:c r="O460" s="373"/>
      <x:c r="P460" s="373"/>
      <x:c r="Q460" s="373"/>
      <x:c r="R460" s="373"/>
      <x:c r="S460" s="373"/>
      <x:c r="T460" s="373"/>
      <x:c r="U460" s="373"/>
      <x:c r="V460" s="373"/>
      <x:c r="W460" s="373"/>
      <x:c r="X460" s="373"/>
      <x:c r="Y460" s="373"/>
      <x:c r="Z460" s="373"/>
    </x:row>
    <x:row r="461">
      <x:c r="A461" s="373"/>
      <x:c r="B461" s="373"/>
      <x:c r="C461" s="373"/>
      <x:c r="D461" s="373"/>
      <x:c r="E461" s="373"/>
      <x:c r="F461" s="373"/>
      <x:c r="G461" s="373"/>
      <x:c r="H461" s="373"/>
      <x:c r="I461" s="373"/>
      <x:c r="J461" s="373"/>
      <x:c r="K461" s="373"/>
      <x:c r="L461" s="373"/>
      <x:c r="M461" s="373"/>
      <x:c r="N461" s="373"/>
      <x:c r="O461" s="373"/>
      <x:c r="P461" s="373"/>
      <x:c r="Q461" s="373"/>
      <x:c r="R461" s="373"/>
      <x:c r="S461" s="373"/>
      <x:c r="T461" s="373"/>
      <x:c r="U461" s="373"/>
      <x:c r="V461" s="373"/>
      <x:c r="W461" s="373"/>
      <x:c r="X461" s="373"/>
      <x:c r="Y461" s="373"/>
      <x:c r="Z461" s="373"/>
    </x:row>
    <x:row r="462">
      <x:c r="A462" s="373"/>
      <x:c r="B462" s="373"/>
      <x:c r="C462" s="373"/>
      <x:c r="D462" s="373"/>
      <x:c r="E462" s="373"/>
      <x:c r="F462" s="373"/>
      <x:c r="G462" s="373"/>
      <x:c r="H462" s="373"/>
      <x:c r="I462" s="373"/>
      <x:c r="J462" s="373"/>
      <x:c r="K462" s="373"/>
      <x:c r="L462" s="373"/>
      <x:c r="M462" s="373"/>
      <x:c r="N462" s="373"/>
      <x:c r="O462" s="373"/>
      <x:c r="P462" s="373"/>
      <x:c r="Q462" s="373"/>
      <x:c r="R462" s="373"/>
      <x:c r="S462" s="373"/>
      <x:c r="T462" s="373"/>
      <x:c r="U462" s="373"/>
      <x:c r="V462" s="373"/>
      <x:c r="W462" s="373"/>
      <x:c r="X462" s="373"/>
      <x:c r="Y462" s="373"/>
      <x:c r="Z462" s="373"/>
    </x:row>
    <x:row r="463">
      <x:c r="A463" s="373"/>
      <x:c r="B463" s="373"/>
      <x:c r="C463" s="373"/>
      <x:c r="D463" s="373"/>
      <x:c r="E463" s="373"/>
      <x:c r="F463" s="373"/>
      <x:c r="G463" s="373"/>
      <x:c r="H463" s="373"/>
      <x:c r="I463" s="373"/>
      <x:c r="J463" s="373"/>
      <x:c r="K463" s="373"/>
      <x:c r="L463" s="373"/>
      <x:c r="M463" s="373"/>
      <x:c r="N463" s="373"/>
      <x:c r="O463" s="373"/>
      <x:c r="P463" s="373"/>
      <x:c r="Q463" s="373"/>
      <x:c r="R463" s="373"/>
      <x:c r="S463" s="373"/>
      <x:c r="T463" s="373"/>
      <x:c r="U463" s="373"/>
      <x:c r="V463" s="373"/>
      <x:c r="W463" s="373"/>
      <x:c r="X463" s="373"/>
      <x:c r="Y463" s="373"/>
      <x:c r="Z463" s="373"/>
    </x:row>
    <x:row r="464">
      <x:c r="A464" s="373"/>
      <x:c r="B464" s="373"/>
      <x:c r="C464" s="373"/>
      <x:c r="D464" s="373"/>
      <x:c r="E464" s="373"/>
      <x:c r="F464" s="373"/>
      <x:c r="G464" s="373"/>
      <x:c r="H464" s="373"/>
      <x:c r="I464" s="373"/>
      <x:c r="J464" s="373"/>
      <x:c r="K464" s="373"/>
      <x:c r="L464" s="373"/>
      <x:c r="M464" s="373"/>
      <x:c r="N464" s="373"/>
      <x:c r="O464" s="373"/>
      <x:c r="P464" s="373"/>
      <x:c r="Q464" s="373"/>
      <x:c r="R464" s="373"/>
      <x:c r="S464" s="373"/>
      <x:c r="T464" s="373"/>
      <x:c r="U464" s="373"/>
      <x:c r="V464" s="373"/>
      <x:c r="W464" s="373"/>
      <x:c r="X464" s="373"/>
      <x:c r="Y464" s="373"/>
      <x:c r="Z464" s="373"/>
    </x:row>
    <x:row r="465">
      <x:c r="A465" s="373"/>
      <x:c r="B465" s="373"/>
      <x:c r="C465" s="373"/>
      <x:c r="D465" s="373"/>
      <x:c r="E465" s="373"/>
      <x:c r="F465" s="373"/>
      <x:c r="G465" s="373"/>
      <x:c r="H465" s="373"/>
      <x:c r="I465" s="373"/>
      <x:c r="J465" s="373"/>
      <x:c r="K465" s="373"/>
      <x:c r="L465" s="373"/>
      <x:c r="M465" s="373"/>
      <x:c r="N465" s="373"/>
      <x:c r="O465" s="373"/>
      <x:c r="P465" s="373"/>
      <x:c r="Q465" s="373"/>
      <x:c r="R465" s="373"/>
      <x:c r="S465" s="373"/>
      <x:c r="T465" s="373"/>
      <x:c r="U465" s="373"/>
      <x:c r="V465" s="373"/>
      <x:c r="W465" s="373"/>
      <x:c r="X465" s="373"/>
      <x:c r="Y465" s="373"/>
      <x:c r="Z465" s="373"/>
    </x:row>
    <x:row r="466">
      <x:c r="A466" s="373"/>
      <x:c r="B466" s="373"/>
      <x:c r="C466" s="373"/>
      <x:c r="D466" s="373"/>
      <x:c r="E466" s="373"/>
      <x:c r="F466" s="373"/>
      <x:c r="G466" s="373"/>
      <x:c r="H466" s="373"/>
      <x:c r="I466" s="373"/>
      <x:c r="J466" s="373"/>
      <x:c r="K466" s="373"/>
      <x:c r="L466" s="373"/>
      <x:c r="M466" s="373"/>
      <x:c r="N466" s="373"/>
      <x:c r="O466" s="373"/>
      <x:c r="P466" s="373"/>
      <x:c r="Q466" s="373"/>
      <x:c r="R466" s="373"/>
      <x:c r="S466" s="373"/>
      <x:c r="T466" s="373"/>
      <x:c r="U466" s="373"/>
      <x:c r="V466" s="373"/>
      <x:c r="W466" s="373"/>
      <x:c r="X466" s="373"/>
      <x:c r="Y466" s="373"/>
      <x:c r="Z466" s="373"/>
    </x:row>
    <x:row r="467">
      <x:c r="A467" s="373"/>
      <x:c r="B467" s="373"/>
      <x:c r="C467" s="373"/>
      <x:c r="D467" s="373"/>
      <x:c r="E467" s="373"/>
      <x:c r="F467" s="373"/>
      <x:c r="G467" s="373"/>
      <x:c r="H467" s="373"/>
      <x:c r="I467" s="373"/>
      <x:c r="J467" s="373"/>
      <x:c r="K467" s="373"/>
      <x:c r="L467" s="373"/>
      <x:c r="M467" s="373"/>
      <x:c r="N467" s="373"/>
      <x:c r="O467" s="373"/>
      <x:c r="P467" s="373"/>
      <x:c r="Q467" s="373"/>
      <x:c r="R467" s="373"/>
      <x:c r="S467" s="373"/>
      <x:c r="T467" s="373"/>
      <x:c r="U467" s="373"/>
      <x:c r="V467" s="373"/>
      <x:c r="W467" s="373"/>
      <x:c r="X467" s="373"/>
      <x:c r="Y467" s="373"/>
      <x:c r="Z467" s="373"/>
    </x:row>
    <x:row r="468">
      <x:c r="A468" s="373"/>
      <x:c r="B468" s="373"/>
      <x:c r="C468" s="373"/>
      <x:c r="D468" s="373"/>
      <x:c r="E468" s="373"/>
      <x:c r="F468" s="373"/>
      <x:c r="G468" s="373"/>
      <x:c r="H468" s="373"/>
      <x:c r="I468" s="373"/>
      <x:c r="J468" s="373"/>
      <x:c r="K468" s="373"/>
      <x:c r="L468" s="373"/>
      <x:c r="M468" s="373"/>
      <x:c r="N468" s="373"/>
      <x:c r="O468" s="373"/>
      <x:c r="P468" s="373"/>
      <x:c r="Q468" s="373"/>
      <x:c r="R468" s="373"/>
      <x:c r="S468" s="373"/>
      <x:c r="T468" s="373"/>
      <x:c r="U468" s="373"/>
      <x:c r="V468" s="373"/>
      <x:c r="W468" s="373"/>
      <x:c r="X468" s="373"/>
      <x:c r="Y468" s="373"/>
      <x:c r="Z468" s="373"/>
    </x:row>
    <x:row r="469">
      <x:c r="A469" s="373"/>
      <x:c r="B469" s="373"/>
      <x:c r="C469" s="373"/>
      <x:c r="D469" s="373"/>
      <x:c r="E469" s="373"/>
      <x:c r="F469" s="373"/>
      <x:c r="G469" s="373"/>
      <x:c r="H469" s="373"/>
      <x:c r="I469" s="373"/>
      <x:c r="J469" s="373"/>
      <x:c r="K469" s="373"/>
      <x:c r="L469" s="373"/>
      <x:c r="M469" s="373"/>
      <x:c r="N469" s="373"/>
      <x:c r="O469" s="373"/>
      <x:c r="P469" s="373"/>
      <x:c r="Q469" s="373"/>
      <x:c r="R469" s="373"/>
      <x:c r="S469" s="373"/>
      <x:c r="T469" s="373"/>
      <x:c r="U469" s="373"/>
      <x:c r="V469" s="373"/>
      <x:c r="W469" s="373"/>
      <x:c r="X469" s="373"/>
      <x:c r="Y469" s="373"/>
      <x:c r="Z469" s="373"/>
    </x:row>
    <x:row r="470">
      <x:c r="A470" s="373"/>
      <x:c r="B470" s="373"/>
      <x:c r="C470" s="373"/>
      <x:c r="D470" s="373"/>
      <x:c r="E470" s="373"/>
      <x:c r="F470" s="373"/>
      <x:c r="G470" s="373"/>
      <x:c r="H470" s="373"/>
      <x:c r="I470" s="373"/>
      <x:c r="J470" s="373"/>
      <x:c r="K470" s="373"/>
      <x:c r="L470" s="373"/>
      <x:c r="M470" s="373"/>
      <x:c r="N470" s="373"/>
      <x:c r="O470" s="373"/>
      <x:c r="P470" s="373"/>
      <x:c r="Q470" s="373"/>
      <x:c r="R470" s="373"/>
      <x:c r="S470" s="373"/>
      <x:c r="T470" s="373"/>
      <x:c r="U470" s="373"/>
      <x:c r="V470" s="373"/>
      <x:c r="W470" s="373"/>
      <x:c r="X470" s="373"/>
      <x:c r="Y470" s="373"/>
      <x:c r="Z470" s="373"/>
    </x:row>
    <x:row r="471">
      <x:c r="A471" s="373"/>
      <x:c r="B471" s="373"/>
      <x:c r="C471" s="373"/>
      <x:c r="D471" s="373"/>
      <x:c r="E471" s="373"/>
      <x:c r="F471" s="373"/>
      <x:c r="G471" s="373"/>
      <x:c r="H471" s="373"/>
      <x:c r="I471" s="373"/>
      <x:c r="J471" s="373"/>
      <x:c r="K471" s="373"/>
      <x:c r="L471" s="373"/>
      <x:c r="M471" s="373"/>
      <x:c r="N471" s="373"/>
      <x:c r="O471" s="373"/>
      <x:c r="P471" s="373"/>
      <x:c r="Q471" s="373"/>
      <x:c r="R471" s="373"/>
      <x:c r="S471" s="373"/>
      <x:c r="T471" s="373"/>
      <x:c r="U471" s="373"/>
      <x:c r="V471" s="373"/>
      <x:c r="W471" s="373"/>
      <x:c r="X471" s="373"/>
      <x:c r="Y471" s="373"/>
      <x:c r="Z471" s="373"/>
    </x:row>
    <x:row r="472">
      <x:c r="A472" s="373"/>
      <x:c r="B472" s="373"/>
      <x:c r="C472" s="373"/>
      <x:c r="D472" s="373"/>
      <x:c r="E472" s="373"/>
      <x:c r="F472" s="373"/>
      <x:c r="G472" s="373"/>
      <x:c r="H472" s="373"/>
      <x:c r="I472" s="373"/>
      <x:c r="J472" s="373"/>
      <x:c r="K472" s="373"/>
      <x:c r="L472" s="373"/>
      <x:c r="M472" s="373"/>
      <x:c r="N472" s="373"/>
      <x:c r="O472" s="373"/>
      <x:c r="P472" s="373"/>
      <x:c r="Q472" s="373"/>
      <x:c r="R472" s="373"/>
      <x:c r="S472" s="373"/>
      <x:c r="T472" s="373"/>
      <x:c r="U472" s="373"/>
      <x:c r="V472" s="373"/>
      <x:c r="W472" s="373"/>
      <x:c r="X472" s="373"/>
      <x:c r="Y472" s="373"/>
      <x:c r="Z472" s="373"/>
    </x:row>
    <x:row r="473">
      <x:c r="A473" s="373"/>
      <x:c r="B473" s="373"/>
      <x:c r="C473" s="373"/>
      <x:c r="D473" s="373"/>
      <x:c r="E473" s="373"/>
      <x:c r="F473" s="373"/>
      <x:c r="G473" s="373"/>
      <x:c r="H473" s="373"/>
      <x:c r="I473" s="373"/>
      <x:c r="J473" s="373"/>
      <x:c r="K473" s="373"/>
      <x:c r="L473" s="373"/>
      <x:c r="M473" s="373"/>
      <x:c r="N473" s="373"/>
      <x:c r="O473" s="373"/>
      <x:c r="P473" s="373"/>
      <x:c r="Q473" s="373"/>
      <x:c r="R473" s="373"/>
      <x:c r="S473" s="373"/>
      <x:c r="T473" s="373"/>
      <x:c r="U473" s="373"/>
      <x:c r="V473" s="373"/>
      <x:c r="W473" s="373"/>
      <x:c r="X473" s="373"/>
      <x:c r="Y473" s="373"/>
      <x:c r="Z473" s="373"/>
    </x:row>
    <x:row r="474">
      <x:c r="A474" s="373"/>
      <x:c r="B474" s="373"/>
      <x:c r="C474" s="373"/>
      <x:c r="D474" s="373"/>
      <x:c r="E474" s="373"/>
      <x:c r="F474" s="373"/>
      <x:c r="G474" s="373"/>
      <x:c r="H474" s="373"/>
      <x:c r="I474" s="373"/>
      <x:c r="J474" s="373"/>
      <x:c r="K474" s="373"/>
      <x:c r="L474" s="373"/>
      <x:c r="M474" s="373"/>
      <x:c r="N474" s="373"/>
      <x:c r="O474" s="373"/>
      <x:c r="P474" s="373"/>
      <x:c r="Q474" s="373"/>
      <x:c r="R474" s="373"/>
      <x:c r="S474" s="373"/>
      <x:c r="T474" s="373"/>
      <x:c r="U474" s="373"/>
      <x:c r="V474" s="373"/>
      <x:c r="W474" s="373"/>
      <x:c r="X474" s="373"/>
      <x:c r="Y474" s="373"/>
      <x:c r="Z474" s="373"/>
    </x:row>
    <x:row r="475">
      <x:c r="A475" s="373"/>
      <x:c r="B475" s="373"/>
      <x:c r="C475" s="373"/>
      <x:c r="D475" s="373"/>
      <x:c r="E475" s="373"/>
      <x:c r="F475" s="373"/>
      <x:c r="G475" s="373"/>
      <x:c r="H475" s="373"/>
      <x:c r="I475" s="373"/>
      <x:c r="J475" s="373"/>
      <x:c r="K475" s="373"/>
      <x:c r="L475" s="373"/>
      <x:c r="M475" s="373"/>
      <x:c r="N475" s="373"/>
      <x:c r="O475" s="373"/>
      <x:c r="P475" s="373"/>
      <x:c r="Q475" s="373"/>
      <x:c r="R475" s="373"/>
      <x:c r="S475" s="373"/>
      <x:c r="T475" s="373"/>
      <x:c r="U475" s="373"/>
      <x:c r="V475" s="373"/>
      <x:c r="W475" s="373"/>
      <x:c r="X475" s="373"/>
      <x:c r="Y475" s="373"/>
      <x:c r="Z475" s="373"/>
    </x:row>
    <x:row r="476">
      <x:c r="A476" s="373"/>
      <x:c r="B476" s="373"/>
      <x:c r="C476" s="373"/>
      <x:c r="D476" s="373"/>
      <x:c r="E476" s="373"/>
      <x:c r="F476" s="373"/>
      <x:c r="G476" s="373"/>
      <x:c r="H476" s="373"/>
      <x:c r="I476" s="373"/>
      <x:c r="J476" s="373"/>
      <x:c r="K476" s="373"/>
      <x:c r="L476" s="373"/>
      <x:c r="M476" s="373"/>
      <x:c r="N476" s="373"/>
      <x:c r="O476" s="373"/>
      <x:c r="P476" s="373"/>
      <x:c r="Q476" s="373"/>
      <x:c r="R476" s="373"/>
      <x:c r="S476" s="373"/>
      <x:c r="T476" s="373"/>
      <x:c r="U476" s="373"/>
      <x:c r="V476" s="373"/>
      <x:c r="W476" s="373"/>
      <x:c r="X476" s="373"/>
      <x:c r="Y476" s="373"/>
      <x:c r="Z476" s="373"/>
    </x:row>
    <x:row r="477">
      <x:c r="A477" s="373"/>
      <x:c r="B477" s="373"/>
      <x:c r="C477" s="373"/>
      <x:c r="D477" s="373"/>
      <x:c r="E477" s="373"/>
      <x:c r="F477" s="373"/>
      <x:c r="G477" s="373"/>
      <x:c r="H477" s="373"/>
      <x:c r="I477" s="373"/>
      <x:c r="J477" s="373"/>
      <x:c r="K477" s="373"/>
      <x:c r="L477" s="373"/>
      <x:c r="M477" s="373"/>
      <x:c r="N477" s="373"/>
      <x:c r="O477" s="373"/>
      <x:c r="P477" s="373"/>
      <x:c r="Q477" s="373"/>
      <x:c r="R477" s="373"/>
      <x:c r="S477" s="373"/>
      <x:c r="T477" s="373"/>
      <x:c r="U477" s="373"/>
      <x:c r="V477" s="373"/>
      <x:c r="W477" s="373"/>
      <x:c r="X477" s="373"/>
      <x:c r="Y477" s="373"/>
      <x:c r="Z477" s="373"/>
    </x:row>
    <x:row r="478">
      <x:c r="A478" s="373"/>
      <x:c r="B478" s="373"/>
      <x:c r="C478" s="373"/>
      <x:c r="D478" s="373"/>
      <x:c r="E478" s="373"/>
      <x:c r="F478" s="373"/>
      <x:c r="G478" s="373"/>
      <x:c r="H478" s="373"/>
      <x:c r="I478" s="373"/>
      <x:c r="J478" s="373"/>
      <x:c r="K478" s="373"/>
      <x:c r="L478" s="373"/>
      <x:c r="M478" s="373"/>
      <x:c r="N478" s="373"/>
      <x:c r="O478" s="373"/>
      <x:c r="P478" s="373"/>
      <x:c r="Q478" s="373"/>
      <x:c r="R478" s="373"/>
      <x:c r="S478" s="373"/>
      <x:c r="T478" s="373"/>
      <x:c r="U478" s="373"/>
      <x:c r="V478" s="373"/>
      <x:c r="W478" s="373"/>
      <x:c r="X478" s="373"/>
      <x:c r="Y478" s="373"/>
      <x:c r="Z478" s="373"/>
    </x:row>
    <x:row r="479">
      <x:c r="A479" s="373"/>
      <x:c r="B479" s="373"/>
      <x:c r="C479" s="373"/>
      <x:c r="D479" s="373"/>
      <x:c r="E479" s="373"/>
      <x:c r="F479" s="373"/>
      <x:c r="G479" s="373"/>
      <x:c r="H479" s="373"/>
      <x:c r="I479" s="373"/>
      <x:c r="J479" s="373"/>
      <x:c r="K479" s="373"/>
      <x:c r="L479" s="373"/>
      <x:c r="M479" s="373"/>
      <x:c r="N479" s="373"/>
      <x:c r="O479" s="373"/>
      <x:c r="P479" s="373"/>
      <x:c r="Q479" s="373"/>
      <x:c r="R479" s="373"/>
      <x:c r="S479" s="373"/>
      <x:c r="T479" s="373"/>
      <x:c r="U479" s="373"/>
      <x:c r="V479" s="373"/>
      <x:c r="W479" s="373"/>
      <x:c r="X479" s="373"/>
      <x:c r="Y479" s="373"/>
      <x:c r="Z479" s="373"/>
    </x:row>
    <x:row r="480">
      <x:c r="A480" s="373"/>
      <x:c r="B480" s="373"/>
      <x:c r="C480" s="373"/>
      <x:c r="D480" s="373"/>
      <x:c r="E480" s="373"/>
      <x:c r="F480" s="373"/>
      <x:c r="G480" s="373"/>
      <x:c r="H480" s="373"/>
      <x:c r="I480" s="373"/>
      <x:c r="J480" s="373"/>
      <x:c r="K480" s="373"/>
      <x:c r="L480" s="373"/>
      <x:c r="M480" s="373"/>
      <x:c r="N480" s="373"/>
      <x:c r="O480" s="373"/>
      <x:c r="P480" s="373"/>
      <x:c r="Q480" s="373"/>
      <x:c r="R480" s="373"/>
      <x:c r="S480" s="373"/>
      <x:c r="T480" s="373"/>
      <x:c r="U480" s="373"/>
      <x:c r="V480" s="373"/>
      <x:c r="W480" s="373"/>
      <x:c r="X480" s="373"/>
      <x:c r="Y480" s="373"/>
      <x:c r="Z480" s="373"/>
    </x:row>
    <x:row r="481">
      <x:c r="A481" s="373"/>
      <x:c r="B481" s="373"/>
      <x:c r="C481" s="373"/>
      <x:c r="D481" s="373"/>
      <x:c r="E481" s="373"/>
      <x:c r="F481" s="373"/>
      <x:c r="G481" s="373"/>
      <x:c r="H481" s="373"/>
      <x:c r="I481" s="373"/>
      <x:c r="J481" s="373"/>
      <x:c r="K481" s="373"/>
      <x:c r="L481" s="373"/>
      <x:c r="M481" s="373"/>
      <x:c r="N481" s="373"/>
      <x:c r="O481" s="373"/>
      <x:c r="P481" s="373"/>
      <x:c r="Q481" s="373"/>
      <x:c r="R481" s="373"/>
      <x:c r="S481" s="373"/>
      <x:c r="T481" s="373"/>
      <x:c r="U481" s="373"/>
      <x:c r="V481" s="373"/>
      <x:c r="W481" s="373"/>
      <x:c r="X481" s="373"/>
      <x:c r="Y481" s="373"/>
      <x:c r="Z481" s="373"/>
    </x:row>
    <x:row r="482">
      <x:c r="A482" s="373"/>
      <x:c r="B482" s="373"/>
      <x:c r="C482" s="373"/>
      <x:c r="D482" s="373"/>
      <x:c r="E482" s="373"/>
      <x:c r="F482" s="373"/>
      <x:c r="G482" s="373"/>
      <x:c r="H482" s="373"/>
      <x:c r="I482" s="373"/>
      <x:c r="J482" s="373"/>
      <x:c r="K482" s="373"/>
      <x:c r="L482" s="373"/>
      <x:c r="M482" s="373"/>
      <x:c r="N482" s="373"/>
      <x:c r="O482" s="373"/>
      <x:c r="P482" s="373"/>
      <x:c r="Q482" s="373"/>
      <x:c r="R482" s="373"/>
      <x:c r="S482" s="373"/>
      <x:c r="T482" s="373"/>
      <x:c r="U482" s="373"/>
      <x:c r="V482" s="373"/>
      <x:c r="W482" s="373"/>
      <x:c r="X482" s="373"/>
      <x:c r="Y482" s="373"/>
      <x:c r="Z482" s="373"/>
    </x:row>
    <x:row r="483">
      <x:c r="A483" s="373"/>
      <x:c r="B483" s="373"/>
      <x:c r="C483" s="373"/>
      <x:c r="D483" s="373"/>
      <x:c r="E483" s="373"/>
      <x:c r="F483" s="373"/>
      <x:c r="G483" s="373"/>
      <x:c r="H483" s="373"/>
      <x:c r="I483" s="373"/>
      <x:c r="J483" s="373"/>
      <x:c r="K483" s="373"/>
      <x:c r="L483" s="373"/>
      <x:c r="M483" s="373"/>
      <x:c r="N483" s="373"/>
      <x:c r="O483" s="373"/>
      <x:c r="P483" s="373"/>
      <x:c r="Q483" s="373"/>
      <x:c r="R483" s="373"/>
      <x:c r="S483" s="373"/>
      <x:c r="T483" s="373"/>
      <x:c r="U483" s="373"/>
      <x:c r="V483" s="373"/>
      <x:c r="W483" s="373"/>
      <x:c r="X483" s="373"/>
      <x:c r="Y483" s="373"/>
      <x:c r="Z483" s="373"/>
    </x:row>
    <x:row r="484">
      <x:c r="A484" s="373"/>
      <x:c r="B484" s="373"/>
      <x:c r="C484" s="373"/>
      <x:c r="D484" s="373"/>
      <x:c r="E484" s="373"/>
      <x:c r="F484" s="373"/>
      <x:c r="G484" s="373"/>
      <x:c r="H484" s="373"/>
      <x:c r="I484" s="373"/>
      <x:c r="J484" s="373"/>
      <x:c r="K484" s="373"/>
      <x:c r="L484" s="373"/>
      <x:c r="M484" s="373"/>
      <x:c r="N484" s="373"/>
      <x:c r="O484" s="373"/>
      <x:c r="P484" s="373"/>
      <x:c r="Q484" s="373"/>
      <x:c r="R484" s="373"/>
      <x:c r="S484" s="373"/>
      <x:c r="T484" s="373"/>
      <x:c r="U484" s="373"/>
      <x:c r="V484" s="373"/>
      <x:c r="W484" s="373"/>
      <x:c r="X484" s="373"/>
      <x:c r="Y484" s="373"/>
      <x:c r="Z484" s="373"/>
    </x:row>
    <x:row r="485">
      <x:c r="A485" s="373"/>
      <x:c r="B485" s="373"/>
      <x:c r="C485" s="373"/>
      <x:c r="D485" s="373"/>
      <x:c r="E485" s="373"/>
      <x:c r="F485" s="373"/>
      <x:c r="G485" s="373"/>
      <x:c r="H485" s="373"/>
      <x:c r="I485" s="373"/>
      <x:c r="J485" s="373"/>
      <x:c r="K485" s="373"/>
      <x:c r="L485" s="373"/>
      <x:c r="M485" s="373"/>
      <x:c r="N485" s="373"/>
      <x:c r="O485" s="373"/>
      <x:c r="P485" s="373"/>
      <x:c r="Q485" s="373"/>
      <x:c r="R485" s="373"/>
      <x:c r="S485" s="373"/>
      <x:c r="T485" s="373"/>
      <x:c r="U485" s="373"/>
      <x:c r="V485" s="373"/>
      <x:c r="W485" s="373"/>
      <x:c r="X485" s="373"/>
      <x:c r="Y485" s="373"/>
      <x:c r="Z485" s="373"/>
    </x:row>
    <x:row r="486">
      <x:c r="A486" s="373"/>
      <x:c r="B486" s="373"/>
      <x:c r="C486" s="373"/>
      <x:c r="D486" s="373"/>
      <x:c r="E486" s="373"/>
      <x:c r="F486" s="373"/>
      <x:c r="G486" s="373"/>
      <x:c r="H486" s="373"/>
      <x:c r="I486" s="373"/>
      <x:c r="J486" s="373"/>
      <x:c r="K486" s="373"/>
      <x:c r="L486" s="373"/>
      <x:c r="M486" s="373"/>
      <x:c r="N486" s="373"/>
      <x:c r="O486" s="373"/>
      <x:c r="P486" s="373"/>
      <x:c r="Q486" s="373"/>
      <x:c r="R486" s="373"/>
      <x:c r="S486" s="373"/>
      <x:c r="T486" s="373"/>
      <x:c r="U486" s="373"/>
      <x:c r="V486" s="373"/>
      <x:c r="W486" s="373"/>
      <x:c r="X486" s="373"/>
      <x:c r="Y486" s="373"/>
      <x:c r="Z486" s="373"/>
    </x:row>
    <x:row r="487">
      <x:c r="A487" s="373"/>
      <x:c r="B487" s="373"/>
      <x:c r="C487" s="373"/>
      <x:c r="D487" s="373"/>
      <x:c r="E487" s="373"/>
      <x:c r="F487" s="373"/>
      <x:c r="G487" s="373"/>
      <x:c r="H487" s="373"/>
      <x:c r="I487" s="373"/>
      <x:c r="J487" s="373"/>
      <x:c r="K487" s="373"/>
      <x:c r="L487" s="373"/>
      <x:c r="M487" s="373"/>
      <x:c r="N487" s="373"/>
      <x:c r="O487" s="373"/>
      <x:c r="P487" s="373"/>
      <x:c r="Q487" s="373"/>
      <x:c r="R487" s="373"/>
      <x:c r="S487" s="373"/>
      <x:c r="T487" s="373"/>
      <x:c r="U487" s="373"/>
      <x:c r="V487" s="373"/>
      <x:c r="W487" s="373"/>
      <x:c r="X487" s="373"/>
      <x:c r="Y487" s="373"/>
      <x:c r="Z487" s="373"/>
    </x:row>
    <x:row r="488">
      <x:c r="A488" s="373"/>
      <x:c r="B488" s="373"/>
      <x:c r="C488" s="373"/>
      <x:c r="D488" s="373"/>
      <x:c r="E488" s="373"/>
      <x:c r="F488" s="373"/>
      <x:c r="G488" s="373"/>
      <x:c r="H488" s="373"/>
      <x:c r="I488" s="373"/>
      <x:c r="J488" s="373"/>
      <x:c r="K488" s="373"/>
      <x:c r="L488" s="373"/>
      <x:c r="M488" s="373"/>
      <x:c r="N488" s="373"/>
      <x:c r="O488" s="373"/>
      <x:c r="P488" s="373"/>
      <x:c r="Q488" s="373"/>
      <x:c r="R488" s="373"/>
      <x:c r="S488" s="373"/>
      <x:c r="T488" s="373"/>
      <x:c r="U488" s="373"/>
      <x:c r="V488" s="373"/>
      <x:c r="W488" s="373"/>
      <x:c r="X488" s="373"/>
      <x:c r="Y488" s="373"/>
      <x:c r="Z488" s="373"/>
    </x:row>
    <x:row r="489">
      <x:c r="A489" s="373"/>
      <x:c r="B489" s="373"/>
      <x:c r="C489" s="373"/>
      <x:c r="D489" s="373"/>
      <x:c r="E489" s="373"/>
      <x:c r="F489" s="373"/>
      <x:c r="G489" s="373"/>
      <x:c r="H489" s="373"/>
      <x:c r="I489" s="373"/>
      <x:c r="J489" s="373"/>
      <x:c r="K489" s="373"/>
      <x:c r="L489" s="373"/>
      <x:c r="M489" s="373"/>
      <x:c r="N489" s="373"/>
      <x:c r="O489" s="373"/>
      <x:c r="P489" s="373"/>
      <x:c r="Q489" s="373"/>
      <x:c r="R489" s="373"/>
      <x:c r="S489" s="373"/>
      <x:c r="T489" s="373"/>
      <x:c r="U489" s="373"/>
      <x:c r="V489" s="373"/>
      <x:c r="W489" s="373"/>
      <x:c r="X489" s="373"/>
      <x:c r="Y489" s="373"/>
      <x:c r="Z489" s="373"/>
    </x:row>
    <x:row r="490">
      <x:c r="A490" s="373"/>
      <x:c r="B490" s="373"/>
      <x:c r="C490" s="373"/>
      <x:c r="D490" s="373"/>
      <x:c r="E490" s="373"/>
      <x:c r="F490" s="373"/>
      <x:c r="G490" s="373"/>
      <x:c r="H490" s="373"/>
      <x:c r="I490" s="373"/>
      <x:c r="J490" s="373"/>
      <x:c r="K490" s="373"/>
      <x:c r="L490" s="373"/>
      <x:c r="M490" s="373"/>
      <x:c r="N490" s="373"/>
      <x:c r="O490" s="373"/>
      <x:c r="P490" s="373"/>
      <x:c r="Q490" s="373"/>
      <x:c r="R490" s="373"/>
      <x:c r="S490" s="373"/>
      <x:c r="T490" s="373"/>
      <x:c r="U490" s="373"/>
      <x:c r="V490" s="373"/>
      <x:c r="W490" s="373"/>
      <x:c r="X490" s="373"/>
      <x:c r="Y490" s="373"/>
      <x:c r="Z490" s="373"/>
    </x:row>
    <x:row r="491">
      <x:c r="A491" s="373"/>
      <x:c r="B491" s="373"/>
      <x:c r="C491" s="373"/>
      <x:c r="D491" s="373"/>
      <x:c r="E491" s="373"/>
      <x:c r="F491" s="373"/>
      <x:c r="G491" s="373"/>
      <x:c r="H491" s="373"/>
      <x:c r="I491" s="373"/>
      <x:c r="J491" s="373"/>
      <x:c r="K491" s="373"/>
      <x:c r="L491" s="373"/>
      <x:c r="M491" s="373"/>
      <x:c r="N491" s="373"/>
      <x:c r="O491" s="373"/>
      <x:c r="P491" s="373"/>
      <x:c r="Q491" s="373"/>
      <x:c r="R491" s="373"/>
      <x:c r="S491" s="373"/>
      <x:c r="T491" s="373"/>
      <x:c r="U491" s="373"/>
      <x:c r="V491" s="373"/>
      <x:c r="W491" s="373"/>
      <x:c r="X491" s="373"/>
      <x:c r="Y491" s="373"/>
      <x:c r="Z491" s="373"/>
    </x:row>
    <x:row r="492">
      <x:c r="A492" s="373"/>
      <x:c r="B492" s="373"/>
      <x:c r="C492" s="373"/>
      <x:c r="D492" s="373"/>
      <x:c r="E492" s="373"/>
      <x:c r="F492" s="373"/>
      <x:c r="G492" s="373"/>
      <x:c r="H492" s="373"/>
      <x:c r="I492" s="373"/>
      <x:c r="J492" s="373"/>
      <x:c r="K492" s="373"/>
      <x:c r="L492" s="373"/>
      <x:c r="M492" s="373"/>
      <x:c r="N492" s="373"/>
      <x:c r="O492" s="373"/>
      <x:c r="P492" s="373"/>
      <x:c r="Q492" s="373"/>
      <x:c r="R492" s="373"/>
      <x:c r="S492" s="373"/>
      <x:c r="T492" s="373"/>
      <x:c r="U492" s="373"/>
      <x:c r="V492" s="373"/>
      <x:c r="W492" s="373"/>
      <x:c r="X492" s="373"/>
      <x:c r="Y492" s="373"/>
      <x:c r="Z492" s="373"/>
    </x:row>
    <x:row r="493">
      <x:c r="A493" s="373"/>
      <x:c r="B493" s="373"/>
      <x:c r="C493" s="373"/>
      <x:c r="D493" s="373"/>
      <x:c r="E493" s="373"/>
      <x:c r="F493" s="373"/>
      <x:c r="G493" s="373"/>
      <x:c r="H493" s="373"/>
      <x:c r="I493" s="373"/>
      <x:c r="J493" s="373"/>
      <x:c r="K493" s="373"/>
      <x:c r="L493" s="373"/>
      <x:c r="M493" s="373"/>
      <x:c r="N493" s="373"/>
      <x:c r="O493" s="373"/>
      <x:c r="P493" s="373"/>
      <x:c r="Q493" s="373"/>
      <x:c r="R493" s="373"/>
      <x:c r="S493" s="373"/>
      <x:c r="T493" s="373"/>
      <x:c r="U493" s="373"/>
      <x:c r="V493" s="373"/>
      <x:c r="W493" s="373"/>
      <x:c r="X493" s="373"/>
      <x:c r="Y493" s="373"/>
      <x:c r="Z493" s="373"/>
    </x:row>
    <x:row r="494">
      <x:c r="A494" s="373"/>
      <x:c r="B494" s="373"/>
      <x:c r="C494" s="373"/>
      <x:c r="D494" s="373"/>
      <x:c r="E494" s="373"/>
      <x:c r="F494" s="373"/>
      <x:c r="G494" s="373"/>
      <x:c r="H494" s="373"/>
      <x:c r="I494" s="373"/>
      <x:c r="J494" s="373"/>
      <x:c r="K494" s="373"/>
      <x:c r="L494" s="373"/>
      <x:c r="M494" s="373"/>
      <x:c r="N494" s="373"/>
      <x:c r="O494" s="373"/>
      <x:c r="P494" s="373"/>
      <x:c r="Q494" s="373"/>
      <x:c r="R494" s="373"/>
      <x:c r="S494" s="373"/>
      <x:c r="T494" s="373"/>
      <x:c r="U494" s="373"/>
      <x:c r="V494" s="373"/>
      <x:c r="W494" s="373"/>
      <x:c r="X494" s="373"/>
      <x:c r="Y494" s="373"/>
      <x:c r="Z494" s="373"/>
    </x:row>
    <x:row r="495">
      <x:c r="A495" s="373"/>
      <x:c r="B495" s="373"/>
      <x:c r="C495" s="373"/>
      <x:c r="D495" s="373"/>
      <x:c r="E495" s="373"/>
      <x:c r="F495" s="373"/>
      <x:c r="G495" s="373"/>
      <x:c r="H495" s="373"/>
      <x:c r="I495" s="373"/>
      <x:c r="J495" s="373"/>
      <x:c r="K495" s="373"/>
      <x:c r="L495" s="373"/>
      <x:c r="M495" s="373"/>
      <x:c r="N495" s="373"/>
      <x:c r="O495" s="373"/>
      <x:c r="P495" s="373"/>
      <x:c r="Q495" s="373"/>
      <x:c r="R495" s="373"/>
      <x:c r="S495" s="373"/>
      <x:c r="T495" s="373"/>
      <x:c r="U495" s="373"/>
      <x:c r="V495" s="373"/>
      <x:c r="W495" s="373"/>
      <x:c r="X495" s="373"/>
      <x:c r="Y495" s="373"/>
      <x:c r="Z495" s="373"/>
    </x:row>
    <x:row r="496">
      <x:c r="A496" s="373"/>
      <x:c r="B496" s="373"/>
      <x:c r="C496" s="373"/>
      <x:c r="D496" s="373"/>
      <x:c r="E496" s="373"/>
      <x:c r="F496" s="373"/>
      <x:c r="G496" s="373"/>
      <x:c r="H496" s="373"/>
      <x:c r="I496" s="373"/>
      <x:c r="J496" s="373"/>
      <x:c r="K496" s="373"/>
      <x:c r="L496" s="373"/>
      <x:c r="M496" s="373"/>
      <x:c r="N496" s="373"/>
      <x:c r="O496" s="373"/>
      <x:c r="P496" s="373"/>
      <x:c r="Q496" s="373"/>
      <x:c r="R496" s="373"/>
      <x:c r="S496" s="373"/>
      <x:c r="T496" s="373"/>
      <x:c r="U496" s="373"/>
      <x:c r="V496" s="373"/>
      <x:c r="W496" s="373"/>
      <x:c r="X496" s="373"/>
      <x:c r="Y496" s="373"/>
      <x:c r="Z496" s="373"/>
    </x:row>
    <x:row r="497">
      <x:c r="A497" s="373"/>
      <x:c r="B497" s="373"/>
      <x:c r="C497" s="373"/>
      <x:c r="D497" s="373"/>
      <x:c r="E497" s="373"/>
      <x:c r="F497" s="373"/>
      <x:c r="G497" s="373"/>
      <x:c r="H497" s="373"/>
      <x:c r="I497" s="373"/>
      <x:c r="J497" s="373"/>
      <x:c r="K497" s="373"/>
      <x:c r="L497" s="373"/>
      <x:c r="M497" s="373"/>
      <x:c r="N497" s="373"/>
      <x:c r="O497" s="373"/>
      <x:c r="P497" s="373"/>
      <x:c r="Q497" s="373"/>
      <x:c r="R497" s="373"/>
      <x:c r="S497" s="373"/>
      <x:c r="T497" s="373"/>
      <x:c r="U497" s="373"/>
      <x:c r="V497" s="373"/>
      <x:c r="W497" s="373"/>
      <x:c r="X497" s="373"/>
      <x:c r="Y497" s="373"/>
      <x:c r="Z497" s="373"/>
    </x:row>
    <x:row r="498">
      <x:c r="A498" s="373"/>
      <x:c r="B498" s="373"/>
      <x:c r="C498" s="373"/>
      <x:c r="D498" s="373"/>
      <x:c r="E498" s="373"/>
      <x:c r="F498" s="373"/>
      <x:c r="G498" s="373"/>
      <x:c r="H498" s="373"/>
      <x:c r="I498" s="373"/>
      <x:c r="J498" s="373"/>
      <x:c r="K498" s="373"/>
      <x:c r="L498" s="373"/>
      <x:c r="M498" s="373"/>
      <x:c r="N498" s="373"/>
      <x:c r="O498" s="373"/>
      <x:c r="P498" s="373"/>
      <x:c r="Q498" s="373"/>
      <x:c r="R498" s="373"/>
      <x:c r="S498" s="373"/>
      <x:c r="T498" s="373"/>
      <x:c r="U498" s="373"/>
      <x:c r="V498" s="373"/>
      <x:c r="W498" s="373"/>
      <x:c r="X498" s="373"/>
      <x:c r="Y498" s="373"/>
      <x:c r="Z498" s="373"/>
    </x:row>
    <x:row r="499">
      <x:c r="A499" s="373"/>
      <x:c r="B499" s="373"/>
      <x:c r="C499" s="373"/>
      <x:c r="D499" s="373"/>
      <x:c r="E499" s="373"/>
      <x:c r="F499" s="373"/>
      <x:c r="G499" s="373"/>
      <x:c r="H499" s="373"/>
      <x:c r="I499" s="373"/>
      <x:c r="J499" s="373"/>
      <x:c r="K499" s="373"/>
      <x:c r="L499" s="373"/>
      <x:c r="M499" s="373"/>
      <x:c r="N499" s="373"/>
      <x:c r="O499" s="373"/>
      <x:c r="P499" s="373"/>
      <x:c r="Q499" s="373"/>
      <x:c r="R499" s="373"/>
      <x:c r="S499" s="373"/>
      <x:c r="T499" s="373"/>
      <x:c r="U499" s="373"/>
      <x:c r="V499" s="373"/>
      <x:c r="W499" s="373"/>
      <x:c r="X499" s="373"/>
      <x:c r="Y499" s="373"/>
      <x:c r="Z499" s="373"/>
    </x:row>
    <x:row r="500">
      <x:c r="A500" s="373"/>
      <x:c r="B500" s="373"/>
      <x:c r="C500" s="373"/>
      <x:c r="D500" s="373"/>
      <x:c r="E500" s="373"/>
      <x:c r="F500" s="373"/>
      <x:c r="G500" s="373"/>
      <x:c r="H500" s="373"/>
      <x:c r="I500" s="373"/>
      <x:c r="J500" s="373"/>
      <x:c r="K500" s="373"/>
      <x:c r="L500" s="373"/>
      <x:c r="M500" s="373"/>
      <x:c r="N500" s="373"/>
      <x:c r="O500" s="373"/>
      <x:c r="P500" s="373"/>
      <x:c r="Q500" s="373"/>
      <x:c r="R500" s="373"/>
      <x:c r="S500" s="373"/>
      <x:c r="T500" s="373"/>
      <x:c r="U500" s="373"/>
      <x:c r="V500" s="373"/>
      <x:c r="W500" s="373"/>
      <x:c r="X500" s="373"/>
      <x:c r="Y500" s="373"/>
      <x:c r="Z500" s="373"/>
    </x:row>
  </x:sheetData>
  <x:mergeCells>
    <x:mergeCell ref="A1:L1"/>
    <x:mergeCell ref="A2:L2"/>
  </x:mergeCells>
  <x:conditionalFormatting sqref="E5:E25">
    <x:cfRule type="expression" dxfId="0" priority="1">
      <x:formula>E5="Done"</x:formula>
    </x:cfRule>
    <x:cfRule type="expression" dxfId="1" priority="2">
      <x:formula>E5="Passed"</x:formula>
    </x:cfRule>
    <x:cfRule type="expression" dxfId="2" priority="3">
      <x:formula>E5="In Progress"</x:formula>
    </x:cfRule>
    <x:cfRule type="expression" dxfId="3" priority="4">
      <x:formula>E5="In Review"</x:formula>
    </x:cfRule>
    <x:cfRule type="expression" dxfId="4" priority="5">
      <x:formula>E5="Blocked"</x:formula>
    </x:cfRule>
    <x:cfRule type="expression" dxfId="5" priority="6">
      <x:formula>E5="Failed"</x:formula>
    </x:cfRule>
    <x:cfRule type="expression" dxfId="6" priority="7">
      <x:formula>E5="Not Run"</x:formula>
    </x:cfRule>
    <x:cfRule type="expression" dxfId="7" priority="8">
      <x:formula>E5="Backlog"</x:formula>
    </x:cfRule>
  </x:conditionalFormatting>
  <x:conditionalFormatting sqref="I5:I25">
    <x:cfRule type="dataBar" priority="9">
      <x:dataBar>
        <x:cfvo type="min"/>
        <x:cfvo type="max"/>
        <x:color rgb="FF0F766E"/>
      </x:dataBar>
      <x:extLst>
        <x:ext xmlns:x14="http://schemas.microsoft.com/office/spreadsheetml/2009/9/main" uri="{B025F937-C7B1-47D3-B67F-A62EFF666E3E}">
          <x14:id>{7F7F0193-3200-16DA-F3C9-13A2CF191AED}</x14:id>
        </x:ext>
      </x:extLst>
    </x:cfRule>
  </x:conditionalFormatting>
  <x:dataValidations count="1">
    <x:dataValidation type="list" sqref="E5:E25">
      <x:formula1>"Backlog,Planned,In Progress,Blocked,Release Candidate,Released"</x:formula1>
    </x:dataValidation>
  </x:dataValidations>
  <x:pageMargins left="0.7" right="0.7" top="0.75" bottom="0.75" header="0.3" footer="0.3"/>
  <x:tableParts count="1">
    <x:tablePart xmlns:r="http://schemas.openxmlformats.org/officeDocument/2006/relationships" r:id="R472cb69af1d6459d"/>
  </x:tableParts>
  <x:extLst>
    <x:ext xmlns:x14="http://schemas.microsoft.com/office/spreadsheetml/2009/9/main" xmlns:xm="http://schemas.microsoft.com/office/excel/2006/main" uri="{78C0D931-6437-407d-A8EE-F0AAD7539E65}">
      <x14:conditionalFormattings>
        <x14:conditionalFormatting>
          <x14:cfRule type="dataBar" priority="9" id="{7F7F0193-3200-16DA-F3C9-13A2CF191AED}">
            <x14:dataBar gradient="1">
              <x14:cfvo type="min"/>
              <x14:cfvo type="max"/>
              <x14:fillColor rgb="FF0F766E"/>
            </x14:dataBar>
          </x14:cfRule>
          <xm:sqref>I5:I25</xm:sqref>
        </x14:conditionalFormatting>
      </x14:conditionalFormattings>
    </x:ext>
  </x:extLst>
</x:worksheet>
</file>

<file path=xl/worksheets/sheet3.xml><?xml version="1.0" encoding="utf-8"?>
<x:worksheet xmlns:x="http://schemas.openxmlformats.org/spreadsheetml/2006/main">
  <x:sheetFormatPr defaultRowHeight="15"/>
  <x:cols>
    <x:col min="1" max="1" width="14" hidden="0" customWidth="1"/>
    <x:col min="2" max="2" width="10" hidden="0" customWidth="1"/>
    <x:col min="3" max="3" width="18" hidden="0" customWidth="1"/>
    <x:col min="4" max="4" width="30" hidden="0" customWidth="1"/>
    <x:col min="5" max="5" width="48" hidden="0" customWidth="1"/>
    <x:col min="6" max="6" width="13" hidden="0" customWidth="1"/>
    <x:col min="7" max="7" width="10" hidden="0" customWidth="1"/>
    <x:col min="8" max="8" width="12" hidden="0" customWidth="1"/>
    <x:col min="9" max="9" width="15" hidden="0" customWidth="1"/>
    <x:col min="10" max="10" width="11" hidden="0" customWidth="1"/>
    <x:col min="11" max="11" width="12" hidden="0" customWidth="1"/>
    <x:col min="12" max="12" width="12" hidden="0" customWidth="1"/>
    <x:col min="13" max="13" width="12" hidden="0" customWidth="1"/>
    <x:col min="14" max="14" width="26" hidden="0" customWidth="1"/>
    <x:col min="15" max="15" width="45" hidden="0" customWidth="1"/>
    <x:col min="16" max="16" width="10" hidden="0" customWidth="1"/>
    <x:col min="17" max="17" width="11" hidden="0" customWidth="1"/>
    <x:col min="18" max="18" width="11" hidden="0" customWidth="1"/>
    <x:col min="19" max="19" width="28" hidden="0" customWidth="1"/>
    <x:col min="20" max="20" width="32" hidden="0" customWidth="1"/>
    <x:col min="21" max="21" width="24" hidden="0" customWidth="1"/>
  </x:cols>
  <x:sheetData>
    <x:row r="1" ht="32" customHeight="1">
      <x:c r="A1" s="486" t="str">
        <x:v>Feature Backlog &amp; Engineering Tracker</x:v>
      </x:c>
      <x:c r="B1" s="486"/>
      <x:c r="C1" s="486"/>
      <x:c r="D1" s="486"/>
      <x:c r="E1" s="486"/>
      <x:c r="F1" s="486"/>
      <x:c r="G1" s="486"/>
      <x:c r="H1" s="486"/>
      <x:c r="I1" s="486"/>
      <x:c r="J1" s="486"/>
      <x:c r="K1" s="486"/>
      <x:c r="L1" s="486"/>
      <x:c r="M1" s="486"/>
      <x:c r="N1" s="486"/>
      <x:c r="O1" s="486"/>
      <x:c r="P1" s="486"/>
      <x:c r="Q1" s="486"/>
      <x:c r="R1" s="486"/>
      <x:c r="S1" s="486"/>
      <x:c r="T1" s="486"/>
      <x:c r="U1" s="486"/>
      <x:c r="V1" s="373"/>
      <x:c r="W1" s="373"/>
      <x:c r="X1" s="373"/>
      <x:c r="Y1" s="373"/>
      <x:c r="Z1" s="373"/>
    </x:row>
    <x:row r="2" ht="22" customHeight="1">
      <x:c r="A2" s="374" t="str">
        <x:v>Each feature links to a release, requirement, tests, defects, evidence, and a stable JavaScript key.</x:v>
      </x:c>
      <x:c r="B2" s="374"/>
      <x:c r="C2" s="374"/>
      <x:c r="D2" s="374"/>
      <x:c r="E2" s="374"/>
      <x:c r="F2" s="374"/>
      <x:c r="G2" s="374"/>
      <x:c r="H2" s="374"/>
      <x:c r="I2" s="374"/>
      <x:c r="J2" s="374"/>
      <x:c r="K2" s="374"/>
      <x:c r="L2" s="374"/>
      <x:c r="M2" s="374"/>
      <x:c r="N2" s="374"/>
      <x:c r="O2" s="374"/>
      <x:c r="P2" s="374"/>
      <x:c r="Q2" s="374"/>
      <x:c r="R2" s="374"/>
      <x:c r="S2" s="374"/>
      <x:c r="T2" s="374"/>
      <x:c r="U2" s="374"/>
      <x:c r="V2" s="373"/>
      <x:c r="W2" s="373"/>
      <x:c r="X2" s="373"/>
      <x:c r="Y2" s="373"/>
      <x:c r="Z2" s="373"/>
    </x:row>
    <x:row r="3">
      <x:c r="A3" s="373"/>
      <x:c r="B3" s="373"/>
      <x:c r="C3" s="373"/>
      <x:c r="D3" s="373"/>
      <x:c r="E3" s="373"/>
      <x:c r="F3" s="373"/>
      <x:c r="G3" s="373"/>
      <x:c r="H3" s="373"/>
      <x:c r="I3" s="373"/>
      <x:c r="J3" s="373"/>
      <x:c r="K3" s="373"/>
      <x:c r="L3" s="373"/>
      <x:c r="M3" s="373"/>
      <x:c r="N3" s="373"/>
      <x:c r="O3" s="373"/>
      <x:c r="P3" s="373"/>
      <x:c r="Q3" s="373"/>
      <x:c r="R3" s="373"/>
      <x:c r="S3" s="373"/>
      <x:c r="T3" s="373"/>
      <x:c r="U3" s="373"/>
      <x:c r="V3" s="373"/>
      <x:c r="W3" s="373"/>
      <x:c r="X3" s="373"/>
      <x:c r="Y3" s="373"/>
      <x:c r="Z3" s="373"/>
    </x:row>
    <x:row r="4">
      <x:c r="A4" s="409" t="str">
        <x:v>Feature ID</x:v>
      </x:c>
      <x:c r="B4" s="413" t="str">
        <x:v>Release</x:v>
      </x:c>
      <x:c r="C4" s="413" t="str">
        <x:v>Epic</x:v>
      </x:c>
      <x:c r="D4" s="413" t="str">
        <x:v>Feature</x:v>
      </x:c>
      <x:c r="E4" s="413" t="str">
        <x:v>Description</x:v>
      </x:c>
      <x:c r="F4" s="413" t="str">
        <x:v>Requirement ID</x:v>
      </x:c>
      <x:c r="G4" s="413" t="str">
        <x:v>Priority</x:v>
      </x:c>
      <x:c r="H4" s="413" t="str">
        <x:v>Owner</x:v>
      </x:c>
      <x:c r="I4" s="413" t="str">
        <x:v>Status</x:v>
      </x:c>
      <x:c r="J4" s="413" t="str">
        <x:v>Progress %</x:v>
      </x:c>
      <x:c r="K4" s="413" t="str">
        <x:v>Planned Start</x:v>
      </x:c>
      <x:c r="L4" s="413" t="str">
        <x:v>Planned End</x:v>
      </x:c>
      <x:c r="M4" s="413" t="str">
        <x:v>Actual End</x:v>
      </x:c>
      <x:c r="N4" s="413" t="str">
        <x:v>Dependencies</x:v>
      </x:c>
      <x:c r="O4" s="413" t="str">
        <x:v>Acceptance Criteria</x:v>
      </x:c>
      <x:c r="P4" s="413" t="str">
        <x:v>Test Count</x:v>
      </x:c>
      <x:c r="Q4" s="413" t="str">
        <x:v>Passed Tests</x:v>
      </x:c>
      <x:c r="R4" s="413" t="str">
        <x:v>Open Defects</x:v>
      </x:c>
      <x:c r="S4" s="413" t="str">
        <x:v>Evidence Link</x:v>
      </x:c>
      <x:c r="T4" s="413" t="str">
        <x:v>Notes</x:v>
      </x:c>
      <x:c r="U4" s="410" t="str">
        <x:v>JS Key</x:v>
      </x:c>
      <x:c r="V4" s="373"/>
      <x:c r="W4" s="373"/>
      <x:c r="X4" s="373"/>
      <x:c r="Y4" s="373"/>
      <x:c r="Z4" s="373"/>
    </x:row>
    <x:row r="5">
      <x:c r="A5" s="411" t="str">
        <x:v>F-RUN-001</x:v>
      </x:c>
      <x:c r="B5" s="411" t="str">
        <x:v>v0.1.1</x:v>
      </x:c>
      <x:c r="C5" s="411" t="str">
        <x:v>Runtime</x:v>
      </x:c>
      <x:c r="D5" s="411" t="str">
        <x:v>Baseline process inventory</x:v>
      </x:c>
      <x:c r="E5" s="411" t="str">
        <x:v>Capture the current launch tree, processes, nodes, shutdown path, and known cleanup failures.</x:v>
      </x:c>
      <x:c r="F5" s="411" t="str">
        <x:v>REQ-001</x:v>
      </x:c>
      <x:c r="G5" s="411" t="str">
        <x:v>Critical</x:v>
      </x:c>
      <x:c r="H5" s="411" t="str">
        <x:v>Devansh</x:v>
      </x:c>
      <x:c r="I5" s="488" t="str">
        <x:v>In Progress</x:v>
      </x:c>
      <x:c r="J5" s="414" t="n">
        <x:f>IF(I5="Done",1,IF(I5="In Review",0.8,IF(I5="In Progress",0.5,IF(I5="Blocked",0.35,IF(I5="Ready",0.1,0)))))</x:f>
        <x:v>0.5</x:v>
      </x:c>
      <x:c r="K5" s="460" t="n">
        <x:v>46239</x:v>
      </x:c>
      <x:c r="L5" s="460" t="n">
        <x:v>46240</x:v>
      </x:c>
      <x:c r="M5" s="460"/>
      <x:c r="N5" s="411" t="str"/>
      <x:c r="O5" s="411" t="str">
        <x:v>Acceptance test passes; failure path is verified; regression suite remains green.</x:v>
      </x:c>
      <x:c r="P5" s="464" t="n">
        <x:f>COUNTIF(Test_Cases!$D$5:$D$1000,A5)</x:f>
        <x:v>1</x:v>
      </x:c>
      <x:c r="Q5" s="464" t="n">
        <x:f>COUNTIFS(Test_Cases!$D$5:$D$1000,A5,Test_Cases!$L$5:$L$1000,"Passed")</x:f>
        <x:v>0</x:v>
      </x:c>
      <x:c r="R5" s="464" t="n">
        <x:f>COUNTIFS(Defects!$E$5:$E$500,A5,Defects!$K$5:$K$500,"&lt;&gt;Closed")</x:f>
        <x:v>0</x:v>
      </x:c>
      <x:c r="S5" s="411" t="str"/>
      <x:c r="T5" s="411" t="str"/>
      <x:c r="U5" s="411" t="str">
        <x:v>f_run_001</x:v>
      </x:c>
      <x:c r="V5" s="373"/>
      <x:c r="W5" s="373"/>
      <x:c r="X5" s="373"/>
      <x:c r="Y5" s="373"/>
      <x:c r="Z5" s="373"/>
    </x:row>
    <x:row r="6">
      <x:c r="A6" s="411" t="str">
        <x:v>F-RUN-002</x:v>
      </x:c>
      <x:c r="B6" s="411" t="str">
        <x:v>v0.1.1</x:v>
      </x:c>
      <x:c r="C6" s="411" t="str">
        <x:v>Runtime</x:v>
      </x:c>
      <x:c r="D6" s="411" t="str">
        <x:v>Running-instance guard</x:v>
      </x:c>
      <x:c r="E6" s="411" t="str">
        <x:v>Prevent a second Gazebo/platform launch when an instance is already active.</x:v>
      </x:c>
      <x:c r="F6" s="411" t="str">
        <x:v>REQ-002</x:v>
      </x:c>
      <x:c r="G6" s="411" t="str">
        <x:v>Critical</x:v>
      </x:c>
      <x:c r="H6" s="411" t="str">
        <x:v>Devansh</x:v>
      </x:c>
      <x:c r="I6" s="488" t="str">
        <x:v>Backlog</x:v>
      </x:c>
      <x:c r="J6" s="414" t="n">
        <x:f>IF(I6="Done",1,IF(I6="In Review",0.8,IF(I6="In Progress",0.5,IF(I6="Blocked",0.35,IF(I6="Ready",0.1,0)))))</x:f>
        <x:v>0</x:v>
      </x:c>
      <x:c r="K6" s="460" t="n">
        <x:v>46239</x:v>
      </x:c>
      <x:c r="L6" s="460" t="n">
        <x:v>46240</x:v>
      </x:c>
      <x:c r="M6" s="460"/>
      <x:c r="N6" s="411" t="str"/>
      <x:c r="O6" s="411" t="str">
        <x:v>Acceptance test passes; failure path is verified; regression suite remains green.</x:v>
      </x:c>
      <x:c r="P6" s="464" t="n">
        <x:f>COUNTIF(Test_Cases!$D$5:$D$1000,A6)</x:f>
        <x:v>1</x:v>
      </x:c>
      <x:c r="Q6" s="464" t="n">
        <x:f>COUNTIFS(Test_Cases!$D$5:$D$1000,A6,Test_Cases!$L$5:$L$1000,"Passed")</x:f>
        <x:v>0</x:v>
      </x:c>
      <x:c r="R6" s="464" t="n">
        <x:f>COUNTIFS(Defects!$E$5:$E$500,A6,Defects!$K$5:$K$500,"&lt;&gt;Closed")</x:f>
        <x:v>1</x:v>
      </x:c>
      <x:c r="S6" s="411" t="str"/>
      <x:c r="T6" s="411" t="str"/>
      <x:c r="U6" s="411" t="str">
        <x:v>f_run_002</x:v>
      </x:c>
      <x:c r="V6" s="373"/>
      <x:c r="W6" s="373"/>
      <x:c r="X6" s="373"/>
      <x:c r="Y6" s="373"/>
      <x:c r="Z6" s="373"/>
    </x:row>
    <x:row r="7">
      <x:c r="A7" s="411" t="str">
        <x:v>F-RUN-003</x:v>
      </x:c>
      <x:c r="B7" s="411" t="str">
        <x:v>v0.1.1</x:v>
      </x:c>
      <x:c r="C7" s="411" t="str">
        <x:v>Runtime</x:v>
      </x:c>
      <x:c r="D7" s="411" t="str">
        <x:v>Process registry</x:v>
      </x:c>
      <x:c r="E7" s="411" t="str">
        <x:v>Track every process and launch handle created by the platform.</x:v>
      </x:c>
      <x:c r="F7" s="411" t="str">
        <x:v>REQ-003</x:v>
      </x:c>
      <x:c r="G7" s="411" t="str">
        <x:v>High</x:v>
      </x:c>
      <x:c r="H7" s="411" t="str">
        <x:v>Devansh</x:v>
      </x:c>
      <x:c r="I7" s="488" t="str">
        <x:v>Backlog</x:v>
      </x:c>
      <x:c r="J7" s="414" t="n">
        <x:f>IF(I7="Done",1,IF(I7="In Review",0.8,IF(I7="In Progress",0.5,IF(I7="Blocked",0.35,IF(I7="Ready",0.1,0)))))</x:f>
        <x:v>0</x:v>
      </x:c>
      <x:c r="K7" s="460" t="n">
        <x:v>46239</x:v>
      </x:c>
      <x:c r="L7" s="460" t="n">
        <x:v>46240</x:v>
      </x:c>
      <x:c r="M7" s="460"/>
      <x:c r="N7" s="411" t="str"/>
      <x:c r="O7" s="411" t="str">
        <x:v>Nominal and negative tests pass; behavior is documented and reproducible.</x:v>
      </x:c>
      <x:c r="P7" s="464" t="n">
        <x:f>COUNTIF(Test_Cases!$D$5:$D$1000,A7)</x:f>
        <x:v>1</x:v>
      </x:c>
      <x:c r="Q7" s="464" t="n">
        <x:f>COUNTIFS(Test_Cases!$D$5:$D$1000,A7,Test_Cases!$L$5:$L$1000,"Passed")</x:f>
        <x:v>0</x:v>
      </x:c>
      <x:c r="R7" s="464" t="n">
        <x:f>COUNTIFS(Defects!$E$5:$E$500,A7,Defects!$K$5:$K$500,"&lt;&gt;Closed")</x:f>
        <x:v>0</x:v>
      </x:c>
      <x:c r="S7" s="411" t="str"/>
      <x:c r="T7" s="411" t="str"/>
      <x:c r="U7" s="411" t="str">
        <x:v>f_run_003</x:v>
      </x:c>
      <x:c r="V7" s="373"/>
      <x:c r="W7" s="373"/>
      <x:c r="X7" s="373"/>
      <x:c r="Y7" s="373"/>
      <x:c r="Z7" s="373"/>
    </x:row>
    <x:row r="8">
      <x:c r="A8" s="411" t="str">
        <x:v>F-RUN-004</x:v>
      </x:c>
      <x:c r="B8" s="411" t="str">
        <x:v>v0.1.1</x:v>
      </x:c>
      <x:c r="C8" s="411" t="str">
        <x:v>Runtime</x:v>
      </x:c>
      <x:c r="D8" s="411" t="str">
        <x:v>Graceful shutdown sequence</x:v>
      </x:c>
      <x:c r="E8" s="411" t="str">
        <x:v>Stop goals, deactivate modes, stop controllers, terminate nodes, and close Gazebo in order.</x:v>
      </x:c>
      <x:c r="F8" s="411" t="str">
        <x:v>REQ-004</x:v>
      </x:c>
      <x:c r="G8" s="411" t="str">
        <x:v>Critical</x:v>
      </x:c>
      <x:c r="H8" s="411" t="str">
        <x:v>Devansh</x:v>
      </x:c>
      <x:c r="I8" s="488" t="str">
        <x:v>Backlog</x:v>
      </x:c>
      <x:c r="J8" s="414" t="n">
        <x:f>IF(I8="Done",1,IF(I8="In Review",0.8,IF(I8="In Progress",0.5,IF(I8="Blocked",0.35,IF(I8="Ready",0.1,0)))))</x:f>
        <x:v>0</x:v>
      </x:c>
      <x:c r="K8" s="460" t="n">
        <x:v>46239</x:v>
      </x:c>
      <x:c r="L8" s="460" t="n">
        <x:v>46240</x:v>
      </x:c>
      <x:c r="M8" s="460"/>
      <x:c r="N8" s="411" t="str"/>
      <x:c r="O8" s="411" t="str">
        <x:v>Acceptance test passes; failure path is verified; regression suite remains green.</x:v>
      </x:c>
      <x:c r="P8" s="464" t="n">
        <x:f>COUNTIF(Test_Cases!$D$5:$D$1000,A8)</x:f>
        <x:v>1</x:v>
      </x:c>
      <x:c r="Q8" s="464" t="n">
        <x:f>COUNTIFS(Test_Cases!$D$5:$D$1000,A8,Test_Cases!$L$5:$L$1000,"Passed")</x:f>
        <x:v>0</x:v>
      </x:c>
      <x:c r="R8" s="464" t="n">
        <x:f>COUNTIFS(Defects!$E$5:$E$500,A8,Defects!$K$5:$K$500,"&lt;&gt;Closed")</x:f>
        <x:v>0</x:v>
      </x:c>
      <x:c r="S8" s="411" t="str"/>
      <x:c r="T8" s="411" t="str"/>
      <x:c r="U8" s="411" t="str">
        <x:v>f_run_004</x:v>
      </x:c>
      <x:c r="V8" s="373"/>
      <x:c r="W8" s="373"/>
      <x:c r="X8" s="373"/>
      <x:c r="Y8" s="373"/>
      <x:c r="Z8" s="373"/>
    </x:row>
    <x:row r="9">
      <x:c r="A9" s="411" t="str">
        <x:v>F-RUN-005</x:v>
      </x:c>
      <x:c r="B9" s="411" t="str">
        <x:v>v0.1.1</x:v>
      </x:c>
      <x:c r="C9" s="411" t="str">
        <x:v>Runtime</x:v>
      </x:c>
      <x:c r="D9" s="411" t="str">
        <x:v>Escalated termination policy</x:v>
      </x:c>
      <x:c r="E9" s="411" t="str">
        <x:v>Escalate from graceful stop to terminate/kill with bounded timeouts and diagnostics.</x:v>
      </x:c>
      <x:c r="F9" s="411" t="str">
        <x:v>REQ-005</x:v>
      </x:c>
      <x:c r="G9" s="411" t="str">
        <x:v>High</x:v>
      </x:c>
      <x:c r="H9" s="411" t="str">
        <x:v>Devansh</x:v>
      </x:c>
      <x:c r="I9" s="488" t="str">
        <x:v>Backlog</x:v>
      </x:c>
      <x:c r="J9" s="414" t="n">
        <x:f>IF(I9="Done",1,IF(I9="In Review",0.8,IF(I9="In Progress",0.5,IF(I9="Blocked",0.35,IF(I9="Ready",0.1,0)))))</x:f>
        <x:v>0</x:v>
      </x:c>
      <x:c r="K9" s="460" t="n">
        <x:v>46239</x:v>
      </x:c>
      <x:c r="L9" s="460" t="n">
        <x:v>46240</x:v>
      </x:c>
      <x:c r="M9" s="460"/>
      <x:c r="N9" s="411" t="str"/>
      <x:c r="O9" s="411" t="str">
        <x:v>Nominal and negative tests pass; behavior is documented and reproducible.</x:v>
      </x:c>
      <x:c r="P9" s="464" t="n">
        <x:f>COUNTIF(Test_Cases!$D$5:$D$1000,A9)</x:f>
        <x:v>1</x:v>
      </x:c>
      <x:c r="Q9" s="464" t="n">
        <x:f>COUNTIFS(Test_Cases!$D$5:$D$1000,A9,Test_Cases!$L$5:$L$1000,"Passed")</x:f>
        <x:v>0</x:v>
      </x:c>
      <x:c r="R9" s="464" t="n">
        <x:f>COUNTIFS(Defects!$E$5:$E$500,A9,Defects!$K$5:$K$500,"&lt;&gt;Closed")</x:f>
        <x:v>0</x:v>
      </x:c>
      <x:c r="S9" s="411" t="str"/>
      <x:c r="T9" s="411" t="str"/>
      <x:c r="U9" s="411" t="str">
        <x:v>f_run_005</x:v>
      </x:c>
      <x:c r="V9" s="373"/>
      <x:c r="W9" s="373"/>
      <x:c r="X9" s="373"/>
      <x:c r="Y9" s="373"/>
      <x:c r="Z9" s="373"/>
    </x:row>
    <x:row r="10">
      <x:c r="A10" s="411" t="str">
        <x:v>F-RUN-006</x:v>
      </x:c>
      <x:c r="B10" s="411" t="str">
        <x:v>v0.1.1</x:v>
      </x:c>
      <x:c r="C10" s="411" t="str">
        <x:v>State</x:v>
      </x:c>
      <x:c r="D10" s="411" t="str">
        <x:v>Internal state reset</x:v>
      </x:c>
      <x:c r="E10" s="411" t="str">
        <x:v>Reset selected environment, mode, active-goal, and process state after shutdown.</x:v>
      </x:c>
      <x:c r="F10" s="411" t="str">
        <x:v>REQ-006</x:v>
      </x:c>
      <x:c r="G10" s="411" t="str">
        <x:v>High</x:v>
      </x:c>
      <x:c r="H10" s="411" t="str">
        <x:v>Devansh</x:v>
      </x:c>
      <x:c r="I10" s="488" t="str">
        <x:v>Backlog</x:v>
      </x:c>
      <x:c r="J10" s="414" t="n">
        <x:f>IF(I10="Done",1,IF(I10="In Review",0.8,IF(I10="In Progress",0.5,IF(I10="Blocked",0.35,IF(I10="Ready",0.1,0)))))</x:f>
        <x:v>0</x:v>
      </x:c>
      <x:c r="K10" s="460" t="n">
        <x:v>46239</x:v>
      </x:c>
      <x:c r="L10" s="460" t="n">
        <x:v>46240</x:v>
      </x:c>
      <x:c r="M10" s="460"/>
      <x:c r="N10" s="411" t="str"/>
      <x:c r="O10" s="411" t="str">
        <x:v>Nominal and negative tests pass; behavior is documented and reproducible.</x:v>
      </x:c>
      <x:c r="P10" s="464" t="n">
        <x:f>COUNTIF(Test_Cases!$D$5:$D$1000,A10)</x:f>
        <x:v>1</x:v>
      </x:c>
      <x:c r="Q10" s="464" t="n">
        <x:f>COUNTIFS(Test_Cases!$D$5:$D$1000,A10,Test_Cases!$L$5:$L$1000,"Passed")</x:f>
        <x:v>0</x:v>
      </x:c>
      <x:c r="R10" s="464" t="n">
        <x:f>COUNTIFS(Defects!$E$5:$E$500,A10,Defects!$K$5:$K$500,"&lt;&gt;Closed")</x:f>
        <x:v>0</x:v>
      </x:c>
      <x:c r="S10" s="411" t="str"/>
      <x:c r="T10" s="411" t="str"/>
      <x:c r="U10" s="411" t="str">
        <x:v>f_run_006</x:v>
      </x:c>
      <x:c r="V10" s="373"/>
      <x:c r="W10" s="373"/>
      <x:c r="X10" s="373"/>
      <x:c r="Y10" s="373"/>
      <x:c r="Z10" s="373"/>
    </x:row>
    <x:row r="11">
      <x:c r="A11" s="411" t="str">
        <x:v>F-RUN-007</x:v>
      </x:c>
      <x:c r="B11" s="411" t="str">
        <x:v>v0.1.1</x:v>
      </x:c>
      <x:c r="C11" s="411" t="str">
        <x:v>Runtime</x:v>
      </x:c>
      <x:c r="D11" s="411" t="str">
        <x:v>Duplicate critical-node detection</x:v>
      </x:c>
      <x:c r="E11" s="411" t="str">
        <x:v>Detect duplicate Gazebo, controller, manager, and autonomy nodes.</x:v>
      </x:c>
      <x:c r="F11" s="411" t="str">
        <x:v>REQ-007</x:v>
      </x:c>
      <x:c r="G11" s="411" t="str">
        <x:v>High</x:v>
      </x:c>
      <x:c r="H11" s="411" t="str">
        <x:v>Devansh</x:v>
      </x:c>
      <x:c r="I11" s="488" t="str">
        <x:v>Backlog</x:v>
      </x:c>
      <x:c r="J11" s="414" t="n">
        <x:f>IF(I11="Done",1,IF(I11="In Review",0.8,IF(I11="In Progress",0.5,IF(I11="Blocked",0.35,IF(I11="Ready",0.1,0)))))</x:f>
        <x:v>0</x:v>
      </x:c>
      <x:c r="K11" s="460" t="n">
        <x:v>46239</x:v>
      </x:c>
      <x:c r="L11" s="460" t="n">
        <x:v>46240</x:v>
      </x:c>
      <x:c r="M11" s="460"/>
      <x:c r="N11" s="411" t="str"/>
      <x:c r="O11" s="411" t="str">
        <x:v>Nominal and negative tests pass; behavior is documented and reproducible.</x:v>
      </x:c>
      <x:c r="P11" s="464" t="n">
        <x:f>COUNTIF(Test_Cases!$D$5:$D$1000,A11)</x:f>
        <x:v>1</x:v>
      </x:c>
      <x:c r="Q11" s="464" t="n">
        <x:f>COUNTIFS(Test_Cases!$D$5:$D$1000,A11,Test_Cases!$L$5:$L$1000,"Passed")</x:f>
        <x:v>0</x:v>
      </x:c>
      <x:c r="R11" s="464" t="n">
        <x:f>COUNTIFS(Defects!$E$5:$E$500,A11,Defects!$K$5:$K$500,"&lt;&gt;Closed")</x:f>
        <x:v>0</x:v>
      </x:c>
      <x:c r="S11" s="411" t="str"/>
      <x:c r="T11" s="411" t="str"/>
      <x:c r="U11" s="411" t="str">
        <x:v>f_run_007</x:v>
      </x:c>
      <x:c r="V11" s="373"/>
      <x:c r="W11" s="373"/>
      <x:c r="X11" s="373"/>
      <x:c r="Y11" s="373"/>
      <x:c r="Z11" s="373"/>
    </x:row>
    <x:row r="12">
      <x:c r="A12" s="411" t="str">
        <x:v>F-RUN-008</x:v>
      </x:c>
      <x:c r="B12" s="411" t="str">
        <x:v>v0.1.1</x:v>
      </x:c>
      <x:c r="C12" s="411" t="str">
        <x:v>Diagnostics</x:v>
      </x:c>
      <x:c r="D12" s="411" t="str">
        <x:v>Shutdown diagnostics report</x:v>
      </x:c>
      <x:c r="E12" s="411" t="str">
        <x:v>Report exact remaining process, node, PID, and failed shutdown stage.</x:v>
      </x:c>
      <x:c r="F12" s="411" t="str">
        <x:v>REQ-008</x:v>
      </x:c>
      <x:c r="G12" s="411" t="str">
        <x:v>High</x:v>
      </x:c>
      <x:c r="H12" s="411" t="str">
        <x:v>Devansh</x:v>
      </x:c>
      <x:c r="I12" s="488" t="str">
        <x:v>Backlog</x:v>
      </x:c>
      <x:c r="J12" s="414" t="n">
        <x:f>IF(I12="Done",1,IF(I12="In Review",0.8,IF(I12="In Progress",0.5,IF(I12="Blocked",0.35,IF(I12="Ready",0.1,0)))))</x:f>
        <x:v>0</x:v>
      </x:c>
      <x:c r="K12" s="460" t="n">
        <x:v>46239</x:v>
      </x:c>
      <x:c r="L12" s="460" t="n">
        <x:v>46240</x:v>
      </x:c>
      <x:c r="M12" s="460"/>
      <x:c r="N12" s="411" t="str"/>
      <x:c r="O12" s="411" t="str">
        <x:v>Nominal and negative tests pass; behavior is documented and reproducible.</x:v>
      </x:c>
      <x:c r="P12" s="464" t="n">
        <x:f>COUNTIF(Test_Cases!$D$5:$D$1000,A12)</x:f>
        <x:v>1</x:v>
      </x:c>
      <x:c r="Q12" s="464" t="n">
        <x:f>COUNTIFS(Test_Cases!$D$5:$D$1000,A12,Test_Cases!$L$5:$L$1000,"Passed")</x:f>
        <x:v>0</x:v>
      </x:c>
      <x:c r="R12" s="464" t="n">
        <x:f>COUNTIFS(Defects!$E$5:$E$500,A12,Defects!$K$5:$K$500,"&lt;&gt;Closed")</x:f>
        <x:v>0</x:v>
      </x:c>
      <x:c r="S12" s="411" t="str"/>
      <x:c r="T12" s="411" t="str"/>
      <x:c r="U12" s="411" t="str">
        <x:v>f_run_008</x:v>
      </x:c>
      <x:c r="V12" s="373"/>
      <x:c r="W12" s="373"/>
      <x:c r="X12" s="373"/>
      <x:c r="Y12" s="373"/>
      <x:c r="Z12" s="373"/>
    </x:row>
    <x:row r="13">
      <x:c r="A13" s="411" t="str">
        <x:v>F-RUN-009</x:v>
      </x:c>
      <x:c r="B13" s="411" t="str">
        <x:v>v0.1.1</x:v>
      </x:c>
      <x:c r="C13" s="411" t="str">
        <x:v>Verification</x:v>
      </x:c>
      <x:c r="D13" s="411" t="str">
        <x:v>Repeated start/stop harness</x:v>
      </x:c>
      <x:c r="E13" s="411" t="str">
        <x:v>Automate repeated bring-up and shutdown cycles.</x:v>
      </x:c>
      <x:c r="F13" s="411" t="str">
        <x:v>REQ-009</x:v>
      </x:c>
      <x:c r="G13" s="411" t="str">
        <x:v>Critical</x:v>
      </x:c>
      <x:c r="H13" s="411" t="str">
        <x:v>Devansh</x:v>
      </x:c>
      <x:c r="I13" s="488" t="str">
        <x:v>Backlog</x:v>
      </x:c>
      <x:c r="J13" s="414" t="n">
        <x:f>IF(I13="Done",1,IF(I13="In Review",0.8,IF(I13="In Progress",0.5,IF(I13="Blocked",0.35,IF(I13="Ready",0.1,0)))))</x:f>
        <x:v>0</x:v>
      </x:c>
      <x:c r="K13" s="460" t="n">
        <x:v>46239</x:v>
      </x:c>
      <x:c r="L13" s="460" t="n">
        <x:v>46240</x:v>
      </x:c>
      <x:c r="M13" s="460"/>
      <x:c r="N13" s="411" t="str"/>
      <x:c r="O13" s="411" t="str">
        <x:v>Acceptance test passes; failure path is verified; regression suite remains green.</x:v>
      </x:c>
      <x:c r="P13" s="464" t="n">
        <x:f>COUNTIF(Test_Cases!$D$5:$D$1000,A13)</x:f>
        <x:v>2</x:v>
      </x:c>
      <x:c r="Q13" s="464" t="n">
        <x:f>COUNTIFS(Test_Cases!$D$5:$D$1000,A13,Test_Cases!$L$5:$L$1000,"Passed")</x:f>
        <x:v>0</x:v>
      </x:c>
      <x:c r="R13" s="464" t="n">
        <x:f>COUNTIFS(Defects!$E$5:$E$500,A13,Defects!$K$5:$K$500,"&lt;&gt;Closed")</x:f>
        <x:v>0</x:v>
      </x:c>
      <x:c r="S13" s="411" t="str"/>
      <x:c r="T13" s="411" t="str"/>
      <x:c r="U13" s="411" t="str">
        <x:v>f_run_009</x:v>
      </x:c>
      <x:c r="V13" s="373"/>
      <x:c r="W13" s="373"/>
      <x:c r="X13" s="373"/>
      <x:c r="Y13" s="373"/>
      <x:c r="Z13" s="373"/>
    </x:row>
    <x:row r="14">
      <x:c r="A14" s="411" t="str">
        <x:v>F-RUN-010</x:v>
      </x:c>
      <x:c r="B14" s="411" t="str">
        <x:v>v0.1.1</x:v>
      </x:c>
      <x:c r="C14" s="411" t="str">
        <x:v>Evidence</x:v>
      </x:c>
      <x:c r="D14" s="411" t="str">
        <x:v>Runtime-cleanup evidence package</x:v>
      </x:c>
      <x:c r="E14" s="411" t="str">
        <x:v>Store logs, test output, process snapshots, and release decision evidence.</x:v>
      </x:c>
      <x:c r="F14" s="411" t="str">
        <x:v>REQ-010</x:v>
      </x:c>
      <x:c r="G14" s="411" t="str">
        <x:v>Medium</x:v>
      </x:c>
      <x:c r="H14" s="411" t="str">
        <x:v>Devansh</x:v>
      </x:c>
      <x:c r="I14" s="488" t="str">
        <x:v>Backlog</x:v>
      </x:c>
      <x:c r="J14" s="414" t="n">
        <x:f>IF(I14="Done",1,IF(I14="In Review",0.8,IF(I14="In Progress",0.5,IF(I14="Blocked",0.35,IF(I14="Ready",0.1,0)))))</x:f>
        <x:v>0</x:v>
      </x:c>
      <x:c r="K14" s="460" t="n">
        <x:v>46239</x:v>
      </x:c>
      <x:c r="L14" s="460" t="n">
        <x:v>46240</x:v>
      </x:c>
      <x:c r="M14" s="460"/>
      <x:c r="N14" s="411" t="str"/>
      <x:c r="O14" s="411" t="str">
        <x:v>Capability is usable, documented, and covered by at least one verification test.</x:v>
      </x:c>
      <x:c r="P14" s="464" t="n">
        <x:f>COUNTIF(Test_Cases!$D$5:$D$1000,A14)</x:f>
        <x:v>1</x:v>
      </x:c>
      <x:c r="Q14" s="464" t="n">
        <x:f>COUNTIFS(Test_Cases!$D$5:$D$1000,A14,Test_Cases!$L$5:$L$1000,"Passed")</x:f>
        <x:v>0</x:v>
      </x:c>
      <x:c r="R14" s="464" t="n">
        <x:f>COUNTIFS(Defects!$E$5:$E$500,A14,Defects!$K$5:$K$500,"&lt;&gt;Closed")</x:f>
        <x:v>0</x:v>
      </x:c>
      <x:c r="S14" s="411" t="str"/>
      <x:c r="T14" s="411" t="str"/>
      <x:c r="U14" s="411" t="str">
        <x:v>f_run_010</x:v>
      </x:c>
      <x:c r="V14" s="373"/>
      <x:c r="W14" s="373"/>
      <x:c r="X14" s="373"/>
      <x:c r="Y14" s="373"/>
      <x:c r="Z14" s="373"/>
    </x:row>
    <x:row r="15">
      <x:c r="A15" s="411" t="str">
        <x:v>F-LIFE-001</x:v>
      </x:c>
      <x:c r="B15" s="411" t="str">
        <x:v>v0.1.2</x:v>
      </x:c>
      <x:c r="C15" s="411" t="str">
        <x:v>Lifecycle</x:v>
      </x:c>
      <x:c r="D15" s="411" t="str">
        <x:v>Lifecycle base abstraction</x:v>
      </x:c>
      <x:c r="E15" s="411" t="str">
        <x:v>Create a reusable managed-component abstraction with transition contracts.</x:v>
      </x:c>
      <x:c r="F15" s="411" t="str">
        <x:v>REQ-011</x:v>
      </x:c>
      <x:c r="G15" s="411" t="str">
        <x:v>Critical</x:v>
      </x:c>
      <x:c r="H15" s="411" t="str">
        <x:v>Devansh</x:v>
      </x:c>
      <x:c r="I15" s="488" t="str">
        <x:v>Backlog</x:v>
      </x:c>
      <x:c r="J15" s="414" t="n">
        <x:f>IF(I15="Done",1,IF(I15="In Review",0.8,IF(I15="In Progress",0.5,IF(I15="Blocked",0.35,IF(I15="Ready",0.1,0)))))</x:f>
        <x:v>0</x:v>
      </x:c>
      <x:c r="K15" s="460" t="n">
        <x:v>46241</x:v>
      </x:c>
      <x:c r="L15" s="460" t="n">
        <x:v>46241</x:v>
      </x:c>
      <x:c r="M15" s="460"/>
      <x:c r="N15" s="411" t="str"/>
      <x:c r="O15" s="411" t="str">
        <x:v>Acceptance test passes; failure path is verified; regression suite remains green.</x:v>
      </x:c>
      <x:c r="P15" s="464" t="n">
        <x:f>COUNTIF(Test_Cases!$D$5:$D$1000,A15)</x:f>
        <x:v>2</x:v>
      </x:c>
      <x:c r="Q15" s="464" t="n">
        <x:f>COUNTIFS(Test_Cases!$D$5:$D$1000,A15,Test_Cases!$L$5:$L$1000,"Passed")</x:f>
        <x:v>0</x:v>
      </x:c>
      <x:c r="R15" s="464" t="n">
        <x:f>COUNTIFS(Defects!$E$5:$E$500,A15,Defects!$K$5:$K$500,"&lt;&gt;Closed")</x:f>
        <x:v>0</x:v>
      </x:c>
      <x:c r="S15" s="411" t="str"/>
      <x:c r="T15" s="411" t="str"/>
      <x:c r="U15" s="411" t="str">
        <x:v>f_life_001</x:v>
      </x:c>
      <x:c r="V15" s="373"/>
      <x:c r="W15" s="373"/>
      <x:c r="X15" s="373"/>
      <x:c r="Y15" s="373"/>
      <x:c r="Z15" s="373"/>
    </x:row>
    <x:row r="16">
      <x:c r="A16" s="411" t="str">
        <x:v>F-LIFE-002</x:v>
      </x:c>
      <x:c r="B16" s="411" t="str">
        <x:v>v0.1.2</x:v>
      </x:c>
      <x:c r="C16" s="411" t="str">
        <x:v>Lifecycle</x:v>
      </x:c>
      <x:c r="D16" s="411" t="str">
        <x:v>Legal transition table</x:v>
      </x:c>
      <x:c r="E16" s="411" t="str">
        <x:v>Define configure, activate, deactivate, cleanup, shutdown, and error transitions.</x:v>
      </x:c>
      <x:c r="F16" s="411" t="str">
        <x:v>REQ-012</x:v>
      </x:c>
      <x:c r="G16" s="411" t="str">
        <x:v>Critical</x:v>
      </x:c>
      <x:c r="H16" s="411" t="str">
        <x:v>Devansh</x:v>
      </x:c>
      <x:c r="I16" s="488" t="str">
        <x:v>Backlog</x:v>
      </x:c>
      <x:c r="J16" s="414" t="n">
        <x:f>IF(I16="Done",1,IF(I16="In Review",0.8,IF(I16="In Progress",0.5,IF(I16="Blocked",0.35,IF(I16="Ready",0.1,0)))))</x:f>
        <x:v>0</x:v>
      </x:c>
      <x:c r="K16" s="460" t="n">
        <x:v>46241</x:v>
      </x:c>
      <x:c r="L16" s="460" t="n">
        <x:v>46241</x:v>
      </x:c>
      <x:c r="M16" s="460"/>
      <x:c r="N16" s="411" t="str"/>
      <x:c r="O16" s="411" t="str">
        <x:v>Acceptance test passes; failure path is verified; regression suite remains green.</x:v>
      </x:c>
      <x:c r="P16" s="464" t="n">
        <x:f>COUNTIF(Test_Cases!$D$5:$D$1000,A16)</x:f>
        <x:v>2</x:v>
      </x:c>
      <x:c r="Q16" s="464" t="n">
        <x:f>COUNTIFS(Test_Cases!$D$5:$D$1000,A16,Test_Cases!$L$5:$L$1000,"Passed")</x:f>
        <x:v>0</x:v>
      </x:c>
      <x:c r="R16" s="464" t="n">
        <x:f>COUNTIFS(Defects!$E$5:$E$500,A16,Defects!$K$5:$K$500,"&lt;&gt;Closed")</x:f>
        <x:v>0</x:v>
      </x:c>
      <x:c r="S16" s="411" t="str"/>
      <x:c r="T16" s="411" t="str"/>
      <x:c r="U16" s="411" t="str">
        <x:v>f_life_002</x:v>
      </x:c>
      <x:c r="V16" s="373"/>
      <x:c r="W16" s="373"/>
      <x:c r="X16" s="373"/>
      <x:c r="Y16" s="373"/>
      <x:c r="Z16" s="373"/>
    </x:row>
    <x:row r="17">
      <x:c r="A17" s="411" t="str">
        <x:v>F-LIFE-003</x:v>
      </x:c>
      <x:c r="B17" s="411" t="str">
        <x:v>v0.1.2</x:v>
      </x:c>
      <x:c r="C17" s="411" t="str">
        <x:v>Lifecycle</x:v>
      </x:c>
      <x:c r="D17" s="411" t="str">
        <x:v>Structured transition result</x:v>
      </x:c>
      <x:c r="E17" s="411" t="str">
        <x:v>Return code, reason, failed dependency, timestamps, and recovery guidance.</x:v>
      </x:c>
      <x:c r="F17" s="411" t="str">
        <x:v>REQ-013</x:v>
      </x:c>
      <x:c r="G17" s="411" t="str">
        <x:v>High</x:v>
      </x:c>
      <x:c r="H17" s="411" t="str">
        <x:v>Devansh</x:v>
      </x:c>
      <x:c r="I17" s="488" t="str">
        <x:v>Backlog</x:v>
      </x:c>
      <x:c r="J17" s="414" t="n">
        <x:f>IF(I17="Done",1,IF(I17="In Review",0.8,IF(I17="In Progress",0.5,IF(I17="Blocked",0.35,IF(I17="Ready",0.1,0)))))</x:f>
        <x:v>0</x:v>
      </x:c>
      <x:c r="K17" s="460" t="n">
        <x:v>46241</x:v>
      </x:c>
      <x:c r="L17" s="460" t="n">
        <x:v>46241</x:v>
      </x:c>
      <x:c r="M17" s="460"/>
      <x:c r="N17" s="411" t="str"/>
      <x:c r="O17" s="411" t="str">
        <x:v>Nominal and negative tests pass; behavior is documented and reproducible.</x:v>
      </x:c>
      <x:c r="P17" s="464" t="n">
        <x:f>COUNTIF(Test_Cases!$D$5:$D$1000,A17)</x:f>
        <x:v>1</x:v>
      </x:c>
      <x:c r="Q17" s="464" t="n">
        <x:f>COUNTIFS(Test_Cases!$D$5:$D$1000,A17,Test_Cases!$L$5:$L$1000,"Passed")</x:f>
        <x:v>0</x:v>
      </x:c>
      <x:c r="R17" s="464" t="n">
        <x:f>COUNTIFS(Defects!$E$5:$E$500,A17,Defects!$K$5:$K$500,"&lt;&gt;Closed")</x:f>
        <x:v>0</x:v>
      </x:c>
      <x:c r="S17" s="411" t="str"/>
      <x:c r="T17" s="411" t="str"/>
      <x:c r="U17" s="411" t="str">
        <x:v>f_life_003</x:v>
      </x:c>
      <x:c r="V17" s="373"/>
      <x:c r="W17" s="373"/>
      <x:c r="X17" s="373"/>
      <x:c r="Y17" s="373"/>
      <x:c r="Z17" s="373"/>
    </x:row>
    <x:row r="18">
      <x:c r="A18" s="411" t="str">
        <x:v>F-LIFE-004</x:v>
      </x:c>
      <x:c r="B18" s="411" t="str">
        <x:v>v0.1.2</x:v>
      </x:c>
      <x:c r="C18" s="411" t="str">
        <x:v>Orchestration</x:v>
      </x:c>
      <x:c r="D18" s="411" t="str">
        <x:v>Platform lifecycle orchestrator</x:v>
      </x:c>
      <x:c r="E18" s="411" t="str">
        <x:v>Own component transition order and rollback behavior.</x:v>
      </x:c>
      <x:c r="F18" s="411" t="str">
        <x:v>REQ-014</x:v>
      </x:c>
      <x:c r="G18" s="411" t="str">
        <x:v>Critical</x:v>
      </x:c>
      <x:c r="H18" s="411" t="str">
        <x:v>Devansh</x:v>
      </x:c>
      <x:c r="I18" s="488" t="str">
        <x:v>Backlog</x:v>
      </x:c>
      <x:c r="J18" s="414" t="n">
        <x:f>IF(I18="Done",1,IF(I18="In Review",0.8,IF(I18="In Progress",0.5,IF(I18="Blocked",0.35,IF(I18="Ready",0.1,0)))))</x:f>
        <x:v>0</x:v>
      </x:c>
      <x:c r="K18" s="460" t="n">
        <x:v>46241</x:v>
      </x:c>
      <x:c r="L18" s="460" t="n">
        <x:v>46241</x:v>
      </x:c>
      <x:c r="M18" s="460"/>
      <x:c r="N18" s="411" t="str"/>
      <x:c r="O18" s="411" t="str">
        <x:v>Acceptance test passes; failure path is verified; regression suite remains green.</x:v>
      </x:c>
      <x:c r="P18" s="464" t="n">
        <x:f>COUNTIF(Test_Cases!$D$5:$D$1000,A18)</x:f>
        <x:v>2</x:v>
      </x:c>
      <x:c r="Q18" s="464" t="n">
        <x:f>COUNTIFS(Test_Cases!$D$5:$D$1000,A18,Test_Cases!$L$5:$L$1000,"Passed")</x:f>
        <x:v>0</x:v>
      </x:c>
      <x:c r="R18" s="464" t="n">
        <x:f>COUNTIFS(Defects!$E$5:$E$500,A18,Defects!$K$5:$K$500,"&lt;&gt;Closed")</x:f>
        <x:v>0</x:v>
      </x:c>
      <x:c r="S18" s="411" t="str"/>
      <x:c r="T18" s="411" t="str"/>
      <x:c r="U18" s="411" t="str">
        <x:v>f_life_004</x:v>
      </x:c>
      <x:c r="V18" s="373"/>
      <x:c r="W18" s="373"/>
      <x:c r="X18" s="373"/>
      <x:c r="Y18" s="373"/>
      <x:c r="Z18" s="373"/>
    </x:row>
    <x:row r="19">
      <x:c r="A19" s="411" t="str">
        <x:v>F-LIFE-005</x:v>
      </x:c>
      <x:c r="B19" s="411" t="str">
        <x:v>v0.1.2</x:v>
      </x:c>
      <x:c r="C19" s="411" t="str">
        <x:v>Lifecycle</x:v>
      </x:c>
      <x:c r="D19" s="411" t="str">
        <x:v>Simulation manager lifecycle</x:v>
      </x:c>
      <x:c r="E19" s="411" t="str">
        <x:v>Convert simulation manager to explicit lifecycle handling.</x:v>
      </x:c>
      <x:c r="F19" s="411" t="str">
        <x:v>REQ-015</x:v>
      </x:c>
      <x:c r="G19" s="411" t="str">
        <x:v>High</x:v>
      </x:c>
      <x:c r="H19" s="411" t="str">
        <x:v>Devansh</x:v>
      </x:c>
      <x:c r="I19" s="488" t="str">
        <x:v>Backlog</x:v>
      </x:c>
      <x:c r="J19" s="414" t="n">
        <x:f>IF(I19="Done",1,IF(I19="In Review",0.8,IF(I19="In Progress",0.5,IF(I19="Blocked",0.35,IF(I19="Ready",0.1,0)))))</x:f>
        <x:v>0</x:v>
      </x:c>
      <x:c r="K19" s="460" t="n">
        <x:v>46241</x:v>
      </x:c>
      <x:c r="L19" s="460" t="n">
        <x:v>46241</x:v>
      </x:c>
      <x:c r="M19" s="460"/>
      <x:c r="N19" s="411" t="str"/>
      <x:c r="O19" s="411" t="str">
        <x:v>Nominal and negative tests pass; behavior is documented and reproducible.</x:v>
      </x:c>
      <x:c r="P19" s="464" t="n">
        <x:f>COUNTIF(Test_Cases!$D$5:$D$1000,A19)</x:f>
        <x:v>1</x:v>
      </x:c>
      <x:c r="Q19" s="464" t="n">
        <x:f>COUNTIFS(Test_Cases!$D$5:$D$1000,A19,Test_Cases!$L$5:$L$1000,"Passed")</x:f>
        <x:v>0</x:v>
      </x:c>
      <x:c r="R19" s="464" t="n">
        <x:f>COUNTIFS(Defects!$E$5:$E$500,A19,Defects!$K$5:$K$500,"&lt;&gt;Closed")</x:f>
        <x:v>0</x:v>
      </x:c>
      <x:c r="S19" s="411" t="str"/>
      <x:c r="T19" s="411" t="str"/>
      <x:c r="U19" s="411" t="str">
        <x:v>f_life_005</x:v>
      </x:c>
      <x:c r="V19" s="373"/>
      <x:c r="W19" s="373"/>
      <x:c r="X19" s="373"/>
      <x:c r="Y19" s="373"/>
      <x:c r="Z19" s="373"/>
    </x:row>
    <x:row r="20">
      <x:c r="A20" s="411" t="str">
        <x:v>F-LIFE-006</x:v>
      </x:c>
      <x:c r="B20" s="411" t="str">
        <x:v>v0.1.2</x:v>
      </x:c>
      <x:c r="C20" s="411" t="str">
        <x:v>Lifecycle</x:v>
      </x:c>
      <x:c r="D20" s="411" t="str">
        <x:v>Mapping manager lifecycle</x:v>
      </x:c>
      <x:c r="E20" s="411" t="str">
        <x:v>Convert mapping manager to explicit lifecycle handling.</x:v>
      </x:c>
      <x:c r="F20" s="411" t="str">
        <x:v>REQ-016</x:v>
      </x:c>
      <x:c r="G20" s="411" t="str">
        <x:v>High</x:v>
      </x:c>
      <x:c r="H20" s="411" t="str">
        <x:v>Devansh</x:v>
      </x:c>
      <x:c r="I20" s="488" t="str">
        <x:v>Backlog</x:v>
      </x:c>
      <x:c r="J20" s="414" t="n">
        <x:f>IF(I20="Done",1,IF(I20="In Review",0.8,IF(I20="In Progress",0.5,IF(I20="Blocked",0.35,IF(I20="Ready",0.1,0)))))</x:f>
        <x:v>0</x:v>
      </x:c>
      <x:c r="K20" s="460" t="n">
        <x:v>46241</x:v>
      </x:c>
      <x:c r="L20" s="460" t="n">
        <x:v>46241</x:v>
      </x:c>
      <x:c r="M20" s="460"/>
      <x:c r="N20" s="411" t="str"/>
      <x:c r="O20" s="411" t="str">
        <x:v>Nominal and negative tests pass; behavior is documented and reproducible.</x:v>
      </x:c>
      <x:c r="P20" s="464" t="n">
        <x:f>COUNTIF(Test_Cases!$D$5:$D$1000,A20)</x:f>
        <x:v>1</x:v>
      </x:c>
      <x:c r="Q20" s="464" t="n">
        <x:f>COUNTIFS(Test_Cases!$D$5:$D$1000,A20,Test_Cases!$L$5:$L$1000,"Passed")</x:f>
        <x:v>0</x:v>
      </x:c>
      <x:c r="R20" s="464" t="n">
        <x:f>COUNTIFS(Defects!$E$5:$E$500,A20,Defects!$K$5:$K$500,"&lt;&gt;Closed")</x:f>
        <x:v>0</x:v>
      </x:c>
      <x:c r="S20" s="411" t="str"/>
      <x:c r="T20" s="411" t="str"/>
      <x:c r="U20" s="411" t="str">
        <x:v>f_life_006</x:v>
      </x:c>
      <x:c r="V20" s="373"/>
      <x:c r="W20" s="373"/>
      <x:c r="X20" s="373"/>
      <x:c r="Y20" s="373"/>
      <x:c r="Z20" s="373"/>
    </x:row>
    <x:row r="21">
      <x:c r="A21" s="411" t="str">
        <x:v>F-LIFE-007</x:v>
      </x:c>
      <x:c r="B21" s="411" t="str">
        <x:v>v0.1.2</x:v>
      </x:c>
      <x:c r="C21" s="411" t="str">
        <x:v>Lifecycle</x:v>
      </x:c>
      <x:c r="D21" s="411" t="str">
        <x:v>Localization manager lifecycle</x:v>
      </x:c>
      <x:c r="E21" s="411" t="str">
        <x:v>Convert localization manager to explicit lifecycle handling.</x:v>
      </x:c>
      <x:c r="F21" s="411" t="str">
        <x:v>REQ-017</x:v>
      </x:c>
      <x:c r="G21" s="411" t="str">
        <x:v>High</x:v>
      </x:c>
      <x:c r="H21" s="411" t="str">
        <x:v>Devansh</x:v>
      </x:c>
      <x:c r="I21" s="488" t="str">
        <x:v>Backlog</x:v>
      </x:c>
      <x:c r="J21" s="414" t="n">
        <x:f>IF(I21="Done",1,IF(I21="In Review",0.8,IF(I21="In Progress",0.5,IF(I21="Blocked",0.35,IF(I21="Ready",0.1,0)))))</x:f>
        <x:v>0</x:v>
      </x:c>
      <x:c r="K21" s="460" t="n">
        <x:v>46241</x:v>
      </x:c>
      <x:c r="L21" s="460" t="n">
        <x:v>46241</x:v>
      </x:c>
      <x:c r="M21" s="460"/>
      <x:c r="N21" s="411" t="str"/>
      <x:c r="O21" s="411" t="str">
        <x:v>Nominal and negative tests pass; behavior is documented and reproducible.</x:v>
      </x:c>
      <x:c r="P21" s="464" t="n">
        <x:f>COUNTIF(Test_Cases!$D$5:$D$1000,A21)</x:f>
        <x:v>1</x:v>
      </x:c>
      <x:c r="Q21" s="464" t="n">
        <x:f>COUNTIFS(Test_Cases!$D$5:$D$1000,A21,Test_Cases!$L$5:$L$1000,"Passed")</x:f>
        <x:v>0</x:v>
      </x:c>
      <x:c r="R21" s="464" t="n">
        <x:f>COUNTIFS(Defects!$E$5:$E$500,A21,Defects!$K$5:$K$500,"&lt;&gt;Closed")</x:f>
        <x:v>0</x:v>
      </x:c>
      <x:c r="S21" s="411" t="str"/>
      <x:c r="T21" s="411" t="str"/>
      <x:c r="U21" s="411" t="str">
        <x:v>f_life_007</x:v>
      </x:c>
      <x:c r="V21" s="373"/>
      <x:c r="W21" s="373"/>
      <x:c r="X21" s="373"/>
      <x:c r="Y21" s="373"/>
      <x:c r="Z21" s="373"/>
    </x:row>
    <x:row r="22">
      <x:c r="A22" s="411" t="str">
        <x:v>F-LIFE-008</x:v>
      </x:c>
      <x:c r="B22" s="411" t="str">
        <x:v>v0.1.2</x:v>
      </x:c>
      <x:c r="C22" s="411" t="str">
        <x:v>Lifecycle</x:v>
      </x:c>
      <x:c r="D22" s="411" t="str">
        <x:v>Navigation manager lifecycle</x:v>
      </x:c>
      <x:c r="E22" s="411" t="str">
        <x:v>Convert navigation manager to explicit lifecycle handling.</x:v>
      </x:c>
      <x:c r="F22" s="411" t="str">
        <x:v>REQ-018</x:v>
      </x:c>
      <x:c r="G22" s="411" t="str">
        <x:v>High</x:v>
      </x:c>
      <x:c r="H22" s="411" t="str">
        <x:v>Devansh</x:v>
      </x:c>
      <x:c r="I22" s="488" t="str">
        <x:v>Backlog</x:v>
      </x:c>
      <x:c r="J22" s="414" t="n">
        <x:f>IF(I22="Done",1,IF(I22="In Review",0.8,IF(I22="In Progress",0.5,IF(I22="Blocked",0.35,IF(I22="Ready",0.1,0)))))</x:f>
        <x:v>0</x:v>
      </x:c>
      <x:c r="K22" s="460" t="n">
        <x:v>46241</x:v>
      </x:c>
      <x:c r="L22" s="460" t="n">
        <x:v>46241</x:v>
      </x:c>
      <x:c r="M22" s="460"/>
      <x:c r="N22" s="411" t="str"/>
      <x:c r="O22" s="411" t="str">
        <x:v>Nominal and negative tests pass; behavior is documented and reproducible.</x:v>
      </x:c>
      <x:c r="P22" s="464" t="n">
        <x:f>COUNTIF(Test_Cases!$D$5:$D$1000,A22)</x:f>
        <x:v>1</x:v>
      </x:c>
      <x:c r="Q22" s="464" t="n">
        <x:f>COUNTIFS(Test_Cases!$D$5:$D$1000,A22,Test_Cases!$L$5:$L$1000,"Passed")</x:f>
        <x:v>0</x:v>
      </x:c>
      <x:c r="R22" s="464" t="n">
        <x:f>COUNTIFS(Defects!$E$5:$E$500,A22,Defects!$K$5:$K$500,"&lt;&gt;Closed")</x:f>
        <x:v>0</x:v>
      </x:c>
      <x:c r="S22" s="411" t="str"/>
      <x:c r="T22" s="411" t="str"/>
      <x:c r="U22" s="411" t="str">
        <x:v>f_life_008</x:v>
      </x:c>
      <x:c r="V22" s="373"/>
      <x:c r="W22" s="373"/>
      <x:c r="X22" s="373"/>
      <x:c r="Y22" s="373"/>
      <x:c r="Z22" s="373"/>
    </x:row>
    <x:row r="23">
      <x:c r="A23" s="411" t="str">
        <x:v>F-LIFE-009</x:v>
      </x:c>
      <x:c r="B23" s="411" t="str">
        <x:v>v0.1.2</x:v>
      </x:c>
      <x:c r="C23" s="411" t="str">
        <x:v>Recovery</x:v>
      </x:c>
      <x:c r="D23" s="411" t="str">
        <x:v>Lifecycle error recovery</x:v>
      </x:c>
      <x:c r="E23" s="411" t="str">
        <x:v>Define retry, cleanup, rollback, and error-state recovery.</x:v>
      </x:c>
      <x:c r="F23" s="411" t="str">
        <x:v>REQ-019</x:v>
      </x:c>
      <x:c r="G23" s="411" t="str">
        <x:v>Critical</x:v>
      </x:c>
      <x:c r="H23" s="411" t="str">
        <x:v>Devansh</x:v>
      </x:c>
      <x:c r="I23" s="488" t="str">
        <x:v>Backlog</x:v>
      </x:c>
      <x:c r="J23" s="414" t="n">
        <x:f>IF(I23="Done",1,IF(I23="In Review",0.8,IF(I23="In Progress",0.5,IF(I23="Blocked",0.35,IF(I23="Ready",0.1,0)))))</x:f>
        <x:v>0</x:v>
      </x:c>
      <x:c r="K23" s="460" t="n">
        <x:v>46241</x:v>
      </x:c>
      <x:c r="L23" s="460" t="n">
        <x:v>46241</x:v>
      </x:c>
      <x:c r="M23" s="460"/>
      <x:c r="N23" s="411" t="str"/>
      <x:c r="O23" s="411" t="str">
        <x:v>Acceptance test passes; failure path is verified; regression suite remains green.</x:v>
      </x:c>
      <x:c r="P23" s="464" t="n">
        <x:f>COUNTIF(Test_Cases!$D$5:$D$1000,A23)</x:f>
        <x:v>2</x:v>
      </x:c>
      <x:c r="Q23" s="464" t="n">
        <x:f>COUNTIFS(Test_Cases!$D$5:$D$1000,A23,Test_Cases!$L$5:$L$1000,"Passed")</x:f>
        <x:v>0</x:v>
      </x:c>
      <x:c r="R23" s="464" t="n">
        <x:f>COUNTIFS(Defects!$E$5:$E$500,A23,Defects!$K$5:$K$500,"&lt;&gt;Closed")</x:f>
        <x:v>0</x:v>
      </x:c>
      <x:c r="S23" s="411" t="str"/>
      <x:c r="T23" s="411" t="str"/>
      <x:c r="U23" s="411" t="str">
        <x:v>f_life_009</x:v>
      </x:c>
      <x:c r="V23" s="373"/>
      <x:c r="W23" s="373"/>
      <x:c r="X23" s="373"/>
      <x:c r="Y23" s="373"/>
      <x:c r="Z23" s="373"/>
    </x:row>
    <x:row r="24">
      <x:c r="A24" s="411" t="str">
        <x:v>F-LIFE-010</x:v>
      </x:c>
      <x:c r="B24" s="411" t="str">
        <x:v>v0.1.2</x:v>
      </x:c>
      <x:c r="C24" s="411" t="str">
        <x:v>Observability</x:v>
      </x:c>
      <x:c r="D24" s="411" t="str">
        <x:v>Lifecycle state publication</x:v>
      </x:c>
      <x:c r="E24" s="411" t="str">
        <x:v>Publish machine-readable lifecycle state and transition events.</x:v>
      </x:c>
      <x:c r="F24" s="411" t="str">
        <x:v>REQ-020</x:v>
      </x:c>
      <x:c r="G24" s="411" t="str">
        <x:v>Medium</x:v>
      </x:c>
      <x:c r="H24" s="411" t="str">
        <x:v>Devansh</x:v>
      </x:c>
      <x:c r="I24" s="488" t="str">
        <x:v>Backlog</x:v>
      </x:c>
      <x:c r="J24" s="414" t="n">
        <x:f>IF(I24="Done",1,IF(I24="In Review",0.8,IF(I24="In Progress",0.5,IF(I24="Blocked",0.35,IF(I24="Ready",0.1,0)))))</x:f>
        <x:v>0</x:v>
      </x:c>
      <x:c r="K24" s="460" t="n">
        <x:v>46241</x:v>
      </x:c>
      <x:c r="L24" s="460" t="n">
        <x:v>46241</x:v>
      </x:c>
      <x:c r="M24" s="460"/>
      <x:c r="N24" s="411" t="str"/>
      <x:c r="O24" s="411" t="str">
        <x:v>Capability is usable, documented, and covered by at least one verification test.</x:v>
      </x:c>
      <x:c r="P24" s="464" t="n">
        <x:f>COUNTIF(Test_Cases!$D$5:$D$1000,A24)</x:f>
        <x:v>1</x:v>
      </x:c>
      <x:c r="Q24" s="464" t="n">
        <x:f>COUNTIFS(Test_Cases!$D$5:$D$1000,A24,Test_Cases!$L$5:$L$1000,"Passed")</x:f>
        <x:v>0</x:v>
      </x:c>
      <x:c r="R24" s="464" t="n">
        <x:f>COUNTIFS(Defects!$E$5:$E$500,A24,Defects!$K$5:$K$500,"&lt;&gt;Closed")</x:f>
        <x:v>0</x:v>
      </x:c>
      <x:c r="S24" s="411" t="str"/>
      <x:c r="T24" s="411" t="str"/>
      <x:c r="U24" s="411" t="str">
        <x:v>f_life_010</x:v>
      </x:c>
      <x:c r="V24" s="373"/>
      <x:c r="W24" s="373"/>
      <x:c r="X24" s="373"/>
      <x:c r="Y24" s="373"/>
      <x:c r="Z24" s="373"/>
    </x:row>
    <x:row r="25">
      <x:c r="A25" s="411" t="str">
        <x:v>F-READY-001</x:v>
      </x:c>
      <x:c r="B25" s="411" t="str">
        <x:v>v0.1.3</x:v>
      </x:c>
      <x:c r="C25" s="411" t="str">
        <x:v>Readiness</x:v>
      </x:c>
      <x:c r="D25" s="411" t="str">
        <x:v>Reusable readiness-check interface</x:v>
      </x:c>
      <x:c r="E25" s="411" t="str">
        <x:v>Provide a common contract for readiness checks and structured results.</x:v>
      </x:c>
      <x:c r="F25" s="411" t="str">
        <x:v>REQ-021</x:v>
      </x:c>
      <x:c r="G25" s="411" t="str">
        <x:v>Critical</x:v>
      </x:c>
      <x:c r="H25" s="411" t="str">
        <x:v>Devansh</x:v>
      </x:c>
      <x:c r="I25" s="488" t="str">
        <x:v>Backlog</x:v>
      </x:c>
      <x:c r="J25" s="414" t="n">
        <x:f>IF(I25="Done",1,IF(I25="In Review",0.8,IF(I25="In Progress",0.5,IF(I25="Blocked",0.35,IF(I25="Ready",0.1,0)))))</x:f>
        <x:v>0</x:v>
      </x:c>
      <x:c r="K25" s="460" t="n">
        <x:v>46242</x:v>
      </x:c>
      <x:c r="L25" s="460" t="n">
        <x:v>46242</x:v>
      </x:c>
      <x:c r="M25" s="460"/>
      <x:c r="N25" s="411" t="str"/>
      <x:c r="O25" s="411" t="str">
        <x:v>Acceptance test passes; failure path is verified; regression suite remains green.</x:v>
      </x:c>
      <x:c r="P25" s="464" t="n">
        <x:f>COUNTIF(Test_Cases!$D$5:$D$1000,A25)</x:f>
        <x:v>2</x:v>
      </x:c>
      <x:c r="Q25" s="464" t="n">
        <x:f>COUNTIFS(Test_Cases!$D$5:$D$1000,A25,Test_Cases!$L$5:$L$1000,"Passed")</x:f>
        <x:v>0</x:v>
      </x:c>
      <x:c r="R25" s="464" t="n">
        <x:f>COUNTIFS(Defects!$E$5:$E$500,A25,Defects!$K$5:$K$500,"&lt;&gt;Closed")</x:f>
        <x:v>0</x:v>
      </x:c>
      <x:c r="S25" s="411" t="str"/>
      <x:c r="T25" s="411" t="str"/>
      <x:c r="U25" s="411" t="str">
        <x:v>f_ready_001</x:v>
      </x:c>
      <x:c r="V25" s="373"/>
      <x:c r="W25" s="373"/>
      <x:c r="X25" s="373"/>
      <x:c r="Y25" s="373"/>
      <x:c r="Z25" s="373"/>
    </x:row>
    <x:row r="26">
      <x:c r="A26" s="411" t="str">
        <x:v>F-READY-002</x:v>
      </x:c>
      <x:c r="B26" s="411" t="str">
        <x:v>v0.1.3</x:v>
      </x:c>
      <x:c r="C26" s="411" t="str">
        <x:v>Readiness</x:v>
      </x:c>
      <x:c r="D26" s="411" t="str">
        <x:v>Simulation clock check</x:v>
      </x:c>
      <x:c r="E26" s="411" t="str">
        <x:v>Verify /clock exists, advances, and uses simulation time.</x:v>
      </x:c>
      <x:c r="F26" s="411" t="str">
        <x:v>REQ-022</x:v>
      </x:c>
      <x:c r="G26" s="411" t="str">
        <x:v>Critical</x:v>
      </x:c>
      <x:c r="H26" s="411" t="str">
        <x:v>Devansh</x:v>
      </x:c>
      <x:c r="I26" s="488" t="str">
        <x:v>Backlog</x:v>
      </x:c>
      <x:c r="J26" s="414" t="n">
        <x:f>IF(I26="Done",1,IF(I26="In Review",0.8,IF(I26="In Progress",0.5,IF(I26="Blocked",0.35,IF(I26="Ready",0.1,0)))))</x:f>
        <x:v>0</x:v>
      </x:c>
      <x:c r="K26" s="460" t="n">
        <x:v>46242</x:v>
      </x:c>
      <x:c r="L26" s="460" t="n">
        <x:v>46242</x:v>
      </x:c>
      <x:c r="M26" s="460"/>
      <x:c r="N26" s="411" t="str"/>
      <x:c r="O26" s="411" t="str">
        <x:v>Acceptance test passes; failure path is verified; regression suite remains green.</x:v>
      </x:c>
      <x:c r="P26" s="464" t="n">
        <x:f>COUNTIF(Test_Cases!$D$5:$D$1000,A26)</x:f>
        <x:v>2</x:v>
      </x:c>
      <x:c r="Q26" s="464" t="n">
        <x:f>COUNTIFS(Test_Cases!$D$5:$D$1000,A26,Test_Cases!$L$5:$L$1000,"Passed")</x:f>
        <x:v>0</x:v>
      </x:c>
      <x:c r="R26" s="464" t="n">
        <x:f>COUNTIFS(Defects!$E$5:$E$500,A26,Defects!$K$5:$K$500,"&lt;&gt;Closed")</x:f>
        <x:v>0</x:v>
      </x:c>
      <x:c r="S26" s="411" t="str"/>
      <x:c r="T26" s="411" t="str"/>
      <x:c r="U26" s="411" t="str">
        <x:v>f_ready_002</x:v>
      </x:c>
      <x:c r="V26" s="373"/>
      <x:c r="W26" s="373"/>
      <x:c r="X26" s="373"/>
      <x:c r="Y26" s="373"/>
      <x:c r="Z26" s="373"/>
    </x:row>
    <x:row r="27">
      <x:c r="A27" s="411" t="str">
        <x:v>F-READY-003</x:v>
      </x:c>
      <x:c r="B27" s="411" t="str">
        <x:v>v0.1.3</x:v>
      </x:c>
      <x:c r="C27" s="411" t="str">
        <x:v>Readiness</x:v>
      </x:c>
      <x:c r="D27" s="411" t="str">
        <x:v>Topic existence and freshness check</x:v>
      </x:c>
      <x:c r="E27" s="411" t="str">
        <x:v>Verify required topics publish recent messages at acceptable rates.</x:v>
      </x:c>
      <x:c r="F27" s="411" t="str">
        <x:v>REQ-023</x:v>
      </x:c>
      <x:c r="G27" s="411" t="str">
        <x:v>Critical</x:v>
      </x:c>
      <x:c r="H27" s="411" t="str">
        <x:v>Devansh</x:v>
      </x:c>
      <x:c r="I27" s="488" t="str">
        <x:v>Backlog</x:v>
      </x:c>
      <x:c r="J27" s="414" t="n">
        <x:f>IF(I27="Done",1,IF(I27="In Review",0.8,IF(I27="In Progress",0.5,IF(I27="Blocked",0.35,IF(I27="Ready",0.1,0)))))</x:f>
        <x:v>0</x:v>
      </x:c>
      <x:c r="K27" s="460" t="n">
        <x:v>46242</x:v>
      </x:c>
      <x:c r="L27" s="460" t="n">
        <x:v>46242</x:v>
      </x:c>
      <x:c r="M27" s="460"/>
      <x:c r="N27" s="411" t="str"/>
      <x:c r="O27" s="411" t="str">
        <x:v>Acceptance test passes; failure path is verified; regression suite remains green.</x:v>
      </x:c>
      <x:c r="P27" s="464" t="n">
        <x:f>COUNTIF(Test_Cases!$D$5:$D$1000,A27)</x:f>
        <x:v>2</x:v>
      </x:c>
      <x:c r="Q27" s="464" t="n">
        <x:f>COUNTIFS(Test_Cases!$D$5:$D$1000,A27,Test_Cases!$L$5:$L$1000,"Passed")</x:f>
        <x:v>0</x:v>
      </x:c>
      <x:c r="R27" s="464" t="n">
        <x:f>COUNTIFS(Defects!$E$5:$E$500,A27,Defects!$K$5:$K$500,"&lt;&gt;Closed")</x:f>
        <x:v>0</x:v>
      </x:c>
      <x:c r="S27" s="411" t="str"/>
      <x:c r="T27" s="411" t="str"/>
      <x:c r="U27" s="411" t="str">
        <x:v>f_ready_003</x:v>
      </x:c>
      <x:c r="V27" s="373"/>
      <x:c r="W27" s="373"/>
      <x:c r="X27" s="373"/>
      <x:c r="Y27" s="373"/>
      <x:c r="Z27" s="373"/>
    </x:row>
    <x:row r="28">
      <x:c r="A28" s="411" t="str">
        <x:v>F-READY-004</x:v>
      </x:c>
      <x:c r="B28" s="411" t="str">
        <x:v>v0.1.3</x:v>
      </x:c>
      <x:c r="C28" s="411" t="str">
        <x:v>Readiness</x:v>
      </x:c>
      <x:c r="D28" s="411" t="str">
        <x:v>TF existence and freshness check</x:v>
      </x:c>
      <x:c r="E28" s="411" t="str">
        <x:v>Verify required transforms exist, are fresh, and resolve within timeout.</x:v>
      </x:c>
      <x:c r="F28" s="411" t="str">
        <x:v>REQ-024</x:v>
      </x:c>
      <x:c r="G28" s="411" t="str">
        <x:v>Critical</x:v>
      </x:c>
      <x:c r="H28" s="411" t="str">
        <x:v>Devansh</x:v>
      </x:c>
      <x:c r="I28" s="488" t="str">
        <x:v>Backlog</x:v>
      </x:c>
      <x:c r="J28" s="414" t="n">
        <x:f>IF(I28="Done",1,IF(I28="In Review",0.8,IF(I28="In Progress",0.5,IF(I28="Blocked",0.35,IF(I28="Ready",0.1,0)))))</x:f>
        <x:v>0</x:v>
      </x:c>
      <x:c r="K28" s="460" t="n">
        <x:v>46242</x:v>
      </x:c>
      <x:c r="L28" s="460" t="n">
        <x:v>46242</x:v>
      </x:c>
      <x:c r="M28" s="460"/>
      <x:c r="N28" s="411" t="str"/>
      <x:c r="O28" s="411" t="str">
        <x:v>Acceptance test passes; failure path is verified; regression suite remains green.</x:v>
      </x:c>
      <x:c r="P28" s="464" t="n">
        <x:f>COUNTIF(Test_Cases!$D$5:$D$1000,A28)</x:f>
        <x:v>2</x:v>
      </x:c>
      <x:c r="Q28" s="464" t="n">
        <x:f>COUNTIFS(Test_Cases!$D$5:$D$1000,A28,Test_Cases!$L$5:$L$1000,"Passed")</x:f>
        <x:v>0</x:v>
      </x:c>
      <x:c r="R28" s="464" t="n">
        <x:f>COUNTIFS(Defects!$E$5:$E$500,A28,Defects!$K$5:$K$500,"&lt;&gt;Closed")</x:f>
        <x:v>0</x:v>
      </x:c>
      <x:c r="S28" s="411" t="str"/>
      <x:c r="T28" s="411" t="str"/>
      <x:c r="U28" s="411" t="str">
        <x:v>f_ready_004</x:v>
      </x:c>
      <x:c r="V28" s="373"/>
      <x:c r="W28" s="373"/>
      <x:c r="X28" s="373"/>
      <x:c r="Y28" s="373"/>
      <x:c r="Z28" s="373"/>
    </x:row>
    <x:row r="29">
      <x:c r="A29" s="411" t="str">
        <x:v>F-READY-005</x:v>
      </x:c>
      <x:c r="B29" s="411" t="str">
        <x:v>v0.1.3</x:v>
      </x:c>
      <x:c r="C29" s="411" t="str">
        <x:v>Readiness</x:v>
      </x:c>
      <x:c r="D29" s="411" t="str">
        <x:v>Service availability check</x:v>
      </x:c>
      <x:c r="E29" s="411" t="str">
        <x:v>Verify required services are discoverable and responsive.</x:v>
      </x:c>
      <x:c r="F29" s="411" t="str">
        <x:v>REQ-025</x:v>
      </x:c>
      <x:c r="G29" s="411" t="str">
        <x:v>High</x:v>
      </x:c>
      <x:c r="H29" s="411" t="str">
        <x:v>Devansh</x:v>
      </x:c>
      <x:c r="I29" s="488" t="str">
        <x:v>Backlog</x:v>
      </x:c>
      <x:c r="J29" s="414" t="n">
        <x:f>IF(I29="Done",1,IF(I29="In Review",0.8,IF(I29="In Progress",0.5,IF(I29="Blocked",0.35,IF(I29="Ready",0.1,0)))))</x:f>
        <x:v>0</x:v>
      </x:c>
      <x:c r="K29" s="460" t="n">
        <x:v>46242</x:v>
      </x:c>
      <x:c r="L29" s="460" t="n">
        <x:v>46242</x:v>
      </x:c>
      <x:c r="M29" s="460"/>
      <x:c r="N29" s="411" t="str"/>
      <x:c r="O29" s="411" t="str">
        <x:v>Nominal and negative tests pass; behavior is documented and reproducible.</x:v>
      </x:c>
      <x:c r="P29" s="464" t="n">
        <x:f>COUNTIF(Test_Cases!$D$5:$D$1000,A29)</x:f>
        <x:v>1</x:v>
      </x:c>
      <x:c r="Q29" s="464" t="n">
        <x:f>COUNTIFS(Test_Cases!$D$5:$D$1000,A29,Test_Cases!$L$5:$L$1000,"Passed")</x:f>
        <x:v>0</x:v>
      </x:c>
      <x:c r="R29" s="464" t="n">
        <x:f>COUNTIFS(Defects!$E$5:$E$500,A29,Defects!$K$5:$K$500,"&lt;&gt;Closed")</x:f>
        <x:v>0</x:v>
      </x:c>
      <x:c r="S29" s="411" t="str"/>
      <x:c r="T29" s="411" t="str"/>
      <x:c r="U29" s="411" t="str">
        <x:v>f_ready_005</x:v>
      </x:c>
      <x:c r="V29" s="373"/>
      <x:c r="W29" s="373"/>
      <x:c r="X29" s="373"/>
      <x:c r="Y29" s="373"/>
      <x:c r="Z29" s="373"/>
    </x:row>
    <x:row r="30">
      <x:c r="A30" s="411" t="str">
        <x:v>F-READY-006</x:v>
      </x:c>
      <x:c r="B30" s="411" t="str">
        <x:v>v0.1.3</x:v>
      </x:c>
      <x:c r="C30" s="411" t="str">
        <x:v>Readiness</x:v>
      </x:c>
      <x:c r="D30" s="411" t="str">
        <x:v>Action server availability check</x:v>
      </x:c>
      <x:c r="E30" s="411" t="str">
        <x:v>Verify required action servers are available before activation.</x:v>
      </x:c>
      <x:c r="F30" s="411" t="str">
        <x:v>REQ-026</x:v>
      </x:c>
      <x:c r="G30" s="411" t="str">
        <x:v>High</x:v>
      </x:c>
      <x:c r="H30" s="411" t="str">
        <x:v>Devansh</x:v>
      </x:c>
      <x:c r="I30" s="488" t="str">
        <x:v>Backlog</x:v>
      </x:c>
      <x:c r="J30" s="414" t="n">
        <x:f>IF(I30="Done",1,IF(I30="In Review",0.8,IF(I30="In Progress",0.5,IF(I30="Blocked",0.35,IF(I30="Ready",0.1,0)))))</x:f>
        <x:v>0</x:v>
      </x:c>
      <x:c r="K30" s="460" t="n">
        <x:v>46242</x:v>
      </x:c>
      <x:c r="L30" s="460" t="n">
        <x:v>46242</x:v>
      </x:c>
      <x:c r="M30" s="460"/>
      <x:c r="N30" s="411" t="str"/>
      <x:c r="O30" s="411" t="str">
        <x:v>Nominal and negative tests pass; behavior is documented and reproducible.</x:v>
      </x:c>
      <x:c r="P30" s="464" t="n">
        <x:f>COUNTIF(Test_Cases!$D$5:$D$1000,A30)</x:f>
        <x:v>1</x:v>
      </x:c>
      <x:c r="Q30" s="464" t="n">
        <x:f>COUNTIFS(Test_Cases!$D$5:$D$1000,A30,Test_Cases!$L$5:$L$1000,"Passed")</x:f>
        <x:v>0</x:v>
      </x:c>
      <x:c r="R30" s="464" t="n">
        <x:f>COUNTIFS(Defects!$E$5:$E$500,A30,Defects!$K$5:$K$500,"&lt;&gt;Closed")</x:f>
        <x:v>0</x:v>
      </x:c>
      <x:c r="S30" s="411" t="str"/>
      <x:c r="T30" s="411" t="str"/>
      <x:c r="U30" s="411" t="str">
        <x:v>f_ready_006</x:v>
      </x:c>
      <x:c r="V30" s="373"/>
      <x:c r="W30" s="373"/>
      <x:c r="X30" s="373"/>
      <x:c r="Y30" s="373"/>
      <x:c r="Z30" s="373"/>
    </x:row>
    <x:row r="31">
      <x:c r="A31" s="411" t="str">
        <x:v>F-READY-007</x:v>
      </x:c>
      <x:c r="B31" s="411" t="str">
        <x:v>v0.1.3</x:v>
      </x:c>
      <x:c r="C31" s="411" t="str">
        <x:v>Readiness</x:v>
      </x:c>
      <x:c r="D31" s="411" t="str">
        <x:v>Controller-state check</x:v>
      </x:c>
      <x:c r="E31" s="411" t="str">
        <x:v>Verify required controllers are active.</x:v>
      </x:c>
      <x:c r="F31" s="411" t="str">
        <x:v>REQ-027</x:v>
      </x:c>
      <x:c r="G31" s="411" t="str">
        <x:v>Critical</x:v>
      </x:c>
      <x:c r="H31" s="411" t="str">
        <x:v>Devansh</x:v>
      </x:c>
      <x:c r="I31" s="488" t="str">
        <x:v>Backlog</x:v>
      </x:c>
      <x:c r="J31" s="414" t="n">
        <x:f>IF(I31="Done",1,IF(I31="In Review",0.8,IF(I31="In Progress",0.5,IF(I31="Blocked",0.35,IF(I31="Ready",0.1,0)))))</x:f>
        <x:v>0</x:v>
      </x:c>
      <x:c r="K31" s="460" t="n">
        <x:v>46242</x:v>
      </x:c>
      <x:c r="L31" s="460" t="n">
        <x:v>46242</x:v>
      </x:c>
      <x:c r="M31" s="460"/>
      <x:c r="N31" s="411" t="str"/>
      <x:c r="O31" s="411" t="str">
        <x:v>Acceptance test passes; failure path is verified; regression suite remains green.</x:v>
      </x:c>
      <x:c r="P31" s="464" t="n">
        <x:f>COUNTIF(Test_Cases!$D$5:$D$1000,A31)</x:f>
        <x:v>2</x:v>
      </x:c>
      <x:c r="Q31" s="464" t="n">
        <x:f>COUNTIFS(Test_Cases!$D$5:$D$1000,A31,Test_Cases!$L$5:$L$1000,"Passed")</x:f>
        <x:v>0</x:v>
      </x:c>
      <x:c r="R31" s="464" t="n">
        <x:f>COUNTIFS(Defects!$E$5:$E$500,A31,Defects!$K$5:$K$500,"&lt;&gt;Closed")</x:f>
        <x:v>0</x:v>
      </x:c>
      <x:c r="S31" s="411" t="str"/>
      <x:c r="T31" s="411" t="str"/>
      <x:c r="U31" s="411" t="str">
        <x:v>f_ready_007</x:v>
      </x:c>
      <x:c r="V31" s="373"/>
      <x:c r="W31" s="373"/>
      <x:c r="X31" s="373"/>
      <x:c r="Y31" s="373"/>
      <x:c r="Z31" s="373"/>
    </x:row>
    <x:row r="32">
      <x:c r="A32" s="411" t="str">
        <x:v>F-READY-008</x:v>
      </x:c>
      <x:c r="B32" s="411" t="str">
        <x:v>v0.1.3</x:v>
      </x:c>
      <x:c r="C32" s="411" t="str">
        <x:v>Readiness</x:v>
      </x:c>
      <x:c r="D32" s="411" t="str">
        <x:v>Map and localization check</x:v>
      </x:c>
      <x:c r="E32" s="411" t="str">
        <x:v>Verify map availability and localization estimate validity.</x:v>
      </x:c>
      <x:c r="F32" s="411" t="str">
        <x:v>REQ-028</x:v>
      </x:c>
      <x:c r="G32" s="411" t="str">
        <x:v>High</x:v>
      </x:c>
      <x:c r="H32" s="411" t="str">
        <x:v>Devansh</x:v>
      </x:c>
      <x:c r="I32" s="488" t="str">
        <x:v>Backlog</x:v>
      </x:c>
      <x:c r="J32" s="414" t="n">
        <x:f>IF(I32="Done",1,IF(I32="In Review",0.8,IF(I32="In Progress",0.5,IF(I32="Blocked",0.35,IF(I32="Ready",0.1,0)))))</x:f>
        <x:v>0</x:v>
      </x:c>
      <x:c r="K32" s="460" t="n">
        <x:v>46242</x:v>
      </x:c>
      <x:c r="L32" s="460" t="n">
        <x:v>46242</x:v>
      </x:c>
      <x:c r="M32" s="460"/>
      <x:c r="N32" s="411" t="str"/>
      <x:c r="O32" s="411" t="str">
        <x:v>Nominal and negative tests pass; behavior is documented and reproducible.</x:v>
      </x:c>
      <x:c r="P32" s="464" t="n">
        <x:f>COUNTIF(Test_Cases!$D$5:$D$1000,A32)</x:f>
        <x:v>1</x:v>
      </x:c>
      <x:c r="Q32" s="464" t="n">
        <x:f>COUNTIFS(Test_Cases!$D$5:$D$1000,A32,Test_Cases!$L$5:$L$1000,"Passed")</x:f>
        <x:v>0</x:v>
      </x:c>
      <x:c r="R32" s="464" t="n">
        <x:f>COUNTIFS(Defects!$E$5:$E$500,A32,Defects!$K$5:$K$500,"&lt;&gt;Closed")</x:f>
        <x:v>0</x:v>
      </x:c>
      <x:c r="S32" s="411" t="str"/>
      <x:c r="T32" s="411" t="str"/>
      <x:c r="U32" s="411" t="str">
        <x:v>f_ready_008</x:v>
      </x:c>
      <x:c r="V32" s="373"/>
      <x:c r="W32" s="373"/>
      <x:c r="X32" s="373"/>
      <x:c r="Y32" s="373"/>
      <x:c r="Z32" s="373"/>
    </x:row>
    <x:row r="33">
      <x:c r="A33" s="411" t="str">
        <x:v>F-READY-009</x:v>
      </x:c>
      <x:c r="B33" s="411" t="str">
        <x:v>v0.1.3</x:v>
      </x:c>
      <x:c r="C33" s="411" t="str">
        <x:v>Readiness</x:v>
      </x:c>
      <x:c r="D33" s="411" t="str">
        <x:v>Aggregated readiness report</x:v>
      </x:c>
      <x:c r="E33" s="411" t="str">
        <x:v>Aggregate all checks without hiding simultaneous failures.</x:v>
      </x:c>
      <x:c r="F33" s="411" t="str">
        <x:v>REQ-029</x:v>
      </x:c>
      <x:c r="G33" s="411" t="str">
        <x:v>Critical</x:v>
      </x:c>
      <x:c r="H33" s="411" t="str">
        <x:v>Devansh</x:v>
      </x:c>
      <x:c r="I33" s="488" t="str">
        <x:v>Backlog</x:v>
      </x:c>
      <x:c r="J33" s="414" t="n">
        <x:f>IF(I33="Done",1,IF(I33="In Review",0.8,IF(I33="In Progress",0.5,IF(I33="Blocked",0.35,IF(I33="Ready",0.1,0)))))</x:f>
        <x:v>0</x:v>
      </x:c>
      <x:c r="K33" s="460" t="n">
        <x:v>46242</x:v>
      </x:c>
      <x:c r="L33" s="460" t="n">
        <x:v>46242</x:v>
      </x:c>
      <x:c r="M33" s="460"/>
      <x:c r="N33" s="411" t="str"/>
      <x:c r="O33" s="411" t="str">
        <x:v>Acceptance test passes; failure path is verified; regression suite remains green.</x:v>
      </x:c>
      <x:c r="P33" s="464" t="n">
        <x:f>COUNTIF(Test_Cases!$D$5:$D$1000,A33)</x:f>
        <x:v>2</x:v>
      </x:c>
      <x:c r="Q33" s="464" t="n">
        <x:f>COUNTIFS(Test_Cases!$D$5:$D$1000,A33,Test_Cases!$L$5:$L$1000,"Passed")</x:f>
        <x:v>0</x:v>
      </x:c>
      <x:c r="R33" s="464" t="n">
        <x:f>COUNTIFS(Defects!$E$5:$E$500,A33,Defects!$K$5:$K$500,"&lt;&gt;Closed")</x:f>
        <x:v>0</x:v>
      </x:c>
      <x:c r="S33" s="411" t="str"/>
      <x:c r="T33" s="411" t="str"/>
      <x:c r="U33" s="411" t="str">
        <x:v>f_ready_009</x:v>
      </x:c>
      <x:c r="V33" s="373"/>
      <x:c r="W33" s="373"/>
      <x:c r="X33" s="373"/>
      <x:c r="Y33" s="373"/>
      <x:c r="Z33" s="373"/>
    </x:row>
    <x:row r="34">
      <x:c r="A34" s="411" t="str">
        <x:v>F-READY-010</x:v>
      </x:c>
      <x:c r="B34" s="411" t="str">
        <x:v>v0.1.3</x:v>
      </x:c>
      <x:c r="C34" s="411" t="str">
        <x:v>Refactor</x:v>
      </x:c>
      <x:c r="D34" s="411" t="str">
        <x:v>Remove blind startup TimerActions</x:v>
      </x:c>
      <x:c r="E34" s="411" t="str">
        <x:v>Replace fixed-delay sequencing with transitions and readiness conditions.</x:v>
      </x:c>
      <x:c r="F34" s="411" t="str">
        <x:v>REQ-030</x:v>
      </x:c>
      <x:c r="G34" s="411" t="str">
        <x:v>Critical</x:v>
      </x:c>
      <x:c r="H34" s="411" t="str">
        <x:v>Devansh</x:v>
      </x:c>
      <x:c r="I34" s="488" t="str">
        <x:v>Backlog</x:v>
      </x:c>
      <x:c r="J34" s="414" t="n">
        <x:f>IF(I34="Done",1,IF(I34="In Review",0.8,IF(I34="In Progress",0.5,IF(I34="Blocked",0.35,IF(I34="Ready",0.1,0)))))</x:f>
        <x:v>0</x:v>
      </x:c>
      <x:c r="K34" s="460" t="n">
        <x:v>46242</x:v>
      </x:c>
      <x:c r="L34" s="460" t="n">
        <x:v>46242</x:v>
      </x:c>
      <x:c r="M34" s="460"/>
      <x:c r="N34" s="411" t="str"/>
      <x:c r="O34" s="411" t="str">
        <x:v>Acceptance test passes; failure path is verified; regression suite remains green.</x:v>
      </x:c>
      <x:c r="P34" s="464" t="n">
        <x:f>COUNTIF(Test_Cases!$D$5:$D$1000,A34)</x:f>
        <x:v>2</x:v>
      </x:c>
      <x:c r="Q34" s="464" t="n">
        <x:f>COUNTIFS(Test_Cases!$D$5:$D$1000,A34,Test_Cases!$L$5:$L$1000,"Passed")</x:f>
        <x:v>0</x:v>
      </x:c>
      <x:c r="R34" s="464" t="n">
        <x:f>COUNTIFS(Defects!$E$5:$E$500,A34,Defects!$K$5:$K$500,"&lt;&gt;Closed")</x:f>
        <x:v>1</x:v>
      </x:c>
      <x:c r="S34" s="411" t="str"/>
      <x:c r="T34" s="411" t="str"/>
      <x:c r="U34" s="411" t="str">
        <x:v>f_ready_010</x:v>
      </x:c>
      <x:c r="V34" s="373"/>
      <x:c r="W34" s="373"/>
      <x:c r="X34" s="373"/>
      <x:c r="Y34" s="373"/>
      <x:c r="Z34" s="373"/>
    </x:row>
    <x:row r="35">
      <x:c r="A35" s="411" t="str">
        <x:v>F-MODE-001</x:v>
      </x:c>
      <x:c r="B35" s="411" t="str">
        <x:v>v0.1.4</x:v>
      </x:c>
      <x:c r="C35" s="411" t="str">
        <x:v>State Machine</x:v>
      </x:c>
      <x:c r="D35" s="411" t="str">
        <x:v>Mode dependency graph</x:v>
      </x:c>
      <x:c r="E35" s="411" t="str">
        <x:v>Formalize dependencies among simulation, sensors, estimation, mapping, localization, and navigation.</x:v>
      </x:c>
      <x:c r="F35" s="411" t="str">
        <x:v>REQ-031</x:v>
      </x:c>
      <x:c r="G35" s="411" t="str">
        <x:v>Critical</x:v>
      </x:c>
      <x:c r="H35" s="411" t="str">
        <x:v>Devansh</x:v>
      </x:c>
      <x:c r="I35" s="488" t="str">
        <x:v>Backlog</x:v>
      </x:c>
      <x:c r="J35" s="414" t="n">
        <x:f>IF(I35="Done",1,IF(I35="In Review",0.8,IF(I35="In Progress",0.5,IF(I35="Blocked",0.35,IF(I35="Ready",0.1,0)))))</x:f>
        <x:v>0</x:v>
      </x:c>
      <x:c r="K35" s="460" t="n">
        <x:v>46243</x:v>
      </x:c>
      <x:c r="L35" s="460" t="n">
        <x:v>46243</x:v>
      </x:c>
      <x:c r="M35" s="460"/>
      <x:c r="N35" s="411" t="str"/>
      <x:c r="O35" s="411" t="str">
        <x:v>Acceptance test passes; failure path is verified; regression suite remains green.</x:v>
      </x:c>
      <x:c r="P35" s="464" t="n">
        <x:f>COUNTIF(Test_Cases!$D$5:$D$1000,A35)</x:f>
        <x:v>2</x:v>
      </x:c>
      <x:c r="Q35" s="464" t="n">
        <x:f>COUNTIFS(Test_Cases!$D$5:$D$1000,A35,Test_Cases!$L$5:$L$1000,"Passed")</x:f>
        <x:v>0</x:v>
      </x:c>
      <x:c r="R35" s="464" t="n">
        <x:f>COUNTIFS(Defects!$E$5:$E$500,A35,Defects!$K$5:$K$500,"&lt;&gt;Closed")</x:f>
        <x:v>0</x:v>
      </x:c>
      <x:c r="S35" s="411" t="str"/>
      <x:c r="T35" s="411" t="str"/>
      <x:c r="U35" s="411" t="str">
        <x:v>f_mode_001</x:v>
      </x:c>
      <x:c r="V35" s="373"/>
      <x:c r="W35" s="373"/>
      <x:c r="X35" s="373"/>
      <x:c r="Y35" s="373"/>
      <x:c r="Z35" s="373"/>
    </x:row>
    <x:row r="36">
      <x:c r="A36" s="411" t="str">
        <x:v>F-MODE-002</x:v>
      </x:c>
      <x:c r="B36" s="411" t="str">
        <x:v>v0.1.4</x:v>
      </x:c>
      <x:c r="C36" s="411" t="str">
        <x:v>Mode</x:v>
      </x:c>
      <x:c r="D36" s="411" t="str">
        <x:v>Mapping activation gate</x:v>
      </x:c>
      <x:c r="E36" s="411" t="str">
        <x:v>Require healthy simulation, LiDAR, and odometry before mapping.</x:v>
      </x:c>
      <x:c r="F36" s="411" t="str">
        <x:v>REQ-032</x:v>
      </x:c>
      <x:c r="G36" s="411" t="str">
        <x:v>High</x:v>
      </x:c>
      <x:c r="H36" s="411" t="str">
        <x:v>Devansh</x:v>
      </x:c>
      <x:c r="I36" s="488" t="str">
        <x:v>Backlog</x:v>
      </x:c>
      <x:c r="J36" s="414" t="n">
        <x:f>IF(I36="Done",1,IF(I36="In Review",0.8,IF(I36="In Progress",0.5,IF(I36="Blocked",0.35,IF(I36="Ready",0.1,0)))))</x:f>
        <x:v>0</x:v>
      </x:c>
      <x:c r="K36" s="460" t="n">
        <x:v>46243</x:v>
      </x:c>
      <x:c r="L36" s="460" t="n">
        <x:v>46243</x:v>
      </x:c>
      <x:c r="M36" s="460"/>
      <x:c r="N36" s="411" t="str"/>
      <x:c r="O36" s="411" t="str">
        <x:v>Nominal and negative tests pass; behavior is documented and reproducible.</x:v>
      </x:c>
      <x:c r="P36" s="464" t="n">
        <x:f>COUNTIF(Test_Cases!$D$5:$D$1000,A36)</x:f>
        <x:v>1</x:v>
      </x:c>
      <x:c r="Q36" s="464" t="n">
        <x:f>COUNTIFS(Test_Cases!$D$5:$D$1000,A36,Test_Cases!$L$5:$L$1000,"Passed")</x:f>
        <x:v>0</x:v>
      </x:c>
      <x:c r="R36" s="464" t="n">
        <x:f>COUNTIFS(Defects!$E$5:$E$500,A36,Defects!$K$5:$K$500,"&lt;&gt;Closed")</x:f>
        <x:v>0</x:v>
      </x:c>
      <x:c r="S36" s="411" t="str"/>
      <x:c r="T36" s="411" t="str"/>
      <x:c r="U36" s="411" t="str">
        <x:v>f_mode_002</x:v>
      </x:c>
      <x:c r="V36" s="373"/>
      <x:c r="W36" s="373"/>
      <x:c r="X36" s="373"/>
      <x:c r="Y36" s="373"/>
      <x:c r="Z36" s="373"/>
    </x:row>
    <x:row r="37">
      <x:c r="A37" s="411" t="str">
        <x:v>F-MODE-003</x:v>
      </x:c>
      <x:c r="B37" s="411" t="str">
        <x:v>v0.1.4</x:v>
      </x:c>
      <x:c r="C37" s="411" t="str">
        <x:v>Mode</x:v>
      </x:c>
      <x:c r="D37" s="411" t="str">
        <x:v>Localization activation gate</x:v>
      </x:c>
      <x:c r="E37" s="411" t="str">
        <x:v>Require valid map, sensors, TF, and AMCL readiness.</x:v>
      </x:c>
      <x:c r="F37" s="411" t="str">
        <x:v>REQ-033</x:v>
      </x:c>
      <x:c r="G37" s="411" t="str">
        <x:v>Critical</x:v>
      </x:c>
      <x:c r="H37" s="411" t="str">
        <x:v>Devansh</x:v>
      </x:c>
      <x:c r="I37" s="488" t="str">
        <x:v>Backlog</x:v>
      </x:c>
      <x:c r="J37" s="414" t="n">
        <x:f>IF(I37="Done",1,IF(I37="In Review",0.8,IF(I37="In Progress",0.5,IF(I37="Blocked",0.35,IF(I37="Ready",0.1,0)))))</x:f>
        <x:v>0</x:v>
      </x:c>
      <x:c r="K37" s="460" t="n">
        <x:v>46243</x:v>
      </x:c>
      <x:c r="L37" s="460" t="n">
        <x:v>46243</x:v>
      </x:c>
      <x:c r="M37" s="460"/>
      <x:c r="N37" s="411" t="str"/>
      <x:c r="O37" s="411" t="str">
        <x:v>Acceptance test passes; failure path is verified; regression suite remains green.</x:v>
      </x:c>
      <x:c r="P37" s="464" t="n">
        <x:f>COUNTIF(Test_Cases!$D$5:$D$1000,A37)</x:f>
        <x:v>2</x:v>
      </x:c>
      <x:c r="Q37" s="464" t="n">
        <x:f>COUNTIFS(Test_Cases!$D$5:$D$1000,A37,Test_Cases!$L$5:$L$1000,"Passed")</x:f>
        <x:v>0</x:v>
      </x:c>
      <x:c r="R37" s="464" t="n">
        <x:f>COUNTIFS(Defects!$E$5:$E$500,A37,Defects!$K$5:$K$500,"&lt;&gt;Closed")</x:f>
        <x:v>0</x:v>
      </x:c>
      <x:c r="S37" s="411" t="str"/>
      <x:c r="T37" s="411" t="str"/>
      <x:c r="U37" s="411" t="str">
        <x:v>f_mode_003</x:v>
      </x:c>
      <x:c r="V37" s="373"/>
      <x:c r="W37" s="373"/>
      <x:c r="X37" s="373"/>
      <x:c r="Y37" s="373"/>
      <x:c r="Z37" s="373"/>
    </x:row>
    <x:row r="38">
      <x:c r="A38" s="411" t="str">
        <x:v>F-MODE-004</x:v>
      </x:c>
      <x:c r="B38" s="411" t="str">
        <x:v>v0.1.4</x:v>
      </x:c>
      <x:c r="C38" s="411" t="str">
        <x:v>Mode</x:v>
      </x:c>
      <x:c r="D38" s="411" t="str">
        <x:v>Navigation activation gate</x:v>
      </x:c>
      <x:c r="E38" s="411" t="str">
        <x:v>Require healthy localization, costmaps, servers, and safety path.</x:v>
      </x:c>
      <x:c r="F38" s="411" t="str">
        <x:v>REQ-034</x:v>
      </x:c>
      <x:c r="G38" s="411" t="str">
        <x:v>Critical</x:v>
      </x:c>
      <x:c r="H38" s="411" t="str">
        <x:v>Devansh</x:v>
      </x:c>
      <x:c r="I38" s="488" t="str">
        <x:v>Backlog</x:v>
      </x:c>
      <x:c r="J38" s="414" t="n">
        <x:f>IF(I38="Done",1,IF(I38="In Review",0.8,IF(I38="In Progress",0.5,IF(I38="Blocked",0.35,IF(I38="Ready",0.1,0)))))</x:f>
        <x:v>0</x:v>
      </x:c>
      <x:c r="K38" s="460" t="n">
        <x:v>46243</x:v>
      </x:c>
      <x:c r="L38" s="460" t="n">
        <x:v>46243</x:v>
      </x:c>
      <x:c r="M38" s="460"/>
      <x:c r="N38" s="411" t="str"/>
      <x:c r="O38" s="411" t="str">
        <x:v>Acceptance test passes; failure path is verified; regression suite remains green.</x:v>
      </x:c>
      <x:c r="P38" s="464" t="n">
        <x:f>COUNTIF(Test_Cases!$D$5:$D$1000,A38)</x:f>
        <x:v>2</x:v>
      </x:c>
      <x:c r="Q38" s="464" t="n">
        <x:f>COUNTIFS(Test_Cases!$D$5:$D$1000,A38,Test_Cases!$L$5:$L$1000,"Passed")</x:f>
        <x:v>0</x:v>
      </x:c>
      <x:c r="R38" s="464" t="n">
        <x:f>COUNTIFS(Defects!$E$5:$E$500,A38,Defects!$K$5:$K$500,"&lt;&gt;Closed")</x:f>
        <x:v>0</x:v>
      </x:c>
      <x:c r="S38" s="411" t="str"/>
      <x:c r="T38" s="411" t="str"/>
      <x:c r="U38" s="411" t="str">
        <x:v>f_mode_004</x:v>
      </x:c>
      <x:c r="V38" s="373"/>
      <x:c r="W38" s="373"/>
      <x:c r="X38" s="373"/>
      <x:c r="Y38" s="373"/>
      <x:c r="Z38" s="373"/>
    </x:row>
    <x:row r="39">
      <x:c r="A39" s="411" t="str">
        <x:v>F-MODE-005</x:v>
      </x:c>
      <x:c r="B39" s="411" t="str">
        <x:v>v0.1.4</x:v>
      </x:c>
      <x:c r="C39" s="411" t="str">
        <x:v>Recovery</x:v>
      </x:c>
      <x:c r="D39" s="411" t="str">
        <x:v>Transition rollback</x:v>
      </x:c>
      <x:c r="E39" s="411" t="str">
        <x:v>Rollback partially activated components after failure.</x:v>
      </x:c>
      <x:c r="F39" s="411" t="str">
        <x:v>REQ-035</x:v>
      </x:c>
      <x:c r="G39" s="411" t="str">
        <x:v>Critical</x:v>
      </x:c>
      <x:c r="H39" s="411" t="str">
        <x:v>Devansh</x:v>
      </x:c>
      <x:c r="I39" s="488" t="str">
        <x:v>Backlog</x:v>
      </x:c>
      <x:c r="J39" s="414" t="n">
        <x:f>IF(I39="Done",1,IF(I39="In Review",0.8,IF(I39="In Progress",0.5,IF(I39="Blocked",0.35,IF(I39="Ready",0.1,0)))))</x:f>
        <x:v>0</x:v>
      </x:c>
      <x:c r="K39" s="460" t="n">
        <x:v>46243</x:v>
      </x:c>
      <x:c r="L39" s="460" t="n">
        <x:v>46243</x:v>
      </x:c>
      <x:c r="M39" s="460"/>
      <x:c r="N39" s="411" t="str"/>
      <x:c r="O39" s="411" t="str">
        <x:v>Acceptance test passes; failure path is verified; regression suite remains green.</x:v>
      </x:c>
      <x:c r="P39" s="464" t="n">
        <x:f>COUNTIF(Test_Cases!$D$5:$D$1000,A39)</x:f>
        <x:v>2</x:v>
      </x:c>
      <x:c r="Q39" s="464" t="n">
        <x:f>COUNTIFS(Test_Cases!$D$5:$D$1000,A39,Test_Cases!$L$5:$L$1000,"Passed")</x:f>
        <x:v>0</x:v>
      </x:c>
      <x:c r="R39" s="464" t="n">
        <x:f>COUNTIFS(Defects!$E$5:$E$500,A39,Defects!$K$5:$K$500,"&lt;&gt;Closed")</x:f>
        <x:v>0</x:v>
      </x:c>
      <x:c r="S39" s="411" t="str"/>
      <x:c r="T39" s="411" t="str"/>
      <x:c r="U39" s="411" t="str">
        <x:v>f_mode_005</x:v>
      </x:c>
      <x:c r="V39" s="373"/>
      <x:c r="W39" s="373"/>
      <x:c r="X39" s="373"/>
      <x:c r="Y39" s="373"/>
      <x:c r="Z39" s="373"/>
    </x:row>
    <x:row r="40">
      <x:c r="A40" s="411" t="str">
        <x:v>F-MODE-006</x:v>
      </x:c>
      <x:c r="B40" s="411" t="str">
        <x:v>v0.1.4</x:v>
      </x:c>
      <x:c r="C40" s="411" t="str">
        <x:v>Navigation</x:v>
      </x:c>
      <x:c r="D40" s="411" t="str">
        <x:v>Active-goal transition handling</x:v>
      </x:c>
      <x:c r="E40" s="411" t="str">
        <x:v>Cancel or reject mode changes while a navigation goal is active.</x:v>
      </x:c>
      <x:c r="F40" s="411" t="str">
        <x:v>REQ-036</x:v>
      </x:c>
      <x:c r="G40" s="411" t="str">
        <x:v>High</x:v>
      </x:c>
      <x:c r="H40" s="411" t="str">
        <x:v>Devansh</x:v>
      </x:c>
      <x:c r="I40" s="488" t="str">
        <x:v>Backlog</x:v>
      </x:c>
      <x:c r="J40" s="414" t="n">
        <x:f>IF(I40="Done",1,IF(I40="In Review",0.8,IF(I40="In Progress",0.5,IF(I40="Blocked",0.35,IF(I40="Ready",0.1,0)))))</x:f>
        <x:v>0</x:v>
      </x:c>
      <x:c r="K40" s="460" t="n">
        <x:v>46243</x:v>
      </x:c>
      <x:c r="L40" s="460" t="n">
        <x:v>46243</x:v>
      </x:c>
      <x:c r="M40" s="460"/>
      <x:c r="N40" s="411" t="str"/>
      <x:c r="O40" s="411" t="str">
        <x:v>Nominal and negative tests pass; behavior is documented and reproducible.</x:v>
      </x:c>
      <x:c r="P40" s="464" t="n">
        <x:f>COUNTIF(Test_Cases!$D$5:$D$1000,A40)</x:f>
        <x:v>1</x:v>
      </x:c>
      <x:c r="Q40" s="464" t="n">
        <x:f>COUNTIFS(Test_Cases!$D$5:$D$1000,A40,Test_Cases!$L$5:$L$1000,"Passed")</x:f>
        <x:v>0</x:v>
      </x:c>
      <x:c r="R40" s="464" t="n">
        <x:f>COUNTIFS(Defects!$E$5:$E$500,A40,Defects!$K$5:$K$500,"&lt;&gt;Closed")</x:f>
        <x:v>0</x:v>
      </x:c>
      <x:c r="S40" s="411" t="str"/>
      <x:c r="T40" s="411" t="str"/>
      <x:c r="U40" s="411" t="str">
        <x:v>f_mode_006</x:v>
      </x:c>
      <x:c r="V40" s="373"/>
      <x:c r="W40" s="373"/>
      <x:c r="X40" s="373"/>
      <x:c r="Y40" s="373"/>
      <x:c r="Z40" s="373"/>
    </x:row>
    <x:row r="41">
      <x:c r="A41" s="411" t="str">
        <x:v>F-MODE-007</x:v>
      </x:c>
      <x:c r="B41" s="411" t="str">
        <x:v>v0.1.4</x:v>
      </x:c>
      <x:c r="C41" s="411" t="str">
        <x:v>Health</x:v>
      </x:c>
      <x:c r="D41" s="411" t="str">
        <x:v>Dependency-loss degradation</x:v>
      </x:c>
      <x:c r="E41" s="411" t="str">
        <x:v>Move active modes to DEGRADED/ERROR when dependencies disappear.</x:v>
      </x:c>
      <x:c r="F41" s="411" t="str">
        <x:v>REQ-037</x:v>
      </x:c>
      <x:c r="G41" s="411" t="str">
        <x:v>Critical</x:v>
      </x:c>
      <x:c r="H41" s="411" t="str">
        <x:v>Devansh</x:v>
      </x:c>
      <x:c r="I41" s="488" t="str">
        <x:v>Backlog</x:v>
      </x:c>
      <x:c r="J41" s="414" t="n">
        <x:f>IF(I41="Done",1,IF(I41="In Review",0.8,IF(I41="In Progress",0.5,IF(I41="Blocked",0.35,IF(I41="Ready",0.1,0)))))</x:f>
        <x:v>0</x:v>
      </x:c>
      <x:c r="K41" s="460" t="n">
        <x:v>46243</x:v>
      </x:c>
      <x:c r="L41" s="460" t="n">
        <x:v>46243</x:v>
      </x:c>
      <x:c r="M41" s="460"/>
      <x:c r="N41" s="411" t="str"/>
      <x:c r="O41" s="411" t="str">
        <x:v>Acceptance test passes; failure path is verified; regression suite remains green.</x:v>
      </x:c>
      <x:c r="P41" s="464" t="n">
        <x:f>COUNTIF(Test_Cases!$D$5:$D$1000,A41)</x:f>
        <x:v>2</x:v>
      </x:c>
      <x:c r="Q41" s="464" t="n">
        <x:f>COUNTIFS(Test_Cases!$D$5:$D$1000,A41,Test_Cases!$L$5:$L$1000,"Passed")</x:f>
        <x:v>0</x:v>
      </x:c>
      <x:c r="R41" s="464" t="n">
        <x:f>COUNTIFS(Defects!$E$5:$E$500,A41,Defects!$K$5:$K$500,"&lt;&gt;Closed")</x:f>
        <x:v>0</x:v>
      </x:c>
      <x:c r="S41" s="411" t="str"/>
      <x:c r="T41" s="411" t="str"/>
      <x:c r="U41" s="411" t="str">
        <x:v>f_mode_007</x:v>
      </x:c>
      <x:c r="V41" s="373"/>
      <x:c r="W41" s="373"/>
      <x:c r="X41" s="373"/>
      <x:c r="Y41" s="373"/>
      <x:c r="Z41" s="373"/>
    </x:row>
    <x:row r="42">
      <x:c r="A42" s="411" t="str">
        <x:v>F-MODE-008</x:v>
      </x:c>
      <x:c r="B42" s="411" t="str">
        <x:v>v0.1.4</x:v>
      </x:c>
      <x:c r="C42" s="411" t="str">
        <x:v>Safety</x:v>
      </x:c>
      <x:c r="D42" s="411" t="str">
        <x:v>Manual override preservation</x:v>
      </x:c>
      <x:c r="E42" s="411" t="str">
        <x:v>Preserve manual priority and safe goal cancellation during transitions.</x:v>
      </x:c>
      <x:c r="F42" s="411" t="str">
        <x:v>REQ-038</x:v>
      </x:c>
      <x:c r="G42" s="411" t="str">
        <x:v>Critical</x:v>
      </x:c>
      <x:c r="H42" s="411" t="str">
        <x:v>Devansh</x:v>
      </x:c>
      <x:c r="I42" s="488" t="str">
        <x:v>Backlog</x:v>
      </x:c>
      <x:c r="J42" s="414" t="n">
        <x:f>IF(I42="Done",1,IF(I42="In Review",0.8,IF(I42="In Progress",0.5,IF(I42="Blocked",0.35,IF(I42="Ready",0.1,0)))))</x:f>
        <x:v>0</x:v>
      </x:c>
      <x:c r="K42" s="460" t="n">
        <x:v>46243</x:v>
      </x:c>
      <x:c r="L42" s="460" t="n">
        <x:v>46243</x:v>
      </x:c>
      <x:c r="M42" s="460"/>
      <x:c r="N42" s="411" t="str"/>
      <x:c r="O42" s="411" t="str">
        <x:v>Acceptance test passes; failure path is verified; regression suite remains green.</x:v>
      </x:c>
      <x:c r="P42" s="464" t="n">
        <x:f>COUNTIF(Test_Cases!$D$5:$D$1000,A42)</x:f>
        <x:v>2</x:v>
      </x:c>
      <x:c r="Q42" s="464" t="n">
        <x:f>COUNTIFS(Test_Cases!$D$5:$D$1000,A42,Test_Cases!$L$5:$L$1000,"Passed")</x:f>
        <x:v>0</x:v>
      </x:c>
      <x:c r="R42" s="464" t="n">
        <x:f>COUNTIFS(Defects!$E$5:$E$500,A42,Defects!$K$5:$K$500,"&lt;&gt;Closed")</x:f>
        <x:v>0</x:v>
      </x:c>
      <x:c r="S42" s="411" t="str"/>
      <x:c r="T42" s="411" t="str"/>
      <x:c r="U42" s="411" t="str">
        <x:v>f_mode_008</x:v>
      </x:c>
      <x:c r="V42" s="373"/>
      <x:c r="W42" s="373"/>
      <x:c r="X42" s="373"/>
      <x:c r="Y42" s="373"/>
      <x:c r="Z42" s="373"/>
    </x:row>
    <x:row r="43">
      <x:c r="A43" s="411" t="str">
        <x:v>F-SENS-001</x:v>
      </x:c>
      <x:c r="B43" s="411" t="str">
        <x:v>v0.1.5</x:v>
      </x:c>
      <x:c r="C43" s="411" t="str">
        <x:v>IMU</x:v>
      </x:c>
      <x:c r="D43" s="411" t="str">
        <x:v>Simulated IMU integration</x:v>
      </x:c>
      <x:c r="E43" s="411" t="str">
        <x:v>Add a configured IMU sensor and publish validated data.</x:v>
      </x:c>
      <x:c r="F43" s="411" t="str">
        <x:v>REQ-039</x:v>
      </x:c>
      <x:c r="G43" s="411" t="str">
        <x:v>Critical</x:v>
      </x:c>
      <x:c r="H43" s="411" t="str">
        <x:v>Devansh</x:v>
      </x:c>
      <x:c r="I43" s="488" t="str">
        <x:v>Backlog</x:v>
      </x:c>
      <x:c r="J43" s="414" t="n">
        <x:f>IF(I43="Done",1,IF(I43="In Review",0.8,IF(I43="In Progress",0.5,IF(I43="Blocked",0.35,IF(I43="Ready",0.1,0)))))</x:f>
        <x:v>0</x:v>
      </x:c>
      <x:c r="K43" s="460" t="n">
        <x:v>46244</x:v>
      </x:c>
      <x:c r="L43" s="460" t="n">
        <x:v>46244</x:v>
      </x:c>
      <x:c r="M43" s="460"/>
      <x:c r="N43" s="411" t="str"/>
      <x:c r="O43" s="411" t="str">
        <x:v>Acceptance test passes; failure path is verified; regression suite remains green.</x:v>
      </x:c>
      <x:c r="P43" s="464" t="n">
        <x:f>COUNTIF(Test_Cases!$D$5:$D$1000,A43)</x:f>
        <x:v>2</x:v>
      </x:c>
      <x:c r="Q43" s="464" t="n">
        <x:f>COUNTIFS(Test_Cases!$D$5:$D$1000,A43,Test_Cases!$L$5:$L$1000,"Passed")</x:f>
        <x:v>0</x:v>
      </x:c>
      <x:c r="R43" s="464" t="n">
        <x:f>COUNTIFS(Defects!$E$5:$E$500,A43,Defects!$K$5:$K$500,"&lt;&gt;Closed")</x:f>
        <x:v>0</x:v>
      </x:c>
      <x:c r="S43" s="411" t="str"/>
      <x:c r="T43" s="411" t="str"/>
      <x:c r="U43" s="411" t="str">
        <x:v>f_sens_001</x:v>
      </x:c>
      <x:c r="V43" s="373"/>
      <x:c r="W43" s="373"/>
      <x:c r="X43" s="373"/>
      <x:c r="Y43" s="373"/>
      <x:c r="Z43" s="373"/>
    </x:row>
    <x:row r="44">
      <x:c r="A44" s="411" t="str">
        <x:v>F-SENS-002</x:v>
      </x:c>
      <x:c r="B44" s="411" t="str">
        <x:v>v0.1.5</x:v>
      </x:c>
      <x:c r="C44" s="411" t="str">
        <x:v>Sensor Health</x:v>
      </x:c>
      <x:c r="D44" s="411" t="str">
        <x:v>IMU health monitor</x:v>
      </x:c>
      <x:c r="E44" s="411" t="str">
        <x:v>Validate frame, timestamps, frequency, covariance, and freshness.</x:v>
      </x:c>
      <x:c r="F44" s="411" t="str">
        <x:v>REQ-040</x:v>
      </x:c>
      <x:c r="G44" s="411" t="str">
        <x:v>High</x:v>
      </x:c>
      <x:c r="H44" s="411" t="str">
        <x:v>Devansh</x:v>
      </x:c>
      <x:c r="I44" s="488" t="str">
        <x:v>Backlog</x:v>
      </x:c>
      <x:c r="J44" s="414" t="n">
        <x:f>IF(I44="Done",1,IF(I44="In Review",0.8,IF(I44="In Progress",0.5,IF(I44="Blocked",0.35,IF(I44="Ready",0.1,0)))))</x:f>
        <x:v>0</x:v>
      </x:c>
      <x:c r="K44" s="460" t="n">
        <x:v>46244</x:v>
      </x:c>
      <x:c r="L44" s="460" t="n">
        <x:v>46244</x:v>
      </x:c>
      <x:c r="M44" s="460"/>
      <x:c r="N44" s="411" t="str"/>
      <x:c r="O44" s="411" t="str">
        <x:v>Nominal and negative tests pass; behavior is documented and reproducible.</x:v>
      </x:c>
      <x:c r="P44" s="464" t="n">
        <x:f>COUNTIF(Test_Cases!$D$5:$D$1000,A44)</x:f>
        <x:v>1</x:v>
      </x:c>
      <x:c r="Q44" s="464" t="n">
        <x:f>COUNTIFS(Test_Cases!$D$5:$D$1000,A44,Test_Cases!$L$5:$L$1000,"Passed")</x:f>
        <x:v>0</x:v>
      </x:c>
      <x:c r="R44" s="464" t="n">
        <x:f>COUNTIFS(Defects!$E$5:$E$500,A44,Defects!$K$5:$K$500,"&lt;&gt;Closed")</x:f>
        <x:v>0</x:v>
      </x:c>
      <x:c r="S44" s="411" t="str"/>
      <x:c r="T44" s="411" t="str"/>
      <x:c r="U44" s="411" t="str">
        <x:v>f_sens_002</x:v>
      </x:c>
      <x:c r="V44" s="373"/>
      <x:c r="W44" s="373"/>
      <x:c r="X44" s="373"/>
      <x:c r="Y44" s="373"/>
      <x:c r="Z44" s="373"/>
    </x:row>
    <x:row r="45">
      <x:c r="A45" s="411" t="str">
        <x:v>F-SENS-003</x:v>
      </x:c>
      <x:c r="B45" s="411" t="str">
        <x:v>v0.1.5</x:v>
      </x:c>
      <x:c r="C45" s="411" t="str">
        <x:v>Sensor Health</x:v>
      </x:c>
      <x:c r="D45" s="411" t="str">
        <x:v>LiDAR health monitor</x:v>
      </x:c>
      <x:c r="E45" s="411" t="str">
        <x:v>Validate scan frame, rate, range, timestamps, and freshness.</x:v>
      </x:c>
      <x:c r="F45" s="411" t="str">
        <x:v>REQ-041</x:v>
      </x:c>
      <x:c r="G45" s="411" t="str">
        <x:v>Critical</x:v>
      </x:c>
      <x:c r="H45" s="411" t="str">
        <x:v>Devansh</x:v>
      </x:c>
      <x:c r="I45" s="488" t="str">
        <x:v>Backlog</x:v>
      </x:c>
      <x:c r="J45" s="414" t="n">
        <x:f>IF(I45="Done",1,IF(I45="In Review",0.8,IF(I45="In Progress",0.5,IF(I45="Blocked",0.35,IF(I45="Ready",0.1,0)))))</x:f>
        <x:v>0</x:v>
      </x:c>
      <x:c r="K45" s="460" t="n">
        <x:v>46244</x:v>
      </x:c>
      <x:c r="L45" s="460" t="n">
        <x:v>46244</x:v>
      </x:c>
      <x:c r="M45" s="460"/>
      <x:c r="N45" s="411" t="str"/>
      <x:c r="O45" s="411" t="str">
        <x:v>Acceptance test passes; failure path is verified; regression suite remains green.</x:v>
      </x:c>
      <x:c r="P45" s="464" t="n">
        <x:f>COUNTIF(Test_Cases!$D$5:$D$1000,A45)</x:f>
        <x:v>2</x:v>
      </x:c>
      <x:c r="Q45" s="464" t="n">
        <x:f>COUNTIFS(Test_Cases!$D$5:$D$1000,A45,Test_Cases!$L$5:$L$1000,"Passed")</x:f>
        <x:v>0</x:v>
      </x:c>
      <x:c r="R45" s="464" t="n">
        <x:f>COUNTIFS(Defects!$E$5:$E$500,A45,Defects!$K$5:$K$500,"&lt;&gt;Closed")</x:f>
        <x:v>0</x:v>
      </x:c>
      <x:c r="S45" s="411" t="str"/>
      <x:c r="T45" s="411" t="str"/>
      <x:c r="U45" s="411" t="str">
        <x:v>f_sens_003</x:v>
      </x:c>
      <x:c r="V45" s="373"/>
      <x:c r="W45" s="373"/>
      <x:c r="X45" s="373"/>
      <x:c r="Y45" s="373"/>
      <x:c r="Z45" s="373"/>
    </x:row>
    <x:row r="46">
      <x:c r="A46" s="411" t="str">
        <x:v>F-SENS-004</x:v>
      </x:c>
      <x:c r="B46" s="411" t="str">
        <x:v>v0.1.5</x:v>
      </x:c>
      <x:c r="C46" s="411" t="str">
        <x:v>Sensor Health</x:v>
      </x:c>
      <x:c r="D46" s="411" t="str">
        <x:v>Odometry health monitor</x:v>
      </x:c>
      <x:c r="E46" s="411" t="str">
        <x:v>Validate odometry frame, freshness, continuity, and covariance.</x:v>
      </x:c>
      <x:c r="F46" s="411" t="str">
        <x:v>REQ-042</x:v>
      </x:c>
      <x:c r="G46" s="411" t="str">
        <x:v>High</x:v>
      </x:c>
      <x:c r="H46" s="411" t="str">
        <x:v>Devansh</x:v>
      </x:c>
      <x:c r="I46" s="488" t="str">
        <x:v>Backlog</x:v>
      </x:c>
      <x:c r="J46" s="414" t="n">
        <x:f>IF(I46="Done",1,IF(I46="In Review",0.8,IF(I46="In Progress",0.5,IF(I46="Blocked",0.35,IF(I46="Ready",0.1,0)))))</x:f>
        <x:v>0</x:v>
      </x:c>
      <x:c r="K46" s="460" t="n">
        <x:v>46244</x:v>
      </x:c>
      <x:c r="L46" s="460" t="n">
        <x:v>46244</x:v>
      </x:c>
      <x:c r="M46" s="460"/>
      <x:c r="N46" s="411" t="str"/>
      <x:c r="O46" s="411" t="str">
        <x:v>Nominal and negative tests pass; behavior is documented and reproducible.</x:v>
      </x:c>
      <x:c r="P46" s="464" t="n">
        <x:f>COUNTIF(Test_Cases!$D$5:$D$1000,A46)</x:f>
        <x:v>1</x:v>
      </x:c>
      <x:c r="Q46" s="464" t="n">
        <x:f>COUNTIFS(Test_Cases!$D$5:$D$1000,A46,Test_Cases!$L$5:$L$1000,"Passed")</x:f>
        <x:v>0</x:v>
      </x:c>
      <x:c r="R46" s="464" t="n">
        <x:f>COUNTIFS(Defects!$E$5:$E$500,A46,Defects!$K$5:$K$500,"&lt;&gt;Closed")</x:f>
        <x:v>0</x:v>
      </x:c>
      <x:c r="S46" s="411" t="str"/>
      <x:c r="T46" s="411" t="str"/>
      <x:c r="U46" s="411" t="str">
        <x:v>f_sens_004</x:v>
      </x:c>
      <x:c r="V46" s="373"/>
      <x:c r="W46" s="373"/>
      <x:c r="X46" s="373"/>
      <x:c r="Y46" s="373"/>
      <x:c r="Z46" s="373"/>
    </x:row>
    <x:row r="47">
      <x:c r="A47" s="411" t="str">
        <x:v>F-TF-001</x:v>
      </x:c>
      <x:c r="B47" s="411" t="str">
        <x:v>v0.1.5</x:v>
      </x:c>
      <x:c r="C47" s="411" t="str">
        <x:v>TF</x:v>
      </x:c>
      <x:c r="D47" s="411" t="str">
        <x:v>TF ownership registry</x:v>
      </x:c>
      <x:c r="E47" s="411" t="str">
        <x:v>Document every TF edge and its single publisher.</x:v>
      </x:c>
      <x:c r="F47" s="411" t="str">
        <x:v>REQ-043</x:v>
      </x:c>
      <x:c r="G47" s="411" t="str">
        <x:v>Critical</x:v>
      </x:c>
      <x:c r="H47" s="411" t="str">
        <x:v>Devansh</x:v>
      </x:c>
      <x:c r="I47" s="488" t="str">
        <x:v>Backlog</x:v>
      </x:c>
      <x:c r="J47" s="414" t="n">
        <x:f>IF(I47="Done",1,IF(I47="In Review",0.8,IF(I47="In Progress",0.5,IF(I47="Blocked",0.35,IF(I47="Ready",0.1,0)))))</x:f>
        <x:v>0</x:v>
      </x:c>
      <x:c r="K47" s="460" t="n">
        <x:v>46244</x:v>
      </x:c>
      <x:c r="L47" s="460" t="n">
        <x:v>46244</x:v>
      </x:c>
      <x:c r="M47" s="460"/>
      <x:c r="N47" s="411" t="str"/>
      <x:c r="O47" s="411" t="str">
        <x:v>Acceptance test passes; failure path is verified; regression suite remains green.</x:v>
      </x:c>
      <x:c r="P47" s="464" t="n">
        <x:f>COUNTIF(Test_Cases!$D$5:$D$1000,A47)</x:f>
        <x:v>2</x:v>
      </x:c>
      <x:c r="Q47" s="464" t="n">
        <x:f>COUNTIFS(Test_Cases!$D$5:$D$1000,A47,Test_Cases!$L$5:$L$1000,"Passed")</x:f>
        <x:v>0</x:v>
      </x:c>
      <x:c r="R47" s="464" t="n">
        <x:f>COUNTIFS(Defects!$E$5:$E$500,A47,Defects!$K$5:$K$500,"&lt;&gt;Closed")</x:f>
        <x:v>1</x:v>
      </x:c>
      <x:c r="S47" s="411" t="str"/>
      <x:c r="T47" s="411" t="str"/>
      <x:c r="U47" s="411" t="str">
        <x:v>f_tf_001</x:v>
      </x:c>
      <x:c r="V47" s="373"/>
      <x:c r="W47" s="373"/>
      <x:c r="X47" s="373"/>
      <x:c r="Y47" s="373"/>
      <x:c r="Z47" s="373"/>
    </x:row>
    <x:row r="48">
      <x:c r="A48" s="411" t="str">
        <x:v>F-TF-002</x:v>
      </x:c>
      <x:c r="B48" s="411" t="str">
        <x:v>v0.1.5</x:v>
      </x:c>
      <x:c r="C48" s="411" t="str">
        <x:v>TF</x:v>
      </x:c>
      <x:c r="D48" s="411" t="str">
        <x:v>Duplicate TF authority detection</x:v>
      </x:c>
      <x:c r="E48" s="411" t="str">
        <x:v>Detect duplicate publishers for dynamic transform edges.</x:v>
      </x:c>
      <x:c r="F48" s="411" t="str">
        <x:v>REQ-044</x:v>
      </x:c>
      <x:c r="G48" s="411" t="str">
        <x:v>Critical</x:v>
      </x:c>
      <x:c r="H48" s="411" t="str">
        <x:v>Devansh</x:v>
      </x:c>
      <x:c r="I48" s="488" t="str">
        <x:v>Backlog</x:v>
      </x:c>
      <x:c r="J48" s="414" t="n">
        <x:f>IF(I48="Done",1,IF(I48="In Review",0.8,IF(I48="In Progress",0.5,IF(I48="Blocked",0.35,IF(I48="Ready",0.1,0)))))</x:f>
        <x:v>0</x:v>
      </x:c>
      <x:c r="K48" s="460" t="n">
        <x:v>46244</x:v>
      </x:c>
      <x:c r="L48" s="460" t="n">
        <x:v>46244</x:v>
      </x:c>
      <x:c r="M48" s="460"/>
      <x:c r="N48" s="411" t="str"/>
      <x:c r="O48" s="411" t="str">
        <x:v>Acceptance test passes; failure path is verified; regression suite remains green.</x:v>
      </x:c>
      <x:c r="P48" s="464" t="n">
        <x:f>COUNTIF(Test_Cases!$D$5:$D$1000,A48)</x:f>
        <x:v>2</x:v>
      </x:c>
      <x:c r="Q48" s="464" t="n">
        <x:f>COUNTIFS(Test_Cases!$D$5:$D$1000,A48,Test_Cases!$L$5:$L$1000,"Passed")</x:f>
        <x:v>0</x:v>
      </x:c>
      <x:c r="R48" s="464" t="n">
        <x:f>COUNTIFS(Defects!$E$5:$E$500,A48,Defects!$K$5:$K$500,"&lt;&gt;Closed")</x:f>
        <x:v>0</x:v>
      </x:c>
      <x:c r="S48" s="411" t="str"/>
      <x:c r="T48" s="411" t="str"/>
      <x:c r="U48" s="411" t="str">
        <x:v>f_tf_002</x:v>
      </x:c>
      <x:c r="V48" s="373"/>
      <x:c r="W48" s="373"/>
      <x:c r="X48" s="373"/>
      <x:c r="Y48" s="373"/>
      <x:c r="Z48" s="373"/>
    </x:row>
    <x:row r="49">
      <x:c r="A49" s="411" t="str">
        <x:v>F-TF-003</x:v>
      </x:c>
      <x:c r="B49" s="411" t="str">
        <x:v>v0.1.5</x:v>
      </x:c>
      <x:c r="C49" s="411" t="str">
        <x:v>TF</x:v>
      </x:c>
      <x:c r="D49" s="411" t="str">
        <x:v>TF continuity checks</x:v>
      </x:c>
      <x:c r="E49" s="411" t="str">
        <x:v>Detect missing, stale, jumping, or inconsistent transforms.</x:v>
      </x:c>
      <x:c r="F49" s="411" t="str">
        <x:v>REQ-045</x:v>
      </x:c>
      <x:c r="G49" s="411" t="str">
        <x:v>High</x:v>
      </x:c>
      <x:c r="H49" s="411" t="str">
        <x:v>Devansh</x:v>
      </x:c>
      <x:c r="I49" s="488" t="str">
        <x:v>Backlog</x:v>
      </x:c>
      <x:c r="J49" s="414" t="n">
        <x:f>IF(I49="Done",1,IF(I49="In Review",0.8,IF(I49="In Progress",0.5,IF(I49="Blocked",0.35,IF(I49="Ready",0.1,0)))))</x:f>
        <x:v>0</x:v>
      </x:c>
      <x:c r="K49" s="460" t="n">
        <x:v>46244</x:v>
      </x:c>
      <x:c r="L49" s="460" t="n">
        <x:v>46244</x:v>
      </x:c>
      <x:c r="M49" s="460"/>
      <x:c r="N49" s="411" t="str"/>
      <x:c r="O49" s="411" t="str">
        <x:v>Nominal and negative tests pass; behavior is documented and reproducible.</x:v>
      </x:c>
      <x:c r="P49" s="464" t="n">
        <x:f>COUNTIF(Test_Cases!$D$5:$D$1000,A49)</x:f>
        <x:v>1</x:v>
      </x:c>
      <x:c r="Q49" s="464" t="n">
        <x:f>COUNTIFS(Test_Cases!$D$5:$D$1000,A49,Test_Cases!$L$5:$L$1000,"Passed")</x:f>
        <x:v>0</x:v>
      </x:c>
      <x:c r="R49" s="464" t="n">
        <x:f>COUNTIFS(Defects!$E$5:$E$500,A49,Defects!$K$5:$K$500,"&lt;&gt;Closed")</x:f>
        <x:v>0</x:v>
      </x:c>
      <x:c r="S49" s="411" t="str"/>
      <x:c r="T49" s="411" t="str"/>
      <x:c r="U49" s="411" t="str">
        <x:v>f_tf_003</x:v>
      </x:c>
      <x:c r="V49" s="373"/>
      <x:c r="W49" s="373"/>
      <x:c r="X49" s="373"/>
      <x:c r="Y49" s="373"/>
      <x:c r="Z49" s="373"/>
    </x:row>
    <x:row r="50">
      <x:c r="A50" s="411" t="str">
        <x:v>F-SENS-005</x:v>
      </x:c>
      <x:c r="B50" s="411" t="str">
        <x:v>v0.1.5</x:v>
      </x:c>
      <x:c r="C50" s="411" t="str">
        <x:v>Evidence</x:v>
      </x:c>
      <x:c r="D50" s="411" t="str">
        <x:v>Sensor validation plots</x:v>
      </x:c>
      <x:c r="E50" s="411" t="str">
        <x:v>Generate frequency, jitter, bias, and turn-response plots.</x:v>
      </x:c>
      <x:c r="F50" s="411" t="str">
        <x:v>REQ-046</x:v>
      </x:c>
      <x:c r="G50" s="411" t="str">
        <x:v>Medium</x:v>
      </x:c>
      <x:c r="H50" s="411" t="str">
        <x:v>Devansh</x:v>
      </x:c>
      <x:c r="I50" s="488" t="str">
        <x:v>Backlog</x:v>
      </x:c>
      <x:c r="J50" s="414" t="n">
        <x:f>IF(I50="Done",1,IF(I50="In Review",0.8,IF(I50="In Progress",0.5,IF(I50="Blocked",0.35,IF(I50="Ready",0.1,0)))))</x:f>
        <x:v>0</x:v>
      </x:c>
      <x:c r="K50" s="460" t="n">
        <x:v>46244</x:v>
      </x:c>
      <x:c r="L50" s="460" t="n">
        <x:v>46244</x:v>
      </x:c>
      <x:c r="M50" s="460"/>
      <x:c r="N50" s="411" t="str"/>
      <x:c r="O50" s="411" t="str">
        <x:v>Capability is usable, documented, and covered by at least one verification test.</x:v>
      </x:c>
      <x:c r="P50" s="464" t="n">
        <x:f>COUNTIF(Test_Cases!$D$5:$D$1000,A50)</x:f>
        <x:v>1</x:v>
      </x:c>
      <x:c r="Q50" s="464" t="n">
        <x:f>COUNTIFS(Test_Cases!$D$5:$D$1000,A50,Test_Cases!$L$5:$L$1000,"Passed")</x:f>
        <x:v>0</x:v>
      </x:c>
      <x:c r="R50" s="464" t="n">
        <x:f>COUNTIFS(Defects!$E$5:$E$500,A50,Defects!$K$5:$K$500,"&lt;&gt;Closed")</x:f>
        <x:v>0</x:v>
      </x:c>
      <x:c r="S50" s="411" t="str"/>
      <x:c r="T50" s="411" t="str"/>
      <x:c r="U50" s="411" t="str">
        <x:v>f_sens_005</x:v>
      </x:c>
      <x:c r="V50" s="373"/>
      <x:c r="W50" s="373"/>
      <x:c r="X50" s="373"/>
      <x:c r="Y50" s="373"/>
      <x:c r="Z50" s="373"/>
    </x:row>
    <x:row r="51">
      <x:c r="A51" s="411" t="str">
        <x:v>F-EKF-001</x:v>
      </x:c>
      <x:c r="B51" s="411" t="str">
        <x:v>v0.1.6</x:v>
      </x:c>
      <x:c r="C51" s="411" t="str">
        <x:v>Estimation</x:v>
      </x:c>
      <x:c r="D51" s="411" t="str">
        <x:v>robot_localization EKF configuration</x:v>
      </x:c>
      <x:c r="E51" s="411" t="str">
        <x:v>Configure a 2D EKF for wheel odometry and IMU.</x:v>
      </x:c>
      <x:c r="F51" s="411" t="str">
        <x:v>REQ-047</x:v>
      </x:c>
      <x:c r="G51" s="411" t="str">
        <x:v>Critical</x:v>
      </x:c>
      <x:c r="H51" s="411" t="str">
        <x:v>Devansh</x:v>
      </x:c>
      <x:c r="I51" s="488" t="str">
        <x:v>Backlog</x:v>
      </x:c>
      <x:c r="J51" s="414" t="n">
        <x:f>IF(I51="Done",1,IF(I51="In Review",0.8,IF(I51="In Progress",0.5,IF(I51="Blocked",0.35,IF(I51="Ready",0.1,0)))))</x:f>
        <x:v>0</x:v>
      </x:c>
      <x:c r="K51" s="460" t="n">
        <x:v>46245</x:v>
      </x:c>
      <x:c r="L51" s="460" t="n">
        <x:v>46245</x:v>
      </x:c>
      <x:c r="M51" s="460"/>
      <x:c r="N51" s="411" t="str"/>
      <x:c r="O51" s="411" t="str">
        <x:v>Acceptance test passes; failure path is verified; regression suite remains green.</x:v>
      </x:c>
      <x:c r="P51" s="464" t="n">
        <x:f>COUNTIF(Test_Cases!$D$5:$D$1000,A51)</x:f>
        <x:v>2</x:v>
      </x:c>
      <x:c r="Q51" s="464" t="n">
        <x:f>COUNTIFS(Test_Cases!$D$5:$D$1000,A51,Test_Cases!$L$5:$L$1000,"Passed")</x:f>
        <x:v>0</x:v>
      </x:c>
      <x:c r="R51" s="464" t="n">
        <x:f>COUNTIFS(Defects!$E$5:$E$500,A51,Defects!$K$5:$K$500,"&lt;&gt;Closed")</x:f>
        <x:v>0</x:v>
      </x:c>
      <x:c r="S51" s="411" t="str"/>
      <x:c r="T51" s="411" t="str"/>
      <x:c r="U51" s="411" t="str">
        <x:v>f_ekf_001</x:v>
      </x:c>
      <x:c r="V51" s="373"/>
      <x:c r="W51" s="373"/>
      <x:c r="X51" s="373"/>
      <x:c r="Y51" s="373"/>
      <x:c r="Z51" s="373"/>
    </x:row>
    <x:row r="52">
      <x:c r="A52" s="411" t="str">
        <x:v>F-EKF-002</x:v>
      </x:c>
      <x:c r="B52" s="411" t="str">
        <x:v>v0.1.6</x:v>
      </x:c>
      <x:c r="C52" s="411" t="str">
        <x:v>Estimation</x:v>
      </x:c>
      <x:c r="D52" s="411" t="str">
        <x:v>Measurement-state selection</x:v>
      </x:c>
      <x:c r="E52" s="411" t="str">
        <x:v>Select fused states and differential/relative settings deliberately.</x:v>
      </x:c>
      <x:c r="F52" s="411" t="str">
        <x:v>REQ-048</x:v>
      </x:c>
      <x:c r="G52" s="411" t="str">
        <x:v>Critical</x:v>
      </x:c>
      <x:c r="H52" s="411" t="str">
        <x:v>Devansh</x:v>
      </x:c>
      <x:c r="I52" s="488" t="str">
        <x:v>Backlog</x:v>
      </x:c>
      <x:c r="J52" s="414" t="n">
        <x:f>IF(I52="Done",1,IF(I52="In Review",0.8,IF(I52="In Progress",0.5,IF(I52="Blocked",0.35,IF(I52="Ready",0.1,0)))))</x:f>
        <x:v>0</x:v>
      </x:c>
      <x:c r="K52" s="460" t="n">
        <x:v>46245</x:v>
      </x:c>
      <x:c r="L52" s="460" t="n">
        <x:v>46245</x:v>
      </x:c>
      <x:c r="M52" s="460"/>
      <x:c r="N52" s="411" t="str"/>
      <x:c r="O52" s="411" t="str">
        <x:v>Acceptance test passes; failure path is verified; regression suite remains green.</x:v>
      </x:c>
      <x:c r="P52" s="464" t="n">
        <x:f>COUNTIF(Test_Cases!$D$5:$D$1000,A52)</x:f>
        <x:v>2</x:v>
      </x:c>
      <x:c r="Q52" s="464" t="n">
        <x:f>COUNTIFS(Test_Cases!$D$5:$D$1000,A52,Test_Cases!$L$5:$L$1000,"Passed")</x:f>
        <x:v>0</x:v>
      </x:c>
      <x:c r="R52" s="464" t="n">
        <x:f>COUNTIFS(Defects!$E$5:$E$500,A52,Defects!$K$5:$K$500,"&lt;&gt;Closed")</x:f>
        <x:v>0</x:v>
      </x:c>
      <x:c r="S52" s="411" t="str"/>
      <x:c r="T52" s="411" t="str"/>
      <x:c r="U52" s="411" t="str">
        <x:v>f_ekf_002</x:v>
      </x:c>
      <x:c r="V52" s="373"/>
      <x:c r="W52" s="373"/>
      <x:c r="X52" s="373"/>
      <x:c r="Y52" s="373"/>
      <x:c r="Z52" s="373"/>
    </x:row>
    <x:row r="53">
      <x:c r="A53" s="411" t="str">
        <x:v>F-EKF-003</x:v>
      </x:c>
      <x:c r="B53" s="411" t="str">
        <x:v>v0.1.6</x:v>
      </x:c>
      <x:c r="C53" s="411" t="str">
        <x:v>Estimation</x:v>
      </x:c>
      <x:c r="D53" s="411" t="str">
        <x:v>Covariance and rejection policy</x:v>
      </x:c>
      <x:c r="E53" s="411" t="str">
        <x:v>Set process, measurement, and rejection thresholds with rationale.</x:v>
      </x:c>
      <x:c r="F53" s="411" t="str">
        <x:v>REQ-049</x:v>
      </x:c>
      <x:c r="G53" s="411" t="str">
        <x:v>High</x:v>
      </x:c>
      <x:c r="H53" s="411" t="str">
        <x:v>Devansh</x:v>
      </x:c>
      <x:c r="I53" s="488" t="str">
        <x:v>Backlog</x:v>
      </x:c>
      <x:c r="J53" s="414" t="n">
        <x:f>IF(I53="Done",1,IF(I53="In Review",0.8,IF(I53="In Progress",0.5,IF(I53="Blocked",0.35,IF(I53="Ready",0.1,0)))))</x:f>
        <x:v>0</x:v>
      </x:c>
      <x:c r="K53" s="460" t="n">
        <x:v>46245</x:v>
      </x:c>
      <x:c r="L53" s="460" t="n">
        <x:v>46245</x:v>
      </x:c>
      <x:c r="M53" s="460"/>
      <x:c r="N53" s="411" t="str"/>
      <x:c r="O53" s="411" t="str">
        <x:v>Nominal and negative tests pass; behavior is documented and reproducible.</x:v>
      </x:c>
      <x:c r="P53" s="464" t="n">
        <x:f>COUNTIF(Test_Cases!$D$5:$D$1000,A53)</x:f>
        <x:v>1</x:v>
      </x:c>
      <x:c r="Q53" s="464" t="n">
        <x:f>COUNTIFS(Test_Cases!$D$5:$D$1000,A53,Test_Cases!$L$5:$L$1000,"Passed")</x:f>
        <x:v>0</x:v>
      </x:c>
      <x:c r="R53" s="464" t="n">
        <x:f>COUNTIFS(Defects!$E$5:$E$500,A53,Defects!$K$5:$K$500,"&lt;&gt;Closed")</x:f>
        <x:v>0</x:v>
      </x:c>
      <x:c r="S53" s="411" t="str"/>
      <x:c r="T53" s="411" t="str"/>
      <x:c r="U53" s="411" t="str">
        <x:v>f_ekf_003</x:v>
      </x:c>
      <x:c r="V53" s="373"/>
      <x:c r="W53" s="373"/>
      <x:c r="X53" s="373"/>
      <x:c r="Y53" s="373"/>
      <x:c r="Z53" s="373"/>
    </x:row>
    <x:row r="54">
      <x:c r="A54" s="411" t="str">
        <x:v>F-EKF-004</x:v>
      </x:c>
      <x:c r="B54" s="411" t="str">
        <x:v>v0.1.6</x:v>
      </x:c>
      <x:c r="C54" s="411" t="str">
        <x:v>TF</x:v>
      </x:c>
      <x:c r="D54" s="411" t="str">
        <x:v>EKF TF ownership switch</x:v>
      </x:c>
      <x:c r="E54" s="411" t="str">
        <x:v>Give EKF ownership of odom to base_link and disable duplicates.</x:v>
      </x:c>
      <x:c r="F54" s="411" t="str">
        <x:v>REQ-050</x:v>
      </x:c>
      <x:c r="G54" s="411" t="str">
        <x:v>Critical</x:v>
      </x:c>
      <x:c r="H54" s="411" t="str">
        <x:v>Devansh</x:v>
      </x:c>
      <x:c r="I54" s="488" t="str">
        <x:v>Backlog</x:v>
      </x:c>
      <x:c r="J54" s="414" t="n">
        <x:f>IF(I54="Done",1,IF(I54="In Review",0.8,IF(I54="In Progress",0.5,IF(I54="Blocked",0.35,IF(I54="Ready",0.1,0)))))</x:f>
        <x:v>0</x:v>
      </x:c>
      <x:c r="K54" s="460" t="n">
        <x:v>46245</x:v>
      </x:c>
      <x:c r="L54" s="460" t="n">
        <x:v>46245</x:v>
      </x:c>
      <x:c r="M54" s="460"/>
      <x:c r="N54" s="411" t="str"/>
      <x:c r="O54" s="411" t="str">
        <x:v>Acceptance test passes; failure path is verified; regression suite remains green.</x:v>
      </x:c>
      <x:c r="P54" s="464" t="n">
        <x:f>COUNTIF(Test_Cases!$D$5:$D$1000,A54)</x:f>
        <x:v>2</x:v>
      </x:c>
      <x:c r="Q54" s="464" t="n">
        <x:f>COUNTIFS(Test_Cases!$D$5:$D$1000,A54,Test_Cases!$L$5:$L$1000,"Passed")</x:f>
        <x:v>0</x:v>
      </x:c>
      <x:c r="R54" s="464" t="n">
        <x:f>COUNTIFS(Defects!$E$5:$E$500,A54,Defects!$K$5:$K$500,"&lt;&gt;Closed")</x:f>
        <x:v>0</x:v>
      </x:c>
      <x:c r="S54" s="411" t="str"/>
      <x:c r="T54" s="411" t="str"/>
      <x:c r="U54" s="411" t="str">
        <x:v>f_ekf_004</x:v>
      </x:c>
      <x:c r="V54" s="373"/>
      <x:c r="W54" s="373"/>
      <x:c r="X54" s="373"/>
      <x:c r="Y54" s="373"/>
      <x:c r="Z54" s="373"/>
    </x:row>
    <x:row r="55">
      <x:c r="A55" s="411" t="str">
        <x:v>F-EKF-005</x:v>
      </x:c>
      <x:c r="B55" s="411" t="str">
        <x:v>v0.1.6</x:v>
      </x:c>
      <x:c r="C55" s="411" t="str">
        <x:v>Logging</x:v>
      </x:c>
      <x:c r="D55" s="411" t="str">
        <x:v>Raw/fused/ground-truth logging</x:v>
      </x:c>
      <x:c r="E55" s="411" t="str">
        <x:v>Log wheel odometry, EKF odometry, IMU, and ground truth.</x:v>
      </x:c>
      <x:c r="F55" s="411" t="str">
        <x:v>REQ-051</x:v>
      </x:c>
      <x:c r="G55" s="411" t="str">
        <x:v>High</x:v>
      </x:c>
      <x:c r="H55" s="411" t="str">
        <x:v>Devansh</x:v>
      </x:c>
      <x:c r="I55" s="488" t="str">
        <x:v>Backlog</x:v>
      </x:c>
      <x:c r="J55" s="414" t="n">
        <x:f>IF(I55="Done",1,IF(I55="In Review",0.8,IF(I55="In Progress",0.5,IF(I55="Blocked",0.35,IF(I55="Ready",0.1,0)))))</x:f>
        <x:v>0</x:v>
      </x:c>
      <x:c r="K55" s="460" t="n">
        <x:v>46245</x:v>
      </x:c>
      <x:c r="L55" s="460" t="n">
        <x:v>46245</x:v>
      </x:c>
      <x:c r="M55" s="460"/>
      <x:c r="N55" s="411" t="str"/>
      <x:c r="O55" s="411" t="str">
        <x:v>Nominal and negative tests pass; behavior is documented and reproducible.</x:v>
      </x:c>
      <x:c r="P55" s="464" t="n">
        <x:f>COUNTIF(Test_Cases!$D$5:$D$1000,A55)</x:f>
        <x:v>1</x:v>
      </x:c>
      <x:c r="Q55" s="464" t="n">
        <x:f>COUNTIFS(Test_Cases!$D$5:$D$1000,A55,Test_Cases!$L$5:$L$1000,"Passed")</x:f>
        <x:v>0</x:v>
      </x:c>
      <x:c r="R55" s="464" t="n">
        <x:f>COUNTIFS(Defects!$E$5:$E$500,A55,Defects!$K$5:$K$500,"&lt;&gt;Closed")</x:f>
        <x:v>0</x:v>
      </x:c>
      <x:c r="S55" s="411" t="str"/>
      <x:c r="T55" s="411" t="str"/>
      <x:c r="U55" s="411" t="str">
        <x:v>f_ekf_005</x:v>
      </x:c>
      <x:c r="V55" s="373"/>
      <x:c r="W55" s="373"/>
      <x:c r="X55" s="373"/>
      <x:c r="Y55" s="373"/>
      <x:c r="Z55" s="373"/>
    </x:row>
    <x:row r="56">
      <x:c r="A56" s="411" t="str">
        <x:v>F-EKF-006</x:v>
      </x:c>
      <x:c r="B56" s="411" t="str">
        <x:v>v0.1.6</x:v>
      </x:c>
      <x:c r="C56" s="411" t="str">
        <x:v>Verification</x:v>
      </x:c>
      <x:c r="D56" s="411" t="str">
        <x:v>EKF motion benchmark</x:v>
      </x:c>
      <x:c r="E56" s="411" t="str">
        <x:v>Test stationary, straight, rotational, and curved motion.</x:v>
      </x:c>
      <x:c r="F56" s="411" t="str">
        <x:v>REQ-052</x:v>
      </x:c>
      <x:c r="G56" s="411" t="str">
        <x:v>Critical</x:v>
      </x:c>
      <x:c r="H56" s="411" t="str">
        <x:v>Devansh</x:v>
      </x:c>
      <x:c r="I56" s="488" t="str">
        <x:v>Backlog</x:v>
      </x:c>
      <x:c r="J56" s="414" t="n">
        <x:f>IF(I56="Done",1,IF(I56="In Review",0.8,IF(I56="In Progress",0.5,IF(I56="Blocked",0.35,IF(I56="Ready",0.1,0)))))</x:f>
        <x:v>0</x:v>
      </x:c>
      <x:c r="K56" s="460" t="n">
        <x:v>46245</x:v>
      </x:c>
      <x:c r="L56" s="460" t="n">
        <x:v>46245</x:v>
      </x:c>
      <x:c r="M56" s="460"/>
      <x:c r="N56" s="411" t="str"/>
      <x:c r="O56" s="411" t="str">
        <x:v>Acceptance test passes; failure path is verified; regression suite remains green.</x:v>
      </x:c>
      <x:c r="P56" s="464" t="n">
        <x:f>COUNTIF(Test_Cases!$D$5:$D$1000,A56)</x:f>
        <x:v>2</x:v>
      </x:c>
      <x:c r="Q56" s="464" t="n">
        <x:f>COUNTIFS(Test_Cases!$D$5:$D$1000,A56,Test_Cases!$L$5:$L$1000,"Passed")</x:f>
        <x:v>0</x:v>
      </x:c>
      <x:c r="R56" s="464" t="n">
        <x:f>COUNTIFS(Defects!$E$5:$E$500,A56,Defects!$K$5:$K$500,"&lt;&gt;Closed")</x:f>
        <x:v>0</x:v>
      </x:c>
      <x:c r="S56" s="411" t="str"/>
      <x:c r="T56" s="411" t="str"/>
      <x:c r="U56" s="411" t="str">
        <x:v>f_ekf_006</x:v>
      </x:c>
      <x:c r="V56" s="373"/>
      <x:c r="W56" s="373"/>
      <x:c r="X56" s="373"/>
      <x:c r="Y56" s="373"/>
      <x:c r="Z56" s="373"/>
    </x:row>
    <x:row r="57">
      <x:c r="A57" s="411" t="str">
        <x:v>F-EKF-007</x:v>
      </x:c>
      <x:c r="B57" s="411" t="str">
        <x:v>v0.1.6</x:v>
      </x:c>
      <x:c r="C57" s="411" t="str">
        <x:v>Fault</x:v>
      </x:c>
      <x:c r="D57" s="411" t="str">
        <x:v>EKF dropout and timestamp tests</x:v>
      </x:c>
      <x:c r="E57" s="411" t="str">
        <x:v>Test stale, missing, invalid, and future-dated measurements.</x:v>
      </x:c>
      <x:c r="F57" s="411" t="str">
        <x:v>REQ-053</x:v>
      </x:c>
      <x:c r="G57" s="411" t="str">
        <x:v>High</x:v>
      </x:c>
      <x:c r="H57" s="411" t="str">
        <x:v>Devansh</x:v>
      </x:c>
      <x:c r="I57" s="488" t="str">
        <x:v>Backlog</x:v>
      </x:c>
      <x:c r="J57" s="414" t="n">
        <x:f>IF(I57="Done",1,IF(I57="In Review",0.8,IF(I57="In Progress",0.5,IF(I57="Blocked",0.35,IF(I57="Ready",0.1,0)))))</x:f>
        <x:v>0</x:v>
      </x:c>
      <x:c r="K57" s="460" t="n">
        <x:v>46245</x:v>
      </x:c>
      <x:c r="L57" s="460" t="n">
        <x:v>46245</x:v>
      </x:c>
      <x:c r="M57" s="460"/>
      <x:c r="N57" s="411" t="str"/>
      <x:c r="O57" s="411" t="str">
        <x:v>Nominal and negative tests pass; behavior is documented and reproducible.</x:v>
      </x:c>
      <x:c r="P57" s="464" t="n">
        <x:f>COUNTIF(Test_Cases!$D$5:$D$1000,A57)</x:f>
        <x:v>1</x:v>
      </x:c>
      <x:c r="Q57" s="464" t="n">
        <x:f>COUNTIFS(Test_Cases!$D$5:$D$1000,A57,Test_Cases!$L$5:$L$1000,"Passed")</x:f>
        <x:v>0</x:v>
      </x:c>
      <x:c r="R57" s="464" t="n">
        <x:f>COUNTIFS(Defects!$E$5:$E$500,A57,Defects!$K$5:$K$500,"&lt;&gt;Closed")</x:f>
        <x:v>0</x:v>
      </x:c>
      <x:c r="S57" s="411" t="str"/>
      <x:c r="T57" s="411" t="str"/>
      <x:c r="U57" s="411" t="str">
        <x:v>f_ekf_007</x:v>
      </x:c>
      <x:c r="V57" s="373"/>
      <x:c r="W57" s="373"/>
      <x:c r="X57" s="373"/>
      <x:c r="Y57" s="373"/>
      <x:c r="Z57" s="373"/>
    </x:row>
    <x:row r="58">
      <x:c r="A58" s="411" t="str">
        <x:v>F-EKF-008</x:v>
      </x:c>
      <x:c r="B58" s="411" t="str">
        <x:v>v0.1.6</x:v>
      </x:c>
      <x:c r="C58" s="411" t="str">
        <x:v>Metrics</x:v>
      </x:c>
      <x:c r="D58" s="411" t="str">
        <x:v>Odometry comparison report</x:v>
      </x:c>
      <x:c r="E58" s="411" t="str">
        <x:v>Compare raw and fused position/yaw error and smoothness.</x:v>
      </x:c>
      <x:c r="F58" s="411" t="str">
        <x:v>REQ-054</x:v>
      </x:c>
      <x:c r="G58" s="411" t="str">
        <x:v>High</x:v>
      </x:c>
      <x:c r="H58" s="411" t="str">
        <x:v>Devansh</x:v>
      </x:c>
      <x:c r="I58" s="488" t="str">
        <x:v>Backlog</x:v>
      </x:c>
      <x:c r="J58" s="414" t="n">
        <x:f>IF(I58="Done",1,IF(I58="In Review",0.8,IF(I58="In Progress",0.5,IF(I58="Blocked",0.35,IF(I58="Ready",0.1,0)))))</x:f>
        <x:v>0</x:v>
      </x:c>
      <x:c r="K58" s="460" t="n">
        <x:v>46245</x:v>
      </x:c>
      <x:c r="L58" s="460" t="n">
        <x:v>46245</x:v>
      </x:c>
      <x:c r="M58" s="460"/>
      <x:c r="N58" s="411" t="str"/>
      <x:c r="O58" s="411" t="str">
        <x:v>Nominal and negative tests pass; behavior is documented and reproducible.</x:v>
      </x:c>
      <x:c r="P58" s="464" t="n">
        <x:f>COUNTIF(Test_Cases!$D$5:$D$1000,A58)</x:f>
        <x:v>1</x:v>
      </x:c>
      <x:c r="Q58" s="464" t="n">
        <x:f>COUNTIFS(Test_Cases!$D$5:$D$1000,A58,Test_Cases!$L$5:$L$1000,"Passed")</x:f>
        <x:v>0</x:v>
      </x:c>
      <x:c r="R58" s="464" t="n">
        <x:f>COUNTIFS(Defects!$E$5:$E$500,A58,Defects!$K$5:$K$500,"&lt;&gt;Closed")</x:f>
        <x:v>0</x:v>
      </x:c>
      <x:c r="S58" s="411" t="str"/>
      <x:c r="T58" s="411" t="str"/>
      <x:c r="U58" s="411" t="str">
        <x:v>f_ekf_008</x:v>
      </x:c>
      <x:c r="V58" s="373"/>
      <x:c r="W58" s="373"/>
      <x:c r="X58" s="373"/>
      <x:c r="Y58" s="373"/>
      <x:c r="Z58" s="373"/>
    </x:row>
    <x:row r="59">
      <x:c r="A59" s="411" t="str">
        <x:v>F-RVIZ-001</x:v>
      </x:c>
      <x:c r="B59" s="411" t="str">
        <x:v>v0.1.7</x:v>
      </x:c>
      <x:c r="C59" s="411" t="str">
        <x:v>RViz</x:v>
      </x:c>
      <x:c r="D59" s="411" t="str">
        <x:v>Mapping debug profile</x:v>
      </x:c>
      <x:c r="E59" s="411" t="str">
        <x:v>Create a saved RViz configuration for mapping and sensor inspection.</x:v>
      </x:c>
      <x:c r="F59" s="411" t="str">
        <x:v>REQ-055</x:v>
      </x:c>
      <x:c r="G59" s="411" t="str">
        <x:v>High</x:v>
      </x:c>
      <x:c r="H59" s="411" t="str">
        <x:v>Devansh</x:v>
      </x:c>
      <x:c r="I59" s="488" t="str">
        <x:v>Backlog</x:v>
      </x:c>
      <x:c r="J59" s="414" t="n">
        <x:f>IF(I59="Done",1,IF(I59="In Review",0.8,IF(I59="In Progress",0.5,IF(I59="Blocked",0.35,IF(I59="Ready",0.1,0)))))</x:f>
        <x:v>0</x:v>
      </x:c>
      <x:c r="K59" s="460" t="n">
        <x:v>46246</x:v>
      </x:c>
      <x:c r="L59" s="460" t="n">
        <x:v>46246</x:v>
      </x:c>
      <x:c r="M59" s="460"/>
      <x:c r="N59" s="411" t="str"/>
      <x:c r="O59" s="411" t="str">
        <x:v>Nominal and negative tests pass; behavior is documented and reproducible.</x:v>
      </x:c>
      <x:c r="P59" s="464" t="n">
        <x:f>COUNTIF(Test_Cases!$D$5:$D$1000,A59)</x:f>
        <x:v>1</x:v>
      </x:c>
      <x:c r="Q59" s="464" t="n">
        <x:f>COUNTIFS(Test_Cases!$D$5:$D$1000,A59,Test_Cases!$L$5:$L$1000,"Passed")</x:f>
        <x:v>0</x:v>
      </x:c>
      <x:c r="R59" s="464" t="n">
        <x:f>COUNTIFS(Defects!$E$5:$E$500,A59,Defects!$K$5:$K$500,"&lt;&gt;Closed")</x:f>
        <x:v>0</x:v>
      </x:c>
      <x:c r="S59" s="411" t="str"/>
      <x:c r="T59" s="411" t="str"/>
      <x:c r="U59" s="411" t="str">
        <x:v>f_rviz_001</x:v>
      </x:c>
      <x:c r="V59" s="373"/>
      <x:c r="W59" s="373"/>
      <x:c r="X59" s="373"/>
      <x:c r="Y59" s="373"/>
      <x:c r="Z59" s="373"/>
    </x:row>
    <x:row r="60">
      <x:c r="A60" s="411" t="str">
        <x:v>F-RVIZ-002</x:v>
      </x:c>
      <x:c r="B60" s="411" t="str">
        <x:v>v0.1.7</x:v>
      </x:c>
      <x:c r="C60" s="411" t="str">
        <x:v>RViz</x:v>
      </x:c>
      <x:c r="D60" s="411" t="str">
        <x:v>Localization debug profile</x:v>
      </x:c>
      <x:c r="E60" s="411" t="str">
        <x:v>Create a saved RViz configuration for AMCL, covariance, and ground truth.</x:v>
      </x:c>
      <x:c r="F60" s="411" t="str">
        <x:v>REQ-056</x:v>
      </x:c>
      <x:c r="G60" s="411" t="str">
        <x:v>High</x:v>
      </x:c>
      <x:c r="H60" s="411" t="str">
        <x:v>Devansh</x:v>
      </x:c>
      <x:c r="I60" s="488" t="str">
        <x:v>Backlog</x:v>
      </x:c>
      <x:c r="J60" s="414" t="n">
        <x:f>IF(I60="Done",1,IF(I60="In Review",0.8,IF(I60="In Progress",0.5,IF(I60="Blocked",0.35,IF(I60="Ready",0.1,0)))))</x:f>
        <x:v>0</x:v>
      </x:c>
      <x:c r="K60" s="460" t="n">
        <x:v>46246</x:v>
      </x:c>
      <x:c r="L60" s="460" t="n">
        <x:v>46246</x:v>
      </x:c>
      <x:c r="M60" s="460"/>
      <x:c r="N60" s="411" t="str"/>
      <x:c r="O60" s="411" t="str">
        <x:v>Nominal and negative tests pass; behavior is documented and reproducible.</x:v>
      </x:c>
      <x:c r="P60" s="464" t="n">
        <x:f>COUNTIF(Test_Cases!$D$5:$D$1000,A60)</x:f>
        <x:v>1</x:v>
      </x:c>
      <x:c r="Q60" s="464" t="n">
        <x:f>COUNTIFS(Test_Cases!$D$5:$D$1000,A60,Test_Cases!$L$5:$L$1000,"Passed")</x:f>
        <x:v>0</x:v>
      </x:c>
      <x:c r="R60" s="464" t="n">
        <x:f>COUNTIFS(Defects!$E$5:$E$500,A60,Defects!$K$5:$K$500,"&lt;&gt;Closed")</x:f>
        <x:v>0</x:v>
      </x:c>
      <x:c r="S60" s="411" t="str"/>
      <x:c r="T60" s="411" t="str"/>
      <x:c r="U60" s="411" t="str">
        <x:v>f_rviz_002</x:v>
      </x:c>
      <x:c r="V60" s="373"/>
      <x:c r="W60" s="373"/>
      <x:c r="X60" s="373"/>
      <x:c r="Y60" s="373"/>
      <x:c r="Z60" s="373"/>
    </x:row>
    <x:row r="61">
      <x:c r="A61" s="411" t="str">
        <x:v>F-RVIZ-003</x:v>
      </x:c>
      <x:c r="B61" s="411" t="str">
        <x:v>v0.1.7</x:v>
      </x:c>
      <x:c r="C61" s="411" t="str">
        <x:v>RViz</x:v>
      </x:c>
      <x:c r="D61" s="411" t="str">
        <x:v>Navigation debug profile</x:v>
      </x:c>
      <x:c r="E61" s="411" t="str">
        <x:v>Create a saved RViz configuration for costmaps, plans, trajectories, and goals.</x:v>
      </x:c>
      <x:c r="F61" s="411" t="str">
        <x:v>REQ-057</x:v>
      </x:c>
      <x:c r="G61" s="411" t="str">
        <x:v>High</x:v>
      </x:c>
      <x:c r="H61" s="411" t="str">
        <x:v>Devansh</x:v>
      </x:c>
      <x:c r="I61" s="488" t="str">
        <x:v>Backlog</x:v>
      </x:c>
      <x:c r="J61" s="414" t="n">
        <x:f>IF(I61="Done",1,IF(I61="In Review",0.8,IF(I61="In Progress",0.5,IF(I61="Blocked",0.35,IF(I61="Ready",0.1,0)))))</x:f>
        <x:v>0</x:v>
      </x:c>
      <x:c r="K61" s="460" t="n">
        <x:v>46246</x:v>
      </x:c>
      <x:c r="L61" s="460" t="n">
        <x:v>46246</x:v>
      </x:c>
      <x:c r="M61" s="460"/>
      <x:c r="N61" s="411" t="str"/>
      <x:c r="O61" s="411" t="str">
        <x:v>Nominal and negative tests pass; behavior is documented and reproducible.</x:v>
      </x:c>
      <x:c r="P61" s="464" t="n">
        <x:f>COUNTIF(Test_Cases!$D$5:$D$1000,A61)</x:f>
        <x:v>1</x:v>
      </x:c>
      <x:c r="Q61" s="464" t="n">
        <x:f>COUNTIFS(Test_Cases!$D$5:$D$1000,A61,Test_Cases!$L$5:$L$1000,"Passed")</x:f>
        <x:v>0</x:v>
      </x:c>
      <x:c r="R61" s="464" t="n">
        <x:f>COUNTIFS(Defects!$E$5:$E$500,A61,Defects!$K$5:$K$500,"&lt;&gt;Closed")</x:f>
        <x:v>0</x:v>
      </x:c>
      <x:c r="S61" s="411" t="str"/>
      <x:c r="T61" s="411" t="str"/>
      <x:c r="U61" s="411" t="str">
        <x:v>f_rviz_003</x:v>
      </x:c>
      <x:c r="V61" s="373"/>
      <x:c r="W61" s="373"/>
      <x:c r="X61" s="373"/>
      <x:c r="Y61" s="373"/>
      <x:c r="Z61" s="373"/>
    </x:row>
    <x:row r="62">
      <x:c r="A62" s="411" t="str">
        <x:v>F-RVIZ-004</x:v>
      </x:c>
      <x:c r="B62" s="411" t="str">
        <x:v>v0.1.7</x:v>
      </x:c>
      <x:c r="C62" s="411" t="str">
        <x:v>RViz</x:v>
      </x:c>
      <x:c r="D62" s="411" t="str">
        <x:v>Ground-truth and estimated-path overlays</x:v>
      </x:c>
      <x:c r="E62" s="411" t="str">
        <x:v>Show raw odometry, fused odometry, AMCL, and ground-truth paths.</x:v>
      </x:c>
      <x:c r="F62" s="411" t="str">
        <x:v>REQ-058</x:v>
      </x:c>
      <x:c r="G62" s="411" t="str">
        <x:v>Medium</x:v>
      </x:c>
      <x:c r="H62" s="411" t="str">
        <x:v>Devansh</x:v>
      </x:c>
      <x:c r="I62" s="488" t="str">
        <x:v>Backlog</x:v>
      </x:c>
      <x:c r="J62" s="414" t="n">
        <x:f>IF(I62="Done",1,IF(I62="In Review",0.8,IF(I62="In Progress",0.5,IF(I62="Blocked",0.35,IF(I62="Ready",0.1,0)))))</x:f>
        <x:v>0</x:v>
      </x:c>
      <x:c r="K62" s="460" t="n">
        <x:v>46246</x:v>
      </x:c>
      <x:c r="L62" s="460" t="n">
        <x:v>46246</x:v>
      </x:c>
      <x:c r="M62" s="460"/>
      <x:c r="N62" s="411" t="str"/>
      <x:c r="O62" s="411" t="str">
        <x:v>Capability is usable, documented, and covered by at least one verification test.</x:v>
      </x:c>
      <x:c r="P62" s="464" t="n">
        <x:f>COUNTIF(Test_Cases!$D$5:$D$1000,A62)</x:f>
        <x:v>1</x:v>
      </x:c>
      <x:c r="Q62" s="464" t="n">
        <x:f>COUNTIFS(Test_Cases!$D$5:$D$1000,A62,Test_Cases!$L$5:$L$1000,"Passed")</x:f>
        <x:v>0</x:v>
      </x:c>
      <x:c r="R62" s="464" t="n">
        <x:f>COUNTIFS(Defects!$E$5:$E$500,A62,Defects!$K$5:$K$500,"&lt;&gt;Closed")</x:f>
        <x:v>0</x:v>
      </x:c>
      <x:c r="S62" s="411" t="str"/>
      <x:c r="T62" s="411" t="str"/>
      <x:c r="U62" s="411" t="str">
        <x:v>f_rviz_004</x:v>
      </x:c>
      <x:c r="V62" s="373"/>
      <x:c r="W62" s="373"/>
      <x:c r="X62" s="373"/>
      <x:c r="Y62" s="373"/>
      <x:c r="Z62" s="373"/>
    </x:row>
    <x:row r="63">
      <x:c r="A63" s="411" t="str">
        <x:v>F-RVIZ-005</x:v>
      </x:c>
      <x:c r="B63" s="411" t="str">
        <x:v>v0.1.7</x:v>
      </x:c>
      <x:c r="C63" s="411" t="str">
        <x:v>Documentation</x:v>
      </x:c>
      <x:c r="D63" s="411" t="str">
        <x:v>RViz debugging guide</x:v>
      </x:c>
      <x:c r="E63" s="411" t="str">
        <x:v>Document frames, topics, expected displays, and common failure signatures.</x:v>
      </x:c>
      <x:c r="F63" s="411" t="str">
        <x:v>REQ-059</x:v>
      </x:c>
      <x:c r="G63" s="411" t="str">
        <x:v>Medium</x:v>
      </x:c>
      <x:c r="H63" s="411" t="str">
        <x:v>Devansh</x:v>
      </x:c>
      <x:c r="I63" s="488" t="str">
        <x:v>Backlog</x:v>
      </x:c>
      <x:c r="J63" s="414" t="n">
        <x:f>IF(I63="Done",1,IF(I63="In Review",0.8,IF(I63="In Progress",0.5,IF(I63="Blocked",0.35,IF(I63="Ready",0.1,0)))))</x:f>
        <x:v>0</x:v>
      </x:c>
      <x:c r="K63" s="460" t="n">
        <x:v>46246</x:v>
      </x:c>
      <x:c r="L63" s="460" t="n">
        <x:v>46246</x:v>
      </x:c>
      <x:c r="M63" s="460"/>
      <x:c r="N63" s="411" t="str"/>
      <x:c r="O63" s="411" t="str">
        <x:v>Capability is usable, documented, and covered by at least one verification test.</x:v>
      </x:c>
      <x:c r="P63" s="464" t="n">
        <x:f>COUNTIF(Test_Cases!$D$5:$D$1000,A63)</x:f>
        <x:v>1</x:v>
      </x:c>
      <x:c r="Q63" s="464" t="n">
        <x:f>COUNTIFS(Test_Cases!$D$5:$D$1000,A63,Test_Cases!$L$5:$L$1000,"Passed")</x:f>
        <x:v>0</x:v>
      </x:c>
      <x:c r="R63" s="464" t="n">
        <x:f>COUNTIFS(Defects!$E$5:$E$500,A63,Defects!$K$5:$K$500,"&lt;&gt;Closed")</x:f>
        <x:v>0</x:v>
      </x:c>
      <x:c r="S63" s="411" t="str"/>
      <x:c r="T63" s="411" t="str"/>
      <x:c r="U63" s="411" t="str">
        <x:v>f_rviz_005</x:v>
      </x:c>
      <x:c r="V63" s="373"/>
      <x:c r="W63" s="373"/>
      <x:c r="X63" s="373"/>
      <x:c r="Y63" s="373"/>
      <x:c r="Z63" s="373"/>
    </x:row>
    <x:row r="64">
      <x:c r="A64" s="411" t="str">
        <x:v>F-SLAM-001</x:v>
      </x:c>
      <x:c r="B64" s="411" t="str">
        <x:v>v0.1.8</x:v>
      </x:c>
      <x:c r="C64" s="411" t="str">
        <x:v>SLAM</x:v>
      </x:c>
      <x:c r="D64" s="411" t="str">
        <x:v>Controlled mapping benchmark</x:v>
      </x:c>
      <x:c r="E64" s="411" t="str">
        <x:v>Create fixed world, start pose, trajectory, seed, and run procedure.</x:v>
      </x:c>
      <x:c r="F64" s="411" t="str">
        <x:v>REQ-060</x:v>
      </x:c>
      <x:c r="G64" s="411" t="str">
        <x:v>Critical</x:v>
      </x:c>
      <x:c r="H64" s="411" t="str">
        <x:v>Devansh</x:v>
      </x:c>
      <x:c r="I64" s="488" t="str">
        <x:v>Backlog</x:v>
      </x:c>
      <x:c r="J64" s="414" t="n">
        <x:f>IF(I64="Done",1,IF(I64="In Review",0.8,IF(I64="In Progress",0.5,IF(I64="Blocked",0.35,IF(I64="Ready",0.1,0)))))</x:f>
        <x:v>0</x:v>
      </x:c>
      <x:c r="K64" s="460" t="n">
        <x:v>46247</x:v>
      </x:c>
      <x:c r="L64" s="460" t="n">
        <x:v>46247</x:v>
      </x:c>
      <x:c r="M64" s="460"/>
      <x:c r="N64" s="411" t="str"/>
      <x:c r="O64" s="411" t="str">
        <x:v>Acceptance test passes; failure path is verified; regression suite remains green.</x:v>
      </x:c>
      <x:c r="P64" s="464" t="n">
        <x:f>COUNTIF(Test_Cases!$D$5:$D$1000,A64)</x:f>
        <x:v>2</x:v>
      </x:c>
      <x:c r="Q64" s="464" t="n">
        <x:f>COUNTIFS(Test_Cases!$D$5:$D$1000,A64,Test_Cases!$L$5:$L$1000,"Passed")</x:f>
        <x:v>0</x:v>
      </x:c>
      <x:c r="R64" s="464" t="n">
        <x:f>COUNTIFS(Defects!$E$5:$E$500,A64,Defects!$K$5:$K$500,"&lt;&gt;Closed")</x:f>
        <x:v>1</x:v>
      </x:c>
      <x:c r="S64" s="411" t="str"/>
      <x:c r="T64" s="411" t="str"/>
      <x:c r="U64" s="411" t="str">
        <x:v>f_slam_001</x:v>
      </x:c>
      <x:c r="V64" s="373"/>
      <x:c r="W64" s="373"/>
      <x:c r="X64" s="373"/>
      <x:c r="Y64" s="373"/>
      <x:c r="Z64" s="373"/>
    </x:row>
    <x:row r="65">
      <x:c r="A65" s="411" t="str">
        <x:v>F-SLAM-002</x:v>
      </x:c>
      <x:c r="B65" s="411" t="str">
        <x:v>v0.1.8</x:v>
      </x:c>
      <x:c r="C65" s="411" t="str">
        <x:v>SLAM</x:v>
      </x:c>
      <x:c r="D65" s="411" t="str">
        <x:v>SLAM parameter experiment log</x:v>
      </x:c>
      <x:c r="E65" s="411" t="str">
        <x:v>Track hypothesis, baseline, candidate, result, and decision.</x:v>
      </x:c>
      <x:c r="F65" s="411" t="str">
        <x:v>REQ-061</x:v>
      </x:c>
      <x:c r="G65" s="411" t="str">
        <x:v>High</x:v>
      </x:c>
      <x:c r="H65" s="411" t="str">
        <x:v>Devansh</x:v>
      </x:c>
      <x:c r="I65" s="488" t="str">
        <x:v>Backlog</x:v>
      </x:c>
      <x:c r="J65" s="414" t="n">
        <x:f>IF(I65="Done",1,IF(I65="In Review",0.8,IF(I65="In Progress",0.5,IF(I65="Blocked",0.35,IF(I65="Ready",0.1,0)))))</x:f>
        <x:v>0</x:v>
      </x:c>
      <x:c r="K65" s="460" t="n">
        <x:v>46247</x:v>
      </x:c>
      <x:c r="L65" s="460" t="n">
        <x:v>46247</x:v>
      </x:c>
      <x:c r="M65" s="460"/>
      <x:c r="N65" s="411" t="str"/>
      <x:c r="O65" s="411" t="str">
        <x:v>Nominal and negative tests pass; behavior is documented and reproducible.</x:v>
      </x:c>
      <x:c r="P65" s="464" t="n">
        <x:f>COUNTIF(Test_Cases!$D$5:$D$1000,A65)</x:f>
        <x:v>1</x:v>
      </x:c>
      <x:c r="Q65" s="464" t="n">
        <x:f>COUNTIFS(Test_Cases!$D$5:$D$1000,A65,Test_Cases!$L$5:$L$1000,"Passed")</x:f>
        <x:v>0</x:v>
      </x:c>
      <x:c r="R65" s="464" t="n">
        <x:f>COUNTIFS(Defects!$E$5:$E$500,A65,Defects!$K$5:$K$500,"&lt;&gt;Closed")</x:f>
        <x:v>0</x:v>
      </x:c>
      <x:c r="S65" s="411" t="str"/>
      <x:c r="T65" s="411" t="str"/>
      <x:c r="U65" s="411" t="str">
        <x:v>f_slam_002</x:v>
      </x:c>
      <x:c r="V65" s="373"/>
      <x:c r="W65" s="373"/>
      <x:c r="X65" s="373"/>
      <x:c r="Y65" s="373"/>
      <x:c r="Z65" s="373"/>
    </x:row>
    <x:row r="66">
      <x:c r="A66" s="411" t="str">
        <x:v>F-SLAM-003</x:v>
      </x:c>
      <x:c r="B66" s="411" t="str">
        <x:v>v0.1.8</x:v>
      </x:c>
      <x:c r="C66" s="411" t="str">
        <x:v>Metrics</x:v>
      </x:c>
      <x:c r="D66" s="411" t="str">
        <x:v>Map quality metrics</x:v>
      </x:c>
      <x:c r="E66" s="411" t="str">
        <x:v>Measure completeness, duplicate walls, drift, loop closure, and consistency.</x:v>
      </x:c>
      <x:c r="F66" s="411" t="str">
        <x:v>REQ-062</x:v>
      </x:c>
      <x:c r="G66" s="411" t="str">
        <x:v>Critical</x:v>
      </x:c>
      <x:c r="H66" s="411" t="str">
        <x:v>Devansh</x:v>
      </x:c>
      <x:c r="I66" s="488" t="str">
        <x:v>Backlog</x:v>
      </x:c>
      <x:c r="J66" s="414" t="n">
        <x:f>IF(I66="Done",1,IF(I66="In Review",0.8,IF(I66="In Progress",0.5,IF(I66="Blocked",0.35,IF(I66="Ready",0.1,0)))))</x:f>
        <x:v>0</x:v>
      </x:c>
      <x:c r="K66" s="460" t="n">
        <x:v>46247</x:v>
      </x:c>
      <x:c r="L66" s="460" t="n">
        <x:v>46247</x:v>
      </x:c>
      <x:c r="M66" s="460"/>
      <x:c r="N66" s="411" t="str"/>
      <x:c r="O66" s="411" t="str">
        <x:v>Acceptance test passes; failure path is verified; regression suite remains green.</x:v>
      </x:c>
      <x:c r="P66" s="464" t="n">
        <x:f>COUNTIF(Test_Cases!$D$5:$D$1000,A66)</x:f>
        <x:v>2</x:v>
      </x:c>
      <x:c r="Q66" s="464" t="n">
        <x:f>COUNTIFS(Test_Cases!$D$5:$D$1000,A66,Test_Cases!$L$5:$L$1000,"Passed")</x:f>
        <x:v>0</x:v>
      </x:c>
      <x:c r="R66" s="464" t="n">
        <x:f>COUNTIFS(Defects!$E$5:$E$500,A66,Defects!$K$5:$K$500,"&lt;&gt;Closed")</x:f>
        <x:v>0</x:v>
      </x:c>
      <x:c r="S66" s="411" t="str"/>
      <x:c r="T66" s="411" t="str"/>
      <x:c r="U66" s="411" t="str">
        <x:v>f_slam_003</x:v>
      </x:c>
      <x:c r="V66" s="373"/>
      <x:c r="W66" s="373"/>
      <x:c r="X66" s="373"/>
      <x:c r="Y66" s="373"/>
      <x:c r="Z66" s="373"/>
    </x:row>
    <x:row r="67">
      <x:c r="A67" s="411" t="str">
        <x:v>F-SLAM-004</x:v>
      </x:c>
      <x:c r="B67" s="411" t="str">
        <x:v>v0.1.8</x:v>
      </x:c>
      <x:c r="C67" s="411" t="str">
        <x:v>SLAM</x:v>
      </x:c>
      <x:c r="D67" s="411" t="str">
        <x:v>Input-processing tuning</x:v>
      </x:c>
      <x:c r="E67" s="411" t="str">
        <x:v>Tune scan ranges, throttling, intervals, and transform timing.</x:v>
      </x:c>
      <x:c r="F67" s="411" t="str">
        <x:v>REQ-063</x:v>
      </x:c>
      <x:c r="G67" s="411" t="str">
        <x:v>High</x:v>
      </x:c>
      <x:c r="H67" s="411" t="str">
        <x:v>Devansh</x:v>
      </x:c>
      <x:c r="I67" s="488" t="str">
        <x:v>Backlog</x:v>
      </x:c>
      <x:c r="J67" s="414" t="n">
        <x:f>IF(I67="Done",1,IF(I67="In Review",0.8,IF(I67="In Progress",0.5,IF(I67="Blocked",0.35,IF(I67="Ready",0.1,0)))))</x:f>
        <x:v>0</x:v>
      </x:c>
      <x:c r="K67" s="460" t="n">
        <x:v>46247</x:v>
      </x:c>
      <x:c r="L67" s="460" t="n">
        <x:v>46247</x:v>
      </x:c>
      <x:c r="M67" s="460"/>
      <x:c r="N67" s="411" t="str"/>
      <x:c r="O67" s="411" t="str">
        <x:v>Nominal and negative tests pass; behavior is documented and reproducible.</x:v>
      </x:c>
      <x:c r="P67" s="464" t="n">
        <x:f>COUNTIF(Test_Cases!$D$5:$D$1000,A67)</x:f>
        <x:v>1</x:v>
      </x:c>
      <x:c r="Q67" s="464" t="n">
        <x:f>COUNTIFS(Test_Cases!$D$5:$D$1000,A67,Test_Cases!$L$5:$L$1000,"Passed")</x:f>
        <x:v>0</x:v>
      </x:c>
      <x:c r="R67" s="464" t="n">
        <x:f>COUNTIFS(Defects!$E$5:$E$500,A67,Defects!$K$5:$K$500,"&lt;&gt;Closed")</x:f>
        <x:v>0</x:v>
      </x:c>
      <x:c r="S67" s="411" t="str"/>
      <x:c r="T67" s="411" t="str"/>
      <x:c r="U67" s="411" t="str">
        <x:v>f_slam_004</x:v>
      </x:c>
      <x:c r="V67" s="373"/>
      <x:c r="W67" s="373"/>
      <x:c r="X67" s="373"/>
      <x:c r="Y67" s="373"/>
      <x:c r="Z67" s="373"/>
    </x:row>
    <x:row r="68">
      <x:c r="A68" s="411" t="str">
        <x:v>F-SLAM-005</x:v>
      </x:c>
      <x:c r="B68" s="411" t="str">
        <x:v>v0.1.8</x:v>
      </x:c>
      <x:c r="C68" s="411" t="str">
        <x:v>SLAM</x:v>
      </x:c>
      <x:c r="D68" s="411" t="str">
        <x:v>Motion-threshold tuning</x:v>
      </x:c>
      <x:c r="E68" s="411" t="str">
        <x:v>Tune travel-distance, heading, and update thresholds.</x:v>
      </x:c>
      <x:c r="F68" s="411" t="str">
        <x:v>REQ-064</x:v>
      </x:c>
      <x:c r="G68" s="411" t="str">
        <x:v>High</x:v>
      </x:c>
      <x:c r="H68" s="411" t="str">
        <x:v>Devansh</x:v>
      </x:c>
      <x:c r="I68" s="488" t="str">
        <x:v>Backlog</x:v>
      </x:c>
      <x:c r="J68" s="414" t="n">
        <x:f>IF(I68="Done",1,IF(I68="In Review",0.8,IF(I68="In Progress",0.5,IF(I68="Blocked",0.35,IF(I68="Ready",0.1,0)))))</x:f>
        <x:v>0</x:v>
      </x:c>
      <x:c r="K68" s="460" t="n">
        <x:v>46247</x:v>
      </x:c>
      <x:c r="L68" s="460" t="n">
        <x:v>46247</x:v>
      </x:c>
      <x:c r="M68" s="460"/>
      <x:c r="N68" s="411" t="str"/>
      <x:c r="O68" s="411" t="str">
        <x:v>Nominal and negative tests pass; behavior is documented and reproducible.</x:v>
      </x:c>
      <x:c r="P68" s="464" t="n">
        <x:f>COUNTIF(Test_Cases!$D$5:$D$1000,A68)</x:f>
        <x:v>1</x:v>
      </x:c>
      <x:c r="Q68" s="464" t="n">
        <x:f>COUNTIFS(Test_Cases!$D$5:$D$1000,A68,Test_Cases!$L$5:$L$1000,"Passed")</x:f>
        <x:v>0</x:v>
      </x:c>
      <x:c r="R68" s="464" t="n">
        <x:f>COUNTIFS(Defects!$E$5:$E$500,A68,Defects!$K$5:$K$500,"&lt;&gt;Closed")</x:f>
        <x:v>0</x:v>
      </x:c>
      <x:c r="S68" s="411" t="str"/>
      <x:c r="T68" s="411" t="str"/>
      <x:c r="U68" s="411" t="str">
        <x:v>f_slam_005</x:v>
      </x:c>
      <x:c r="V68" s="373"/>
      <x:c r="W68" s="373"/>
      <x:c r="X68" s="373"/>
      <x:c r="Y68" s="373"/>
      <x:c r="Z68" s="373"/>
    </x:row>
    <x:row r="69">
      <x:c r="A69" s="411" t="str">
        <x:v>F-SLAM-006</x:v>
      </x:c>
      <x:c r="B69" s="411" t="str">
        <x:v>v0.1.8</x:v>
      </x:c>
      <x:c r="C69" s="411" t="str">
        <x:v>SLAM</x:v>
      </x:c>
      <x:c r="D69" s="411" t="str">
        <x:v>Scan matching and loop-closure tuning</x:v>
      </x:c>
      <x:c r="E69" s="411" t="str">
        <x:v>Tune correlation, penalties, and acceptance thresholds.</x:v>
      </x:c>
      <x:c r="F69" s="411" t="str">
        <x:v>REQ-065</x:v>
      </x:c>
      <x:c r="G69" s="411" t="str">
        <x:v>High</x:v>
      </x:c>
      <x:c r="H69" s="411" t="str">
        <x:v>Devansh</x:v>
      </x:c>
      <x:c r="I69" s="488" t="str">
        <x:v>Backlog</x:v>
      </x:c>
      <x:c r="J69" s="414" t="n">
        <x:f>IF(I69="Done",1,IF(I69="In Review",0.8,IF(I69="In Progress",0.5,IF(I69="Blocked",0.35,IF(I69="Ready",0.1,0)))))</x:f>
        <x:v>0</x:v>
      </x:c>
      <x:c r="K69" s="460" t="n">
        <x:v>46247</x:v>
      </x:c>
      <x:c r="L69" s="460" t="n">
        <x:v>46247</x:v>
      </x:c>
      <x:c r="M69" s="460"/>
      <x:c r="N69" s="411" t="str"/>
      <x:c r="O69" s="411" t="str">
        <x:v>Nominal and negative tests pass; behavior is documented and reproducible.</x:v>
      </x:c>
      <x:c r="P69" s="464" t="n">
        <x:f>COUNTIF(Test_Cases!$D$5:$D$1000,A69)</x:f>
        <x:v>1</x:v>
      </x:c>
      <x:c r="Q69" s="464" t="n">
        <x:f>COUNTIFS(Test_Cases!$D$5:$D$1000,A69,Test_Cases!$L$5:$L$1000,"Passed")</x:f>
        <x:v>0</x:v>
      </x:c>
      <x:c r="R69" s="464" t="n">
        <x:f>COUNTIFS(Defects!$E$5:$E$500,A69,Defects!$K$5:$K$500,"&lt;&gt;Closed")</x:f>
        <x:v>0</x:v>
      </x:c>
      <x:c r="S69" s="411" t="str"/>
      <x:c r="T69" s="411" t="str"/>
      <x:c r="U69" s="411" t="str">
        <x:v>f_slam_006</x:v>
      </x:c>
      <x:c r="V69" s="373"/>
      <x:c r="W69" s="373"/>
      <x:c r="X69" s="373"/>
      <x:c r="Y69" s="373"/>
      <x:c r="Z69" s="373"/>
    </x:row>
    <x:row r="70">
      <x:c r="A70" s="411" t="str">
        <x:v>F-SLAM-007</x:v>
      </x:c>
      <x:c r="B70" s="411" t="str">
        <x:v>v0.1.8</x:v>
      </x:c>
      <x:c r="C70" s="411" t="str">
        <x:v>Fault</x:v>
      </x:c>
      <x:c r="D70" s="411" t="str">
        <x:v>Mapping degradation scenarios</x:v>
      </x:c>
      <x:c r="E70" s="411" t="str">
        <x:v>Test dropout, noise, wheel slip, fast rotation, and corridor ambiguity.</x:v>
      </x:c>
      <x:c r="F70" s="411" t="str">
        <x:v>REQ-066</x:v>
      </x:c>
      <x:c r="G70" s="411" t="str">
        <x:v>Critical</x:v>
      </x:c>
      <x:c r="H70" s="411" t="str">
        <x:v>Devansh</x:v>
      </x:c>
      <x:c r="I70" s="488" t="str">
        <x:v>Backlog</x:v>
      </x:c>
      <x:c r="J70" s="414" t="n">
        <x:f>IF(I70="Done",1,IF(I70="In Review",0.8,IF(I70="In Progress",0.5,IF(I70="Blocked",0.35,IF(I70="Ready",0.1,0)))))</x:f>
        <x:v>0</x:v>
      </x:c>
      <x:c r="K70" s="460" t="n">
        <x:v>46247</x:v>
      </x:c>
      <x:c r="L70" s="460" t="n">
        <x:v>46247</x:v>
      </x:c>
      <x:c r="M70" s="460"/>
      <x:c r="N70" s="411" t="str"/>
      <x:c r="O70" s="411" t="str">
        <x:v>Acceptance test passes; failure path is verified; regression suite remains green.</x:v>
      </x:c>
      <x:c r="P70" s="464" t="n">
        <x:f>COUNTIF(Test_Cases!$D$5:$D$1000,A70)</x:f>
        <x:v>2</x:v>
      </x:c>
      <x:c r="Q70" s="464" t="n">
        <x:f>COUNTIFS(Test_Cases!$D$5:$D$1000,A70,Test_Cases!$L$5:$L$1000,"Passed")</x:f>
        <x:v>0</x:v>
      </x:c>
      <x:c r="R70" s="464" t="n">
        <x:f>COUNTIFS(Defects!$E$5:$E$500,A70,Defects!$K$5:$K$500,"&lt;&gt;Closed")</x:f>
        <x:v>0</x:v>
      </x:c>
      <x:c r="S70" s="411" t="str"/>
      <x:c r="T70" s="411" t="str"/>
      <x:c r="U70" s="411" t="str">
        <x:v>f_slam_007</x:v>
      </x:c>
      <x:c r="V70" s="373"/>
      <x:c r="W70" s="373"/>
      <x:c r="X70" s="373"/>
      <x:c r="Y70" s="373"/>
      <x:c r="Z70" s="373"/>
    </x:row>
    <x:row r="71">
      <x:c r="A71" s="411" t="str">
        <x:v>F-SLAM-008</x:v>
      </x:c>
      <x:c r="B71" s="411" t="str">
        <x:v>v0.1.8</x:v>
      </x:c>
      <x:c r="C71" s="411" t="str">
        <x:v>Release</x:v>
      </x:c>
      <x:c r="D71" s="411" t="str">
        <x:v>Selected SLAM profile</x:v>
      </x:c>
      <x:c r="E71" s="411" t="str">
        <x:v>Lock and document the best evidence-backed mapping profile.</x:v>
      </x:c>
      <x:c r="F71" s="411" t="str">
        <x:v>REQ-067</x:v>
      </x:c>
      <x:c r="G71" s="411" t="str">
        <x:v>Critical</x:v>
      </x:c>
      <x:c r="H71" s="411" t="str">
        <x:v>Devansh</x:v>
      </x:c>
      <x:c r="I71" s="488" t="str">
        <x:v>Backlog</x:v>
      </x:c>
      <x:c r="J71" s="414" t="n">
        <x:f>IF(I71="Done",1,IF(I71="In Review",0.8,IF(I71="In Progress",0.5,IF(I71="Blocked",0.35,IF(I71="Ready",0.1,0)))))</x:f>
        <x:v>0</x:v>
      </x:c>
      <x:c r="K71" s="460" t="n">
        <x:v>46247</x:v>
      </x:c>
      <x:c r="L71" s="460" t="n">
        <x:v>46247</x:v>
      </x:c>
      <x:c r="M71" s="460"/>
      <x:c r="N71" s="411" t="str"/>
      <x:c r="O71" s="411" t="str">
        <x:v>Acceptance test passes; failure path is verified; regression suite remains green.</x:v>
      </x:c>
      <x:c r="P71" s="464" t="n">
        <x:f>COUNTIF(Test_Cases!$D$5:$D$1000,A71)</x:f>
        <x:v>2</x:v>
      </x:c>
      <x:c r="Q71" s="464" t="n">
        <x:f>COUNTIFS(Test_Cases!$D$5:$D$1000,A71,Test_Cases!$L$5:$L$1000,"Passed")</x:f>
        <x:v>0</x:v>
      </x:c>
      <x:c r="R71" s="464" t="n">
        <x:f>COUNTIFS(Defects!$E$5:$E$500,A71,Defects!$K$5:$K$500,"&lt;&gt;Closed")</x:f>
        <x:v>0</x:v>
      </x:c>
      <x:c r="S71" s="411" t="str"/>
      <x:c r="T71" s="411" t="str"/>
      <x:c r="U71" s="411" t="str">
        <x:v>f_slam_008</x:v>
      </x:c>
      <x:c r="V71" s="373"/>
      <x:c r="W71" s="373"/>
      <x:c r="X71" s="373"/>
      <x:c r="Y71" s="373"/>
      <x:c r="Z71" s="373"/>
    </x:row>
    <x:row r="72">
      <x:c r="A72" s="411" t="str">
        <x:v>F-AMCL-001</x:v>
      </x:c>
      <x:c r="B72" s="411" t="str">
        <x:v>v0.1.9</x:v>
      </x:c>
      <x:c r="C72" s="411" t="str">
        <x:v>Localization</x:v>
      </x:c>
      <x:c r="D72" s="411" t="str">
        <x:v>AMCL benchmark harness</x:v>
      </x:c>
      <x:c r="E72" s="411" t="str">
        <x:v>Compare AMCL pose and covariance against simulator ground truth.</x:v>
      </x:c>
      <x:c r="F72" s="411" t="str">
        <x:v>REQ-068</x:v>
      </x:c>
      <x:c r="G72" s="411" t="str">
        <x:v>Critical</x:v>
      </x:c>
      <x:c r="H72" s="411" t="str">
        <x:v>Devansh</x:v>
      </x:c>
      <x:c r="I72" s="488" t="str">
        <x:v>Backlog</x:v>
      </x:c>
      <x:c r="J72" s="414" t="n">
        <x:f>IF(I72="Done",1,IF(I72="In Review",0.8,IF(I72="In Progress",0.5,IF(I72="Blocked",0.35,IF(I72="Ready",0.1,0)))))</x:f>
        <x:v>0</x:v>
      </x:c>
      <x:c r="K72" s="460" t="n">
        <x:v>46248</x:v>
      </x:c>
      <x:c r="L72" s="460" t="n">
        <x:v>46248</x:v>
      </x:c>
      <x:c r="M72" s="460"/>
      <x:c r="N72" s="411" t="str"/>
      <x:c r="O72" s="411" t="str">
        <x:v>Acceptance test passes; failure path is verified; regression suite remains green.</x:v>
      </x:c>
      <x:c r="P72" s="464" t="n">
        <x:f>COUNTIF(Test_Cases!$D$5:$D$1000,A72)</x:f>
        <x:v>2</x:v>
      </x:c>
      <x:c r="Q72" s="464" t="n">
        <x:f>COUNTIFS(Test_Cases!$D$5:$D$1000,A72,Test_Cases!$L$5:$L$1000,"Passed")</x:f>
        <x:v>0</x:v>
      </x:c>
      <x:c r="R72" s="464" t="n">
        <x:f>COUNTIFS(Defects!$E$5:$E$500,A72,Defects!$K$5:$K$500,"&lt;&gt;Closed")</x:f>
        <x:v>0</x:v>
      </x:c>
      <x:c r="S72" s="411" t="str"/>
      <x:c r="T72" s="411" t="str"/>
      <x:c r="U72" s="411" t="str">
        <x:v>f_amcl_001</x:v>
      </x:c>
      <x:c r="V72" s="373"/>
      <x:c r="W72" s="373"/>
      <x:c r="X72" s="373"/>
      <x:c r="Y72" s="373"/>
      <x:c r="Z72" s="373"/>
    </x:row>
    <x:row r="73">
      <x:c r="A73" s="411" t="str">
        <x:v>F-AMCL-002</x:v>
      </x:c>
      <x:c r="B73" s="411" t="str">
        <x:v>v0.1.9</x:v>
      </x:c>
      <x:c r="C73" s="411" t="str">
        <x:v>Localization</x:v>
      </x:c>
      <x:c r="D73" s="411" t="str">
        <x:v>Initial-pose validation</x:v>
      </x:c>
      <x:c r="E73" s="411" t="str">
        <x:v>Validate pose frame, map bounds, covariance, timing, and robot motion state.</x:v>
      </x:c>
      <x:c r="F73" s="411" t="str">
        <x:v>REQ-069</x:v>
      </x:c>
      <x:c r="G73" s="411" t="str">
        <x:v>High</x:v>
      </x:c>
      <x:c r="H73" s="411" t="str">
        <x:v>Devansh</x:v>
      </x:c>
      <x:c r="I73" s="488" t="str">
        <x:v>Backlog</x:v>
      </x:c>
      <x:c r="J73" s="414" t="n">
        <x:f>IF(I73="Done",1,IF(I73="In Review",0.8,IF(I73="In Progress",0.5,IF(I73="Blocked",0.35,IF(I73="Ready",0.1,0)))))</x:f>
        <x:v>0</x:v>
      </x:c>
      <x:c r="K73" s="460" t="n">
        <x:v>46248</x:v>
      </x:c>
      <x:c r="L73" s="460" t="n">
        <x:v>46248</x:v>
      </x:c>
      <x:c r="M73" s="460"/>
      <x:c r="N73" s="411" t="str"/>
      <x:c r="O73" s="411" t="str">
        <x:v>Nominal and negative tests pass; behavior is documented and reproducible.</x:v>
      </x:c>
      <x:c r="P73" s="464" t="n">
        <x:f>COUNTIF(Test_Cases!$D$5:$D$1000,A73)</x:f>
        <x:v>1</x:v>
      </x:c>
      <x:c r="Q73" s="464" t="n">
        <x:f>COUNTIFS(Test_Cases!$D$5:$D$1000,A73,Test_Cases!$L$5:$L$1000,"Passed")</x:f>
        <x:v>0</x:v>
      </x:c>
      <x:c r="R73" s="464" t="n">
        <x:f>COUNTIFS(Defects!$E$5:$E$500,A73,Defects!$K$5:$K$500,"&lt;&gt;Closed")</x:f>
        <x:v>0</x:v>
      </x:c>
      <x:c r="S73" s="411" t="str"/>
      <x:c r="T73" s="411" t="str"/>
      <x:c r="U73" s="411" t="str">
        <x:v>f_amcl_002</x:v>
      </x:c>
      <x:c r="V73" s="373"/>
      <x:c r="W73" s="373"/>
      <x:c r="X73" s="373"/>
      <x:c r="Y73" s="373"/>
      <x:c r="Z73" s="373"/>
    </x:row>
    <x:row r="74">
      <x:c r="A74" s="411" t="str">
        <x:v>F-AMCL-003</x:v>
      </x:c>
      <x:c r="B74" s="411" t="str">
        <x:v>v0.1.9</x:v>
      </x:c>
      <x:c r="C74" s="411" t="str">
        <x:v>Metrics</x:v>
      </x:c>
      <x:c r="D74" s="411" t="str">
        <x:v>Convergence and recovery detection</x:v>
      </x:c>
      <x:c r="E74" s="411" t="str">
        <x:v>Measure convergence time, recovery time, RMSE, and transient error.</x:v>
      </x:c>
      <x:c r="F74" s="411" t="str">
        <x:v>REQ-070</x:v>
      </x:c>
      <x:c r="G74" s="411" t="str">
        <x:v>Critical</x:v>
      </x:c>
      <x:c r="H74" s="411" t="str">
        <x:v>Devansh</x:v>
      </x:c>
      <x:c r="I74" s="488" t="str">
        <x:v>Backlog</x:v>
      </x:c>
      <x:c r="J74" s="414" t="n">
        <x:f>IF(I74="Done",1,IF(I74="In Review",0.8,IF(I74="In Progress",0.5,IF(I74="Blocked",0.35,IF(I74="Ready",0.1,0)))))</x:f>
        <x:v>0</x:v>
      </x:c>
      <x:c r="K74" s="460" t="n">
        <x:v>46248</x:v>
      </x:c>
      <x:c r="L74" s="460" t="n">
        <x:v>46248</x:v>
      </x:c>
      <x:c r="M74" s="460"/>
      <x:c r="N74" s="411" t="str"/>
      <x:c r="O74" s="411" t="str">
        <x:v>Acceptance test passes; failure path is verified; regression suite remains green.</x:v>
      </x:c>
      <x:c r="P74" s="464" t="n">
        <x:f>COUNTIF(Test_Cases!$D$5:$D$1000,A74)</x:f>
        <x:v>2</x:v>
      </x:c>
      <x:c r="Q74" s="464" t="n">
        <x:f>COUNTIFS(Test_Cases!$D$5:$D$1000,A74,Test_Cases!$L$5:$L$1000,"Passed")</x:f>
        <x:v>0</x:v>
      </x:c>
      <x:c r="R74" s="464" t="n">
        <x:f>COUNTIFS(Defects!$E$5:$E$500,A74,Defects!$K$5:$K$500,"&lt;&gt;Closed")</x:f>
        <x:v>0</x:v>
      </x:c>
      <x:c r="S74" s="411" t="str"/>
      <x:c r="T74" s="411" t="str"/>
      <x:c r="U74" s="411" t="str">
        <x:v>f_amcl_003</x:v>
      </x:c>
      <x:c r="V74" s="373"/>
      <x:c r="W74" s="373"/>
      <x:c r="X74" s="373"/>
      <x:c r="Y74" s="373"/>
      <x:c r="Z74" s="373"/>
    </x:row>
    <x:row r="75">
      <x:c r="A75" s="411" t="str">
        <x:v>F-AMCL-004</x:v>
      </x:c>
      <x:c r="B75" s="411" t="str">
        <x:v>v0.1.9</x:v>
      </x:c>
      <x:c r="C75" s="411" t="str">
        <x:v>Health</x:v>
      </x:c>
      <x:c r="D75" s="411" t="str">
        <x:v>Localization health state</x:v>
      </x:c>
      <x:c r="E75" s="411" t="str">
        <x:v>Base readiness on pose freshness, covariance, transform, and error thresholds.</x:v>
      </x:c>
      <x:c r="F75" s="411" t="str">
        <x:v>REQ-071</x:v>
      </x:c>
      <x:c r="G75" s="411" t="str">
        <x:v>Critical</x:v>
      </x:c>
      <x:c r="H75" s="411" t="str">
        <x:v>Devansh</x:v>
      </x:c>
      <x:c r="I75" s="488" t="str">
        <x:v>Backlog</x:v>
      </x:c>
      <x:c r="J75" s="414" t="n">
        <x:f>IF(I75="Done",1,IF(I75="In Review",0.8,IF(I75="In Progress",0.5,IF(I75="Blocked",0.35,IF(I75="Ready",0.1,0)))))</x:f>
        <x:v>0</x:v>
      </x:c>
      <x:c r="K75" s="460" t="n">
        <x:v>46248</x:v>
      </x:c>
      <x:c r="L75" s="460" t="n">
        <x:v>46248</x:v>
      </x:c>
      <x:c r="M75" s="460"/>
      <x:c r="N75" s="411" t="str"/>
      <x:c r="O75" s="411" t="str">
        <x:v>Acceptance test passes; failure path is verified; regression suite remains green.</x:v>
      </x:c>
      <x:c r="P75" s="464" t="n">
        <x:f>COUNTIF(Test_Cases!$D$5:$D$1000,A75)</x:f>
        <x:v>2</x:v>
      </x:c>
      <x:c r="Q75" s="464" t="n">
        <x:f>COUNTIFS(Test_Cases!$D$5:$D$1000,A75,Test_Cases!$L$5:$L$1000,"Passed")</x:f>
        <x:v>0</x:v>
      </x:c>
      <x:c r="R75" s="464" t="n">
        <x:f>COUNTIFS(Defects!$E$5:$E$500,A75,Defects!$K$5:$K$500,"&lt;&gt;Closed")</x:f>
        <x:v>1</x:v>
      </x:c>
      <x:c r="S75" s="411" t="str"/>
      <x:c r="T75" s="411" t="str"/>
      <x:c r="U75" s="411" t="str">
        <x:v>f_amcl_004</x:v>
      </x:c>
      <x:c r="V75" s="373"/>
      <x:c r="W75" s="373"/>
      <x:c r="X75" s="373"/>
      <x:c r="Y75" s="373"/>
      <x:c r="Z75" s="373"/>
    </x:row>
    <x:row r="76">
      <x:c r="A76" s="411" t="str">
        <x:v>F-AMCL-005</x:v>
      </x:c>
      <x:c r="B76" s="411" t="str">
        <x:v>v0.1.9</x:v>
      </x:c>
      <x:c r="C76" s="411" t="str">
        <x:v>Localization</x:v>
      </x:c>
      <x:c r="D76" s="411" t="str">
        <x:v>Particle and sensor-model tuning</x:v>
      </x:c>
      <x:c r="E76" s="411" t="str">
        <x:v>Tune particles, beams, KLD, motion alphas, likelihood, and beam skipping.</x:v>
      </x:c>
      <x:c r="F76" s="411" t="str">
        <x:v>REQ-072</x:v>
      </x:c>
      <x:c r="G76" s="411" t="str">
        <x:v>High</x:v>
      </x:c>
      <x:c r="H76" s="411" t="str">
        <x:v>Devansh</x:v>
      </x:c>
      <x:c r="I76" s="488" t="str">
        <x:v>Backlog</x:v>
      </x:c>
      <x:c r="J76" s="414" t="n">
        <x:f>IF(I76="Done",1,IF(I76="In Review",0.8,IF(I76="In Progress",0.5,IF(I76="Blocked",0.35,IF(I76="Ready",0.1,0)))))</x:f>
        <x:v>0</x:v>
      </x:c>
      <x:c r="K76" s="460" t="n">
        <x:v>46248</x:v>
      </x:c>
      <x:c r="L76" s="460" t="n">
        <x:v>46248</x:v>
      </x:c>
      <x:c r="M76" s="460"/>
      <x:c r="N76" s="411" t="str"/>
      <x:c r="O76" s="411" t="str">
        <x:v>Nominal and negative tests pass; behavior is documented and reproducible.</x:v>
      </x:c>
      <x:c r="P76" s="464" t="n">
        <x:f>COUNTIF(Test_Cases!$D$5:$D$1000,A76)</x:f>
        <x:v>1</x:v>
      </x:c>
      <x:c r="Q76" s="464" t="n">
        <x:f>COUNTIFS(Test_Cases!$D$5:$D$1000,A76,Test_Cases!$L$5:$L$1000,"Passed")</x:f>
        <x:v>0</x:v>
      </x:c>
      <x:c r="R76" s="464" t="n">
        <x:f>COUNTIFS(Defects!$E$5:$E$500,A76,Defects!$K$5:$K$500,"&lt;&gt;Closed")</x:f>
        <x:v>0</x:v>
      </x:c>
      <x:c r="S76" s="411" t="str"/>
      <x:c r="T76" s="411" t="str"/>
      <x:c r="U76" s="411" t="str">
        <x:v>f_amcl_005</x:v>
      </x:c>
      <x:c r="V76" s="373"/>
      <x:c r="W76" s="373"/>
      <x:c r="X76" s="373"/>
      <x:c r="Y76" s="373"/>
      <x:c r="Z76" s="373"/>
    </x:row>
    <x:row r="77">
      <x:c r="A77" s="411" t="str">
        <x:v>F-AMCL-006</x:v>
      </x:c>
      <x:c r="B77" s="411" t="str">
        <x:v>v0.1.9</x:v>
      </x:c>
      <x:c r="C77" s="411" t="str">
        <x:v>Fault</x:v>
      </x:c>
      <x:c r="D77" s="411" t="str">
        <x:v>Localization recovery scenarios</x:v>
      </x:c>
      <x:c r="E77" s="411" t="str">
        <x:v>Test offsets, wrong yaw, LiDAR dropout, wheel slip, and kidnapped robot.</x:v>
      </x:c>
      <x:c r="F77" s="411" t="str">
        <x:v>REQ-073</x:v>
      </x:c>
      <x:c r="G77" s="411" t="str">
        <x:v>Critical</x:v>
      </x:c>
      <x:c r="H77" s="411" t="str">
        <x:v>Devansh</x:v>
      </x:c>
      <x:c r="I77" s="488" t="str">
        <x:v>Backlog</x:v>
      </x:c>
      <x:c r="J77" s="414" t="n">
        <x:f>IF(I77="Done",1,IF(I77="In Review",0.8,IF(I77="In Progress",0.5,IF(I77="Blocked",0.35,IF(I77="Ready",0.1,0)))))</x:f>
        <x:v>0</x:v>
      </x:c>
      <x:c r="K77" s="460" t="n">
        <x:v>46248</x:v>
      </x:c>
      <x:c r="L77" s="460" t="n">
        <x:v>46248</x:v>
      </x:c>
      <x:c r="M77" s="460"/>
      <x:c r="N77" s="411" t="str"/>
      <x:c r="O77" s="411" t="str">
        <x:v>Acceptance test passes; failure path is verified; regression suite remains green.</x:v>
      </x:c>
      <x:c r="P77" s="464" t="n">
        <x:f>COUNTIF(Test_Cases!$D$5:$D$1000,A77)</x:f>
        <x:v>2</x:v>
      </x:c>
      <x:c r="Q77" s="464" t="n">
        <x:f>COUNTIFS(Test_Cases!$D$5:$D$1000,A77,Test_Cases!$L$5:$L$1000,"Passed")</x:f>
        <x:v>0</x:v>
      </x:c>
      <x:c r="R77" s="464" t="n">
        <x:f>COUNTIFS(Defects!$E$5:$E$500,A77,Defects!$K$5:$K$500,"&lt;&gt;Closed")</x:f>
        <x:v>0</x:v>
      </x:c>
      <x:c r="S77" s="411" t="str"/>
      <x:c r="T77" s="411" t="str"/>
      <x:c r="U77" s="411" t="str">
        <x:v>f_amcl_006</x:v>
      </x:c>
      <x:c r="V77" s="373"/>
      <x:c r="W77" s="373"/>
      <x:c r="X77" s="373"/>
      <x:c r="Y77" s="373"/>
      <x:c r="Z77" s="373"/>
    </x:row>
    <x:row r="78">
      <x:c r="A78" s="411" t="str">
        <x:v>F-AMCL-007</x:v>
      </x:c>
      <x:c r="B78" s="411" t="str">
        <x:v>v0.1.9</x:v>
      </x:c>
      <x:c r="C78" s="411" t="str">
        <x:v>Release</x:v>
      </x:c>
      <x:c r="D78" s="411" t="str">
        <x:v>Selected AMCL profile</x:v>
      </x:c>
      <x:c r="E78" s="411" t="str">
        <x:v>Lock and document an evidence-backed localization configuration.</x:v>
      </x:c>
      <x:c r="F78" s="411" t="str">
        <x:v>REQ-074</x:v>
      </x:c>
      <x:c r="G78" s="411" t="str">
        <x:v>Critical</x:v>
      </x:c>
      <x:c r="H78" s="411" t="str">
        <x:v>Devansh</x:v>
      </x:c>
      <x:c r="I78" s="488" t="str">
        <x:v>Backlog</x:v>
      </x:c>
      <x:c r="J78" s="414" t="n">
        <x:f>IF(I78="Done",1,IF(I78="In Review",0.8,IF(I78="In Progress",0.5,IF(I78="Blocked",0.35,IF(I78="Ready",0.1,0)))))</x:f>
        <x:v>0</x:v>
      </x:c>
      <x:c r="K78" s="460" t="n">
        <x:v>46248</x:v>
      </x:c>
      <x:c r="L78" s="460" t="n">
        <x:v>46248</x:v>
      </x:c>
      <x:c r="M78" s="460"/>
      <x:c r="N78" s="411" t="str"/>
      <x:c r="O78" s="411" t="str">
        <x:v>Acceptance test passes; failure path is verified; regression suite remains green.</x:v>
      </x:c>
      <x:c r="P78" s="464" t="n">
        <x:f>COUNTIF(Test_Cases!$D$5:$D$1000,A78)</x:f>
        <x:v>2</x:v>
      </x:c>
      <x:c r="Q78" s="464" t="n">
        <x:f>COUNTIFS(Test_Cases!$D$5:$D$1000,A78,Test_Cases!$L$5:$L$1000,"Passed")</x:f>
        <x:v>0</x:v>
      </x:c>
      <x:c r="R78" s="464" t="n">
        <x:f>COUNTIFS(Defects!$E$5:$E$500,A78,Defects!$K$5:$K$500,"&lt;&gt;Closed")</x:f>
        <x:v>0</x:v>
      </x:c>
      <x:c r="S78" s="411" t="str"/>
      <x:c r="T78" s="411" t="str"/>
      <x:c r="U78" s="411" t="str">
        <x:v>f_amcl_007</x:v>
      </x:c>
      <x:c r="V78" s="373"/>
      <x:c r="W78" s="373"/>
      <x:c r="X78" s="373"/>
      <x:c r="Y78" s="373"/>
      <x:c r="Z78" s="373"/>
    </x:row>
    <x:row r="79">
      <x:c r="A79" s="411" t="str">
        <x:v>F-NAV-001</x:v>
      </x:c>
      <x:c r="B79" s="411" t="str">
        <x:v>v0.1.10</x:v>
      </x:c>
      <x:c r="C79" s="411" t="str">
        <x:v>Navigation</x:v>
      </x:c>
      <x:c r="D79" s="411" t="str">
        <x:v>Nav2 server readiness</x:v>
      </x:c>
      <x:c r="E79" s="411" t="str">
        <x:v>Check planner, controller, behavior server, BT navigator, and action server.</x:v>
      </x:c>
      <x:c r="F79" s="411" t="str">
        <x:v>REQ-075</x:v>
      </x:c>
      <x:c r="G79" s="411" t="str">
        <x:v>Critical</x:v>
      </x:c>
      <x:c r="H79" s="411" t="str">
        <x:v>Devansh</x:v>
      </x:c>
      <x:c r="I79" s="488" t="str">
        <x:v>Backlog</x:v>
      </x:c>
      <x:c r="J79" s="414" t="n">
        <x:f>IF(I79="Done",1,IF(I79="In Review",0.8,IF(I79="In Progress",0.5,IF(I79="Blocked",0.35,IF(I79="Ready",0.1,0)))))</x:f>
        <x:v>0</x:v>
      </x:c>
      <x:c r="K79" s="460" t="n">
        <x:v>46249</x:v>
      </x:c>
      <x:c r="L79" s="460" t="n">
        <x:v>46249</x:v>
      </x:c>
      <x:c r="M79" s="460"/>
      <x:c r="N79" s="411" t="str"/>
      <x:c r="O79" s="411" t="str">
        <x:v>Acceptance test passes; failure path is verified; regression suite remains green.</x:v>
      </x:c>
      <x:c r="P79" s="464" t="n">
        <x:f>COUNTIF(Test_Cases!$D$5:$D$1000,A79)</x:f>
        <x:v>2</x:v>
      </x:c>
      <x:c r="Q79" s="464" t="n">
        <x:f>COUNTIFS(Test_Cases!$D$5:$D$1000,A79,Test_Cases!$L$5:$L$1000,"Passed")</x:f>
        <x:v>0</x:v>
      </x:c>
      <x:c r="R79" s="464" t="n">
        <x:f>COUNTIFS(Defects!$E$5:$E$500,A79,Defects!$K$5:$K$500,"&lt;&gt;Closed")</x:f>
        <x:v>0</x:v>
      </x:c>
      <x:c r="S79" s="411" t="str"/>
      <x:c r="T79" s="411" t="str"/>
      <x:c r="U79" s="411" t="str">
        <x:v>f_nav_001</x:v>
      </x:c>
      <x:c r="V79" s="373"/>
      <x:c r="W79" s="373"/>
      <x:c r="X79" s="373"/>
      <x:c r="Y79" s="373"/>
      <x:c r="Z79" s="373"/>
    </x:row>
    <x:row r="80">
      <x:c r="A80" s="411" t="str">
        <x:v>F-NAV-002</x:v>
      </x:c>
      <x:c r="B80" s="411" t="str">
        <x:v>v0.1.10</x:v>
      </x:c>
      <x:c r="C80" s="411" t="str">
        <x:v>Navigation</x:v>
      </x:c>
      <x:c r="D80" s="411" t="str">
        <x:v>Costmap health checks</x:v>
      </x:c>
      <x:c r="E80" s="411" t="str">
        <x:v>Validate global/local costmap frames, freshness, update rates, and layers.</x:v>
      </x:c>
      <x:c r="F80" s="411" t="str">
        <x:v>REQ-076</x:v>
      </x:c>
      <x:c r="G80" s="411" t="str">
        <x:v>Critical</x:v>
      </x:c>
      <x:c r="H80" s="411" t="str">
        <x:v>Devansh</x:v>
      </x:c>
      <x:c r="I80" s="488" t="str">
        <x:v>Backlog</x:v>
      </x:c>
      <x:c r="J80" s="414" t="n">
        <x:f>IF(I80="Done",1,IF(I80="In Review",0.8,IF(I80="In Progress",0.5,IF(I80="Blocked",0.35,IF(I80="Ready",0.1,0)))))</x:f>
        <x:v>0</x:v>
      </x:c>
      <x:c r="K80" s="460" t="n">
        <x:v>46249</x:v>
      </x:c>
      <x:c r="L80" s="460" t="n">
        <x:v>46249</x:v>
      </x:c>
      <x:c r="M80" s="460"/>
      <x:c r="N80" s="411" t="str"/>
      <x:c r="O80" s="411" t="str">
        <x:v>Acceptance test passes; failure path is verified; regression suite remains green.</x:v>
      </x:c>
      <x:c r="P80" s="464" t="n">
        <x:f>COUNTIF(Test_Cases!$D$5:$D$1000,A80)</x:f>
        <x:v>2</x:v>
      </x:c>
      <x:c r="Q80" s="464" t="n">
        <x:f>COUNTIFS(Test_Cases!$D$5:$D$1000,A80,Test_Cases!$L$5:$L$1000,"Passed")</x:f>
        <x:v>0</x:v>
      </x:c>
      <x:c r="R80" s="464" t="n">
        <x:f>COUNTIFS(Defects!$E$5:$E$500,A80,Defects!$K$5:$K$500,"&lt;&gt;Closed")</x:f>
        <x:v>0</x:v>
      </x:c>
      <x:c r="S80" s="411" t="str"/>
      <x:c r="T80" s="411" t="str"/>
      <x:c r="U80" s="411" t="str">
        <x:v>f_nav_002</x:v>
      </x:c>
      <x:c r="V80" s="373"/>
      <x:c r="W80" s="373"/>
      <x:c r="X80" s="373"/>
      <x:c r="Y80" s="373"/>
      <x:c r="Z80" s="373"/>
    </x:row>
    <x:row r="81">
      <x:c r="A81" s="411" t="str">
        <x:v>F-NAV-003</x:v>
      </x:c>
      <x:c r="B81" s="411" t="str">
        <x:v>v0.1.10</x:v>
      </x:c>
      <x:c r="C81" s="411" t="str">
        <x:v>Navigation</x:v>
      </x:c>
      <x:c r="D81" s="411" t="str">
        <x:v>Goal timeout and cancellation policy</x:v>
      </x:c>
      <x:c r="E81" s="411" t="str">
        <x:v>Define clean timeout, cancellation, preemption, and result handling.</x:v>
      </x:c>
      <x:c r="F81" s="411" t="str">
        <x:v>REQ-077</x:v>
      </x:c>
      <x:c r="G81" s="411" t="str">
        <x:v>Critical</x:v>
      </x:c>
      <x:c r="H81" s="411" t="str">
        <x:v>Devansh</x:v>
      </x:c>
      <x:c r="I81" s="488" t="str">
        <x:v>Backlog</x:v>
      </x:c>
      <x:c r="J81" s="414" t="n">
        <x:f>IF(I81="Done",1,IF(I81="In Review",0.8,IF(I81="In Progress",0.5,IF(I81="Blocked",0.35,IF(I81="Ready",0.1,0)))))</x:f>
        <x:v>0</x:v>
      </x:c>
      <x:c r="K81" s="460" t="n">
        <x:v>46249</x:v>
      </x:c>
      <x:c r="L81" s="460" t="n">
        <x:v>46249</x:v>
      </x:c>
      <x:c r="M81" s="460"/>
      <x:c r="N81" s="411" t="str"/>
      <x:c r="O81" s="411" t="str">
        <x:v>Acceptance test passes; failure path is verified; regression suite remains green.</x:v>
      </x:c>
      <x:c r="P81" s="464" t="n">
        <x:f>COUNTIF(Test_Cases!$D$5:$D$1000,A81)</x:f>
        <x:v>2</x:v>
      </x:c>
      <x:c r="Q81" s="464" t="n">
        <x:f>COUNTIFS(Test_Cases!$D$5:$D$1000,A81,Test_Cases!$L$5:$L$1000,"Passed")</x:f>
        <x:v>0</x:v>
      </x:c>
      <x:c r="R81" s="464" t="n">
        <x:f>COUNTIFS(Defects!$E$5:$E$500,A81,Defects!$K$5:$K$500,"&lt;&gt;Closed")</x:f>
        <x:v>0</x:v>
      </x:c>
      <x:c r="S81" s="411" t="str"/>
      <x:c r="T81" s="411" t="str"/>
      <x:c r="U81" s="411" t="str">
        <x:v>f_nav_003</x:v>
      </x:c>
      <x:c r="V81" s="373"/>
      <x:c r="W81" s="373"/>
      <x:c r="X81" s="373"/>
      <x:c r="Y81" s="373"/>
      <x:c r="Z81" s="373"/>
    </x:row>
    <x:row r="82">
      <x:c r="A82" s="411" t="str">
        <x:v>F-NAV-004</x:v>
      </x:c>
      <x:c r="B82" s="411" t="str">
        <x:v>v0.1.10</x:v>
      </x:c>
      <x:c r="C82" s="411" t="str">
        <x:v>Navigation</x:v>
      </x:c>
      <x:c r="D82" s="411" t="str">
        <x:v>Planner/controller tuning</x:v>
      </x:c>
      <x:c r="E82" s="411" t="str">
        <x:v>Tune planner, controller, progress checker, goal checker, and limits.</x:v>
      </x:c>
      <x:c r="F82" s="411" t="str">
        <x:v>REQ-078</x:v>
      </x:c>
      <x:c r="G82" s="411" t="str">
        <x:v>High</x:v>
      </x:c>
      <x:c r="H82" s="411" t="str">
        <x:v>Devansh</x:v>
      </x:c>
      <x:c r="I82" s="488" t="str">
        <x:v>Backlog</x:v>
      </x:c>
      <x:c r="J82" s="414" t="n">
        <x:f>IF(I82="Done",1,IF(I82="In Review",0.8,IF(I82="In Progress",0.5,IF(I82="Blocked",0.35,IF(I82="Ready",0.1,0)))))</x:f>
        <x:v>0</x:v>
      </x:c>
      <x:c r="K82" s="460" t="n">
        <x:v>46249</x:v>
      </x:c>
      <x:c r="L82" s="460" t="n">
        <x:v>46249</x:v>
      </x:c>
      <x:c r="M82" s="460"/>
      <x:c r="N82" s="411" t="str"/>
      <x:c r="O82" s="411" t="str">
        <x:v>Nominal and negative tests pass; behavior is documented and reproducible.</x:v>
      </x:c>
      <x:c r="P82" s="464" t="n">
        <x:f>COUNTIF(Test_Cases!$D$5:$D$1000,A82)</x:f>
        <x:v>1</x:v>
      </x:c>
      <x:c r="Q82" s="464" t="n">
        <x:f>COUNTIFS(Test_Cases!$D$5:$D$1000,A82,Test_Cases!$L$5:$L$1000,"Passed")</x:f>
        <x:v>0</x:v>
      </x:c>
      <x:c r="R82" s="464" t="n">
        <x:f>COUNTIFS(Defects!$E$5:$E$500,A82,Defects!$K$5:$K$500,"&lt;&gt;Closed")</x:f>
        <x:v>0</x:v>
      </x:c>
      <x:c r="S82" s="411" t="str"/>
      <x:c r="T82" s="411" t="str"/>
      <x:c r="U82" s="411" t="str">
        <x:v>f_nav_004</x:v>
      </x:c>
      <x:c r="V82" s="373"/>
      <x:c r="W82" s="373"/>
      <x:c r="X82" s="373"/>
      <x:c r="Y82" s="373"/>
      <x:c r="Z82" s="373"/>
    </x:row>
    <x:row r="83">
      <x:c r="A83" s="411" t="str">
        <x:v>F-NAV-005</x:v>
      </x:c>
      <x:c r="B83" s="411" t="str">
        <x:v>v0.1.10</x:v>
      </x:c>
      <x:c r="C83" s="411" t="str">
        <x:v>Navigation</x:v>
      </x:c>
      <x:c r="D83" s="411" t="str">
        <x:v>Costmap and footprint tuning</x:v>
      </x:c>
      <x:c r="E83" s="411" t="str">
        <x:v>Tune footprint, inflation, obstacle ranges, and cost scaling.</x:v>
      </x:c>
      <x:c r="F83" s="411" t="str">
        <x:v>REQ-079</x:v>
      </x:c>
      <x:c r="G83" s="411" t="str">
        <x:v>High</x:v>
      </x:c>
      <x:c r="H83" s="411" t="str">
        <x:v>Devansh</x:v>
      </x:c>
      <x:c r="I83" s="488" t="str">
        <x:v>Backlog</x:v>
      </x:c>
      <x:c r="J83" s="414" t="n">
        <x:f>IF(I83="Done",1,IF(I83="In Review",0.8,IF(I83="In Progress",0.5,IF(I83="Blocked",0.35,IF(I83="Ready",0.1,0)))))</x:f>
        <x:v>0</x:v>
      </x:c>
      <x:c r="K83" s="460" t="n">
        <x:v>46249</x:v>
      </x:c>
      <x:c r="L83" s="460" t="n">
        <x:v>46249</x:v>
      </x:c>
      <x:c r="M83" s="460"/>
      <x:c r="N83" s="411" t="str"/>
      <x:c r="O83" s="411" t="str">
        <x:v>Nominal and negative tests pass; behavior is documented and reproducible.</x:v>
      </x:c>
      <x:c r="P83" s="464" t="n">
        <x:f>COUNTIF(Test_Cases!$D$5:$D$1000,A83)</x:f>
        <x:v>1</x:v>
      </x:c>
      <x:c r="Q83" s="464" t="n">
        <x:f>COUNTIFS(Test_Cases!$D$5:$D$1000,A83,Test_Cases!$L$5:$L$1000,"Passed")</x:f>
        <x:v>0</x:v>
      </x:c>
      <x:c r="R83" s="464" t="n">
        <x:f>COUNTIFS(Defects!$E$5:$E$500,A83,Defects!$K$5:$K$500,"&lt;&gt;Closed")</x:f>
        <x:v>0</x:v>
      </x:c>
      <x:c r="S83" s="411" t="str"/>
      <x:c r="T83" s="411" t="str"/>
      <x:c r="U83" s="411" t="str">
        <x:v>f_nav_005</x:v>
      </x:c>
      <x:c r="V83" s="373"/>
      <x:c r="W83" s="373"/>
      <x:c r="X83" s="373"/>
      <x:c r="Y83" s="373"/>
      <x:c r="Z83" s="373"/>
    </x:row>
    <x:row r="84">
      <x:c r="A84" s="411" t="str">
        <x:v>F-NAV-006</x:v>
      </x:c>
      <x:c r="B84" s="411" t="str">
        <x:v>v0.1.10</x:v>
      </x:c>
      <x:c r="C84" s="411" t="str">
        <x:v>Scenarios</x:v>
      </x:c>
      <x:c r="D84" s="411" t="str">
        <x:v>Navigation scenario suite</x:v>
      </x:c>
      <x:c r="E84" s="411" t="str">
        <x:v>Test open, corridor, tight-turn, blocked, invalid, and dynamic conditions.</x:v>
      </x:c>
      <x:c r="F84" s="411" t="str">
        <x:v>REQ-080</x:v>
      </x:c>
      <x:c r="G84" s="411" t="str">
        <x:v>Critical</x:v>
      </x:c>
      <x:c r="H84" s="411" t="str">
        <x:v>Devansh</x:v>
      </x:c>
      <x:c r="I84" s="488" t="str">
        <x:v>Backlog</x:v>
      </x:c>
      <x:c r="J84" s="414" t="n">
        <x:f>IF(I84="Done",1,IF(I84="In Review",0.8,IF(I84="In Progress",0.5,IF(I84="Blocked",0.35,IF(I84="Ready",0.1,0)))))</x:f>
        <x:v>0</x:v>
      </x:c>
      <x:c r="K84" s="460" t="n">
        <x:v>46249</x:v>
      </x:c>
      <x:c r="L84" s="460" t="n">
        <x:v>46249</x:v>
      </x:c>
      <x:c r="M84" s="460"/>
      <x:c r="N84" s="411" t="str"/>
      <x:c r="O84" s="411" t="str">
        <x:v>Acceptance test passes; failure path is verified; regression suite remains green.</x:v>
      </x:c>
      <x:c r="P84" s="464" t="n">
        <x:f>COUNTIF(Test_Cases!$D$5:$D$1000,A84)</x:f>
        <x:v>2</x:v>
      </x:c>
      <x:c r="Q84" s="464" t="n">
        <x:f>COUNTIFS(Test_Cases!$D$5:$D$1000,A84,Test_Cases!$L$5:$L$1000,"Passed")</x:f>
        <x:v>0</x:v>
      </x:c>
      <x:c r="R84" s="464" t="n">
        <x:f>COUNTIFS(Defects!$E$5:$E$500,A84,Defects!$K$5:$K$500,"&lt;&gt;Closed")</x:f>
        <x:v>0</x:v>
      </x:c>
      <x:c r="S84" s="411" t="str"/>
      <x:c r="T84" s="411" t="str"/>
      <x:c r="U84" s="411" t="str">
        <x:v>f_nav_006</x:v>
      </x:c>
      <x:c r="V84" s="373"/>
      <x:c r="W84" s="373"/>
      <x:c r="X84" s="373"/>
      <x:c r="Y84" s="373"/>
      <x:c r="Z84" s="373"/>
    </x:row>
    <x:row r="85">
      <x:c r="A85" s="411" t="str">
        <x:v>F-NAV-007</x:v>
      </x:c>
      <x:c r="B85" s="411" t="str">
        <x:v>v0.1.10</x:v>
      </x:c>
      <x:c r="C85" s="411" t="str">
        <x:v>Metrics</x:v>
      </x:c>
      <x:c r="D85" s="411" t="str">
        <x:v>Navigation metrics report</x:v>
      </x:c>
      <x:c r="E85" s="411" t="str">
        <x:v>Measure success, time, path efficiency, clearance, replans, oscillation, and error.</x:v>
      </x:c>
      <x:c r="F85" s="411" t="str">
        <x:v>REQ-081</x:v>
      </x:c>
      <x:c r="G85" s="411" t="str">
        <x:v>Critical</x:v>
      </x:c>
      <x:c r="H85" s="411" t="str">
        <x:v>Devansh</x:v>
      </x:c>
      <x:c r="I85" s="488" t="str">
        <x:v>Backlog</x:v>
      </x:c>
      <x:c r="J85" s="414" t="n">
        <x:f>IF(I85="Done",1,IF(I85="In Review",0.8,IF(I85="In Progress",0.5,IF(I85="Blocked",0.35,IF(I85="Ready",0.1,0)))))</x:f>
        <x:v>0</x:v>
      </x:c>
      <x:c r="K85" s="460" t="n">
        <x:v>46249</x:v>
      </x:c>
      <x:c r="L85" s="460" t="n">
        <x:v>46249</x:v>
      </x:c>
      <x:c r="M85" s="460"/>
      <x:c r="N85" s="411" t="str"/>
      <x:c r="O85" s="411" t="str">
        <x:v>Acceptance test passes; failure path is verified; regression suite remains green.</x:v>
      </x:c>
      <x:c r="P85" s="464" t="n">
        <x:f>COUNTIF(Test_Cases!$D$5:$D$1000,A85)</x:f>
        <x:v>2</x:v>
      </x:c>
      <x:c r="Q85" s="464" t="n">
        <x:f>COUNTIFS(Test_Cases!$D$5:$D$1000,A85,Test_Cases!$L$5:$L$1000,"Passed")</x:f>
        <x:v>0</x:v>
      </x:c>
      <x:c r="R85" s="464" t="n">
        <x:f>COUNTIFS(Defects!$E$5:$E$500,A85,Defects!$K$5:$K$500,"&lt;&gt;Closed")</x:f>
        <x:v>0</x:v>
      </x:c>
      <x:c r="S85" s="411" t="str"/>
      <x:c r="T85" s="411" t="str"/>
      <x:c r="U85" s="411" t="str">
        <x:v>f_nav_007</x:v>
      </x:c>
      <x:c r="V85" s="373"/>
      <x:c r="W85" s="373"/>
      <x:c r="X85" s="373"/>
      <x:c r="Y85" s="373"/>
      <x:c r="Z85" s="373"/>
    </x:row>
    <x:row r="86">
      <x:c r="A86" s="411" t="str">
        <x:v>F-NAV-008</x:v>
      </x:c>
      <x:c r="B86" s="411" t="str">
        <x:v>v0.1.10</x:v>
      </x:c>
      <x:c r="C86" s="411" t="str">
        <x:v>Recovery</x:v>
      </x:c>
      <x:c r="D86" s="411" t="str">
        <x:v>Navigation recovery verification</x:v>
      </x:c>
      <x:c r="E86" s="411" t="str">
        <x:v>Verify recovery actions and restart after failures.</x:v>
      </x:c>
      <x:c r="F86" s="411" t="str">
        <x:v>REQ-082</x:v>
      </x:c>
      <x:c r="G86" s="411" t="str">
        <x:v>High</x:v>
      </x:c>
      <x:c r="H86" s="411" t="str">
        <x:v>Devansh</x:v>
      </x:c>
      <x:c r="I86" s="488" t="str">
        <x:v>Backlog</x:v>
      </x:c>
      <x:c r="J86" s="414" t="n">
        <x:f>IF(I86="Done",1,IF(I86="In Review",0.8,IF(I86="In Progress",0.5,IF(I86="Blocked",0.35,IF(I86="Ready",0.1,0)))))</x:f>
        <x:v>0</x:v>
      </x:c>
      <x:c r="K86" s="460" t="n">
        <x:v>46249</x:v>
      </x:c>
      <x:c r="L86" s="460" t="n">
        <x:v>46249</x:v>
      </x:c>
      <x:c r="M86" s="460"/>
      <x:c r="N86" s="411" t="str"/>
      <x:c r="O86" s="411" t="str">
        <x:v>Nominal and negative tests pass; behavior is documented and reproducible.</x:v>
      </x:c>
      <x:c r="P86" s="464" t="n">
        <x:f>COUNTIF(Test_Cases!$D$5:$D$1000,A86)</x:f>
        <x:v>1</x:v>
      </x:c>
      <x:c r="Q86" s="464" t="n">
        <x:f>COUNTIFS(Test_Cases!$D$5:$D$1000,A86,Test_Cases!$L$5:$L$1000,"Passed")</x:f>
        <x:v>0</x:v>
      </x:c>
      <x:c r="R86" s="464" t="n">
        <x:f>COUNTIFS(Defects!$E$5:$E$500,A86,Defects!$K$5:$K$500,"&lt;&gt;Closed")</x:f>
        <x:v>0</x:v>
      </x:c>
      <x:c r="S86" s="411" t="str"/>
      <x:c r="T86" s="411" t="str"/>
      <x:c r="U86" s="411" t="str">
        <x:v>f_nav_008</x:v>
      </x:c>
      <x:c r="V86" s="373"/>
      <x:c r="W86" s="373"/>
      <x:c r="X86" s="373"/>
      <x:c r="Y86" s="373"/>
      <x:c r="Z86" s="373"/>
    </x:row>
    <x:row r="87">
      <x:c r="A87" s="411" t="str">
        <x:v>F-FAULT-001</x:v>
      </x:c>
      <x:c r="B87" s="411" t="str">
        <x:v>v0.1.11</x:v>
      </x:c>
      <x:c r="C87" s="411" t="str">
        <x:v>Fault Injection</x:v>
      </x:c>
      <x:c r="D87" s="411" t="str">
        <x:v>Fault-injection framework</x:v>
      </x:c>
      <x:c r="E87" s="411" t="str">
        <x:v>Inject faults through reusable, parameterized controls.</x:v>
      </x:c>
      <x:c r="F87" s="411" t="str">
        <x:v>REQ-083</x:v>
      </x:c>
      <x:c r="G87" s="411" t="str">
        <x:v>Critical</x:v>
      </x:c>
      <x:c r="H87" s="411" t="str">
        <x:v>Devansh</x:v>
      </x:c>
      <x:c r="I87" s="488" t="str">
        <x:v>Backlog</x:v>
      </x:c>
      <x:c r="J87" s="414" t="n">
        <x:f>IF(I87="Done",1,IF(I87="In Review",0.8,IF(I87="In Progress",0.5,IF(I87="Blocked",0.35,IF(I87="Ready",0.1,0)))))</x:f>
        <x:v>0</x:v>
      </x:c>
      <x:c r="K87" s="460" t="n">
        <x:v>46250</x:v>
      </x:c>
      <x:c r="L87" s="460" t="n">
        <x:v>46250</x:v>
      </x:c>
      <x:c r="M87" s="460"/>
      <x:c r="N87" s="411" t="str"/>
      <x:c r="O87" s="411" t="str">
        <x:v>Acceptance test passes; failure path is verified; regression suite remains green.</x:v>
      </x:c>
      <x:c r="P87" s="464" t="n">
        <x:f>COUNTIF(Test_Cases!$D$5:$D$1000,A87)</x:f>
        <x:v>2</x:v>
      </x:c>
      <x:c r="Q87" s="464" t="n">
        <x:f>COUNTIFS(Test_Cases!$D$5:$D$1000,A87,Test_Cases!$L$5:$L$1000,"Passed")</x:f>
        <x:v>0</x:v>
      </x:c>
      <x:c r="R87" s="464" t="n">
        <x:f>COUNTIFS(Defects!$E$5:$E$500,A87,Defects!$K$5:$K$500,"&lt;&gt;Closed")</x:f>
        <x:v>0</x:v>
      </x:c>
      <x:c r="S87" s="411" t="str"/>
      <x:c r="T87" s="411" t="str"/>
      <x:c r="U87" s="411" t="str">
        <x:v>f_fault_001</x:v>
      </x:c>
      <x:c r="V87" s="373"/>
      <x:c r="W87" s="373"/>
      <x:c r="X87" s="373"/>
      <x:c r="Y87" s="373"/>
      <x:c r="Z87" s="373"/>
    </x:row>
    <x:row r="88">
      <x:c r="A88" s="411" t="str">
        <x:v>F-FAULT-002</x:v>
      </x:c>
      <x:c r="B88" s="411" t="str">
        <x:v>v0.1.11</x:v>
      </x:c>
      <x:c r="C88" s="411" t="str">
        <x:v>Fault Injection</x:v>
      </x:c>
      <x:c r="D88" s="411" t="str">
        <x:v>Sensor fault library</x:v>
      </x:c>
      <x:c r="E88" s="411" t="str">
        <x:v>Support LiDAR/IMU dropout, delay, stale data, noise, and bias.</x:v>
      </x:c>
      <x:c r="F88" s="411" t="str">
        <x:v>REQ-084</x:v>
      </x:c>
      <x:c r="G88" s="411" t="str">
        <x:v>Critical</x:v>
      </x:c>
      <x:c r="H88" s="411" t="str">
        <x:v>Devansh</x:v>
      </x:c>
      <x:c r="I88" s="488" t="str">
        <x:v>Backlog</x:v>
      </x:c>
      <x:c r="J88" s="414" t="n">
        <x:f>IF(I88="Done",1,IF(I88="In Review",0.8,IF(I88="In Progress",0.5,IF(I88="Blocked",0.35,IF(I88="Ready",0.1,0)))))</x:f>
        <x:v>0</x:v>
      </x:c>
      <x:c r="K88" s="460" t="n">
        <x:v>46250</x:v>
      </x:c>
      <x:c r="L88" s="460" t="n">
        <x:v>46250</x:v>
      </x:c>
      <x:c r="M88" s="460"/>
      <x:c r="N88" s="411" t="str"/>
      <x:c r="O88" s="411" t="str">
        <x:v>Acceptance test passes; failure path is verified; regression suite remains green.</x:v>
      </x:c>
      <x:c r="P88" s="464" t="n">
        <x:f>COUNTIF(Test_Cases!$D$5:$D$1000,A88)</x:f>
        <x:v>2</x:v>
      </x:c>
      <x:c r="Q88" s="464" t="n">
        <x:f>COUNTIFS(Test_Cases!$D$5:$D$1000,A88,Test_Cases!$L$5:$L$1000,"Passed")</x:f>
        <x:v>0</x:v>
      </x:c>
      <x:c r="R88" s="464" t="n">
        <x:f>COUNTIFS(Defects!$E$5:$E$500,A88,Defects!$K$5:$K$500,"&lt;&gt;Closed")</x:f>
        <x:v>0</x:v>
      </x:c>
      <x:c r="S88" s="411" t="str"/>
      <x:c r="T88" s="411" t="str"/>
      <x:c r="U88" s="411" t="str">
        <x:v>f_fault_002</x:v>
      </x:c>
      <x:c r="V88" s="373"/>
      <x:c r="W88" s="373"/>
      <x:c r="X88" s="373"/>
      <x:c r="Y88" s="373"/>
      <x:c r="Z88" s="373"/>
    </x:row>
    <x:row r="89">
      <x:c r="A89" s="411" t="str">
        <x:v>F-FAULT-003</x:v>
      </x:c>
      <x:c r="B89" s="411" t="str">
        <x:v>v0.1.11</x:v>
      </x:c>
      <x:c r="C89" s="411" t="str">
        <x:v>Fault Injection</x:v>
      </x:c>
      <x:c r="D89" s="411" t="str">
        <x:v>State/TF/controller fault library</x:v>
      </x:c>
      <x:c r="E89" s="411" t="str">
        <x:v>Support missing TF, controller loss, server loss, map failure, and crashes.</x:v>
      </x:c>
      <x:c r="F89" s="411" t="str">
        <x:v>REQ-085</x:v>
      </x:c>
      <x:c r="G89" s="411" t="str">
        <x:v>Critical</x:v>
      </x:c>
      <x:c r="H89" s="411" t="str">
        <x:v>Devansh</x:v>
      </x:c>
      <x:c r="I89" s="488" t="str">
        <x:v>Backlog</x:v>
      </x:c>
      <x:c r="J89" s="414" t="n">
        <x:f>IF(I89="Done",1,IF(I89="In Review",0.8,IF(I89="In Progress",0.5,IF(I89="Blocked",0.35,IF(I89="Ready",0.1,0)))))</x:f>
        <x:v>0</x:v>
      </x:c>
      <x:c r="K89" s="460" t="n">
        <x:v>46250</x:v>
      </x:c>
      <x:c r="L89" s="460" t="n">
        <x:v>46250</x:v>
      </x:c>
      <x:c r="M89" s="460"/>
      <x:c r="N89" s="411" t="str"/>
      <x:c r="O89" s="411" t="str">
        <x:v>Acceptance test passes; failure path is verified; regression suite remains green.</x:v>
      </x:c>
      <x:c r="P89" s="464" t="n">
        <x:f>COUNTIF(Test_Cases!$D$5:$D$1000,A89)</x:f>
        <x:v>2</x:v>
      </x:c>
      <x:c r="Q89" s="464" t="n">
        <x:f>COUNTIFS(Test_Cases!$D$5:$D$1000,A89,Test_Cases!$L$5:$L$1000,"Passed")</x:f>
        <x:v>0</x:v>
      </x:c>
      <x:c r="R89" s="464" t="n">
        <x:f>COUNTIFS(Defects!$E$5:$E$500,A89,Defects!$K$5:$K$500,"&lt;&gt;Closed")</x:f>
        <x:v>0</x:v>
      </x:c>
      <x:c r="S89" s="411" t="str"/>
      <x:c r="T89" s="411" t="str"/>
      <x:c r="U89" s="411" t="str">
        <x:v>f_fault_003</x:v>
      </x:c>
      <x:c r="V89" s="373"/>
      <x:c r="W89" s="373"/>
      <x:c r="X89" s="373"/>
      <x:c r="Y89" s="373"/>
      <x:c r="Z89" s="373"/>
    </x:row>
    <x:row r="90">
      <x:c r="A90" s="411" t="str">
        <x:v>F-E2E-001</x:v>
      </x:c>
      <x:c r="B90" s="411" t="str">
        <x:v>v0.1.11</x:v>
      </x:c>
      <x:c r="C90" s="411" t="str">
        <x:v>E2E</x:v>
      </x:c>
      <x:c r="D90" s="411" t="str">
        <x:v>End-to-end verification runner</x:v>
      </x:c>
      <x:c r="E90" s="411" t="str">
        <x:v>Execute launch, readiness, behavior, fault, evaluation, report, and shutdown.</x:v>
      </x:c>
      <x:c r="F90" s="411" t="str">
        <x:v>REQ-086</x:v>
      </x:c>
      <x:c r="G90" s="411" t="str">
        <x:v>Critical</x:v>
      </x:c>
      <x:c r="H90" s="411" t="str">
        <x:v>Devansh</x:v>
      </x:c>
      <x:c r="I90" s="488" t="str">
        <x:v>Backlog</x:v>
      </x:c>
      <x:c r="J90" s="414" t="n">
        <x:f>IF(I90="Done",1,IF(I90="In Review",0.8,IF(I90="In Progress",0.5,IF(I90="Blocked",0.35,IF(I90="Ready",0.1,0)))))</x:f>
        <x:v>0</x:v>
      </x:c>
      <x:c r="K90" s="460" t="n">
        <x:v>46250</x:v>
      </x:c>
      <x:c r="L90" s="460" t="n">
        <x:v>46250</x:v>
      </x:c>
      <x:c r="M90" s="460"/>
      <x:c r="N90" s="411" t="str"/>
      <x:c r="O90" s="411" t="str">
        <x:v>Acceptance test passes; failure path is verified; regression suite remains green.</x:v>
      </x:c>
      <x:c r="P90" s="464" t="n">
        <x:f>COUNTIF(Test_Cases!$D$5:$D$1000,A90)</x:f>
        <x:v>2</x:v>
      </x:c>
      <x:c r="Q90" s="464" t="n">
        <x:f>COUNTIFS(Test_Cases!$D$5:$D$1000,A90,Test_Cases!$L$5:$L$1000,"Passed")</x:f>
        <x:v>0</x:v>
      </x:c>
      <x:c r="R90" s="464" t="n">
        <x:f>COUNTIFS(Defects!$E$5:$E$500,A90,Defects!$K$5:$K$500,"&lt;&gt;Closed")</x:f>
        <x:v>0</x:v>
      </x:c>
      <x:c r="S90" s="411" t="str"/>
      <x:c r="T90" s="411" t="str"/>
      <x:c r="U90" s="411" t="str">
        <x:v>f_e2e_001</x:v>
      </x:c>
      <x:c r="V90" s="373"/>
      <x:c r="W90" s="373"/>
      <x:c r="X90" s="373"/>
      <x:c r="Y90" s="373"/>
      <x:c r="Z90" s="373"/>
    </x:row>
    <x:row r="91">
      <x:c r="A91" s="411" t="str">
        <x:v>F-SAFE-001</x:v>
      </x:c>
      <x:c r="B91" s="411" t="str">
        <x:v>v0.1.11</x:v>
      </x:c>
      <x:c r="C91" s="411" t="str">
        <x:v>Safety</x:v>
      </x:c>
      <x:c r="D91" s="411" t="str">
        <x:v>Safety regression suite</x:v>
      </x:c>
      <x:c r="E91" s="411" t="str">
        <x:v>Automate manual override, speed clamp, timeout, timestamp, and cancellation tests.</x:v>
      </x:c>
      <x:c r="F91" s="411" t="str">
        <x:v>REQ-087</x:v>
      </x:c>
      <x:c r="G91" s="411" t="str">
        <x:v>Critical</x:v>
      </x:c>
      <x:c r="H91" s="411" t="str">
        <x:v>Devansh</x:v>
      </x:c>
      <x:c r="I91" s="488" t="str">
        <x:v>Backlog</x:v>
      </x:c>
      <x:c r="J91" s="414" t="n">
        <x:f>IF(I91="Done",1,IF(I91="In Review",0.8,IF(I91="In Progress",0.5,IF(I91="Blocked",0.35,IF(I91="Ready",0.1,0)))))</x:f>
        <x:v>0</x:v>
      </x:c>
      <x:c r="K91" s="460" t="n">
        <x:v>46250</x:v>
      </x:c>
      <x:c r="L91" s="460" t="n">
        <x:v>46250</x:v>
      </x:c>
      <x:c r="M91" s="460"/>
      <x:c r="N91" s="411" t="str"/>
      <x:c r="O91" s="411" t="str">
        <x:v>Acceptance test passes; failure path is verified; regression suite remains green.</x:v>
      </x:c>
      <x:c r="P91" s="464" t="n">
        <x:f>COUNTIF(Test_Cases!$D$5:$D$1000,A91)</x:f>
        <x:v>2</x:v>
      </x:c>
      <x:c r="Q91" s="464" t="n">
        <x:f>COUNTIFS(Test_Cases!$D$5:$D$1000,A91,Test_Cases!$L$5:$L$1000,"Passed")</x:f>
        <x:v>0</x:v>
      </x:c>
      <x:c r="R91" s="464" t="n">
        <x:f>COUNTIFS(Defects!$E$5:$E$500,A91,Defects!$K$5:$K$500,"&lt;&gt;Closed")</x:f>
        <x:v>0</x:v>
      </x:c>
      <x:c r="S91" s="411" t="str"/>
      <x:c r="T91" s="411" t="str"/>
      <x:c r="U91" s="411" t="str">
        <x:v>f_safe_001</x:v>
      </x:c>
      <x:c r="V91" s="373"/>
      <x:c r="W91" s="373"/>
      <x:c r="X91" s="373"/>
      <x:c r="Y91" s="373"/>
      <x:c r="Z91" s="373"/>
    </x:row>
    <x:row r="92">
      <x:c r="A92" s="411" t="str">
        <x:v>F-REC-001</x:v>
      </x:c>
      <x:c r="B92" s="411" t="str">
        <x:v>v0.1.11</x:v>
      </x:c>
      <x:c r="C92" s="411" t="str">
        <x:v>Recovery</x:v>
      </x:c>
      <x:c r="D92" s="411" t="str">
        <x:v>Recovery readiness verification</x:v>
      </x:c>
      <x:c r="E92" s="411" t="str">
        <x:v>Require valid readiness restoration before reactivation.</x:v>
      </x:c>
      <x:c r="F92" s="411" t="str">
        <x:v>REQ-088</x:v>
      </x:c>
      <x:c r="G92" s="411" t="str">
        <x:v>High</x:v>
      </x:c>
      <x:c r="H92" s="411" t="str">
        <x:v>Devansh</x:v>
      </x:c>
      <x:c r="I92" s="488" t="str">
        <x:v>Backlog</x:v>
      </x:c>
      <x:c r="J92" s="414" t="n">
        <x:f>IF(I92="Done",1,IF(I92="In Review",0.8,IF(I92="In Progress",0.5,IF(I92="Blocked",0.35,IF(I92="Ready",0.1,0)))))</x:f>
        <x:v>0</x:v>
      </x:c>
      <x:c r="K92" s="460" t="n">
        <x:v>46250</x:v>
      </x:c>
      <x:c r="L92" s="460" t="n">
        <x:v>46250</x:v>
      </x:c>
      <x:c r="M92" s="460"/>
      <x:c r="N92" s="411" t="str"/>
      <x:c r="O92" s="411" t="str">
        <x:v>Nominal and negative tests pass; behavior is documented and reproducible.</x:v>
      </x:c>
      <x:c r="P92" s="464" t="n">
        <x:f>COUNTIF(Test_Cases!$D$5:$D$1000,A92)</x:f>
        <x:v>1</x:v>
      </x:c>
      <x:c r="Q92" s="464" t="n">
        <x:f>COUNTIFS(Test_Cases!$D$5:$D$1000,A92,Test_Cases!$L$5:$L$1000,"Passed")</x:f>
        <x:v>0</x:v>
      </x:c>
      <x:c r="R92" s="464" t="n">
        <x:f>COUNTIFS(Defects!$E$5:$E$500,A92,Defects!$K$5:$K$500,"&lt;&gt;Closed")</x:f>
        <x:v>0</x:v>
      </x:c>
      <x:c r="S92" s="411" t="str"/>
      <x:c r="T92" s="411" t="str"/>
      <x:c r="U92" s="411" t="str">
        <x:v>f_rec_001</x:v>
      </x:c>
      <x:c r="V92" s="373"/>
      <x:c r="W92" s="373"/>
      <x:c r="X92" s="373"/>
      <x:c r="Y92" s="373"/>
      <x:c r="Z92" s="373"/>
    </x:row>
    <x:row r="93">
      <x:c r="A93" s="411" t="str">
        <x:v>F-EVID-001</x:v>
      </x:c>
      <x:c r="B93" s="411" t="str">
        <x:v>v0.1.11</x:v>
      </x:c>
      <x:c r="C93" s="411" t="str">
        <x:v>Evidence</x:v>
      </x:c>
      <x:c r="D93" s="411" t="str">
        <x:v>Automated evidence package</x:v>
      </x:c>
      <x:c r="E93" s="411" t="str">
        <x:v>Generate logs, metrics, plots, traceability, and pass/fail artifacts.</x:v>
      </x:c>
      <x:c r="F93" s="411" t="str">
        <x:v>REQ-089</x:v>
      </x:c>
      <x:c r="G93" s="411" t="str">
        <x:v>High</x:v>
      </x:c>
      <x:c r="H93" s="411" t="str">
        <x:v>Devansh</x:v>
      </x:c>
      <x:c r="I93" s="488" t="str">
        <x:v>Backlog</x:v>
      </x:c>
      <x:c r="J93" s="414" t="n">
        <x:f>IF(I93="Done",1,IF(I93="In Review",0.8,IF(I93="In Progress",0.5,IF(I93="Blocked",0.35,IF(I93="Ready",0.1,0)))))</x:f>
        <x:v>0</x:v>
      </x:c>
      <x:c r="K93" s="460" t="n">
        <x:v>46250</x:v>
      </x:c>
      <x:c r="L93" s="460" t="n">
        <x:v>46250</x:v>
      </x:c>
      <x:c r="M93" s="460"/>
      <x:c r="N93" s="411" t="str"/>
      <x:c r="O93" s="411" t="str">
        <x:v>Nominal and negative tests pass; behavior is documented and reproducible.</x:v>
      </x:c>
      <x:c r="P93" s="464" t="n">
        <x:f>COUNTIF(Test_Cases!$D$5:$D$1000,A93)</x:f>
        <x:v>1</x:v>
      </x:c>
      <x:c r="Q93" s="464" t="n">
        <x:f>COUNTIFS(Test_Cases!$D$5:$D$1000,A93,Test_Cases!$L$5:$L$1000,"Passed")</x:f>
        <x:v>0</x:v>
      </x:c>
      <x:c r="R93" s="464" t="n">
        <x:f>COUNTIFS(Defects!$E$5:$E$500,A93,Defects!$K$5:$K$500,"&lt;&gt;Closed")</x:f>
        <x:v>0</x:v>
      </x:c>
      <x:c r="S93" s="411" t="str"/>
      <x:c r="T93" s="411" t="str"/>
      <x:c r="U93" s="411" t="str">
        <x:v>f_evid_001</x:v>
      </x:c>
      <x:c r="V93" s="373"/>
      <x:c r="W93" s="373"/>
      <x:c r="X93" s="373"/>
      <x:c r="Y93" s="373"/>
      <x:c r="Z93" s="373"/>
    </x:row>
    <x:row r="94">
      <x:c r="A94" s="411" t="str">
        <x:v>F-CI-001</x:v>
      </x:c>
      <x:c r="B94" s="411" t="str">
        <x:v>v0.1.12</x:v>
      </x:c>
      <x:c r="C94" s="411" t="str">
        <x:v>CI</x:v>
      </x:c>
      <x:c r="D94" s="411" t="str">
        <x:v>Pull-request CI tier</x:v>
      </x:c>
      <x:c r="E94" s="411" t="str">
        <x:v>Run formatting, linting, config validation, unit, lifecycle, and readiness tests.</x:v>
      </x:c>
      <x:c r="F94" s="411" t="str">
        <x:v>REQ-090</x:v>
      </x:c>
      <x:c r="G94" s="411" t="str">
        <x:v>Critical</x:v>
      </x:c>
      <x:c r="H94" s="411" t="str">
        <x:v>Devansh</x:v>
      </x:c>
      <x:c r="I94" s="488" t="str">
        <x:v>Backlog</x:v>
      </x:c>
      <x:c r="J94" s="414" t="n">
        <x:f>IF(I94="Done",1,IF(I94="In Review",0.8,IF(I94="In Progress",0.5,IF(I94="Blocked",0.35,IF(I94="Ready",0.1,0)))))</x:f>
        <x:v>0</x:v>
      </x:c>
      <x:c r="K94" s="460" t="n">
        <x:v>46251</x:v>
      </x:c>
      <x:c r="L94" s="460" t="n">
        <x:v>46251</x:v>
      </x:c>
      <x:c r="M94" s="460"/>
      <x:c r="N94" s="411" t="str"/>
      <x:c r="O94" s="411" t="str">
        <x:v>Acceptance test passes; failure path is verified; regression suite remains green.</x:v>
      </x:c>
      <x:c r="P94" s="464" t="n">
        <x:f>COUNTIF(Test_Cases!$D$5:$D$1000,A94)</x:f>
        <x:v>2</x:v>
      </x:c>
      <x:c r="Q94" s="464" t="n">
        <x:f>COUNTIFS(Test_Cases!$D$5:$D$1000,A94,Test_Cases!$L$5:$L$1000,"Passed")</x:f>
        <x:v>0</x:v>
      </x:c>
      <x:c r="R94" s="464" t="n">
        <x:f>COUNTIFS(Defects!$E$5:$E$500,A94,Defects!$K$5:$K$500,"&lt;&gt;Closed")</x:f>
        <x:v>0</x:v>
      </x:c>
      <x:c r="S94" s="411" t="str"/>
      <x:c r="T94" s="411" t="str"/>
      <x:c r="U94" s="411" t="str">
        <x:v>f_ci_001</x:v>
      </x:c>
      <x:c r="V94" s="373"/>
      <x:c r="W94" s="373"/>
      <x:c r="X94" s="373"/>
      <x:c r="Y94" s="373"/>
      <x:c r="Z94" s="373"/>
    </x:row>
    <x:row r="95">
      <x:c r="A95" s="411" t="str">
        <x:v>F-CI-002</x:v>
      </x:c>
      <x:c r="B95" s="411" t="str">
        <x:v>v0.1.12</x:v>
      </x:c>
      <x:c r="C95" s="411" t="str">
        <x:v>CI</x:v>
      </x:c>
      <x:c r="D95" s="411" t="str">
        <x:v>Simulation smoke CI tier</x:v>
      </x:c>
      <x:c r="E95" s="411" t="str">
        <x:v>Launch clock, controllers, sensors, TF, lifecycle, and shutdown smoke checks.</x:v>
      </x:c>
      <x:c r="F95" s="411" t="str">
        <x:v>REQ-091</x:v>
      </x:c>
      <x:c r="G95" s="411" t="str">
        <x:v>Critical</x:v>
      </x:c>
      <x:c r="H95" s="411" t="str">
        <x:v>Devansh</x:v>
      </x:c>
      <x:c r="I95" s="488" t="str">
        <x:v>Backlog</x:v>
      </x:c>
      <x:c r="J95" s="414" t="n">
        <x:f>IF(I95="Done",1,IF(I95="In Review",0.8,IF(I95="In Progress",0.5,IF(I95="Blocked",0.35,IF(I95="Ready",0.1,0)))))</x:f>
        <x:v>0</x:v>
      </x:c>
      <x:c r="K95" s="460" t="n">
        <x:v>46251</x:v>
      </x:c>
      <x:c r="L95" s="460" t="n">
        <x:v>46251</x:v>
      </x:c>
      <x:c r="M95" s="460"/>
      <x:c r="N95" s="411" t="str"/>
      <x:c r="O95" s="411" t="str">
        <x:v>Acceptance test passes; failure path is verified; regression suite remains green.</x:v>
      </x:c>
      <x:c r="P95" s="464" t="n">
        <x:f>COUNTIF(Test_Cases!$D$5:$D$1000,A95)</x:f>
        <x:v>2</x:v>
      </x:c>
      <x:c r="Q95" s="464" t="n">
        <x:f>COUNTIFS(Test_Cases!$D$5:$D$1000,A95,Test_Cases!$L$5:$L$1000,"Passed")</x:f>
        <x:v>0</x:v>
      </x:c>
      <x:c r="R95" s="464" t="n">
        <x:f>COUNTIFS(Defects!$E$5:$E$500,A95,Defects!$K$5:$K$500,"&lt;&gt;Closed")</x:f>
        <x:v>0</x:v>
      </x:c>
      <x:c r="S95" s="411" t="str"/>
      <x:c r="T95" s="411" t="str"/>
      <x:c r="U95" s="411" t="str">
        <x:v>f_ci_002</x:v>
      </x:c>
      <x:c r="V95" s="373"/>
      <x:c r="W95" s="373"/>
      <x:c r="X95" s="373"/>
      <x:c r="Y95" s="373"/>
      <x:c r="Z95" s="373"/>
    </x:row>
    <x:row r="96">
      <x:c r="A96" s="411" t="str">
        <x:v>F-CI-003</x:v>
      </x:c>
      <x:c r="B96" s="411" t="str">
        <x:v>v0.1.12</x:v>
      </x:c>
      <x:c r="C96" s="411" t="str">
        <x:v>CI</x:v>
      </x:c>
      <x:c r="D96" s="411" t="str">
        <x:v>Full regression tier</x:v>
      </x:c>
      <x:c r="E96" s="411" t="str">
        <x:v>Run mapping, localization, navigation, safety, and fault smoke scenarios.</x:v>
      </x:c>
      <x:c r="F96" s="411" t="str">
        <x:v>REQ-092</x:v>
      </x:c>
      <x:c r="G96" s="411" t="str">
        <x:v>High</x:v>
      </x:c>
      <x:c r="H96" s="411" t="str">
        <x:v>Devansh</x:v>
      </x:c>
      <x:c r="I96" s="488" t="str">
        <x:v>Backlog</x:v>
      </x:c>
      <x:c r="J96" s="414" t="n">
        <x:f>IF(I96="Done",1,IF(I96="In Review",0.8,IF(I96="In Progress",0.5,IF(I96="Blocked",0.35,IF(I96="Ready",0.1,0)))))</x:f>
        <x:v>0</x:v>
      </x:c>
      <x:c r="K96" s="460" t="n">
        <x:v>46251</x:v>
      </x:c>
      <x:c r="L96" s="460" t="n">
        <x:v>46251</x:v>
      </x:c>
      <x:c r="M96" s="460"/>
      <x:c r="N96" s="411" t="str"/>
      <x:c r="O96" s="411" t="str">
        <x:v>Nominal and negative tests pass; behavior is documented and reproducible.</x:v>
      </x:c>
      <x:c r="P96" s="464" t="n">
        <x:f>COUNTIF(Test_Cases!$D$5:$D$1000,A96)</x:f>
        <x:v>1</x:v>
      </x:c>
      <x:c r="Q96" s="464" t="n">
        <x:f>COUNTIFS(Test_Cases!$D$5:$D$1000,A96,Test_Cases!$L$5:$L$1000,"Passed")</x:f>
        <x:v>0</x:v>
      </x:c>
      <x:c r="R96" s="464" t="n">
        <x:f>COUNTIFS(Defects!$E$5:$E$500,A96,Defects!$K$5:$K$500,"&lt;&gt;Closed")</x:f>
        <x:v>0</x:v>
      </x:c>
      <x:c r="S96" s="411" t="str"/>
      <x:c r="T96" s="411" t="str"/>
      <x:c r="U96" s="411" t="str">
        <x:v>f_ci_003</x:v>
      </x:c>
      <x:c r="V96" s="373"/>
      <x:c r="W96" s="373"/>
      <x:c r="X96" s="373"/>
      <x:c r="Y96" s="373"/>
      <x:c r="Z96" s="373"/>
    </x:row>
    <x:row r="97">
      <x:c r="A97" s="411" t="str">
        <x:v>F-DOC-001</x:v>
      </x:c>
      <x:c r="B97" s="411" t="str">
        <x:v>v0.1.12</x:v>
      </x:c>
      <x:c r="C97" s="411" t="str">
        <x:v>Documentation</x:v>
      </x:c>
      <x:c r="D97" s="411" t="str">
        <x:v>Release 2 documentation set</x:v>
      </x:c>
      <x:c r="E97" s="411" t="str">
        <x:v>Complete architecture, lifecycle, readiness, fusion, tuning, and test reports.</x:v>
      </x:c>
      <x:c r="F97" s="411" t="str">
        <x:v>REQ-093</x:v>
      </x:c>
      <x:c r="G97" s="411" t="str">
        <x:v>High</x:v>
      </x:c>
      <x:c r="H97" s="411" t="str">
        <x:v>Devansh</x:v>
      </x:c>
      <x:c r="I97" s="488" t="str">
        <x:v>Backlog</x:v>
      </x:c>
      <x:c r="J97" s="414" t="n">
        <x:f>IF(I97="Done",1,IF(I97="In Review",0.8,IF(I97="In Progress",0.5,IF(I97="Blocked",0.35,IF(I97="Ready",0.1,0)))))</x:f>
        <x:v>0</x:v>
      </x:c>
      <x:c r="K97" s="460" t="n">
        <x:v>46251</x:v>
      </x:c>
      <x:c r="L97" s="460" t="n">
        <x:v>46251</x:v>
      </x:c>
      <x:c r="M97" s="460"/>
      <x:c r="N97" s="411" t="str"/>
      <x:c r="O97" s="411" t="str">
        <x:v>Nominal and negative tests pass; behavior is documented and reproducible.</x:v>
      </x:c>
      <x:c r="P97" s="464" t="n">
        <x:f>COUNTIF(Test_Cases!$D$5:$D$1000,A97)</x:f>
        <x:v>1</x:v>
      </x:c>
      <x:c r="Q97" s="464" t="n">
        <x:f>COUNTIFS(Test_Cases!$D$5:$D$1000,A97,Test_Cases!$L$5:$L$1000,"Passed")</x:f>
        <x:v>0</x:v>
      </x:c>
      <x:c r="R97" s="464" t="n">
        <x:f>COUNTIFS(Defects!$E$5:$E$500,A97,Defects!$K$5:$K$500,"&lt;&gt;Closed")</x:f>
        <x:v>0</x:v>
      </x:c>
      <x:c r="S97" s="411" t="str"/>
      <x:c r="T97" s="411" t="str"/>
      <x:c r="U97" s="411" t="str">
        <x:v>f_doc_001</x:v>
      </x:c>
      <x:c r="V97" s="373"/>
      <x:c r="W97" s="373"/>
      <x:c r="X97" s="373"/>
      <x:c r="Y97" s="373"/>
      <x:c r="Z97" s="373"/>
    </x:row>
    <x:row r="98">
      <x:c r="A98" s="411" t="str">
        <x:v>F-TRACE-001</x:v>
      </x:c>
      <x:c r="B98" s="411" t="str">
        <x:v>v0.1.12</x:v>
      </x:c>
      <x:c r="C98" s="411" t="str">
        <x:v>Traceability</x:v>
      </x:c>
      <x:c r="D98" s="411" t="str">
        <x:v>Requirement-test-evidence traceability</x:v>
      </x:c>
      <x:c r="E98" s="411" t="str">
        <x:v>Link every release requirement to tests, results, and evidence.</x:v>
      </x:c>
      <x:c r="F98" s="411" t="str">
        <x:v>REQ-094</x:v>
      </x:c>
      <x:c r="G98" s="411" t="str">
        <x:v>Critical</x:v>
      </x:c>
      <x:c r="H98" s="411" t="str">
        <x:v>Devansh</x:v>
      </x:c>
      <x:c r="I98" s="488" t="str">
        <x:v>Backlog</x:v>
      </x:c>
      <x:c r="J98" s="414" t="n">
        <x:f>IF(I98="Done",1,IF(I98="In Review",0.8,IF(I98="In Progress",0.5,IF(I98="Blocked",0.35,IF(I98="Ready",0.1,0)))))</x:f>
        <x:v>0</x:v>
      </x:c>
      <x:c r="K98" s="460" t="n">
        <x:v>46251</x:v>
      </x:c>
      <x:c r="L98" s="460" t="n">
        <x:v>46251</x:v>
      </x:c>
      <x:c r="M98" s="460"/>
      <x:c r="N98" s="411" t="str"/>
      <x:c r="O98" s="411" t="str">
        <x:v>Acceptance test passes; failure path is verified; regression suite remains green.</x:v>
      </x:c>
      <x:c r="P98" s="464" t="n">
        <x:f>COUNTIF(Test_Cases!$D$5:$D$1000,A98)</x:f>
        <x:v>2</x:v>
      </x:c>
      <x:c r="Q98" s="464" t="n">
        <x:f>COUNTIFS(Test_Cases!$D$5:$D$1000,A98,Test_Cases!$L$5:$L$1000,"Passed")</x:f>
        <x:v>0</x:v>
      </x:c>
      <x:c r="R98" s="464" t="n">
        <x:f>COUNTIFS(Defects!$E$5:$E$500,A98,Defects!$K$5:$K$500,"&lt;&gt;Closed")</x:f>
        <x:v>0</x:v>
      </x:c>
      <x:c r="S98" s="411" t="str"/>
      <x:c r="T98" s="411" t="str"/>
      <x:c r="U98" s="411" t="str">
        <x:v>f_trace_001</x:v>
      </x:c>
      <x:c r="V98" s="373"/>
      <x:c r="W98" s="373"/>
      <x:c r="X98" s="373"/>
      <x:c r="Y98" s="373"/>
      <x:c r="Z98" s="373"/>
    </x:row>
    <x:row r="99">
      <x:c r="A99" s="411" t="str">
        <x:v>F-REPRO-001</x:v>
      </x:c>
      <x:c r="B99" s="411" t="str">
        <x:v>v0.1.12</x:v>
      </x:c>
      <x:c r="C99" s="411" t="str">
        <x:v>Reproducibility</x:v>
      </x:c>
      <x:c r="D99" s="411" t="str">
        <x:v>Fresh-clone and Docker validation</x:v>
      </x:c>
      <x:c r="E99" s="411" t="str">
        <x:v>Verify clean build, install, launch, test, and docs outside current workspace.</x:v>
      </x:c>
      <x:c r="F99" s="411" t="str">
        <x:v>REQ-095</x:v>
      </x:c>
      <x:c r="G99" s="411" t="str">
        <x:v>Critical</x:v>
      </x:c>
      <x:c r="H99" s="411" t="str">
        <x:v>Devansh</x:v>
      </x:c>
      <x:c r="I99" s="488" t="str">
        <x:v>Backlog</x:v>
      </x:c>
      <x:c r="J99" s="414" t="n">
        <x:f>IF(I99="Done",1,IF(I99="In Review",0.8,IF(I99="In Progress",0.5,IF(I99="Blocked",0.35,IF(I99="Ready",0.1,0)))))</x:f>
        <x:v>0</x:v>
      </x:c>
      <x:c r="K99" s="460" t="n">
        <x:v>46251</x:v>
      </x:c>
      <x:c r="L99" s="460" t="n">
        <x:v>46251</x:v>
      </x:c>
      <x:c r="M99" s="460"/>
      <x:c r="N99" s="411" t="str"/>
      <x:c r="O99" s="411" t="str">
        <x:v>Acceptance test passes; failure path is verified; regression suite remains green.</x:v>
      </x:c>
      <x:c r="P99" s="464" t="n">
        <x:f>COUNTIF(Test_Cases!$D$5:$D$1000,A99)</x:f>
        <x:v>2</x:v>
      </x:c>
      <x:c r="Q99" s="464" t="n">
        <x:f>COUNTIFS(Test_Cases!$D$5:$D$1000,A99,Test_Cases!$L$5:$L$1000,"Passed")</x:f>
        <x:v>0</x:v>
      </x:c>
      <x:c r="R99" s="464" t="n">
        <x:f>COUNTIFS(Defects!$E$5:$E$500,A99,Defects!$K$5:$K$500,"&lt;&gt;Closed")</x:f>
        <x:v>0</x:v>
      </x:c>
      <x:c r="S99" s="411" t="str"/>
      <x:c r="T99" s="411" t="str"/>
      <x:c r="U99" s="411" t="str">
        <x:v>f_repro_001</x:v>
      </x:c>
      <x:c r="V99" s="373"/>
      <x:c r="W99" s="373"/>
      <x:c r="X99" s="373"/>
      <x:c r="Y99" s="373"/>
      <x:c r="Z99" s="373"/>
    </x:row>
    <x:row r="100">
      <x:c r="A100" s="411" t="str">
        <x:v>F-PERF-001</x:v>
      </x:c>
      <x:c r="B100" s="411" t="str">
        <x:v>v0.1.12</x:v>
      </x:c>
      <x:c r="C100" s="411" t="str">
        <x:v>Performance</x:v>
      </x:c>
      <x:c r="D100" s="411" t="str">
        <x:v>Performance baseline</x:v>
      </x:c>
      <x:c r="E100" s="411" t="str">
        <x:v>Record CPU, memory, real-time factor, startup, transitions, and test duration.</x:v>
      </x:c>
      <x:c r="F100" s="411" t="str">
        <x:v>REQ-096</x:v>
      </x:c>
      <x:c r="G100" s="411" t="str">
        <x:v>High</x:v>
      </x:c>
      <x:c r="H100" s="411" t="str">
        <x:v>Devansh</x:v>
      </x:c>
      <x:c r="I100" s="488" t="str">
        <x:v>Backlog</x:v>
      </x:c>
      <x:c r="J100" s="414" t="n">
        <x:f>IF(I100="Done",1,IF(I100="In Review",0.8,IF(I100="In Progress",0.5,IF(I100="Blocked",0.35,IF(I100="Ready",0.1,0)))))</x:f>
        <x:v>0</x:v>
      </x:c>
      <x:c r="K100" s="460" t="n">
        <x:v>46251</x:v>
      </x:c>
      <x:c r="L100" s="460" t="n">
        <x:v>46251</x:v>
      </x:c>
      <x:c r="M100" s="460"/>
      <x:c r="N100" s="411" t="str"/>
      <x:c r="O100" s="411" t="str">
        <x:v>Nominal and negative tests pass; behavior is documented and reproducible.</x:v>
      </x:c>
      <x:c r="P100" s="464" t="n">
        <x:f>COUNTIF(Test_Cases!$D$5:$D$1000,A100)</x:f>
        <x:v>1</x:v>
      </x:c>
      <x:c r="Q100" s="464" t="n">
        <x:f>COUNTIFS(Test_Cases!$D$5:$D$1000,A100,Test_Cases!$L$5:$L$1000,"Passed")</x:f>
        <x:v>0</x:v>
      </x:c>
      <x:c r="R100" s="464" t="n">
        <x:f>COUNTIFS(Defects!$E$5:$E$500,A100,Defects!$K$5:$K$500,"&lt;&gt;Closed")</x:f>
        <x:v>0</x:v>
      </x:c>
      <x:c r="S100" s="411" t="str"/>
      <x:c r="T100" s="411" t="str"/>
      <x:c r="U100" s="411" t="str">
        <x:v>f_perf_001</x:v>
      </x:c>
      <x:c r="V100" s="373"/>
      <x:c r="W100" s="373"/>
      <x:c r="X100" s="373"/>
      <x:c r="Y100" s="373"/>
      <x:c r="Z100" s="373"/>
    </x:row>
    <x:row r="101">
      <x:c r="A101" s="411" t="str">
        <x:v>F-REL-001</x:v>
      </x:c>
      <x:c r="B101" s="411" t="str">
        <x:v>v0.1.12</x:v>
      </x:c>
      <x:c r="C101" s="411" t="str">
        <x:v>Release</x:v>
      </x:c>
      <x:c r="D101" s="411" t="str">
        <x:v>Release candidate checklist</x:v>
      </x:c>
      <x:c r="E101" s="411" t="str">
        <x:v>Run final gates, known-limitations review, tag, and publish.</x:v>
      </x:c>
      <x:c r="F101" s="411" t="str">
        <x:v>REQ-097</x:v>
      </x:c>
      <x:c r="G101" s="411" t="str">
        <x:v>Critical</x:v>
      </x:c>
      <x:c r="H101" s="411" t="str">
        <x:v>Devansh</x:v>
      </x:c>
      <x:c r="I101" s="488" t="str">
        <x:v>Backlog</x:v>
      </x:c>
      <x:c r="J101" s="414" t="n">
        <x:f>IF(I101="Done",1,IF(I101="In Review",0.8,IF(I101="In Progress",0.5,IF(I101="Blocked",0.35,IF(I101="Ready",0.1,0)))))</x:f>
        <x:v>0</x:v>
      </x:c>
      <x:c r="K101" s="460" t="n">
        <x:v>46251</x:v>
      </x:c>
      <x:c r="L101" s="460" t="n">
        <x:v>46251</x:v>
      </x:c>
      <x:c r="M101" s="460"/>
      <x:c r="N101" s="411" t="str"/>
      <x:c r="O101" s="411" t="str">
        <x:v>Acceptance test passes; failure path is verified; regression suite remains green.</x:v>
      </x:c>
      <x:c r="P101" s="464" t="n">
        <x:f>COUNTIF(Test_Cases!$D$5:$D$1000,A101)</x:f>
        <x:v>2</x:v>
      </x:c>
      <x:c r="Q101" s="464" t="n">
        <x:f>COUNTIFS(Test_Cases!$D$5:$D$1000,A101,Test_Cases!$L$5:$L$1000,"Passed")</x:f>
        <x:v>0</x:v>
      </x:c>
      <x:c r="R101" s="464" t="n">
        <x:f>COUNTIFS(Defects!$E$5:$E$500,A101,Defects!$K$5:$K$500,"&lt;&gt;Closed")</x:f>
        <x:v>0</x:v>
      </x:c>
      <x:c r="S101" s="411" t="str"/>
      <x:c r="T101" s="411" t="str"/>
      <x:c r="U101" s="411" t="str">
        <x:v>f_rel_001</x:v>
      </x:c>
      <x:c r="V101" s="373"/>
      <x:c r="W101" s="373"/>
      <x:c r="X101" s="373"/>
      <x:c r="Y101" s="373"/>
      <x:c r="Z101" s="373"/>
    </x:row>
    <x:row r="102">
      <x:c r="A102" s="411" t="str">
        <x:v>F-REL-200</x:v>
      </x:c>
      <x:c r="B102" s="411" t="str">
        <x:v>v0.2.0</x:v>
      </x:c>
      <x:c r="C102" s="411" t="str">
        <x:v>Release</x:v>
      </x:c>
      <x:c r="D102" s="411" t="str">
        <x:v>Reliable integration platform release</x:v>
      </x:c>
      <x:c r="E102" s="411" t="str">
        <x:v>Publish the complete lifecycle/readiness/fusion/hardening foundation.</x:v>
      </x:c>
      <x:c r="F102" s="411" t="str">
        <x:v>REQ-098</x:v>
      </x:c>
      <x:c r="G102" s="411" t="str">
        <x:v>Critical</x:v>
      </x:c>
      <x:c r="H102" s="411" t="str">
        <x:v>Devansh</x:v>
      </x:c>
      <x:c r="I102" s="488" t="str">
        <x:v>Backlog</x:v>
      </x:c>
      <x:c r="J102" s="414" t="n">
        <x:f>IF(I102="Done",1,IF(I102="In Review",0.8,IF(I102="In Progress",0.5,IF(I102="Blocked",0.35,IF(I102="Ready",0.1,0)))))</x:f>
        <x:v>0</x:v>
      </x:c>
      <x:c r="K102" s="460" t="n">
        <x:v>46252</x:v>
      </x:c>
      <x:c r="L102" s="460" t="n">
        <x:v>46252</x:v>
      </x:c>
      <x:c r="M102" s="460"/>
      <x:c r="N102" s="411" t="str"/>
      <x:c r="O102" s="411" t="str">
        <x:v>Acceptance test passes; failure path is verified; regression suite remains green.</x:v>
      </x:c>
      <x:c r="P102" s="464" t="n">
        <x:f>COUNTIF(Test_Cases!$D$5:$D$1000,A102)</x:f>
        <x:v>2</x:v>
      </x:c>
      <x:c r="Q102" s="464" t="n">
        <x:f>COUNTIFS(Test_Cases!$D$5:$D$1000,A102,Test_Cases!$L$5:$L$1000,"Passed")</x:f>
        <x:v>0</x:v>
      </x:c>
      <x:c r="R102" s="464" t="n">
        <x:f>COUNTIFS(Defects!$E$5:$E$500,A102,Defects!$K$5:$K$500,"&lt;&gt;Closed")</x:f>
        <x:v>0</x:v>
      </x:c>
      <x:c r="S102" s="411" t="str"/>
      <x:c r="T102" s="411" t="str"/>
      <x:c r="U102" s="411" t="str">
        <x:v>f_rel_200</x:v>
      </x:c>
      <x:c r="V102" s="373"/>
      <x:c r="W102" s="373"/>
      <x:c r="X102" s="373"/>
      <x:c r="Y102" s="373"/>
      <x:c r="Z102" s="373"/>
    </x:row>
    <x:row r="103">
      <x:c r="A103" s="411" t="str">
        <x:v>F-LOG-001</x:v>
      </x:c>
      <x:c r="B103" s="411" t="str">
        <x:v>v0.2.1</x:v>
      </x:c>
      <x:c r="C103" s="411" t="str">
        <x:v>Data</x:v>
      </x:c>
      <x:c r="D103" s="411" t="str">
        <x:v>Unified run and evidence schema</x:v>
      </x:c>
      <x:c r="E103" s="411" t="str">
        <x:v>Standardize IDs, timestamps, commits, config hashes, seeds, metrics, and evidence.</x:v>
      </x:c>
      <x:c r="F103" s="411" t="str">
        <x:v>REQ-099</x:v>
      </x:c>
      <x:c r="G103" s="411" t="str">
        <x:v>Critical</x:v>
      </x:c>
      <x:c r="H103" s="411" t="str">
        <x:v>Devansh</x:v>
      </x:c>
      <x:c r="I103" s="488" t="str">
        <x:v>Backlog</x:v>
      </x:c>
      <x:c r="J103" s="414" t="n">
        <x:f>IF(I103="Done",1,IF(I103="In Review",0.8,IF(I103="In Progress",0.5,IF(I103="Blocked",0.35,IF(I103="Ready",0.1,0)))))</x:f>
        <x:v>0</x:v>
      </x:c>
      <x:c r="K103" s="460" t="n">
        <x:v>46253</x:v>
      </x:c>
      <x:c r="L103" s="460" t="n">
        <x:v>46255</x:v>
      </x:c>
      <x:c r="M103" s="460"/>
      <x:c r="N103" s="411" t="str"/>
      <x:c r="O103" s="411" t="str">
        <x:v>Acceptance test passes; failure path is verified; regression suite remains green.</x:v>
      </x:c>
      <x:c r="P103" s="464" t="n">
        <x:f>COUNTIF(Test_Cases!$D$5:$D$1000,A103)</x:f>
        <x:v>2</x:v>
      </x:c>
      <x:c r="Q103" s="464" t="n">
        <x:f>COUNTIFS(Test_Cases!$D$5:$D$1000,A103,Test_Cases!$L$5:$L$1000,"Passed")</x:f>
        <x:v>0</x:v>
      </x:c>
      <x:c r="R103" s="464" t="n">
        <x:f>COUNTIFS(Defects!$E$5:$E$500,A103,Defects!$K$5:$K$500,"&lt;&gt;Closed")</x:f>
        <x:v>0</x:v>
      </x:c>
      <x:c r="S103" s="411" t="str"/>
      <x:c r="T103" s="411" t="str"/>
      <x:c r="U103" s="411" t="str">
        <x:v>f_log_001</x:v>
      </x:c>
      <x:c r="V103" s="373"/>
      <x:c r="W103" s="373"/>
      <x:c r="X103" s="373"/>
      <x:c r="Y103" s="373"/>
      <x:c r="Z103" s="373"/>
    </x:row>
    <x:row r="104">
      <x:c r="A104" s="411" t="str">
        <x:v>F-LOG-002</x:v>
      </x:c>
      <x:c r="B104" s="411" t="str">
        <x:v>v0.2.1</x:v>
      </x:c>
      <x:c r="C104" s="411" t="str">
        <x:v>Data</x:v>
      </x:c>
      <x:c r="D104" s="411" t="str">
        <x:v>Structured ROS/event logging</x:v>
      </x:c>
      <x:c r="E104" s="411" t="str">
        <x:v>Emit machine-readable lifecycle, readiness, fault, metric, and requirement events.</x:v>
      </x:c>
      <x:c r="F104" s="411" t="str">
        <x:v>REQ-100</x:v>
      </x:c>
      <x:c r="G104" s="411" t="str">
        <x:v>High</x:v>
      </x:c>
      <x:c r="H104" s="411" t="str">
        <x:v>Devansh</x:v>
      </x:c>
      <x:c r="I104" s="488" t="str">
        <x:v>Backlog</x:v>
      </x:c>
      <x:c r="J104" s="414" t="n">
        <x:f>IF(I104="Done",1,IF(I104="In Review",0.8,IF(I104="In Progress",0.5,IF(I104="Blocked",0.35,IF(I104="Ready",0.1,0)))))</x:f>
        <x:v>0</x:v>
      </x:c>
      <x:c r="K104" s="460" t="n">
        <x:v>46253</x:v>
      </x:c>
      <x:c r="L104" s="460" t="n">
        <x:v>46255</x:v>
      </x:c>
      <x:c r="M104" s="460"/>
      <x:c r="N104" s="411" t="str"/>
      <x:c r="O104" s="411" t="str">
        <x:v>Nominal and negative tests pass; behavior is documented and reproducible.</x:v>
      </x:c>
      <x:c r="P104" s="464" t="n">
        <x:f>COUNTIF(Test_Cases!$D$5:$D$1000,A104)</x:f>
        <x:v>1</x:v>
      </x:c>
      <x:c r="Q104" s="464" t="n">
        <x:f>COUNTIFS(Test_Cases!$D$5:$D$1000,A104,Test_Cases!$L$5:$L$1000,"Passed")</x:f>
        <x:v>0</x:v>
      </x:c>
      <x:c r="R104" s="464" t="n">
        <x:f>COUNTIFS(Defects!$E$5:$E$500,A104,Defects!$K$5:$K$500,"&lt;&gt;Closed")</x:f>
        <x:v>0</x:v>
      </x:c>
      <x:c r="S104" s="411" t="str"/>
      <x:c r="T104" s="411" t="str"/>
      <x:c r="U104" s="411" t="str">
        <x:v>f_log_002</x:v>
      </x:c>
      <x:c r="V104" s="373"/>
      <x:c r="W104" s="373"/>
      <x:c r="X104" s="373"/>
      <x:c r="Y104" s="373"/>
      <x:c r="Z104" s="373"/>
    </x:row>
    <x:row r="105">
      <x:c r="A105" s="411" t="str">
        <x:v>F-LOG-003</x:v>
      </x:c>
      <x:c r="B105" s="411" t="str">
        <x:v>v0.2.1</x:v>
      </x:c>
      <x:c r="C105" s="411" t="str">
        <x:v>Data</x:v>
      </x:c>
      <x:c r="D105" s="411" t="str">
        <x:v>Schema validation</x:v>
      </x:c>
      <x:c r="E105" s="411" t="str">
        <x:v>Validate records before storage or dashboard ingestion.</x:v>
      </x:c>
      <x:c r="F105" s="411" t="str">
        <x:v>REQ-101</x:v>
      </x:c>
      <x:c r="G105" s="411" t="str">
        <x:v>High</x:v>
      </x:c>
      <x:c r="H105" s="411" t="str">
        <x:v>Devansh</x:v>
      </x:c>
      <x:c r="I105" s="488" t="str">
        <x:v>Backlog</x:v>
      </x:c>
      <x:c r="J105" s="414" t="n">
        <x:f>IF(I105="Done",1,IF(I105="In Review",0.8,IF(I105="In Progress",0.5,IF(I105="Blocked",0.35,IF(I105="Ready",0.1,0)))))</x:f>
        <x:v>0</x:v>
      </x:c>
      <x:c r="K105" s="460" t="n">
        <x:v>46253</x:v>
      </x:c>
      <x:c r="L105" s="460" t="n">
        <x:v>46255</x:v>
      </x:c>
      <x:c r="M105" s="460"/>
      <x:c r="N105" s="411" t="str"/>
      <x:c r="O105" s="411" t="str">
        <x:v>Nominal and negative tests pass; behavior is documented and reproducible.</x:v>
      </x:c>
      <x:c r="P105" s="464" t="n">
        <x:f>COUNTIF(Test_Cases!$D$5:$D$1000,A105)</x:f>
        <x:v>1</x:v>
      </x:c>
      <x:c r="Q105" s="464" t="n">
        <x:f>COUNTIFS(Test_Cases!$D$5:$D$1000,A105,Test_Cases!$L$5:$L$1000,"Passed")</x:f>
        <x:v>0</x:v>
      </x:c>
      <x:c r="R105" s="464" t="n">
        <x:f>COUNTIFS(Defects!$E$5:$E$500,A105,Defects!$K$5:$K$500,"&lt;&gt;Closed")</x:f>
        <x:v>0</x:v>
      </x:c>
      <x:c r="S105" s="411" t="str"/>
      <x:c r="T105" s="411" t="str"/>
      <x:c r="U105" s="411" t="str">
        <x:v>f_log_003</x:v>
      </x:c>
      <x:c r="V105" s="373"/>
      <x:c r="W105" s="373"/>
      <x:c r="X105" s="373"/>
      <x:c r="Y105" s="373"/>
      <x:c r="Z105" s="373"/>
    </x:row>
    <x:row r="106">
      <x:c r="A106" s="411" t="str">
        <x:v>F-SCEN-001</x:v>
      </x:c>
      <x:c r="B106" s="411" t="str">
        <x:v>v0.2.2</x:v>
      </x:c>
      <x:c r="C106" s="411" t="str">
        <x:v>Scenario</x:v>
      </x:c>
      <x:c r="D106" s="411" t="str">
        <x:v>Scenario definition schema</x:v>
      </x:c>
      <x:c r="E106" s="411" t="str">
        <x:v>Define world, start, goal, mode, profile, faults, metrics, and acceptance criteria.</x:v>
      </x:c>
      <x:c r="F106" s="411" t="str">
        <x:v>REQ-102</x:v>
      </x:c>
      <x:c r="G106" s="411" t="str">
        <x:v>Critical</x:v>
      </x:c>
      <x:c r="H106" s="411" t="str">
        <x:v>Devansh</x:v>
      </x:c>
      <x:c r="I106" s="488" t="str">
        <x:v>Backlog</x:v>
      </x:c>
      <x:c r="J106" s="414" t="n">
        <x:f>IF(I106="Done",1,IF(I106="In Review",0.8,IF(I106="In Progress",0.5,IF(I106="Blocked",0.35,IF(I106="Ready",0.1,0)))))</x:f>
        <x:v>0</x:v>
      </x:c>
      <x:c r="K106" s="460" t="n">
        <x:v>46256</x:v>
      </x:c>
      <x:c r="L106" s="460" t="n">
        <x:v>46259</x:v>
      </x:c>
      <x:c r="M106" s="460"/>
      <x:c r="N106" s="411" t="str"/>
      <x:c r="O106" s="411" t="str">
        <x:v>Acceptance test passes; failure path is verified; regression suite remains green.</x:v>
      </x:c>
      <x:c r="P106" s="464" t="n">
        <x:f>COUNTIF(Test_Cases!$D$5:$D$1000,A106)</x:f>
        <x:v>2</x:v>
      </x:c>
      <x:c r="Q106" s="464" t="n">
        <x:f>COUNTIFS(Test_Cases!$D$5:$D$1000,A106,Test_Cases!$L$5:$L$1000,"Passed")</x:f>
        <x:v>0</x:v>
      </x:c>
      <x:c r="R106" s="464" t="n">
        <x:f>COUNTIFS(Defects!$E$5:$E$500,A106,Defects!$K$5:$K$500,"&lt;&gt;Closed")</x:f>
        <x:v>0</x:v>
      </x:c>
      <x:c r="S106" s="411" t="str"/>
      <x:c r="T106" s="411" t="str"/>
      <x:c r="U106" s="411" t="str">
        <x:v>f_scen_001</x:v>
      </x:c>
      <x:c r="V106" s="373"/>
      <x:c r="W106" s="373"/>
      <x:c r="X106" s="373"/>
      <x:c r="Y106" s="373"/>
      <x:c r="Z106" s="373"/>
    </x:row>
    <x:row r="107">
      <x:c r="A107" s="411" t="str">
        <x:v>F-SCEN-002</x:v>
      </x:c>
      <x:c r="B107" s="411" t="str">
        <x:v>v0.2.2</x:v>
      </x:c>
      <x:c r="C107" s="411" t="str">
        <x:v>Scenario</x:v>
      </x:c>
      <x:c r="D107" s="411" t="str">
        <x:v>CLI scenario runner</x:v>
      </x:c>
      <x:c r="E107" s="411" t="str">
        <x:v>Provide one-command scenario execution.</x:v>
      </x:c>
      <x:c r="F107" s="411" t="str">
        <x:v>REQ-103</x:v>
      </x:c>
      <x:c r="G107" s="411" t="str">
        <x:v>Critical</x:v>
      </x:c>
      <x:c r="H107" s="411" t="str">
        <x:v>Devansh</x:v>
      </x:c>
      <x:c r="I107" s="488" t="str">
        <x:v>Backlog</x:v>
      </x:c>
      <x:c r="J107" s="414" t="n">
        <x:f>IF(I107="Done",1,IF(I107="In Review",0.8,IF(I107="In Progress",0.5,IF(I107="Blocked",0.35,IF(I107="Ready",0.1,0)))))</x:f>
        <x:v>0</x:v>
      </x:c>
      <x:c r="K107" s="460" t="n">
        <x:v>46256</x:v>
      </x:c>
      <x:c r="L107" s="460" t="n">
        <x:v>46259</x:v>
      </x:c>
      <x:c r="M107" s="460"/>
      <x:c r="N107" s="411" t="str"/>
      <x:c r="O107" s="411" t="str">
        <x:v>Acceptance test passes; failure path is verified; regression suite remains green.</x:v>
      </x:c>
      <x:c r="P107" s="464" t="n">
        <x:f>COUNTIF(Test_Cases!$D$5:$D$1000,A107)</x:f>
        <x:v>2</x:v>
      </x:c>
      <x:c r="Q107" s="464" t="n">
        <x:f>COUNTIFS(Test_Cases!$D$5:$D$1000,A107,Test_Cases!$L$5:$L$1000,"Passed")</x:f>
        <x:v>0</x:v>
      </x:c>
      <x:c r="R107" s="464" t="n">
        <x:f>COUNTIFS(Defects!$E$5:$E$500,A107,Defects!$K$5:$K$500,"&lt;&gt;Closed")</x:f>
        <x:v>1</x:v>
      </x:c>
      <x:c r="S107" s="411" t="str"/>
      <x:c r="T107" s="411" t="str"/>
      <x:c r="U107" s="411" t="str">
        <x:v>f_scen_002</x:v>
      </x:c>
      <x:c r="V107" s="373"/>
      <x:c r="W107" s="373"/>
      <x:c r="X107" s="373"/>
      <x:c r="Y107" s="373"/>
      <x:c r="Z107" s="373"/>
    </x:row>
    <x:row r="108">
      <x:c r="A108" s="411" t="str">
        <x:v>F-SCEN-003</x:v>
      </x:c>
      <x:c r="B108" s="411" t="str">
        <x:v>v0.2.2</x:v>
      </x:c>
      <x:c r="C108" s="411" t="str">
        <x:v>Scenario</x:v>
      </x:c>
      <x:c r="D108" s="411" t="str">
        <x:v>Backend scenario service</x:v>
      </x:c>
      <x:c r="E108" s="411" t="str">
        <x:v>Expose the same runner contract to the future JS interface.</x:v>
      </x:c>
      <x:c r="F108" s="411" t="str">
        <x:v>REQ-104</x:v>
      </x:c>
      <x:c r="G108" s="411" t="str">
        <x:v>High</x:v>
      </x:c>
      <x:c r="H108" s="411" t="str">
        <x:v>Devansh</x:v>
      </x:c>
      <x:c r="I108" s="488" t="str">
        <x:v>Backlog</x:v>
      </x:c>
      <x:c r="J108" s="414" t="n">
        <x:f>IF(I108="Done",1,IF(I108="In Review",0.8,IF(I108="In Progress",0.5,IF(I108="Blocked",0.35,IF(I108="Ready",0.1,0)))))</x:f>
        <x:v>0</x:v>
      </x:c>
      <x:c r="K108" s="460" t="n">
        <x:v>46256</x:v>
      </x:c>
      <x:c r="L108" s="460" t="n">
        <x:v>46259</x:v>
      </x:c>
      <x:c r="M108" s="460"/>
      <x:c r="N108" s="411" t="str"/>
      <x:c r="O108" s="411" t="str">
        <x:v>Nominal and negative tests pass; behavior is documented and reproducible.</x:v>
      </x:c>
      <x:c r="P108" s="464" t="n">
        <x:f>COUNTIF(Test_Cases!$D$5:$D$1000,A108)</x:f>
        <x:v>1</x:v>
      </x:c>
      <x:c r="Q108" s="464" t="n">
        <x:f>COUNTIFS(Test_Cases!$D$5:$D$1000,A108,Test_Cases!$L$5:$L$1000,"Passed")</x:f>
        <x:v>0</x:v>
      </x:c>
      <x:c r="R108" s="464" t="n">
        <x:f>COUNTIFS(Defects!$E$5:$E$500,A108,Defects!$K$5:$K$500,"&lt;&gt;Closed")</x:f>
        <x:v>0</x:v>
      </x:c>
      <x:c r="S108" s="411" t="str"/>
      <x:c r="T108" s="411" t="str"/>
      <x:c r="U108" s="411" t="str">
        <x:v>f_scen_003</x:v>
      </x:c>
      <x:c r="V108" s="373"/>
      <x:c r="W108" s="373"/>
      <x:c r="X108" s="373"/>
      <x:c r="Y108" s="373"/>
      <x:c r="Z108" s="373"/>
    </x:row>
    <x:row r="109">
      <x:c r="A109" s="411" t="str">
        <x:v>F-SCEN-004</x:v>
      </x:c>
      <x:c r="B109" s="411" t="str">
        <x:v>v0.2.2</x:v>
      </x:c>
      <x:c r="C109" s="411" t="str">
        <x:v>Scenario</x:v>
      </x:c>
      <x:c r="D109" s="411" t="str">
        <x:v>Clean scenario shutdown</x:v>
      </x:c>
      <x:c r="E109" s="411" t="str">
        <x:v>Guarantee evidence flush and process cleanup after every run.</x:v>
      </x:c>
      <x:c r="F109" s="411" t="str">
        <x:v>REQ-105</x:v>
      </x:c>
      <x:c r="G109" s="411" t="str">
        <x:v>Critical</x:v>
      </x:c>
      <x:c r="H109" s="411" t="str">
        <x:v>Devansh</x:v>
      </x:c>
      <x:c r="I109" s="488" t="str">
        <x:v>Backlog</x:v>
      </x:c>
      <x:c r="J109" s="414" t="n">
        <x:f>IF(I109="Done",1,IF(I109="In Review",0.8,IF(I109="In Progress",0.5,IF(I109="Blocked",0.35,IF(I109="Ready",0.1,0)))))</x:f>
        <x:v>0</x:v>
      </x:c>
      <x:c r="K109" s="460" t="n">
        <x:v>46256</x:v>
      </x:c>
      <x:c r="L109" s="460" t="n">
        <x:v>46259</x:v>
      </x:c>
      <x:c r="M109" s="460"/>
      <x:c r="N109" s="411" t="str"/>
      <x:c r="O109" s="411" t="str">
        <x:v>Acceptance test passes; failure path is verified; regression suite remains green.</x:v>
      </x:c>
      <x:c r="P109" s="464" t="n">
        <x:f>COUNTIF(Test_Cases!$D$5:$D$1000,A109)</x:f>
        <x:v>2</x:v>
      </x:c>
      <x:c r="Q109" s="464" t="n">
        <x:f>COUNTIFS(Test_Cases!$D$5:$D$1000,A109,Test_Cases!$L$5:$L$1000,"Passed")</x:f>
        <x:v>0</x:v>
      </x:c>
      <x:c r="R109" s="464" t="n">
        <x:f>COUNTIFS(Defects!$E$5:$E$500,A109,Defects!$K$5:$K$500,"&lt;&gt;Closed")</x:f>
        <x:v>0</x:v>
      </x:c>
      <x:c r="S109" s="411" t="str"/>
      <x:c r="T109" s="411" t="str"/>
      <x:c r="U109" s="411" t="str">
        <x:v>f_scen_004</x:v>
      </x:c>
      <x:c r="V109" s="373"/>
      <x:c r="W109" s="373"/>
      <x:c r="X109" s="373"/>
      <x:c r="Y109" s="373"/>
      <x:c r="Z109" s="373"/>
    </x:row>
    <x:row r="110">
      <x:c r="A110" s="411" t="str">
        <x:v>F-MET-001</x:v>
      </x:c>
      <x:c r="B110" s="411" t="str">
        <x:v>v0.2.3</x:v>
      </x:c>
      <x:c r="C110" s="411" t="str">
        <x:v>Metrics</x:v>
      </x:c>
      <x:c r="D110" s="411" t="str">
        <x:v>Localization metrics engine</x:v>
      </x:c>
      <x:c r="E110" s="411" t="str">
        <x:v>Compute position/yaw error, RMSE, convergence, and recovery.</x:v>
      </x:c>
      <x:c r="F110" s="411" t="str">
        <x:v>REQ-106</x:v>
      </x:c>
      <x:c r="G110" s="411" t="str">
        <x:v>Critical</x:v>
      </x:c>
      <x:c r="H110" s="411" t="str">
        <x:v>Devansh</x:v>
      </x:c>
      <x:c r="I110" s="488" t="str">
        <x:v>Backlog</x:v>
      </x:c>
      <x:c r="J110" s="414" t="n">
        <x:f>IF(I110="Done",1,IF(I110="In Review",0.8,IF(I110="In Progress",0.5,IF(I110="Blocked",0.35,IF(I110="Ready",0.1,0)))))</x:f>
        <x:v>0</x:v>
      </x:c>
      <x:c r="K110" s="460" t="n">
        <x:v>46260</x:v>
      </x:c>
      <x:c r="L110" s="460" t="n">
        <x:v>46263</x:v>
      </x:c>
      <x:c r="M110" s="460"/>
      <x:c r="N110" s="411" t="str"/>
      <x:c r="O110" s="411" t="str">
        <x:v>Acceptance test passes; failure path is verified; regression suite remains green.</x:v>
      </x:c>
      <x:c r="P110" s="464" t="n">
        <x:f>COUNTIF(Test_Cases!$D$5:$D$1000,A110)</x:f>
        <x:v>2</x:v>
      </x:c>
      <x:c r="Q110" s="464" t="n">
        <x:f>COUNTIFS(Test_Cases!$D$5:$D$1000,A110,Test_Cases!$L$5:$L$1000,"Passed")</x:f>
        <x:v>0</x:v>
      </x:c>
      <x:c r="R110" s="464" t="n">
        <x:f>COUNTIFS(Defects!$E$5:$E$500,A110,Defects!$K$5:$K$500,"&lt;&gt;Closed")</x:f>
        <x:v>0</x:v>
      </x:c>
      <x:c r="S110" s="411" t="str"/>
      <x:c r="T110" s="411" t="str"/>
      <x:c r="U110" s="411" t="str">
        <x:v>f_met_001</x:v>
      </x:c>
      <x:c r="V110" s="373"/>
      <x:c r="W110" s="373"/>
      <x:c r="X110" s="373"/>
      <x:c r="Y110" s="373"/>
      <x:c r="Z110" s="373"/>
    </x:row>
    <x:row r="111">
      <x:c r="A111" s="411" t="str">
        <x:v>F-MET-002</x:v>
      </x:c>
      <x:c r="B111" s="411" t="str">
        <x:v>v0.2.3</x:v>
      </x:c>
      <x:c r="C111" s="411" t="str">
        <x:v>Metrics</x:v>
      </x:c>
      <x:c r="D111" s="411" t="str">
        <x:v>Navigation metrics engine</x:v>
      </x:c>
      <x:c r="E111" s="411" t="str">
        <x:v>Compute success, time, path, clearance, replans, oscillation, and final error.</x:v>
      </x:c>
      <x:c r="F111" s="411" t="str">
        <x:v>REQ-107</x:v>
      </x:c>
      <x:c r="G111" s="411" t="str">
        <x:v>Critical</x:v>
      </x:c>
      <x:c r="H111" s="411" t="str">
        <x:v>Devansh</x:v>
      </x:c>
      <x:c r="I111" s="488" t="str">
        <x:v>Backlog</x:v>
      </x:c>
      <x:c r="J111" s="414" t="n">
        <x:f>IF(I111="Done",1,IF(I111="In Review",0.8,IF(I111="In Progress",0.5,IF(I111="Blocked",0.35,IF(I111="Ready",0.1,0)))))</x:f>
        <x:v>0</x:v>
      </x:c>
      <x:c r="K111" s="460" t="n">
        <x:v>46260</x:v>
      </x:c>
      <x:c r="L111" s="460" t="n">
        <x:v>46263</x:v>
      </x:c>
      <x:c r="M111" s="460"/>
      <x:c r="N111" s="411" t="str"/>
      <x:c r="O111" s="411" t="str">
        <x:v>Acceptance test passes; failure path is verified; regression suite remains green.</x:v>
      </x:c>
      <x:c r="P111" s="464" t="n">
        <x:f>COUNTIF(Test_Cases!$D$5:$D$1000,A111)</x:f>
        <x:v>2</x:v>
      </x:c>
      <x:c r="Q111" s="464" t="n">
        <x:f>COUNTIFS(Test_Cases!$D$5:$D$1000,A111,Test_Cases!$L$5:$L$1000,"Passed")</x:f>
        <x:v>0</x:v>
      </x:c>
      <x:c r="R111" s="464" t="n">
        <x:f>COUNTIFS(Defects!$E$5:$E$500,A111,Defects!$K$5:$K$500,"&lt;&gt;Closed")</x:f>
        <x:v>0</x:v>
      </x:c>
      <x:c r="S111" s="411" t="str"/>
      <x:c r="T111" s="411" t="str"/>
      <x:c r="U111" s="411" t="str">
        <x:v>f_met_002</x:v>
      </x:c>
      <x:c r="V111" s="373"/>
      <x:c r="W111" s="373"/>
      <x:c r="X111" s="373"/>
      <x:c r="Y111" s="373"/>
      <x:c r="Z111" s="373"/>
    </x:row>
    <x:row r="112">
      <x:c r="A112" s="411" t="str">
        <x:v>F-MET-003</x:v>
      </x:c>
      <x:c r="B112" s="411" t="str">
        <x:v>v0.2.3</x:v>
      </x:c>
      <x:c r="C112" s="411" t="str">
        <x:v>Metrics</x:v>
      </x:c>
      <x:c r="D112" s="411" t="str">
        <x:v>Safety and performance metrics</x:v>
      </x:c>
      <x:c r="E112" s="411" t="str">
        <x:v>Compute response latency, speed violations, CPU, memory, and real-time factor.</x:v>
      </x:c>
      <x:c r="F112" s="411" t="str">
        <x:v>REQ-108</x:v>
      </x:c>
      <x:c r="G112" s="411" t="str">
        <x:v>High</x:v>
      </x:c>
      <x:c r="H112" s="411" t="str">
        <x:v>Devansh</x:v>
      </x:c>
      <x:c r="I112" s="488" t="str">
        <x:v>Backlog</x:v>
      </x:c>
      <x:c r="J112" s="414" t="n">
        <x:f>IF(I112="Done",1,IF(I112="In Review",0.8,IF(I112="In Progress",0.5,IF(I112="Blocked",0.35,IF(I112="Ready",0.1,0)))))</x:f>
        <x:v>0</x:v>
      </x:c>
      <x:c r="K112" s="460" t="n">
        <x:v>46260</x:v>
      </x:c>
      <x:c r="L112" s="460" t="n">
        <x:v>46263</x:v>
      </x:c>
      <x:c r="M112" s="460"/>
      <x:c r="N112" s="411" t="str"/>
      <x:c r="O112" s="411" t="str">
        <x:v>Nominal and negative tests pass; behavior is documented and reproducible.</x:v>
      </x:c>
      <x:c r="P112" s="464" t="n">
        <x:f>COUNTIF(Test_Cases!$D$5:$D$1000,A112)</x:f>
        <x:v>1</x:v>
      </x:c>
      <x:c r="Q112" s="464" t="n">
        <x:f>COUNTIFS(Test_Cases!$D$5:$D$1000,A112,Test_Cases!$L$5:$L$1000,"Passed")</x:f>
        <x:v>0</x:v>
      </x:c>
      <x:c r="R112" s="464" t="n">
        <x:f>COUNTIFS(Defects!$E$5:$E$500,A112,Defects!$K$5:$K$500,"&lt;&gt;Closed")</x:f>
        <x:v>0</x:v>
      </x:c>
      <x:c r="S112" s="411" t="str"/>
      <x:c r="T112" s="411" t="str"/>
      <x:c r="U112" s="411" t="str">
        <x:v>f_met_003</x:v>
      </x:c>
      <x:c r="V112" s="373"/>
      <x:c r="W112" s="373"/>
      <x:c r="X112" s="373"/>
      <x:c r="Y112" s="373"/>
      <x:c r="Z112" s="373"/>
    </x:row>
    <x:row r="113">
      <x:c r="A113" s="411" t="str">
        <x:v>F-MET-004</x:v>
      </x:c>
      <x:c r="B113" s="411" t="str">
        <x:v>v0.2.3</x:v>
      </x:c>
      <x:c r="C113" s="411" t="str">
        <x:v>Verification</x:v>
      </x:c>
      <x:c r="D113" s="411" t="str">
        <x:v>Metric unit and reference tests</x:v>
      </x:c>
      <x:c r="E113" s="411" t="str">
        <x:v>Validate metric calculations against known datasets.</x:v>
      </x:c>
      <x:c r="F113" s="411" t="str">
        <x:v>REQ-109</x:v>
      </x:c>
      <x:c r="G113" s="411" t="str">
        <x:v>Critical</x:v>
      </x:c>
      <x:c r="H113" s="411" t="str">
        <x:v>Devansh</x:v>
      </x:c>
      <x:c r="I113" s="488" t="str">
        <x:v>Backlog</x:v>
      </x:c>
      <x:c r="J113" s="414" t="n">
        <x:f>IF(I113="Done",1,IF(I113="In Review",0.8,IF(I113="In Progress",0.5,IF(I113="Blocked",0.35,IF(I113="Ready",0.1,0)))))</x:f>
        <x:v>0</x:v>
      </x:c>
      <x:c r="K113" s="460" t="n">
        <x:v>46260</x:v>
      </x:c>
      <x:c r="L113" s="460" t="n">
        <x:v>46263</x:v>
      </x:c>
      <x:c r="M113" s="460"/>
      <x:c r="N113" s="411" t="str"/>
      <x:c r="O113" s="411" t="str">
        <x:v>Acceptance test passes; failure path is verified; regression suite remains green.</x:v>
      </x:c>
      <x:c r="P113" s="464" t="n">
        <x:f>COUNTIF(Test_Cases!$D$5:$D$1000,A113)</x:f>
        <x:v>2</x:v>
      </x:c>
      <x:c r="Q113" s="464" t="n">
        <x:f>COUNTIFS(Test_Cases!$D$5:$D$1000,A113,Test_Cases!$L$5:$L$1000,"Passed")</x:f>
        <x:v>0</x:v>
      </x:c>
      <x:c r="R113" s="464" t="n">
        <x:f>COUNTIFS(Defects!$E$5:$E$500,A113,Defects!$K$5:$K$500,"&lt;&gt;Closed")</x:f>
        <x:v>0</x:v>
      </x:c>
      <x:c r="S113" s="411" t="str"/>
      <x:c r="T113" s="411" t="str"/>
      <x:c r="U113" s="411" t="str">
        <x:v>f_met_004</x:v>
      </x:c>
      <x:c r="V113" s="373"/>
      <x:c r="W113" s="373"/>
      <x:c r="X113" s="373"/>
      <x:c r="Y113" s="373"/>
      <x:c r="Z113" s="373"/>
    </x:row>
    <x:row r="114">
      <x:c r="A114" s="411" t="str">
        <x:v>F-BATCH-001</x:v>
      </x:c>
      <x:c r="B114" s="411" t="str">
        <x:v>v0.2.4</x:v>
      </x:c>
      <x:c r="C114" s="411" t="str">
        <x:v>Experimentation</x:v>
      </x:c>
      <x:c r="D114" s="411" t="str">
        <x:v>Multi-seed batch runner</x:v>
      </x:c>
      <x:c r="E114" s="411" t="str">
        <x:v>Execute repeated runs using controlled random seeds.</x:v>
      </x:c>
      <x:c r="F114" s="411" t="str">
        <x:v>REQ-110</x:v>
      </x:c>
      <x:c r="G114" s="411" t="str">
        <x:v>Critical</x:v>
      </x:c>
      <x:c r="H114" s="411" t="str">
        <x:v>Devansh</x:v>
      </x:c>
      <x:c r="I114" s="488" t="str">
        <x:v>Backlog</x:v>
      </x:c>
      <x:c r="J114" s="414" t="n">
        <x:f>IF(I114="Done",1,IF(I114="In Review",0.8,IF(I114="In Progress",0.5,IF(I114="Blocked",0.35,IF(I114="Ready",0.1,0)))))</x:f>
        <x:v>0</x:v>
      </x:c>
      <x:c r="K114" s="460" t="n">
        <x:v>46264</x:v>
      </x:c>
      <x:c r="L114" s="460" t="n">
        <x:v>46267</x:v>
      </x:c>
      <x:c r="M114" s="460"/>
      <x:c r="N114" s="411" t="str"/>
      <x:c r="O114" s="411" t="str">
        <x:v>Acceptance test passes; failure path is verified; regression suite remains green.</x:v>
      </x:c>
      <x:c r="P114" s="464" t="n">
        <x:f>COUNTIF(Test_Cases!$D$5:$D$1000,A114)</x:f>
        <x:v>2</x:v>
      </x:c>
      <x:c r="Q114" s="464" t="n">
        <x:f>COUNTIFS(Test_Cases!$D$5:$D$1000,A114,Test_Cases!$L$5:$L$1000,"Passed")</x:f>
        <x:v>0</x:v>
      </x:c>
      <x:c r="R114" s="464" t="n">
        <x:f>COUNTIFS(Defects!$E$5:$E$500,A114,Defects!$K$5:$K$500,"&lt;&gt;Closed")</x:f>
        <x:v>0</x:v>
      </x:c>
      <x:c r="S114" s="411" t="str"/>
      <x:c r="T114" s="411" t="str"/>
      <x:c r="U114" s="411" t="str">
        <x:v>f_batch_001</x:v>
      </x:c>
      <x:c r="V114" s="373"/>
      <x:c r="W114" s="373"/>
      <x:c r="X114" s="373"/>
      <x:c r="Y114" s="373"/>
      <x:c r="Z114" s="373"/>
    </x:row>
    <x:row r="115">
      <x:c r="A115" s="411" t="str">
        <x:v>F-BATCH-002</x:v>
      </x:c>
      <x:c r="B115" s="411" t="str">
        <x:v>v0.2.4</x:v>
      </x:c>
      <x:c r="C115" s="411" t="str">
        <x:v>Experimentation</x:v>
      </x:c>
      <x:c r="D115" s="411" t="str">
        <x:v>Parameter sweep runner</x:v>
      </x:c>
      <x:c r="E115" s="411" t="str">
        <x:v>Sweep profiles and parameters while preserving traceability.</x:v>
      </x:c>
      <x:c r="F115" s="411" t="str">
        <x:v>REQ-111</x:v>
      </x:c>
      <x:c r="G115" s="411" t="str">
        <x:v>High</x:v>
      </x:c>
      <x:c r="H115" s="411" t="str">
        <x:v>Devansh</x:v>
      </x:c>
      <x:c r="I115" s="488" t="str">
        <x:v>Backlog</x:v>
      </x:c>
      <x:c r="J115" s="414" t="n">
        <x:f>IF(I115="Done",1,IF(I115="In Review",0.8,IF(I115="In Progress",0.5,IF(I115="Blocked",0.35,IF(I115="Ready",0.1,0)))))</x:f>
        <x:v>0</x:v>
      </x:c>
      <x:c r="K115" s="460" t="n">
        <x:v>46264</x:v>
      </x:c>
      <x:c r="L115" s="460" t="n">
        <x:v>46267</x:v>
      </x:c>
      <x:c r="M115" s="460"/>
      <x:c r="N115" s="411" t="str"/>
      <x:c r="O115" s="411" t="str">
        <x:v>Nominal and negative tests pass; behavior is documented and reproducible.</x:v>
      </x:c>
      <x:c r="P115" s="464" t="n">
        <x:f>COUNTIF(Test_Cases!$D$5:$D$1000,A115)</x:f>
        <x:v>1</x:v>
      </x:c>
      <x:c r="Q115" s="464" t="n">
        <x:f>COUNTIFS(Test_Cases!$D$5:$D$1000,A115,Test_Cases!$L$5:$L$1000,"Passed")</x:f>
        <x:v>0</x:v>
      </x:c>
      <x:c r="R115" s="464" t="n">
        <x:f>COUNTIFS(Defects!$E$5:$E$500,A115,Defects!$K$5:$K$500,"&lt;&gt;Closed")</x:f>
        <x:v>0</x:v>
      </x:c>
      <x:c r="S115" s="411" t="str"/>
      <x:c r="T115" s="411" t="str"/>
      <x:c r="U115" s="411" t="str">
        <x:v>f_batch_002</x:v>
      </x:c>
      <x:c r="V115" s="373"/>
      <x:c r="W115" s="373"/>
      <x:c r="X115" s="373"/>
      <x:c r="Y115" s="373"/>
      <x:c r="Z115" s="373"/>
    </x:row>
    <x:row r="116">
      <x:c r="A116" s="411" t="str">
        <x:v>F-BATCH-003</x:v>
      </x:c>
      <x:c r="B116" s="411" t="str">
        <x:v>v0.2.4</x:v>
      </x:c>
      <x:c r="C116" s="411" t="str">
        <x:v>Experimentation</x:v>
      </x:c>
      <x:c r="D116" s="411" t="str">
        <x:v>Noise/fault sweep runner</x:v>
      </x:c>
      <x:c r="E116" s="411" t="str">
        <x:v>Sweep sensor noise, delays, and fault intensities.</x:v>
      </x:c>
      <x:c r="F116" s="411" t="str">
        <x:v>REQ-112</x:v>
      </x:c>
      <x:c r="G116" s="411" t="str">
        <x:v>High</x:v>
      </x:c>
      <x:c r="H116" s="411" t="str">
        <x:v>Devansh</x:v>
      </x:c>
      <x:c r="I116" s="488" t="str">
        <x:v>Backlog</x:v>
      </x:c>
      <x:c r="J116" s="414" t="n">
        <x:f>IF(I116="Done",1,IF(I116="In Review",0.8,IF(I116="In Progress",0.5,IF(I116="Blocked",0.35,IF(I116="Ready",0.1,0)))))</x:f>
        <x:v>0</x:v>
      </x:c>
      <x:c r="K116" s="460" t="n">
        <x:v>46264</x:v>
      </x:c>
      <x:c r="L116" s="460" t="n">
        <x:v>46267</x:v>
      </x:c>
      <x:c r="M116" s="460"/>
      <x:c r="N116" s="411" t="str"/>
      <x:c r="O116" s="411" t="str">
        <x:v>Nominal and negative tests pass; behavior is documented and reproducible.</x:v>
      </x:c>
      <x:c r="P116" s="464" t="n">
        <x:f>COUNTIF(Test_Cases!$D$5:$D$1000,A116)</x:f>
        <x:v>1</x:v>
      </x:c>
      <x:c r="Q116" s="464" t="n">
        <x:f>COUNTIFS(Test_Cases!$D$5:$D$1000,A116,Test_Cases!$L$5:$L$1000,"Passed")</x:f>
        <x:v>0</x:v>
      </x:c>
      <x:c r="R116" s="464" t="n">
        <x:f>COUNTIFS(Defects!$E$5:$E$500,A116,Defects!$K$5:$K$500,"&lt;&gt;Closed")</x:f>
        <x:v>0</x:v>
      </x:c>
      <x:c r="S116" s="411" t="str"/>
      <x:c r="T116" s="411" t="str"/>
      <x:c r="U116" s="411" t="str">
        <x:v>f_batch_003</x:v>
      </x:c>
      <x:c r="V116" s="373"/>
      <x:c r="W116" s="373"/>
      <x:c r="X116" s="373"/>
      <x:c r="Y116" s="373"/>
      <x:c r="Z116" s="373"/>
    </x:row>
    <x:row r="117">
      <x:c r="A117" s="411" t="str">
        <x:v>F-BATCH-004</x:v>
      </x:c>
      <x:c r="B117" s="411" t="str">
        <x:v>v0.2.4</x:v>
      </x:c>
      <x:c r="C117" s="411" t="str">
        <x:v>Statistics</x:v>
      </x:c>
      <x:c r="D117" s="411" t="str">
        <x:v>Batch statistics</x:v>
      </x:c>
      <x:c r="E117" s="411" t="str">
        <x:v>Calculate distributions, percentiles, success rates, and outliers.</x:v>
      </x:c>
      <x:c r="F117" s="411" t="str">
        <x:v>REQ-113</x:v>
      </x:c>
      <x:c r="G117" s="411" t="str">
        <x:v>Critical</x:v>
      </x:c>
      <x:c r="H117" s="411" t="str">
        <x:v>Devansh</x:v>
      </x:c>
      <x:c r="I117" s="488" t="str">
        <x:v>Backlog</x:v>
      </x:c>
      <x:c r="J117" s="414" t="n">
        <x:f>IF(I117="Done",1,IF(I117="In Review",0.8,IF(I117="In Progress",0.5,IF(I117="Blocked",0.35,IF(I117="Ready",0.1,0)))))</x:f>
        <x:v>0</x:v>
      </x:c>
      <x:c r="K117" s="460" t="n">
        <x:v>46264</x:v>
      </x:c>
      <x:c r="L117" s="460" t="n">
        <x:v>46267</x:v>
      </x:c>
      <x:c r="M117" s="460"/>
      <x:c r="N117" s="411" t="str"/>
      <x:c r="O117" s="411" t="str">
        <x:v>Acceptance test passes; failure path is verified; regression suite remains green.</x:v>
      </x:c>
      <x:c r="P117" s="464" t="n">
        <x:f>COUNTIF(Test_Cases!$D$5:$D$1000,A117)</x:f>
        <x:v>2</x:v>
      </x:c>
      <x:c r="Q117" s="464" t="n">
        <x:f>COUNTIFS(Test_Cases!$D$5:$D$1000,A117,Test_Cases!$L$5:$L$1000,"Passed")</x:f>
        <x:v>0</x:v>
      </x:c>
      <x:c r="R117" s="464" t="n">
        <x:f>COUNTIFS(Defects!$E$5:$E$500,A117,Defects!$K$5:$K$500,"&lt;&gt;Closed")</x:f>
        <x:v>0</x:v>
      </x:c>
      <x:c r="S117" s="411" t="str"/>
      <x:c r="T117" s="411" t="str"/>
      <x:c r="U117" s="411" t="str">
        <x:v>f_batch_004</x:v>
      </x:c>
      <x:c r="V117" s="373"/>
      <x:c r="W117" s="373"/>
      <x:c r="X117" s="373"/>
      <x:c r="Y117" s="373"/>
      <x:c r="Z117" s="373"/>
    </x:row>
    <x:row r="118">
      <x:c r="A118" s="411" t="str">
        <x:v>F-REPORT-001</x:v>
      </x:c>
      <x:c r="B118" s="411" t="str">
        <x:v>v0.2.5</x:v>
      </x:c>
      <x:c r="C118" s="411" t="str">
        <x:v>Reporting</x:v>
      </x:c>
      <x:c r="D118" s="411" t="str">
        <x:v>CSV and JSON summaries</x:v>
      </x:c>
      <x:c r="E118" s="411" t="str">
        <x:v>Generate machine-readable run and release summaries.</x:v>
      </x:c>
      <x:c r="F118" s="411" t="str">
        <x:v>REQ-114</x:v>
      </x:c>
      <x:c r="G118" s="411" t="str">
        <x:v>High</x:v>
      </x:c>
      <x:c r="H118" s="411" t="str">
        <x:v>Devansh</x:v>
      </x:c>
      <x:c r="I118" s="488" t="str">
        <x:v>Backlog</x:v>
      </x:c>
      <x:c r="J118" s="414" t="n">
        <x:f>IF(I118="Done",1,IF(I118="In Review",0.8,IF(I118="In Progress",0.5,IF(I118="Blocked",0.35,IF(I118="Ready",0.1,0)))))</x:f>
        <x:v>0</x:v>
      </x:c>
      <x:c r="K118" s="460" t="n">
        <x:v>46268</x:v>
      </x:c>
      <x:c r="L118" s="460" t="n">
        <x:v>46271</x:v>
      </x:c>
      <x:c r="M118" s="460"/>
      <x:c r="N118" s="411" t="str"/>
      <x:c r="O118" s="411" t="str">
        <x:v>Nominal and negative tests pass; behavior is documented and reproducible.</x:v>
      </x:c>
      <x:c r="P118" s="464" t="n">
        <x:f>COUNTIF(Test_Cases!$D$5:$D$1000,A118)</x:f>
        <x:v>1</x:v>
      </x:c>
      <x:c r="Q118" s="464" t="n">
        <x:f>COUNTIFS(Test_Cases!$D$5:$D$1000,A118,Test_Cases!$L$5:$L$1000,"Passed")</x:f>
        <x:v>0</x:v>
      </x:c>
      <x:c r="R118" s="464" t="n">
        <x:f>COUNTIFS(Defects!$E$5:$E$500,A118,Defects!$K$5:$K$500,"&lt;&gt;Closed")</x:f>
        <x:v>0</x:v>
      </x:c>
      <x:c r="S118" s="411" t="str"/>
      <x:c r="T118" s="411" t="str"/>
      <x:c r="U118" s="411" t="str">
        <x:v>f_report_001</x:v>
      </x:c>
      <x:c r="V118" s="373"/>
      <x:c r="W118" s="373"/>
      <x:c r="X118" s="373"/>
      <x:c r="Y118" s="373"/>
      <x:c r="Z118" s="373"/>
    </x:row>
    <x:row r="119">
      <x:c r="A119" s="411" t="str">
        <x:v>F-REPORT-002</x:v>
      </x:c>
      <x:c r="B119" s="411" t="str">
        <x:v>v0.2.5</x:v>
      </x:c>
      <x:c r="C119" s="411" t="str">
        <x:v>Reporting</x:v>
      </x:c>
      <x:c r="D119" s="411" t="str">
        <x:v>Markdown and HTML reports</x:v>
      </x:c>
      <x:c r="E119" s="411" t="str">
        <x:v>Generate human-readable evidence packages.</x:v>
      </x:c>
      <x:c r="F119" s="411" t="str">
        <x:v>REQ-115</x:v>
      </x:c>
      <x:c r="G119" s="411" t="str">
        <x:v>Critical</x:v>
      </x:c>
      <x:c r="H119" s="411" t="str">
        <x:v>Devansh</x:v>
      </x:c>
      <x:c r="I119" s="488" t="str">
        <x:v>Backlog</x:v>
      </x:c>
      <x:c r="J119" s="414" t="n">
        <x:f>IF(I119="Done",1,IF(I119="In Review",0.8,IF(I119="In Progress",0.5,IF(I119="Blocked",0.35,IF(I119="Ready",0.1,0)))))</x:f>
        <x:v>0</x:v>
      </x:c>
      <x:c r="K119" s="460" t="n">
        <x:v>46268</x:v>
      </x:c>
      <x:c r="L119" s="460" t="n">
        <x:v>46271</x:v>
      </x:c>
      <x:c r="M119" s="460"/>
      <x:c r="N119" s="411" t="str"/>
      <x:c r="O119" s="411" t="str">
        <x:v>Acceptance test passes; failure path is verified; regression suite remains green.</x:v>
      </x:c>
      <x:c r="P119" s="464" t="n">
        <x:f>COUNTIF(Test_Cases!$D$5:$D$1000,A119)</x:f>
        <x:v>2</x:v>
      </x:c>
      <x:c r="Q119" s="464" t="n">
        <x:f>COUNTIFS(Test_Cases!$D$5:$D$1000,A119,Test_Cases!$L$5:$L$1000,"Passed")</x:f>
        <x:v>0</x:v>
      </x:c>
      <x:c r="R119" s="464" t="n">
        <x:f>COUNTIFS(Defects!$E$5:$E$500,A119,Defects!$K$5:$K$500,"&lt;&gt;Closed")</x:f>
        <x:v>0</x:v>
      </x:c>
      <x:c r="S119" s="411" t="str"/>
      <x:c r="T119" s="411" t="str"/>
      <x:c r="U119" s="411" t="str">
        <x:v>f_report_002</x:v>
      </x:c>
      <x:c r="V119" s="373"/>
      <x:c r="W119" s="373"/>
      <x:c r="X119" s="373"/>
      <x:c r="Y119" s="373"/>
      <x:c r="Z119" s="373"/>
    </x:row>
    <x:row r="120">
      <x:c r="A120" s="411" t="str">
        <x:v>F-REPORT-003</x:v>
      </x:c>
      <x:c r="B120" s="411" t="str">
        <x:v>v0.2.5</x:v>
      </x:c>
      <x:c r="C120" s="411" t="str">
        <x:v>Visualization</x:v>
      </x:c>
      <x:c r="D120" s="411" t="str">
        <x:v>Verification plots</x:v>
      </x:c>
      <x:c r="E120" s="411" t="str">
        <x:v>Generate time series, error distributions, trends, and Pareto charts.</x:v>
      </x:c>
      <x:c r="F120" s="411" t="str">
        <x:v>REQ-116</x:v>
      </x:c>
      <x:c r="G120" s="411" t="str">
        <x:v>High</x:v>
      </x:c>
      <x:c r="H120" s="411" t="str">
        <x:v>Devansh</x:v>
      </x:c>
      <x:c r="I120" s="488" t="str">
        <x:v>Backlog</x:v>
      </x:c>
      <x:c r="J120" s="414" t="n">
        <x:f>IF(I120="Done",1,IF(I120="In Review",0.8,IF(I120="In Progress",0.5,IF(I120="Blocked",0.35,IF(I120="Ready",0.1,0)))))</x:f>
        <x:v>0</x:v>
      </x:c>
      <x:c r="K120" s="460" t="n">
        <x:v>46268</x:v>
      </x:c>
      <x:c r="L120" s="460" t="n">
        <x:v>46271</x:v>
      </x:c>
      <x:c r="M120" s="460"/>
      <x:c r="N120" s="411" t="str"/>
      <x:c r="O120" s="411" t="str">
        <x:v>Nominal and negative tests pass; behavior is documented and reproducible.</x:v>
      </x:c>
      <x:c r="P120" s="464" t="n">
        <x:f>COUNTIF(Test_Cases!$D$5:$D$1000,A120)</x:f>
        <x:v>1</x:v>
      </x:c>
      <x:c r="Q120" s="464" t="n">
        <x:f>COUNTIFS(Test_Cases!$D$5:$D$1000,A120,Test_Cases!$L$5:$L$1000,"Passed")</x:f>
        <x:v>0</x:v>
      </x:c>
      <x:c r="R120" s="464" t="n">
        <x:f>COUNTIFS(Defects!$E$5:$E$500,A120,Defects!$K$5:$K$500,"&lt;&gt;Closed")</x:f>
        <x:v>0</x:v>
      </x:c>
      <x:c r="S120" s="411" t="str"/>
      <x:c r="T120" s="411" t="str"/>
      <x:c r="U120" s="411" t="str">
        <x:v>f_report_003</x:v>
      </x:c>
      <x:c r="V120" s="373"/>
      <x:c r="W120" s="373"/>
      <x:c r="X120" s="373"/>
      <x:c r="Y120" s="373"/>
      <x:c r="Z120" s="373"/>
    </x:row>
    <x:row r="121">
      <x:c r="A121" s="411" t="str">
        <x:v>F-REPORT-004</x:v>
      </x:c>
      <x:c r="B121" s="411" t="str">
        <x:v>v0.2.5</x:v>
      </x:c>
      <x:c r="C121" s="411" t="str">
        <x:v>Regression</x:v>
      </x:c>
      <x:c r="D121" s="411" t="str">
        <x:v>Baseline comparison report</x:v>
      </x:c>
      <x:c r="E121" s="411" t="str">
        <x:v>Identify statistically and operationally significant regressions.</x:v>
      </x:c>
      <x:c r="F121" s="411" t="str">
        <x:v>REQ-117</x:v>
      </x:c>
      <x:c r="G121" s="411" t="str">
        <x:v>Critical</x:v>
      </x:c>
      <x:c r="H121" s="411" t="str">
        <x:v>Devansh</x:v>
      </x:c>
      <x:c r="I121" s="488" t="str">
        <x:v>Backlog</x:v>
      </x:c>
      <x:c r="J121" s="414" t="n">
        <x:f>IF(I121="Done",1,IF(I121="In Review",0.8,IF(I121="In Progress",0.5,IF(I121="Blocked",0.35,IF(I121="Ready",0.1,0)))))</x:f>
        <x:v>0</x:v>
      </x:c>
      <x:c r="K121" s="460" t="n">
        <x:v>46268</x:v>
      </x:c>
      <x:c r="L121" s="460" t="n">
        <x:v>46271</x:v>
      </x:c>
      <x:c r="M121" s="460"/>
      <x:c r="N121" s="411" t="str"/>
      <x:c r="O121" s="411" t="str">
        <x:v>Acceptance test passes; failure path is verified; regression suite remains green.</x:v>
      </x:c>
      <x:c r="P121" s="464" t="n">
        <x:f>COUNTIF(Test_Cases!$D$5:$D$1000,A121)</x:f>
        <x:v>2</x:v>
      </x:c>
      <x:c r="Q121" s="464" t="n">
        <x:f>COUNTIFS(Test_Cases!$D$5:$D$1000,A121,Test_Cases!$L$5:$L$1000,"Passed")</x:f>
        <x:v>0</x:v>
      </x:c>
      <x:c r="R121" s="464" t="n">
        <x:f>COUNTIFS(Defects!$E$5:$E$500,A121,Defects!$K$5:$K$500,"&lt;&gt;Closed")</x:f>
        <x:v>0</x:v>
      </x:c>
      <x:c r="S121" s="411" t="str"/>
      <x:c r="T121" s="411" t="str"/>
      <x:c r="U121" s="411" t="str">
        <x:v>f_report_004</x:v>
      </x:c>
      <x:c r="V121" s="373"/>
      <x:c r="W121" s="373"/>
      <x:c r="X121" s="373"/>
      <x:c r="Y121" s="373"/>
      <x:c r="Z121" s="373"/>
    </x:row>
    <x:row r="122">
      <x:c r="A122" s="411" t="str">
        <x:v>F-WEB-001</x:v>
      </x:c>
      <x:c r="B122" s="411" t="str">
        <x:v>v0.2.6</x:v>
      </x:c>
      <x:c r="C122" s="411" t="str">
        <x:v>Web</x:v>
      </x:c>
      <x:c r="D122" s="411" t="str">
        <x:v>JS data-access layer</x:v>
      </x:c>
      <x:c r="E122" s="411" t="str">
        <x:v>Read standardized backend records using stable keys and types.</x:v>
      </x:c>
      <x:c r="F122" s="411" t="str">
        <x:v>REQ-118</x:v>
      </x:c>
      <x:c r="G122" s="411" t="str">
        <x:v>Critical</x:v>
      </x:c>
      <x:c r="H122" s="411" t="str">
        <x:v>Devansh</x:v>
      </x:c>
      <x:c r="I122" s="488" t="str">
        <x:v>Backlog</x:v>
      </x:c>
      <x:c r="J122" s="414" t="n">
        <x:f>IF(I122="Done",1,IF(I122="In Review",0.8,IF(I122="In Progress",0.5,IF(I122="Blocked",0.35,IF(I122="Ready",0.1,0)))))</x:f>
        <x:v>0</x:v>
      </x:c>
      <x:c r="K122" s="460" t="n">
        <x:v>46272</x:v>
      </x:c>
      <x:c r="L122" s="460" t="n">
        <x:v>46275</x:v>
      </x:c>
      <x:c r="M122" s="460"/>
      <x:c r="N122" s="411" t="str"/>
      <x:c r="O122" s="411" t="str">
        <x:v>Acceptance test passes; failure path is verified; regression suite remains green.</x:v>
      </x:c>
      <x:c r="P122" s="464" t="n">
        <x:f>COUNTIF(Test_Cases!$D$5:$D$1000,A122)</x:f>
        <x:v>2</x:v>
      </x:c>
      <x:c r="Q122" s="464" t="n">
        <x:f>COUNTIFS(Test_Cases!$D$5:$D$1000,A122,Test_Cases!$L$5:$L$1000,"Passed")</x:f>
        <x:v>0</x:v>
      </x:c>
      <x:c r="R122" s="464" t="n">
        <x:f>COUNTIFS(Defects!$E$5:$E$500,A122,Defects!$K$5:$K$500,"&lt;&gt;Closed")</x:f>
        <x:v>0</x:v>
      </x:c>
      <x:c r="S122" s="411" t="str"/>
      <x:c r="T122" s="411" t="str"/>
      <x:c r="U122" s="411" t="str">
        <x:v>f_web_001</x:v>
      </x:c>
      <x:c r="V122" s="373"/>
      <x:c r="W122" s="373"/>
      <x:c r="X122" s="373"/>
      <x:c r="Y122" s="373"/>
      <x:c r="Z122" s="373"/>
    </x:row>
    <x:row r="123">
      <x:c r="A123" s="411" t="str">
        <x:v>F-WEB-002</x:v>
      </x:c>
      <x:c r="B123" s="411" t="str">
        <x:v>v0.2.6</x:v>
      </x:c>
      <x:c r="C123" s="411" t="str">
        <x:v>Web</x:v>
      </x:c>
      <x:c r="D123" s="411" t="str">
        <x:v>Mode and scenario selector</x:v>
      </x:c>
      <x:c r="E123" s="411" t="str">
        <x:v>Choose mode, scenario, world, and parameter profile.</x:v>
      </x:c>
      <x:c r="F123" s="411" t="str">
        <x:v>REQ-119</x:v>
      </x:c>
      <x:c r="G123" s="411" t="str">
        <x:v>High</x:v>
      </x:c>
      <x:c r="H123" s="411" t="str">
        <x:v>Devansh</x:v>
      </x:c>
      <x:c r="I123" s="488" t="str">
        <x:v>Backlog</x:v>
      </x:c>
      <x:c r="J123" s="414" t="n">
        <x:f>IF(I123="Done",1,IF(I123="In Review",0.8,IF(I123="In Progress",0.5,IF(I123="Blocked",0.35,IF(I123="Ready",0.1,0)))))</x:f>
        <x:v>0</x:v>
      </x:c>
      <x:c r="K123" s="460" t="n">
        <x:v>46272</x:v>
      </x:c>
      <x:c r="L123" s="460" t="n">
        <x:v>46275</x:v>
      </x:c>
      <x:c r="M123" s="460"/>
      <x:c r="N123" s="411" t="str"/>
      <x:c r="O123" s="411" t="str">
        <x:v>Nominal and negative tests pass; behavior is documented and reproducible.</x:v>
      </x:c>
      <x:c r="P123" s="464" t="n">
        <x:f>COUNTIF(Test_Cases!$D$5:$D$1000,A123)</x:f>
        <x:v>1</x:v>
      </x:c>
      <x:c r="Q123" s="464" t="n">
        <x:f>COUNTIFS(Test_Cases!$D$5:$D$1000,A123,Test_Cases!$L$5:$L$1000,"Passed")</x:f>
        <x:v>0</x:v>
      </x:c>
      <x:c r="R123" s="464" t="n">
        <x:f>COUNTIFS(Defects!$E$5:$E$500,A123,Defects!$K$5:$K$500,"&lt;&gt;Closed")</x:f>
        <x:v>0</x:v>
      </x:c>
      <x:c r="S123" s="411" t="str"/>
      <x:c r="T123" s="411" t="str"/>
      <x:c r="U123" s="411" t="str">
        <x:v>f_web_002</x:v>
      </x:c>
      <x:c r="V123" s="373"/>
      <x:c r="W123" s="373"/>
      <x:c r="X123" s="373"/>
      <x:c r="Y123" s="373"/>
      <x:c r="Z123" s="373"/>
    </x:row>
    <x:row r="124">
      <x:c r="A124" s="411" t="str">
        <x:v>F-WEB-003</x:v>
      </x:c>
      <x:c r="B124" s="411" t="str">
        <x:v>v0.2.6</x:v>
      </x:c>
      <x:c r="C124" s="411" t="str">
        <x:v>Web</x:v>
      </x:c>
      <x:c r="D124" s="411" t="str">
        <x:v>Fault and run controls</x:v>
      </x:c>
      <x:c r="E124" s="411" t="str">
        <x:v>Select faults, start/cancel runs, and display lifecycle/readiness state.</x:v>
      </x:c>
      <x:c r="F124" s="411" t="str">
        <x:v>REQ-120</x:v>
      </x:c>
      <x:c r="G124" s="411" t="str">
        <x:v>High</x:v>
      </x:c>
      <x:c r="H124" s="411" t="str">
        <x:v>Devansh</x:v>
      </x:c>
      <x:c r="I124" s="488" t="str">
        <x:v>Backlog</x:v>
      </x:c>
      <x:c r="J124" s="414" t="n">
        <x:f>IF(I124="Done",1,IF(I124="In Review",0.8,IF(I124="In Progress",0.5,IF(I124="Blocked",0.35,IF(I124="Ready",0.1,0)))))</x:f>
        <x:v>0</x:v>
      </x:c>
      <x:c r="K124" s="460" t="n">
        <x:v>46272</x:v>
      </x:c>
      <x:c r="L124" s="460" t="n">
        <x:v>46275</x:v>
      </x:c>
      <x:c r="M124" s="460"/>
      <x:c r="N124" s="411" t="str"/>
      <x:c r="O124" s="411" t="str">
        <x:v>Nominal and negative tests pass; behavior is documented and reproducible.</x:v>
      </x:c>
      <x:c r="P124" s="464" t="n">
        <x:f>COUNTIF(Test_Cases!$D$5:$D$1000,A124)</x:f>
        <x:v>1</x:v>
      </x:c>
      <x:c r="Q124" s="464" t="n">
        <x:f>COUNTIFS(Test_Cases!$D$5:$D$1000,A124,Test_Cases!$L$5:$L$1000,"Passed")</x:f>
        <x:v>0</x:v>
      </x:c>
      <x:c r="R124" s="464" t="n">
        <x:f>COUNTIFS(Defects!$E$5:$E$500,A124,Defects!$K$5:$K$500,"&lt;&gt;Closed")</x:f>
        <x:v>0</x:v>
      </x:c>
      <x:c r="S124" s="411" t="str"/>
      <x:c r="T124" s="411" t="str"/>
      <x:c r="U124" s="411" t="str">
        <x:v>f_web_003</x:v>
      </x:c>
      <x:c r="V124" s="373"/>
      <x:c r="W124" s="373"/>
      <x:c r="X124" s="373"/>
      <x:c r="Y124" s="373"/>
      <x:c r="Z124" s="373"/>
    </x:row>
    <x:row r="125">
      <x:c r="A125" s="411" t="str">
        <x:v>F-WEB-004</x:v>
      </x:c>
      <x:c r="B125" s="411" t="str">
        <x:v>v0.2.6</x:v>
      </x:c>
      <x:c r="C125" s="411" t="str">
        <x:v>Web</x:v>
      </x:c>
      <x:c r="D125" s="411" t="str">
        <x:v>Evidence drill-down</x:v>
      </x:c>
      <x:c r="E125" s="411" t="str">
        <x:v>Link dashboard records to logs, plots, tests, commits, and defects.</x:v>
      </x:c>
      <x:c r="F125" s="411" t="str">
        <x:v>REQ-121</x:v>
      </x:c>
      <x:c r="G125" s="411" t="str">
        <x:v>High</x:v>
      </x:c>
      <x:c r="H125" s="411" t="str">
        <x:v>Devansh</x:v>
      </x:c>
      <x:c r="I125" s="488" t="str">
        <x:v>Backlog</x:v>
      </x:c>
      <x:c r="J125" s="414" t="n">
        <x:f>IF(I125="Done",1,IF(I125="In Review",0.8,IF(I125="In Progress",0.5,IF(I125="Blocked",0.35,IF(I125="Ready",0.1,0)))))</x:f>
        <x:v>0</x:v>
      </x:c>
      <x:c r="K125" s="460" t="n">
        <x:v>46272</x:v>
      </x:c>
      <x:c r="L125" s="460" t="n">
        <x:v>46275</x:v>
      </x:c>
      <x:c r="M125" s="460"/>
      <x:c r="N125" s="411" t="str"/>
      <x:c r="O125" s="411" t="str">
        <x:v>Nominal and negative tests pass; behavior is documented and reproducible.</x:v>
      </x:c>
      <x:c r="P125" s="464" t="n">
        <x:f>COUNTIF(Test_Cases!$D$5:$D$1000,A125)</x:f>
        <x:v>1</x:v>
      </x:c>
      <x:c r="Q125" s="464" t="n">
        <x:f>COUNTIFS(Test_Cases!$D$5:$D$1000,A125,Test_Cases!$L$5:$L$1000,"Passed")</x:f>
        <x:v>0</x:v>
      </x:c>
      <x:c r="R125" s="464" t="n">
        <x:f>COUNTIFS(Defects!$E$5:$E$500,A125,Defects!$K$5:$K$500,"&lt;&gt;Closed")</x:f>
        <x:v>0</x:v>
      </x:c>
      <x:c r="S125" s="411" t="str"/>
      <x:c r="T125" s="411" t="str"/>
      <x:c r="U125" s="411" t="str">
        <x:v>f_web_004</x:v>
      </x:c>
      <x:c r="V125" s="373"/>
      <x:c r="W125" s="373"/>
      <x:c r="X125" s="373"/>
      <x:c r="Y125" s="373"/>
      <x:c r="Z125" s="373"/>
    </x:row>
    <x:row r="126">
      <x:c r="A126" s="411" t="str">
        <x:v>F-DASH-001</x:v>
      </x:c>
      <x:c r="B126" s="411" t="str">
        <x:v>v0.2.7</x:v>
      </x:c>
      <x:c r="C126" s="411" t="str">
        <x:v>Dashboard</x:v>
      </x:c>
      <x:c r="D126" s="411" t="str">
        <x:v>Release dashboard</x:v>
      </x:c>
      <x:c r="E126" s="411" t="str">
        <x:v>Show release readiness, features, gates, tests, defects, and risks.</x:v>
      </x:c>
      <x:c r="F126" s="411" t="str">
        <x:v>REQ-122</x:v>
      </x:c>
      <x:c r="G126" s="411" t="str">
        <x:v>Critical</x:v>
      </x:c>
      <x:c r="H126" s="411" t="str">
        <x:v>Devansh</x:v>
      </x:c>
      <x:c r="I126" s="488" t="str">
        <x:v>Backlog</x:v>
      </x:c>
      <x:c r="J126" s="414" t="n">
        <x:f>IF(I126="Done",1,IF(I126="In Review",0.8,IF(I126="In Progress",0.5,IF(I126="Blocked",0.35,IF(I126="Ready",0.1,0)))))</x:f>
        <x:v>0</x:v>
      </x:c>
      <x:c r="K126" s="460" t="n">
        <x:v>46276</x:v>
      </x:c>
      <x:c r="L126" s="460" t="n">
        <x:v>46279</x:v>
      </x:c>
      <x:c r="M126" s="460"/>
      <x:c r="N126" s="411" t="str"/>
      <x:c r="O126" s="411" t="str">
        <x:v>Acceptance test passes; failure path is verified; regression suite remains green.</x:v>
      </x:c>
      <x:c r="P126" s="464" t="n">
        <x:f>COUNTIF(Test_Cases!$D$5:$D$1000,A126)</x:f>
        <x:v>2</x:v>
      </x:c>
      <x:c r="Q126" s="464" t="n">
        <x:f>COUNTIFS(Test_Cases!$D$5:$D$1000,A126,Test_Cases!$L$5:$L$1000,"Passed")</x:f>
        <x:v>0</x:v>
      </x:c>
      <x:c r="R126" s="464" t="n">
        <x:f>COUNTIFS(Defects!$E$5:$E$500,A126,Defects!$K$5:$K$500,"&lt;&gt;Closed")</x:f>
        <x:v>1</x:v>
      </x:c>
      <x:c r="S126" s="411" t="str"/>
      <x:c r="T126" s="411" t="str"/>
      <x:c r="U126" s="411" t="str">
        <x:v>f_dash_001</x:v>
      </x:c>
      <x:c r="V126" s="373"/>
      <x:c r="W126" s="373"/>
      <x:c r="X126" s="373"/>
      <x:c r="Y126" s="373"/>
      <x:c r="Z126" s="373"/>
    </x:row>
    <x:row r="127">
      <x:c r="A127" s="411" t="str">
        <x:v>F-DASH-002</x:v>
      </x:c>
      <x:c r="B127" s="411" t="str">
        <x:v>v0.2.7</x:v>
      </x:c>
      <x:c r="C127" s="411" t="str">
        <x:v>Dashboard</x:v>
      </x:c>
      <x:c r="D127" s="411" t="str">
        <x:v>Scenario dashboard</x:v>
      </x:c>
      <x:c r="E127" s="411" t="str">
        <x:v>Show scenario success rates, failures, metrics, and seed variation.</x:v>
      </x:c>
      <x:c r="F127" s="411" t="str">
        <x:v>REQ-123</x:v>
      </x:c>
      <x:c r="G127" s="411" t="str">
        <x:v>Critical</x:v>
      </x:c>
      <x:c r="H127" s="411" t="str">
        <x:v>Devansh</x:v>
      </x:c>
      <x:c r="I127" s="488" t="str">
        <x:v>Backlog</x:v>
      </x:c>
      <x:c r="J127" s="414" t="n">
        <x:f>IF(I127="Done",1,IF(I127="In Review",0.8,IF(I127="In Progress",0.5,IF(I127="Blocked",0.35,IF(I127="Ready",0.1,0)))))</x:f>
        <x:v>0</x:v>
      </x:c>
      <x:c r="K127" s="460" t="n">
        <x:v>46276</x:v>
      </x:c>
      <x:c r="L127" s="460" t="n">
        <x:v>46279</x:v>
      </x:c>
      <x:c r="M127" s="460"/>
      <x:c r="N127" s="411" t="str"/>
      <x:c r="O127" s="411" t="str">
        <x:v>Acceptance test passes; failure path is verified; regression suite remains green.</x:v>
      </x:c>
      <x:c r="P127" s="464" t="n">
        <x:f>COUNTIF(Test_Cases!$D$5:$D$1000,A127)</x:f>
        <x:v>2</x:v>
      </x:c>
      <x:c r="Q127" s="464" t="n">
        <x:f>COUNTIFS(Test_Cases!$D$5:$D$1000,A127,Test_Cases!$L$5:$L$1000,"Passed")</x:f>
        <x:v>0</x:v>
      </x:c>
      <x:c r="R127" s="464" t="n">
        <x:f>COUNTIFS(Defects!$E$5:$E$500,A127,Defects!$K$5:$K$500,"&lt;&gt;Closed")</x:f>
        <x:v>0</x:v>
      </x:c>
      <x:c r="S127" s="411" t="str"/>
      <x:c r="T127" s="411" t="str"/>
      <x:c r="U127" s="411" t="str">
        <x:v>f_dash_002</x:v>
      </x:c>
      <x:c r="V127" s="373"/>
      <x:c r="W127" s="373"/>
      <x:c r="X127" s="373"/>
      <x:c r="Y127" s="373"/>
      <x:c r="Z127" s="373"/>
    </x:row>
    <x:row r="128">
      <x:c r="A128" s="411" t="str">
        <x:v>F-DASH-003</x:v>
      </x:c>
      <x:c r="B128" s="411" t="str">
        <x:v>v0.2.7</x:v>
      </x:c>
      <x:c r="C128" s="411" t="str">
        <x:v>Dashboard</x:v>
      </x:c>
      <x:c r="D128" s="411" t="str">
        <x:v>Requirement dashboard</x:v>
      </x:c>
      <x:c r="E128" s="411" t="str">
        <x:v>Show requirement coverage, pass/fail, and evidence.</x:v>
      </x:c>
      <x:c r="F128" s="411" t="str">
        <x:v>REQ-124</x:v>
      </x:c>
      <x:c r="G128" s="411" t="str">
        <x:v>High</x:v>
      </x:c>
      <x:c r="H128" s="411" t="str">
        <x:v>Devansh</x:v>
      </x:c>
      <x:c r="I128" s="488" t="str">
        <x:v>Backlog</x:v>
      </x:c>
      <x:c r="J128" s="414" t="n">
        <x:f>IF(I128="Done",1,IF(I128="In Review",0.8,IF(I128="In Progress",0.5,IF(I128="Blocked",0.35,IF(I128="Ready",0.1,0)))))</x:f>
        <x:v>0</x:v>
      </x:c>
      <x:c r="K128" s="460" t="n">
        <x:v>46276</x:v>
      </x:c>
      <x:c r="L128" s="460" t="n">
        <x:v>46279</x:v>
      </x:c>
      <x:c r="M128" s="460"/>
      <x:c r="N128" s="411" t="str"/>
      <x:c r="O128" s="411" t="str">
        <x:v>Nominal and negative tests pass; behavior is documented and reproducible.</x:v>
      </x:c>
      <x:c r="P128" s="464" t="n">
        <x:f>COUNTIF(Test_Cases!$D$5:$D$1000,A128)</x:f>
        <x:v>1</x:v>
      </x:c>
      <x:c r="Q128" s="464" t="n">
        <x:f>COUNTIFS(Test_Cases!$D$5:$D$1000,A128,Test_Cases!$L$5:$L$1000,"Passed")</x:f>
        <x:v>0</x:v>
      </x:c>
      <x:c r="R128" s="464" t="n">
        <x:f>COUNTIFS(Defects!$E$5:$E$500,A128,Defects!$K$5:$K$500,"&lt;&gt;Closed")</x:f>
        <x:v>0</x:v>
      </x:c>
      <x:c r="S128" s="411" t="str"/>
      <x:c r="T128" s="411" t="str"/>
      <x:c r="U128" s="411" t="str">
        <x:v>f_dash_003</x:v>
      </x:c>
      <x:c r="V128" s="373"/>
      <x:c r="W128" s="373"/>
      <x:c r="X128" s="373"/>
      <x:c r="Y128" s="373"/>
      <x:c r="Z128" s="373"/>
    </x:row>
    <x:row r="129">
      <x:c r="A129" s="411" t="str">
        <x:v>F-DASH-004</x:v>
      </x:c>
      <x:c r="B129" s="411" t="str">
        <x:v>v0.2.7</x:v>
      </x:c>
      <x:c r="C129" s="411" t="str">
        <x:v>Dashboard</x:v>
      </x:c>
      <x:c r="D129" s="411" t="str">
        <x:v>Regression dashboard</x:v>
      </x:c>
      <x:c r="E129" s="411" t="str">
        <x:v>Compare versions, profiles, and performance baselines.</x:v>
      </x:c>
      <x:c r="F129" s="411" t="str">
        <x:v>REQ-125</x:v>
      </x:c>
      <x:c r="G129" s="411" t="str">
        <x:v>Critical</x:v>
      </x:c>
      <x:c r="H129" s="411" t="str">
        <x:v>Devansh</x:v>
      </x:c>
      <x:c r="I129" s="488" t="str">
        <x:v>Backlog</x:v>
      </x:c>
      <x:c r="J129" s="414" t="n">
        <x:f>IF(I129="Done",1,IF(I129="In Review",0.8,IF(I129="In Progress",0.5,IF(I129="Blocked",0.35,IF(I129="Ready",0.1,0)))))</x:f>
        <x:v>0</x:v>
      </x:c>
      <x:c r="K129" s="460" t="n">
        <x:v>46276</x:v>
      </x:c>
      <x:c r="L129" s="460" t="n">
        <x:v>46279</x:v>
      </x:c>
      <x:c r="M129" s="460"/>
      <x:c r="N129" s="411" t="str"/>
      <x:c r="O129" s="411" t="str">
        <x:v>Acceptance test passes; failure path is verified; regression suite remains green.</x:v>
      </x:c>
      <x:c r="P129" s="464" t="n">
        <x:f>COUNTIF(Test_Cases!$D$5:$D$1000,A129)</x:f>
        <x:v>2</x:v>
      </x:c>
      <x:c r="Q129" s="464" t="n">
        <x:f>COUNTIFS(Test_Cases!$D$5:$D$1000,A129,Test_Cases!$L$5:$L$1000,"Passed")</x:f>
        <x:v>0</x:v>
      </x:c>
      <x:c r="R129" s="464" t="n">
        <x:f>COUNTIFS(Defects!$E$5:$E$500,A129,Defects!$K$5:$K$500,"&lt;&gt;Closed")</x:f>
        <x:v>0</x:v>
      </x:c>
      <x:c r="S129" s="411" t="str"/>
      <x:c r="T129" s="411" t="str"/>
      <x:c r="U129" s="411" t="str">
        <x:v>f_dash_004</x:v>
      </x:c>
      <x:c r="V129" s="373"/>
      <x:c r="W129" s="373"/>
      <x:c r="X129" s="373"/>
      <x:c r="Y129" s="373"/>
      <x:c r="Z129" s="373"/>
    </x:row>
    <x:row r="130">
      <x:c r="A130" s="412" t="str">
        <x:v>F-REL-300</x:v>
      </x:c>
      <x:c r="B130" s="412" t="str">
        <x:v>v0.3.0</x:v>
      </x:c>
      <x:c r="C130" s="412" t="str">
        <x:v>Release</x:v>
      </x:c>
      <x:c r="D130" s="412" t="str">
        <x:v>Mode exploration and analytics release</x:v>
      </x:c>
      <x:c r="E130" s="412" t="str">
        <x:v>Publish the usable web-driven simulation and verification platform.</x:v>
      </x:c>
      <x:c r="F130" s="412" t="str">
        <x:v>REQ-126</x:v>
      </x:c>
      <x:c r="G130" s="412" t="str">
        <x:v>Critical</x:v>
      </x:c>
      <x:c r="H130" s="412" t="str">
        <x:v>Devansh</x:v>
      </x:c>
      <x:c r="I130" s="489" t="str">
        <x:v>Backlog</x:v>
      </x:c>
      <x:c r="J130" s="415" t="n">
        <x:f>IF(I130="Done",1,IF(I130="In Review",0.8,IF(I130="In Progress",0.5,IF(I130="Blocked",0.35,IF(I130="Ready",0.1,0)))))</x:f>
        <x:v>0</x:v>
      </x:c>
      <x:c r="K130" s="461" t="n">
        <x:v>46280</x:v>
      </x:c>
      <x:c r="L130" s="461" t="n">
        <x:v>46283</x:v>
      </x:c>
      <x:c r="M130" s="461"/>
      <x:c r="N130" s="412" t="str"/>
      <x:c r="O130" s="412" t="str">
        <x:v>Acceptance test passes; failure path is verified; regression suite remains green.</x:v>
      </x:c>
      <x:c r="P130" s="465" t="n">
        <x:f>COUNTIF(Test_Cases!$D$5:$D$1000,A130)</x:f>
        <x:v>2</x:v>
      </x:c>
      <x:c r="Q130" s="465" t="n">
        <x:f>COUNTIFS(Test_Cases!$D$5:$D$1000,A130,Test_Cases!$L$5:$L$1000,"Passed")</x:f>
        <x:v>0</x:v>
      </x:c>
      <x:c r="R130" s="465" t="n">
        <x:f>COUNTIFS(Defects!$E$5:$E$500,A130,Defects!$K$5:$K$500,"&lt;&gt;Closed")</x:f>
        <x:v>0</x:v>
      </x:c>
      <x:c r="S130" s="412" t="str"/>
      <x:c r="T130" s="412" t="str"/>
      <x:c r="U130" s="412" t="str">
        <x:v>f_rel_300</x:v>
      </x:c>
      <x:c r="V130" s="373"/>
      <x:c r="W130" s="373"/>
      <x:c r="X130" s="373"/>
      <x:c r="Y130" s="373"/>
      <x:c r="Z130" s="373"/>
    </x:row>
    <x:row r="131">
      <x:c r="A131" s="373"/>
      <x:c r="B131" s="373"/>
      <x:c r="C131" s="373"/>
      <x:c r="D131" s="373"/>
      <x:c r="E131" s="373"/>
      <x:c r="F131" s="373"/>
      <x:c r="G131" s="373"/>
      <x:c r="H131" s="373"/>
      <x:c r="I131" s="373"/>
      <x:c r="J131" s="373"/>
      <x:c r="K131" s="373"/>
      <x:c r="L131" s="373"/>
      <x:c r="M131" s="373"/>
      <x:c r="N131" s="373"/>
      <x:c r="O131" s="373"/>
      <x:c r="P131" s="373"/>
      <x:c r="Q131" s="373"/>
      <x:c r="R131" s="373"/>
      <x:c r="S131" s="373"/>
      <x:c r="T131" s="373"/>
      <x:c r="U131" s="373"/>
      <x:c r="V131" s="373"/>
      <x:c r="W131" s="373"/>
      <x:c r="X131" s="373"/>
      <x:c r="Y131" s="373"/>
      <x:c r="Z131" s="373"/>
    </x:row>
    <x:row r="132">
      <x:c r="A132" s="373"/>
      <x:c r="B132" s="373"/>
      <x:c r="C132" s="373"/>
      <x:c r="D132" s="373"/>
      <x:c r="E132" s="373"/>
      <x:c r="F132" s="373"/>
      <x:c r="G132" s="373"/>
      <x:c r="H132" s="373"/>
      <x:c r="I132" s="373"/>
      <x:c r="J132" s="373"/>
      <x:c r="K132" s="373"/>
      <x:c r="L132" s="373"/>
      <x:c r="M132" s="373"/>
      <x:c r="N132" s="373"/>
      <x:c r="O132" s="373"/>
      <x:c r="P132" s="373"/>
      <x:c r="Q132" s="373"/>
      <x:c r="R132" s="373"/>
      <x:c r="S132" s="373"/>
      <x:c r="T132" s="373"/>
      <x:c r="U132" s="373"/>
      <x:c r="V132" s="373"/>
      <x:c r="W132" s="373"/>
      <x:c r="X132" s="373"/>
      <x:c r="Y132" s="373"/>
      <x:c r="Z132" s="373"/>
    </x:row>
    <x:row r="133">
      <x:c r="A133" s="373"/>
      <x:c r="B133" s="373"/>
      <x:c r="C133" s="373"/>
      <x:c r="D133" s="373"/>
      <x:c r="E133" s="373"/>
      <x:c r="F133" s="373"/>
      <x:c r="G133" s="373"/>
      <x:c r="H133" s="373"/>
      <x:c r="I133" s="373"/>
      <x:c r="J133" s="373"/>
      <x:c r="K133" s="373"/>
      <x:c r="L133" s="373"/>
      <x:c r="M133" s="373"/>
      <x:c r="N133" s="373"/>
      <x:c r="O133" s="373"/>
      <x:c r="P133" s="373"/>
      <x:c r="Q133" s="373"/>
      <x:c r="R133" s="373"/>
      <x:c r="S133" s="373"/>
      <x:c r="T133" s="373"/>
      <x:c r="U133" s="373"/>
      <x:c r="V133" s="373"/>
      <x:c r="W133" s="373"/>
      <x:c r="X133" s="373"/>
      <x:c r="Y133" s="373"/>
      <x:c r="Z133" s="373"/>
    </x:row>
    <x:row r="134">
      <x:c r="A134" s="373"/>
      <x:c r="B134" s="373"/>
      <x:c r="C134" s="373"/>
      <x:c r="D134" s="373"/>
      <x:c r="E134" s="373"/>
      <x:c r="F134" s="373"/>
      <x:c r="G134" s="373"/>
      <x:c r="H134" s="373"/>
      <x:c r="I134" s="373"/>
      <x:c r="J134" s="373"/>
      <x:c r="K134" s="373"/>
      <x:c r="L134" s="373"/>
      <x:c r="M134" s="373"/>
      <x:c r="N134" s="373"/>
      <x:c r="O134" s="373"/>
      <x:c r="P134" s="373"/>
      <x:c r="Q134" s="373"/>
      <x:c r="R134" s="373"/>
      <x:c r="S134" s="373"/>
      <x:c r="T134" s="373"/>
      <x:c r="U134" s="373"/>
      <x:c r="V134" s="373"/>
      <x:c r="W134" s="373"/>
      <x:c r="X134" s="373"/>
      <x:c r="Y134" s="373"/>
      <x:c r="Z134" s="373"/>
    </x:row>
    <x:row r="135">
      <x:c r="A135" s="373"/>
      <x:c r="B135" s="373"/>
      <x:c r="C135" s="373"/>
      <x:c r="D135" s="373"/>
      <x:c r="E135" s="373"/>
      <x:c r="F135" s="373"/>
      <x:c r="G135" s="373"/>
      <x:c r="H135" s="373"/>
      <x:c r="I135" s="373"/>
      <x:c r="J135" s="373"/>
      <x:c r="K135" s="373"/>
      <x:c r="L135" s="373"/>
      <x:c r="M135" s="373"/>
      <x:c r="N135" s="373"/>
      <x:c r="O135" s="373"/>
      <x:c r="P135" s="373"/>
      <x:c r="Q135" s="373"/>
      <x:c r="R135" s="373"/>
      <x:c r="S135" s="373"/>
      <x:c r="T135" s="373"/>
      <x:c r="U135" s="373"/>
      <x:c r="V135" s="373"/>
      <x:c r="W135" s="373"/>
      <x:c r="X135" s="373"/>
      <x:c r="Y135" s="373"/>
      <x:c r="Z135" s="373"/>
    </x:row>
    <x:row r="136">
      <x:c r="A136" s="373"/>
      <x:c r="B136" s="373"/>
      <x:c r="C136" s="373"/>
      <x:c r="D136" s="373"/>
      <x:c r="E136" s="373"/>
      <x:c r="F136" s="373"/>
      <x:c r="G136" s="373"/>
      <x:c r="H136" s="373"/>
      <x:c r="I136" s="373"/>
      <x:c r="J136" s="373"/>
      <x:c r="K136" s="373"/>
      <x:c r="L136" s="373"/>
      <x:c r="M136" s="373"/>
      <x:c r="N136" s="373"/>
      <x:c r="O136" s="373"/>
      <x:c r="P136" s="373"/>
      <x:c r="Q136" s="373"/>
      <x:c r="R136" s="373"/>
      <x:c r="S136" s="373"/>
      <x:c r="T136" s="373"/>
      <x:c r="U136" s="373"/>
      <x:c r="V136" s="373"/>
      <x:c r="W136" s="373"/>
      <x:c r="X136" s="373"/>
      <x:c r="Y136" s="373"/>
      <x:c r="Z136" s="373"/>
    </x:row>
    <x:row r="137">
      <x:c r="A137" s="373"/>
      <x:c r="B137" s="373"/>
      <x:c r="C137" s="373"/>
      <x:c r="D137" s="373"/>
      <x:c r="E137" s="373"/>
      <x:c r="F137" s="373"/>
      <x:c r="G137" s="373"/>
      <x:c r="H137" s="373"/>
      <x:c r="I137" s="373"/>
      <x:c r="J137" s="373"/>
      <x:c r="K137" s="373"/>
      <x:c r="L137" s="373"/>
      <x:c r="M137" s="373"/>
      <x:c r="N137" s="373"/>
      <x:c r="O137" s="373"/>
      <x:c r="P137" s="373"/>
      <x:c r="Q137" s="373"/>
      <x:c r="R137" s="373"/>
      <x:c r="S137" s="373"/>
      <x:c r="T137" s="373"/>
      <x:c r="U137" s="373"/>
      <x:c r="V137" s="373"/>
      <x:c r="W137" s="373"/>
      <x:c r="X137" s="373"/>
      <x:c r="Y137" s="373"/>
      <x:c r="Z137" s="373"/>
    </x:row>
    <x:row r="138">
      <x:c r="A138" s="373"/>
      <x:c r="B138" s="373"/>
      <x:c r="C138" s="373"/>
      <x:c r="D138" s="373"/>
      <x:c r="E138" s="373"/>
      <x:c r="F138" s="373"/>
      <x:c r="G138" s="373"/>
      <x:c r="H138" s="373"/>
      <x:c r="I138" s="373"/>
      <x:c r="J138" s="373"/>
      <x:c r="K138" s="373"/>
      <x:c r="L138" s="373"/>
      <x:c r="M138" s="373"/>
      <x:c r="N138" s="373"/>
      <x:c r="O138" s="373"/>
      <x:c r="P138" s="373"/>
      <x:c r="Q138" s="373"/>
      <x:c r="R138" s="373"/>
      <x:c r="S138" s="373"/>
      <x:c r="T138" s="373"/>
      <x:c r="U138" s="373"/>
      <x:c r="V138" s="373"/>
      <x:c r="W138" s="373"/>
      <x:c r="X138" s="373"/>
      <x:c r="Y138" s="373"/>
      <x:c r="Z138" s="373"/>
    </x:row>
    <x:row r="139">
      <x:c r="A139" s="373"/>
      <x:c r="B139" s="373"/>
      <x:c r="C139" s="373"/>
      <x:c r="D139" s="373"/>
      <x:c r="E139" s="373"/>
      <x:c r="F139" s="373"/>
      <x:c r="G139" s="373"/>
      <x:c r="H139" s="373"/>
      <x:c r="I139" s="373"/>
      <x:c r="J139" s="373"/>
      <x:c r="K139" s="373"/>
      <x:c r="L139" s="373"/>
      <x:c r="M139" s="373"/>
      <x:c r="N139" s="373"/>
      <x:c r="O139" s="373"/>
      <x:c r="P139" s="373"/>
      <x:c r="Q139" s="373"/>
      <x:c r="R139" s="373"/>
      <x:c r="S139" s="373"/>
      <x:c r="T139" s="373"/>
      <x:c r="U139" s="373"/>
      <x:c r="V139" s="373"/>
      <x:c r="W139" s="373"/>
      <x:c r="X139" s="373"/>
      <x:c r="Y139" s="373"/>
      <x:c r="Z139" s="373"/>
    </x:row>
    <x:row r="140">
      <x:c r="A140" s="373"/>
      <x:c r="B140" s="373"/>
      <x:c r="C140" s="373"/>
      <x:c r="D140" s="373"/>
      <x:c r="E140" s="373"/>
      <x:c r="F140" s="373"/>
      <x:c r="G140" s="373"/>
      <x:c r="H140" s="373"/>
      <x:c r="I140" s="373"/>
      <x:c r="J140" s="373"/>
      <x:c r="K140" s="373"/>
      <x:c r="L140" s="373"/>
      <x:c r="M140" s="373"/>
      <x:c r="N140" s="373"/>
      <x:c r="O140" s="373"/>
      <x:c r="P140" s="373"/>
      <x:c r="Q140" s="373"/>
      <x:c r="R140" s="373"/>
      <x:c r="S140" s="373"/>
      <x:c r="T140" s="373"/>
      <x:c r="U140" s="373"/>
      <x:c r="V140" s="373"/>
      <x:c r="W140" s="373"/>
      <x:c r="X140" s="373"/>
      <x:c r="Y140" s="373"/>
      <x:c r="Z140" s="373"/>
    </x:row>
    <x:row r="141">
      <x:c r="A141" s="373"/>
      <x:c r="B141" s="373"/>
      <x:c r="C141" s="373"/>
      <x:c r="D141" s="373"/>
      <x:c r="E141" s="373"/>
      <x:c r="F141" s="373"/>
      <x:c r="G141" s="373"/>
      <x:c r="H141" s="373"/>
      <x:c r="I141" s="373"/>
      <x:c r="J141" s="373"/>
      <x:c r="K141" s="373"/>
      <x:c r="L141" s="373"/>
      <x:c r="M141" s="373"/>
      <x:c r="N141" s="373"/>
      <x:c r="O141" s="373"/>
      <x:c r="P141" s="373"/>
      <x:c r="Q141" s="373"/>
      <x:c r="R141" s="373"/>
      <x:c r="S141" s="373"/>
      <x:c r="T141" s="373"/>
      <x:c r="U141" s="373"/>
      <x:c r="V141" s="373"/>
      <x:c r="W141" s="373"/>
      <x:c r="X141" s="373"/>
      <x:c r="Y141" s="373"/>
      <x:c r="Z141" s="373"/>
    </x:row>
    <x:row r="142">
      <x:c r="A142" s="373"/>
      <x:c r="B142" s="373"/>
      <x:c r="C142" s="373"/>
      <x:c r="D142" s="373"/>
      <x:c r="E142" s="373"/>
      <x:c r="F142" s="373"/>
      <x:c r="G142" s="373"/>
      <x:c r="H142" s="373"/>
      <x:c r="I142" s="373"/>
      <x:c r="J142" s="373"/>
      <x:c r="K142" s="373"/>
      <x:c r="L142" s="373"/>
      <x:c r="M142" s="373"/>
      <x:c r="N142" s="373"/>
      <x:c r="O142" s="373"/>
      <x:c r="P142" s="373"/>
      <x:c r="Q142" s="373"/>
      <x:c r="R142" s="373"/>
      <x:c r="S142" s="373"/>
      <x:c r="T142" s="373"/>
      <x:c r="U142" s="373"/>
      <x:c r="V142" s="373"/>
      <x:c r="W142" s="373"/>
      <x:c r="X142" s="373"/>
      <x:c r="Y142" s="373"/>
      <x:c r="Z142" s="373"/>
    </x:row>
    <x:row r="143">
      <x:c r="A143" s="373"/>
      <x:c r="B143" s="373"/>
      <x:c r="C143" s="373"/>
      <x:c r="D143" s="373"/>
      <x:c r="E143" s="373"/>
      <x:c r="F143" s="373"/>
      <x:c r="G143" s="373"/>
      <x:c r="H143" s="373"/>
      <x:c r="I143" s="373"/>
      <x:c r="J143" s="373"/>
      <x:c r="K143" s="373"/>
      <x:c r="L143" s="373"/>
      <x:c r="M143" s="373"/>
      <x:c r="N143" s="373"/>
      <x:c r="O143" s="373"/>
      <x:c r="P143" s="373"/>
      <x:c r="Q143" s="373"/>
      <x:c r="R143" s="373"/>
      <x:c r="S143" s="373"/>
      <x:c r="T143" s="373"/>
      <x:c r="U143" s="373"/>
      <x:c r="V143" s="373"/>
      <x:c r="W143" s="373"/>
      <x:c r="X143" s="373"/>
      <x:c r="Y143" s="373"/>
      <x:c r="Z143" s="373"/>
    </x:row>
    <x:row r="144">
      <x:c r="A144" s="373"/>
      <x:c r="B144" s="373"/>
      <x:c r="C144" s="373"/>
      <x:c r="D144" s="373"/>
      <x:c r="E144" s="373"/>
      <x:c r="F144" s="373"/>
      <x:c r="G144" s="373"/>
      <x:c r="H144" s="373"/>
      <x:c r="I144" s="373"/>
      <x:c r="J144" s="373"/>
      <x:c r="K144" s="373"/>
      <x:c r="L144" s="373"/>
      <x:c r="M144" s="373"/>
      <x:c r="N144" s="373"/>
      <x:c r="O144" s="373"/>
      <x:c r="P144" s="373"/>
      <x:c r="Q144" s="373"/>
      <x:c r="R144" s="373"/>
      <x:c r="S144" s="373"/>
      <x:c r="T144" s="373"/>
      <x:c r="U144" s="373"/>
      <x:c r="V144" s="373"/>
      <x:c r="W144" s="373"/>
      <x:c r="X144" s="373"/>
      <x:c r="Y144" s="373"/>
      <x:c r="Z144" s="373"/>
    </x:row>
    <x:row r="145">
      <x:c r="A145" s="373"/>
      <x:c r="B145" s="373"/>
      <x:c r="C145" s="373"/>
      <x:c r="D145" s="373"/>
      <x:c r="E145" s="373"/>
      <x:c r="F145" s="373"/>
      <x:c r="G145" s="373"/>
      <x:c r="H145" s="373"/>
      <x:c r="I145" s="373"/>
      <x:c r="J145" s="373"/>
      <x:c r="K145" s="373"/>
      <x:c r="L145" s="373"/>
      <x:c r="M145" s="373"/>
      <x:c r="N145" s="373"/>
      <x:c r="O145" s="373"/>
      <x:c r="P145" s="373"/>
      <x:c r="Q145" s="373"/>
      <x:c r="R145" s="373"/>
      <x:c r="S145" s="373"/>
      <x:c r="T145" s="373"/>
      <x:c r="U145" s="373"/>
      <x:c r="V145" s="373"/>
      <x:c r="W145" s="373"/>
      <x:c r="X145" s="373"/>
      <x:c r="Y145" s="373"/>
      <x:c r="Z145" s="373"/>
    </x:row>
    <x:row r="146">
      <x:c r="A146" s="373"/>
      <x:c r="B146" s="373"/>
      <x:c r="C146" s="373"/>
      <x:c r="D146" s="373"/>
      <x:c r="E146" s="373"/>
      <x:c r="F146" s="373"/>
      <x:c r="G146" s="373"/>
      <x:c r="H146" s="373"/>
      <x:c r="I146" s="373"/>
      <x:c r="J146" s="373"/>
      <x:c r="K146" s="373"/>
      <x:c r="L146" s="373"/>
      <x:c r="M146" s="373"/>
      <x:c r="N146" s="373"/>
      <x:c r="O146" s="373"/>
      <x:c r="P146" s="373"/>
      <x:c r="Q146" s="373"/>
      <x:c r="R146" s="373"/>
      <x:c r="S146" s="373"/>
      <x:c r="T146" s="373"/>
      <x:c r="U146" s="373"/>
      <x:c r="V146" s="373"/>
      <x:c r="W146" s="373"/>
      <x:c r="X146" s="373"/>
      <x:c r="Y146" s="373"/>
      <x:c r="Z146" s="373"/>
    </x:row>
    <x:row r="147">
      <x:c r="A147" s="373"/>
      <x:c r="B147" s="373"/>
      <x:c r="C147" s="373"/>
      <x:c r="D147" s="373"/>
      <x:c r="E147" s="373"/>
      <x:c r="F147" s="373"/>
      <x:c r="G147" s="373"/>
      <x:c r="H147" s="373"/>
      <x:c r="I147" s="373"/>
      <x:c r="J147" s="373"/>
      <x:c r="K147" s="373"/>
      <x:c r="L147" s="373"/>
      <x:c r="M147" s="373"/>
      <x:c r="N147" s="373"/>
      <x:c r="O147" s="373"/>
      <x:c r="P147" s="373"/>
      <x:c r="Q147" s="373"/>
      <x:c r="R147" s="373"/>
      <x:c r="S147" s="373"/>
      <x:c r="T147" s="373"/>
      <x:c r="U147" s="373"/>
      <x:c r="V147" s="373"/>
      <x:c r="W147" s="373"/>
      <x:c r="X147" s="373"/>
      <x:c r="Y147" s="373"/>
      <x:c r="Z147" s="373"/>
    </x:row>
    <x:row r="148">
      <x:c r="A148" s="373"/>
      <x:c r="B148" s="373"/>
      <x:c r="C148" s="373"/>
      <x:c r="D148" s="373"/>
      <x:c r="E148" s="373"/>
      <x:c r="F148" s="373"/>
      <x:c r="G148" s="373"/>
      <x:c r="H148" s="373"/>
      <x:c r="I148" s="373"/>
      <x:c r="J148" s="373"/>
      <x:c r="K148" s="373"/>
      <x:c r="L148" s="373"/>
      <x:c r="M148" s="373"/>
      <x:c r="N148" s="373"/>
      <x:c r="O148" s="373"/>
      <x:c r="P148" s="373"/>
      <x:c r="Q148" s="373"/>
      <x:c r="R148" s="373"/>
      <x:c r="S148" s="373"/>
      <x:c r="T148" s="373"/>
      <x:c r="U148" s="373"/>
      <x:c r="V148" s="373"/>
      <x:c r="W148" s="373"/>
      <x:c r="X148" s="373"/>
      <x:c r="Y148" s="373"/>
      <x:c r="Z148" s="373"/>
    </x:row>
    <x:row r="149">
      <x:c r="A149" s="373"/>
      <x:c r="B149" s="373"/>
      <x:c r="C149" s="373"/>
      <x:c r="D149" s="373"/>
      <x:c r="E149" s="373"/>
      <x:c r="F149" s="373"/>
      <x:c r="G149" s="373"/>
      <x:c r="H149" s="373"/>
      <x:c r="I149" s="373"/>
      <x:c r="J149" s="373"/>
      <x:c r="K149" s="373"/>
      <x:c r="L149" s="373"/>
      <x:c r="M149" s="373"/>
      <x:c r="N149" s="373"/>
      <x:c r="O149" s="373"/>
      <x:c r="P149" s="373"/>
      <x:c r="Q149" s="373"/>
      <x:c r="R149" s="373"/>
      <x:c r="S149" s="373"/>
      <x:c r="T149" s="373"/>
      <x:c r="U149" s="373"/>
      <x:c r="V149" s="373"/>
      <x:c r="W149" s="373"/>
      <x:c r="X149" s="373"/>
      <x:c r="Y149" s="373"/>
      <x:c r="Z149" s="373"/>
    </x:row>
    <x:row r="150">
      <x:c r="A150" s="373"/>
      <x:c r="B150" s="373"/>
      <x:c r="C150" s="373"/>
      <x:c r="D150" s="373"/>
      <x:c r="E150" s="373"/>
      <x:c r="F150" s="373"/>
      <x:c r="G150" s="373"/>
      <x:c r="H150" s="373"/>
      <x:c r="I150" s="373"/>
      <x:c r="J150" s="373"/>
      <x:c r="K150" s="373"/>
      <x:c r="L150" s="373"/>
      <x:c r="M150" s="373"/>
      <x:c r="N150" s="373"/>
      <x:c r="O150" s="373"/>
      <x:c r="P150" s="373"/>
      <x:c r="Q150" s="373"/>
      <x:c r="R150" s="373"/>
      <x:c r="S150" s="373"/>
      <x:c r="T150" s="373"/>
      <x:c r="U150" s="373"/>
      <x:c r="V150" s="373"/>
      <x:c r="W150" s="373"/>
      <x:c r="X150" s="373"/>
      <x:c r="Y150" s="373"/>
      <x:c r="Z150" s="373"/>
    </x:row>
    <x:row r="151">
      <x:c r="A151" s="373"/>
      <x:c r="B151" s="373"/>
      <x:c r="C151" s="373"/>
      <x:c r="D151" s="373"/>
      <x:c r="E151" s="373"/>
      <x:c r="F151" s="373"/>
      <x:c r="G151" s="373"/>
      <x:c r="H151" s="373"/>
      <x:c r="I151" s="373"/>
      <x:c r="J151" s="373"/>
      <x:c r="K151" s="373"/>
      <x:c r="L151" s="373"/>
      <x:c r="M151" s="373"/>
      <x:c r="N151" s="373"/>
      <x:c r="O151" s="373"/>
      <x:c r="P151" s="373"/>
      <x:c r="Q151" s="373"/>
      <x:c r="R151" s="373"/>
      <x:c r="S151" s="373"/>
      <x:c r="T151" s="373"/>
      <x:c r="U151" s="373"/>
      <x:c r="V151" s="373"/>
      <x:c r="W151" s="373"/>
      <x:c r="X151" s="373"/>
      <x:c r="Y151" s="373"/>
      <x:c r="Z151" s="373"/>
    </x:row>
    <x:row r="152">
      <x:c r="A152" s="373"/>
      <x:c r="B152" s="373"/>
      <x:c r="C152" s="373"/>
      <x:c r="D152" s="373"/>
      <x:c r="E152" s="373"/>
      <x:c r="F152" s="373"/>
      <x:c r="G152" s="373"/>
      <x:c r="H152" s="373"/>
      <x:c r="I152" s="373"/>
      <x:c r="J152" s="373"/>
      <x:c r="K152" s="373"/>
      <x:c r="L152" s="373"/>
      <x:c r="M152" s="373"/>
      <x:c r="N152" s="373"/>
      <x:c r="O152" s="373"/>
      <x:c r="P152" s="373"/>
      <x:c r="Q152" s="373"/>
      <x:c r="R152" s="373"/>
      <x:c r="S152" s="373"/>
      <x:c r="T152" s="373"/>
      <x:c r="U152" s="373"/>
      <x:c r="V152" s="373"/>
      <x:c r="W152" s="373"/>
      <x:c r="X152" s="373"/>
      <x:c r="Y152" s="373"/>
      <x:c r="Z152" s="373"/>
    </x:row>
    <x:row r="153">
      <x:c r="A153" s="373"/>
      <x:c r="B153" s="373"/>
      <x:c r="C153" s="373"/>
      <x:c r="D153" s="373"/>
      <x:c r="E153" s="373"/>
      <x:c r="F153" s="373"/>
      <x:c r="G153" s="373"/>
      <x:c r="H153" s="373"/>
      <x:c r="I153" s="373"/>
      <x:c r="J153" s="373"/>
      <x:c r="K153" s="373"/>
      <x:c r="L153" s="373"/>
      <x:c r="M153" s="373"/>
      <x:c r="N153" s="373"/>
      <x:c r="O153" s="373"/>
      <x:c r="P153" s="373"/>
      <x:c r="Q153" s="373"/>
      <x:c r="R153" s="373"/>
      <x:c r="S153" s="373"/>
      <x:c r="T153" s="373"/>
      <x:c r="U153" s="373"/>
      <x:c r="V153" s="373"/>
      <x:c r="W153" s="373"/>
      <x:c r="X153" s="373"/>
      <x:c r="Y153" s="373"/>
      <x:c r="Z153" s="373"/>
    </x:row>
    <x:row r="154">
      <x:c r="A154" s="373"/>
      <x:c r="B154" s="373"/>
      <x:c r="C154" s="373"/>
      <x:c r="D154" s="373"/>
      <x:c r="E154" s="373"/>
      <x:c r="F154" s="373"/>
      <x:c r="G154" s="373"/>
      <x:c r="H154" s="373"/>
      <x:c r="I154" s="373"/>
      <x:c r="J154" s="373"/>
      <x:c r="K154" s="373"/>
      <x:c r="L154" s="373"/>
      <x:c r="M154" s="373"/>
      <x:c r="N154" s="373"/>
      <x:c r="O154" s="373"/>
      <x:c r="P154" s="373"/>
      <x:c r="Q154" s="373"/>
      <x:c r="R154" s="373"/>
      <x:c r="S154" s="373"/>
      <x:c r="T154" s="373"/>
      <x:c r="U154" s="373"/>
      <x:c r="V154" s="373"/>
      <x:c r="W154" s="373"/>
      <x:c r="X154" s="373"/>
      <x:c r="Y154" s="373"/>
      <x:c r="Z154" s="373"/>
    </x:row>
    <x:row r="155">
      <x:c r="A155" s="373"/>
      <x:c r="B155" s="373"/>
      <x:c r="C155" s="373"/>
      <x:c r="D155" s="373"/>
      <x:c r="E155" s="373"/>
      <x:c r="F155" s="373"/>
      <x:c r="G155" s="373"/>
      <x:c r="H155" s="373"/>
      <x:c r="I155" s="373"/>
      <x:c r="J155" s="373"/>
      <x:c r="K155" s="373"/>
      <x:c r="L155" s="373"/>
      <x:c r="M155" s="373"/>
      <x:c r="N155" s="373"/>
      <x:c r="O155" s="373"/>
      <x:c r="P155" s="373"/>
      <x:c r="Q155" s="373"/>
      <x:c r="R155" s="373"/>
      <x:c r="S155" s="373"/>
      <x:c r="T155" s="373"/>
      <x:c r="U155" s="373"/>
      <x:c r="V155" s="373"/>
      <x:c r="W155" s="373"/>
      <x:c r="X155" s="373"/>
      <x:c r="Y155" s="373"/>
      <x:c r="Z155" s="373"/>
    </x:row>
    <x:row r="156">
      <x:c r="A156" s="373"/>
      <x:c r="B156" s="373"/>
      <x:c r="C156" s="373"/>
      <x:c r="D156" s="373"/>
      <x:c r="E156" s="373"/>
      <x:c r="F156" s="373"/>
      <x:c r="G156" s="373"/>
      <x:c r="H156" s="373"/>
      <x:c r="I156" s="373"/>
      <x:c r="J156" s="373"/>
      <x:c r="K156" s="373"/>
      <x:c r="L156" s="373"/>
      <x:c r="M156" s="373"/>
      <x:c r="N156" s="373"/>
      <x:c r="O156" s="373"/>
      <x:c r="P156" s="373"/>
      <x:c r="Q156" s="373"/>
      <x:c r="R156" s="373"/>
      <x:c r="S156" s="373"/>
      <x:c r="T156" s="373"/>
      <x:c r="U156" s="373"/>
      <x:c r="V156" s="373"/>
      <x:c r="W156" s="373"/>
      <x:c r="X156" s="373"/>
      <x:c r="Y156" s="373"/>
      <x:c r="Z156" s="373"/>
    </x:row>
    <x:row r="157">
      <x:c r="A157" s="373"/>
      <x:c r="B157" s="373"/>
      <x:c r="C157" s="373"/>
      <x:c r="D157" s="373"/>
      <x:c r="E157" s="373"/>
      <x:c r="F157" s="373"/>
      <x:c r="G157" s="373"/>
      <x:c r="H157" s="373"/>
      <x:c r="I157" s="373"/>
      <x:c r="J157" s="373"/>
      <x:c r="K157" s="373"/>
      <x:c r="L157" s="373"/>
      <x:c r="M157" s="373"/>
      <x:c r="N157" s="373"/>
      <x:c r="O157" s="373"/>
      <x:c r="P157" s="373"/>
      <x:c r="Q157" s="373"/>
      <x:c r="R157" s="373"/>
      <x:c r="S157" s="373"/>
      <x:c r="T157" s="373"/>
      <x:c r="U157" s="373"/>
      <x:c r="V157" s="373"/>
      <x:c r="W157" s="373"/>
      <x:c r="X157" s="373"/>
      <x:c r="Y157" s="373"/>
      <x:c r="Z157" s="373"/>
    </x:row>
    <x:row r="158">
      <x:c r="A158" s="373"/>
      <x:c r="B158" s="373"/>
      <x:c r="C158" s="373"/>
      <x:c r="D158" s="373"/>
      <x:c r="E158" s="373"/>
      <x:c r="F158" s="373"/>
      <x:c r="G158" s="373"/>
      <x:c r="H158" s="373"/>
      <x:c r="I158" s="373"/>
      <x:c r="J158" s="373"/>
      <x:c r="K158" s="373"/>
      <x:c r="L158" s="373"/>
      <x:c r="M158" s="373"/>
      <x:c r="N158" s="373"/>
      <x:c r="O158" s="373"/>
      <x:c r="P158" s="373"/>
      <x:c r="Q158" s="373"/>
      <x:c r="R158" s="373"/>
      <x:c r="S158" s="373"/>
      <x:c r="T158" s="373"/>
      <x:c r="U158" s="373"/>
      <x:c r="V158" s="373"/>
      <x:c r="W158" s="373"/>
      <x:c r="X158" s="373"/>
      <x:c r="Y158" s="373"/>
      <x:c r="Z158" s="373"/>
    </x:row>
    <x:row r="159">
      <x:c r="A159" s="373"/>
      <x:c r="B159" s="373"/>
      <x:c r="C159" s="373"/>
      <x:c r="D159" s="373"/>
      <x:c r="E159" s="373"/>
      <x:c r="F159" s="373"/>
      <x:c r="G159" s="373"/>
      <x:c r="H159" s="373"/>
      <x:c r="I159" s="373"/>
      <x:c r="J159" s="373"/>
      <x:c r="K159" s="373"/>
      <x:c r="L159" s="373"/>
      <x:c r="M159" s="373"/>
      <x:c r="N159" s="373"/>
      <x:c r="O159" s="373"/>
      <x:c r="P159" s="373"/>
      <x:c r="Q159" s="373"/>
      <x:c r="R159" s="373"/>
      <x:c r="S159" s="373"/>
      <x:c r="T159" s="373"/>
      <x:c r="U159" s="373"/>
      <x:c r="V159" s="373"/>
      <x:c r="W159" s="373"/>
      <x:c r="X159" s="373"/>
      <x:c r="Y159" s="373"/>
      <x:c r="Z159" s="373"/>
    </x:row>
    <x:row r="160">
      <x:c r="A160" s="373"/>
      <x:c r="B160" s="373"/>
      <x:c r="C160" s="373"/>
      <x:c r="D160" s="373"/>
      <x:c r="E160" s="373"/>
      <x:c r="F160" s="373"/>
      <x:c r="G160" s="373"/>
      <x:c r="H160" s="373"/>
      <x:c r="I160" s="373"/>
      <x:c r="J160" s="373"/>
      <x:c r="K160" s="373"/>
      <x:c r="L160" s="373"/>
      <x:c r="M160" s="373"/>
      <x:c r="N160" s="373"/>
      <x:c r="O160" s="373"/>
      <x:c r="P160" s="373"/>
      <x:c r="Q160" s="373"/>
      <x:c r="R160" s="373"/>
      <x:c r="S160" s="373"/>
      <x:c r="T160" s="373"/>
      <x:c r="U160" s="373"/>
      <x:c r="V160" s="373"/>
      <x:c r="W160" s="373"/>
      <x:c r="X160" s="373"/>
      <x:c r="Y160" s="373"/>
      <x:c r="Z160" s="373"/>
    </x:row>
    <x:row r="161">
      <x:c r="A161" s="373"/>
      <x:c r="B161" s="373"/>
      <x:c r="C161" s="373"/>
      <x:c r="D161" s="373"/>
      <x:c r="E161" s="373"/>
      <x:c r="F161" s="373"/>
      <x:c r="G161" s="373"/>
      <x:c r="H161" s="373"/>
      <x:c r="I161" s="373"/>
      <x:c r="J161" s="373"/>
      <x:c r="K161" s="373"/>
      <x:c r="L161" s="373"/>
      <x:c r="M161" s="373"/>
      <x:c r="N161" s="373"/>
      <x:c r="O161" s="373"/>
      <x:c r="P161" s="373"/>
      <x:c r="Q161" s="373"/>
      <x:c r="R161" s="373"/>
      <x:c r="S161" s="373"/>
      <x:c r="T161" s="373"/>
      <x:c r="U161" s="373"/>
      <x:c r="V161" s="373"/>
      <x:c r="W161" s="373"/>
      <x:c r="X161" s="373"/>
      <x:c r="Y161" s="373"/>
      <x:c r="Z161" s="373"/>
    </x:row>
    <x:row r="162">
      <x:c r="A162" s="373"/>
      <x:c r="B162" s="373"/>
      <x:c r="C162" s="373"/>
      <x:c r="D162" s="373"/>
      <x:c r="E162" s="373"/>
      <x:c r="F162" s="373"/>
      <x:c r="G162" s="373"/>
      <x:c r="H162" s="373"/>
      <x:c r="I162" s="373"/>
      <x:c r="J162" s="373"/>
      <x:c r="K162" s="373"/>
      <x:c r="L162" s="373"/>
      <x:c r="M162" s="373"/>
      <x:c r="N162" s="373"/>
      <x:c r="O162" s="373"/>
      <x:c r="P162" s="373"/>
      <x:c r="Q162" s="373"/>
      <x:c r="R162" s="373"/>
      <x:c r="S162" s="373"/>
      <x:c r="T162" s="373"/>
      <x:c r="U162" s="373"/>
      <x:c r="V162" s="373"/>
      <x:c r="W162" s="373"/>
      <x:c r="X162" s="373"/>
      <x:c r="Y162" s="373"/>
      <x:c r="Z162" s="373"/>
    </x:row>
    <x:row r="163">
      <x:c r="A163" s="373"/>
      <x:c r="B163" s="373"/>
      <x:c r="C163" s="373"/>
      <x:c r="D163" s="373"/>
      <x:c r="E163" s="373"/>
      <x:c r="F163" s="373"/>
      <x:c r="G163" s="373"/>
      <x:c r="H163" s="373"/>
      <x:c r="I163" s="373"/>
      <x:c r="J163" s="373"/>
      <x:c r="K163" s="373"/>
      <x:c r="L163" s="373"/>
      <x:c r="M163" s="373"/>
      <x:c r="N163" s="373"/>
      <x:c r="O163" s="373"/>
      <x:c r="P163" s="373"/>
      <x:c r="Q163" s="373"/>
      <x:c r="R163" s="373"/>
      <x:c r="S163" s="373"/>
      <x:c r="T163" s="373"/>
      <x:c r="U163" s="373"/>
      <x:c r="V163" s="373"/>
      <x:c r="W163" s="373"/>
      <x:c r="X163" s="373"/>
      <x:c r="Y163" s="373"/>
      <x:c r="Z163" s="373"/>
    </x:row>
    <x:row r="164">
      <x:c r="A164" s="373"/>
      <x:c r="B164" s="373"/>
      <x:c r="C164" s="373"/>
      <x:c r="D164" s="373"/>
      <x:c r="E164" s="373"/>
      <x:c r="F164" s="373"/>
      <x:c r="G164" s="373"/>
      <x:c r="H164" s="373"/>
      <x:c r="I164" s="373"/>
      <x:c r="J164" s="373"/>
      <x:c r="K164" s="373"/>
      <x:c r="L164" s="373"/>
      <x:c r="M164" s="373"/>
      <x:c r="N164" s="373"/>
      <x:c r="O164" s="373"/>
      <x:c r="P164" s="373"/>
      <x:c r="Q164" s="373"/>
      <x:c r="R164" s="373"/>
      <x:c r="S164" s="373"/>
      <x:c r="T164" s="373"/>
      <x:c r="U164" s="373"/>
      <x:c r="V164" s="373"/>
      <x:c r="W164" s="373"/>
      <x:c r="X164" s="373"/>
      <x:c r="Y164" s="373"/>
      <x:c r="Z164" s="373"/>
    </x:row>
    <x:row r="165">
      <x:c r="A165" s="373"/>
      <x:c r="B165" s="373"/>
      <x:c r="C165" s="373"/>
      <x:c r="D165" s="373"/>
      <x:c r="E165" s="373"/>
      <x:c r="F165" s="373"/>
      <x:c r="G165" s="373"/>
      <x:c r="H165" s="373"/>
      <x:c r="I165" s="373"/>
      <x:c r="J165" s="373"/>
      <x:c r="K165" s="373"/>
      <x:c r="L165" s="373"/>
      <x:c r="M165" s="373"/>
      <x:c r="N165" s="373"/>
      <x:c r="O165" s="373"/>
      <x:c r="P165" s="373"/>
      <x:c r="Q165" s="373"/>
      <x:c r="R165" s="373"/>
      <x:c r="S165" s="373"/>
      <x:c r="T165" s="373"/>
      <x:c r="U165" s="373"/>
      <x:c r="V165" s="373"/>
      <x:c r="W165" s="373"/>
      <x:c r="X165" s="373"/>
      <x:c r="Y165" s="373"/>
      <x:c r="Z165" s="373"/>
    </x:row>
    <x:row r="166">
      <x:c r="A166" s="373"/>
      <x:c r="B166" s="373"/>
      <x:c r="C166" s="373"/>
      <x:c r="D166" s="373"/>
      <x:c r="E166" s="373"/>
      <x:c r="F166" s="373"/>
      <x:c r="G166" s="373"/>
      <x:c r="H166" s="373"/>
      <x:c r="I166" s="373"/>
      <x:c r="J166" s="373"/>
      <x:c r="K166" s="373"/>
      <x:c r="L166" s="373"/>
      <x:c r="M166" s="373"/>
      <x:c r="N166" s="373"/>
      <x:c r="O166" s="373"/>
      <x:c r="P166" s="373"/>
      <x:c r="Q166" s="373"/>
      <x:c r="R166" s="373"/>
      <x:c r="S166" s="373"/>
      <x:c r="T166" s="373"/>
      <x:c r="U166" s="373"/>
      <x:c r="V166" s="373"/>
      <x:c r="W166" s="373"/>
      <x:c r="X166" s="373"/>
      <x:c r="Y166" s="373"/>
      <x:c r="Z166" s="373"/>
    </x:row>
    <x:row r="167">
      <x:c r="A167" s="373"/>
      <x:c r="B167" s="373"/>
      <x:c r="C167" s="373"/>
      <x:c r="D167" s="373"/>
      <x:c r="E167" s="373"/>
      <x:c r="F167" s="373"/>
      <x:c r="G167" s="373"/>
      <x:c r="H167" s="373"/>
      <x:c r="I167" s="373"/>
      <x:c r="J167" s="373"/>
      <x:c r="K167" s="373"/>
      <x:c r="L167" s="373"/>
      <x:c r="M167" s="373"/>
      <x:c r="N167" s="373"/>
      <x:c r="O167" s="373"/>
      <x:c r="P167" s="373"/>
      <x:c r="Q167" s="373"/>
      <x:c r="R167" s="373"/>
      <x:c r="S167" s="373"/>
      <x:c r="T167" s="373"/>
      <x:c r="U167" s="373"/>
      <x:c r="V167" s="373"/>
      <x:c r="W167" s="373"/>
      <x:c r="X167" s="373"/>
      <x:c r="Y167" s="373"/>
      <x:c r="Z167" s="373"/>
    </x:row>
    <x:row r="168">
      <x:c r="A168" s="373"/>
      <x:c r="B168" s="373"/>
      <x:c r="C168" s="373"/>
      <x:c r="D168" s="373"/>
      <x:c r="E168" s="373"/>
      <x:c r="F168" s="373"/>
      <x:c r="G168" s="373"/>
      <x:c r="H168" s="373"/>
      <x:c r="I168" s="373"/>
      <x:c r="J168" s="373"/>
      <x:c r="K168" s="373"/>
      <x:c r="L168" s="373"/>
      <x:c r="M168" s="373"/>
      <x:c r="N168" s="373"/>
      <x:c r="O168" s="373"/>
      <x:c r="P168" s="373"/>
      <x:c r="Q168" s="373"/>
      <x:c r="R168" s="373"/>
      <x:c r="S168" s="373"/>
      <x:c r="T168" s="373"/>
      <x:c r="U168" s="373"/>
      <x:c r="V168" s="373"/>
      <x:c r="W168" s="373"/>
      <x:c r="X168" s="373"/>
      <x:c r="Y168" s="373"/>
      <x:c r="Z168" s="373"/>
    </x:row>
    <x:row r="169">
      <x:c r="A169" s="373"/>
      <x:c r="B169" s="373"/>
      <x:c r="C169" s="373"/>
      <x:c r="D169" s="373"/>
      <x:c r="E169" s="373"/>
      <x:c r="F169" s="373"/>
      <x:c r="G169" s="373"/>
      <x:c r="H169" s="373"/>
      <x:c r="I169" s="373"/>
      <x:c r="J169" s="373"/>
      <x:c r="K169" s="373"/>
      <x:c r="L169" s="373"/>
      <x:c r="M169" s="373"/>
      <x:c r="N169" s="373"/>
      <x:c r="O169" s="373"/>
      <x:c r="P169" s="373"/>
      <x:c r="Q169" s="373"/>
      <x:c r="R169" s="373"/>
      <x:c r="S169" s="373"/>
      <x:c r="T169" s="373"/>
      <x:c r="U169" s="373"/>
      <x:c r="V169" s="373"/>
      <x:c r="W169" s="373"/>
      <x:c r="X169" s="373"/>
      <x:c r="Y169" s="373"/>
      <x:c r="Z169" s="373"/>
    </x:row>
    <x:row r="170">
      <x:c r="A170" s="373"/>
      <x:c r="B170" s="373"/>
      <x:c r="C170" s="373"/>
      <x:c r="D170" s="373"/>
      <x:c r="E170" s="373"/>
      <x:c r="F170" s="373"/>
      <x:c r="G170" s="373"/>
      <x:c r="H170" s="373"/>
      <x:c r="I170" s="373"/>
      <x:c r="J170" s="373"/>
      <x:c r="K170" s="373"/>
      <x:c r="L170" s="373"/>
      <x:c r="M170" s="373"/>
      <x:c r="N170" s="373"/>
      <x:c r="O170" s="373"/>
      <x:c r="P170" s="373"/>
      <x:c r="Q170" s="373"/>
      <x:c r="R170" s="373"/>
      <x:c r="S170" s="373"/>
      <x:c r="T170" s="373"/>
      <x:c r="U170" s="373"/>
      <x:c r="V170" s="373"/>
      <x:c r="W170" s="373"/>
      <x:c r="X170" s="373"/>
      <x:c r="Y170" s="373"/>
      <x:c r="Z170" s="373"/>
    </x:row>
    <x:row r="171">
      <x:c r="A171" s="373"/>
      <x:c r="B171" s="373"/>
      <x:c r="C171" s="373"/>
      <x:c r="D171" s="373"/>
      <x:c r="E171" s="373"/>
      <x:c r="F171" s="373"/>
      <x:c r="G171" s="373"/>
      <x:c r="H171" s="373"/>
      <x:c r="I171" s="373"/>
      <x:c r="J171" s="373"/>
      <x:c r="K171" s="373"/>
      <x:c r="L171" s="373"/>
      <x:c r="M171" s="373"/>
      <x:c r="N171" s="373"/>
      <x:c r="O171" s="373"/>
      <x:c r="P171" s="373"/>
      <x:c r="Q171" s="373"/>
      <x:c r="R171" s="373"/>
      <x:c r="S171" s="373"/>
      <x:c r="T171" s="373"/>
      <x:c r="U171" s="373"/>
      <x:c r="V171" s="373"/>
      <x:c r="W171" s="373"/>
      <x:c r="X171" s="373"/>
      <x:c r="Y171" s="373"/>
      <x:c r="Z171" s="373"/>
    </x:row>
    <x:row r="172">
      <x:c r="A172" s="373"/>
      <x:c r="B172" s="373"/>
      <x:c r="C172" s="373"/>
      <x:c r="D172" s="373"/>
      <x:c r="E172" s="373"/>
      <x:c r="F172" s="373"/>
      <x:c r="G172" s="373"/>
      <x:c r="H172" s="373"/>
      <x:c r="I172" s="373"/>
      <x:c r="J172" s="373"/>
      <x:c r="K172" s="373"/>
      <x:c r="L172" s="373"/>
      <x:c r="M172" s="373"/>
      <x:c r="N172" s="373"/>
      <x:c r="O172" s="373"/>
      <x:c r="P172" s="373"/>
      <x:c r="Q172" s="373"/>
      <x:c r="R172" s="373"/>
      <x:c r="S172" s="373"/>
      <x:c r="T172" s="373"/>
      <x:c r="U172" s="373"/>
      <x:c r="V172" s="373"/>
      <x:c r="W172" s="373"/>
      <x:c r="X172" s="373"/>
      <x:c r="Y172" s="373"/>
      <x:c r="Z172" s="373"/>
    </x:row>
    <x:row r="173">
      <x:c r="A173" s="373"/>
      <x:c r="B173" s="373"/>
      <x:c r="C173" s="373"/>
      <x:c r="D173" s="373"/>
      <x:c r="E173" s="373"/>
      <x:c r="F173" s="373"/>
      <x:c r="G173" s="373"/>
      <x:c r="H173" s="373"/>
      <x:c r="I173" s="373"/>
      <x:c r="J173" s="373"/>
      <x:c r="K173" s="373"/>
      <x:c r="L173" s="373"/>
      <x:c r="M173" s="373"/>
      <x:c r="N173" s="373"/>
      <x:c r="O173" s="373"/>
      <x:c r="P173" s="373"/>
      <x:c r="Q173" s="373"/>
      <x:c r="R173" s="373"/>
      <x:c r="S173" s="373"/>
      <x:c r="T173" s="373"/>
      <x:c r="U173" s="373"/>
      <x:c r="V173" s="373"/>
      <x:c r="W173" s="373"/>
      <x:c r="X173" s="373"/>
      <x:c r="Y173" s="373"/>
      <x:c r="Z173" s="373"/>
    </x:row>
    <x:row r="174">
      <x:c r="A174" s="373"/>
      <x:c r="B174" s="373"/>
      <x:c r="C174" s="373"/>
      <x:c r="D174" s="373"/>
      <x:c r="E174" s="373"/>
      <x:c r="F174" s="373"/>
      <x:c r="G174" s="373"/>
      <x:c r="H174" s="373"/>
      <x:c r="I174" s="373"/>
      <x:c r="J174" s="373"/>
      <x:c r="K174" s="373"/>
      <x:c r="L174" s="373"/>
      <x:c r="M174" s="373"/>
      <x:c r="N174" s="373"/>
      <x:c r="O174" s="373"/>
      <x:c r="P174" s="373"/>
      <x:c r="Q174" s="373"/>
      <x:c r="R174" s="373"/>
      <x:c r="S174" s="373"/>
      <x:c r="T174" s="373"/>
      <x:c r="U174" s="373"/>
      <x:c r="V174" s="373"/>
      <x:c r="W174" s="373"/>
      <x:c r="X174" s="373"/>
      <x:c r="Y174" s="373"/>
      <x:c r="Z174" s="373"/>
    </x:row>
    <x:row r="175">
      <x:c r="A175" s="373"/>
      <x:c r="B175" s="373"/>
      <x:c r="C175" s="373"/>
      <x:c r="D175" s="373"/>
      <x:c r="E175" s="373"/>
      <x:c r="F175" s="373"/>
      <x:c r="G175" s="373"/>
      <x:c r="H175" s="373"/>
      <x:c r="I175" s="373"/>
      <x:c r="J175" s="373"/>
      <x:c r="K175" s="373"/>
      <x:c r="L175" s="373"/>
      <x:c r="M175" s="373"/>
      <x:c r="N175" s="373"/>
      <x:c r="O175" s="373"/>
      <x:c r="P175" s="373"/>
      <x:c r="Q175" s="373"/>
      <x:c r="R175" s="373"/>
      <x:c r="S175" s="373"/>
      <x:c r="T175" s="373"/>
      <x:c r="U175" s="373"/>
      <x:c r="V175" s="373"/>
      <x:c r="W175" s="373"/>
      <x:c r="X175" s="373"/>
      <x:c r="Y175" s="373"/>
      <x:c r="Z175" s="373"/>
    </x:row>
    <x:row r="176">
      <x:c r="A176" s="373"/>
      <x:c r="B176" s="373"/>
      <x:c r="C176" s="373"/>
      <x:c r="D176" s="373"/>
      <x:c r="E176" s="373"/>
      <x:c r="F176" s="373"/>
      <x:c r="G176" s="373"/>
      <x:c r="H176" s="373"/>
      <x:c r="I176" s="373"/>
      <x:c r="J176" s="373"/>
      <x:c r="K176" s="373"/>
      <x:c r="L176" s="373"/>
      <x:c r="M176" s="373"/>
      <x:c r="N176" s="373"/>
      <x:c r="O176" s="373"/>
      <x:c r="P176" s="373"/>
      <x:c r="Q176" s="373"/>
      <x:c r="R176" s="373"/>
      <x:c r="S176" s="373"/>
      <x:c r="T176" s="373"/>
      <x:c r="U176" s="373"/>
      <x:c r="V176" s="373"/>
      <x:c r="W176" s="373"/>
      <x:c r="X176" s="373"/>
      <x:c r="Y176" s="373"/>
      <x:c r="Z176" s="373"/>
    </x:row>
    <x:row r="177">
      <x:c r="A177" s="373"/>
      <x:c r="B177" s="373"/>
      <x:c r="C177" s="373"/>
      <x:c r="D177" s="373"/>
      <x:c r="E177" s="373"/>
      <x:c r="F177" s="373"/>
      <x:c r="G177" s="373"/>
      <x:c r="H177" s="373"/>
      <x:c r="I177" s="373"/>
      <x:c r="J177" s="373"/>
      <x:c r="K177" s="373"/>
      <x:c r="L177" s="373"/>
      <x:c r="M177" s="373"/>
      <x:c r="N177" s="373"/>
      <x:c r="O177" s="373"/>
      <x:c r="P177" s="373"/>
      <x:c r="Q177" s="373"/>
      <x:c r="R177" s="373"/>
      <x:c r="S177" s="373"/>
      <x:c r="T177" s="373"/>
      <x:c r="U177" s="373"/>
      <x:c r="V177" s="373"/>
      <x:c r="W177" s="373"/>
      <x:c r="X177" s="373"/>
      <x:c r="Y177" s="373"/>
      <x:c r="Z177" s="373"/>
    </x:row>
    <x:row r="178">
      <x:c r="A178" s="373"/>
      <x:c r="B178" s="373"/>
      <x:c r="C178" s="373"/>
      <x:c r="D178" s="373"/>
      <x:c r="E178" s="373"/>
      <x:c r="F178" s="373"/>
      <x:c r="G178" s="373"/>
      <x:c r="H178" s="373"/>
      <x:c r="I178" s="373"/>
      <x:c r="J178" s="373"/>
      <x:c r="K178" s="373"/>
      <x:c r="L178" s="373"/>
      <x:c r="M178" s="373"/>
      <x:c r="N178" s="373"/>
      <x:c r="O178" s="373"/>
      <x:c r="P178" s="373"/>
      <x:c r="Q178" s="373"/>
      <x:c r="R178" s="373"/>
      <x:c r="S178" s="373"/>
      <x:c r="T178" s="373"/>
      <x:c r="U178" s="373"/>
      <x:c r="V178" s="373"/>
      <x:c r="W178" s="373"/>
      <x:c r="X178" s="373"/>
      <x:c r="Y178" s="373"/>
      <x:c r="Z178" s="373"/>
    </x:row>
    <x:row r="179">
      <x:c r="A179" s="373"/>
      <x:c r="B179" s="373"/>
      <x:c r="C179" s="373"/>
      <x:c r="D179" s="373"/>
      <x:c r="E179" s="373"/>
      <x:c r="F179" s="373"/>
      <x:c r="G179" s="373"/>
      <x:c r="H179" s="373"/>
      <x:c r="I179" s="373"/>
      <x:c r="J179" s="373"/>
      <x:c r="K179" s="373"/>
      <x:c r="L179" s="373"/>
      <x:c r="M179" s="373"/>
      <x:c r="N179" s="373"/>
      <x:c r="O179" s="373"/>
      <x:c r="P179" s="373"/>
      <x:c r="Q179" s="373"/>
      <x:c r="R179" s="373"/>
      <x:c r="S179" s="373"/>
      <x:c r="T179" s="373"/>
      <x:c r="U179" s="373"/>
      <x:c r="V179" s="373"/>
      <x:c r="W179" s="373"/>
      <x:c r="X179" s="373"/>
      <x:c r="Y179" s="373"/>
      <x:c r="Z179" s="373"/>
    </x:row>
    <x:row r="180">
      <x:c r="A180" s="373"/>
      <x:c r="B180" s="373"/>
      <x:c r="C180" s="373"/>
      <x:c r="D180" s="373"/>
      <x:c r="E180" s="373"/>
      <x:c r="F180" s="373"/>
      <x:c r="G180" s="373"/>
      <x:c r="H180" s="373"/>
      <x:c r="I180" s="373"/>
      <x:c r="J180" s="373"/>
      <x:c r="K180" s="373"/>
      <x:c r="L180" s="373"/>
      <x:c r="M180" s="373"/>
      <x:c r="N180" s="373"/>
      <x:c r="O180" s="373"/>
      <x:c r="P180" s="373"/>
      <x:c r="Q180" s="373"/>
      <x:c r="R180" s="373"/>
      <x:c r="S180" s="373"/>
      <x:c r="T180" s="373"/>
      <x:c r="U180" s="373"/>
      <x:c r="V180" s="373"/>
      <x:c r="W180" s="373"/>
      <x:c r="X180" s="373"/>
      <x:c r="Y180" s="373"/>
      <x:c r="Z180" s="373"/>
    </x:row>
    <x:row r="181">
      <x:c r="A181" s="373"/>
      <x:c r="B181" s="373"/>
      <x:c r="C181" s="373"/>
      <x:c r="D181" s="373"/>
      <x:c r="E181" s="373"/>
      <x:c r="F181" s="373"/>
      <x:c r="G181" s="373"/>
      <x:c r="H181" s="373"/>
      <x:c r="I181" s="373"/>
      <x:c r="J181" s="373"/>
      <x:c r="K181" s="373"/>
      <x:c r="L181" s="373"/>
      <x:c r="M181" s="373"/>
      <x:c r="N181" s="373"/>
      <x:c r="O181" s="373"/>
      <x:c r="P181" s="373"/>
      <x:c r="Q181" s="373"/>
      <x:c r="R181" s="373"/>
      <x:c r="S181" s="373"/>
      <x:c r="T181" s="373"/>
      <x:c r="U181" s="373"/>
      <x:c r="V181" s="373"/>
      <x:c r="W181" s="373"/>
      <x:c r="X181" s="373"/>
      <x:c r="Y181" s="373"/>
      <x:c r="Z181" s="373"/>
    </x:row>
    <x:row r="182">
      <x:c r="A182" s="373"/>
      <x:c r="B182" s="373"/>
      <x:c r="C182" s="373"/>
      <x:c r="D182" s="373"/>
      <x:c r="E182" s="373"/>
      <x:c r="F182" s="373"/>
      <x:c r="G182" s="373"/>
      <x:c r="H182" s="373"/>
      <x:c r="I182" s="373"/>
      <x:c r="J182" s="373"/>
      <x:c r="K182" s="373"/>
      <x:c r="L182" s="373"/>
      <x:c r="M182" s="373"/>
      <x:c r="N182" s="373"/>
      <x:c r="O182" s="373"/>
      <x:c r="P182" s="373"/>
      <x:c r="Q182" s="373"/>
      <x:c r="R182" s="373"/>
      <x:c r="S182" s="373"/>
      <x:c r="T182" s="373"/>
      <x:c r="U182" s="373"/>
      <x:c r="V182" s="373"/>
      <x:c r="W182" s="373"/>
      <x:c r="X182" s="373"/>
      <x:c r="Y182" s="373"/>
      <x:c r="Z182" s="373"/>
    </x:row>
    <x:row r="183">
      <x:c r="A183" s="373"/>
      <x:c r="B183" s="373"/>
      <x:c r="C183" s="373"/>
      <x:c r="D183" s="373"/>
      <x:c r="E183" s="373"/>
      <x:c r="F183" s="373"/>
      <x:c r="G183" s="373"/>
      <x:c r="H183" s="373"/>
      <x:c r="I183" s="373"/>
      <x:c r="J183" s="373"/>
      <x:c r="K183" s="373"/>
      <x:c r="L183" s="373"/>
      <x:c r="M183" s="373"/>
      <x:c r="N183" s="373"/>
      <x:c r="O183" s="373"/>
      <x:c r="P183" s="373"/>
      <x:c r="Q183" s="373"/>
      <x:c r="R183" s="373"/>
      <x:c r="S183" s="373"/>
      <x:c r="T183" s="373"/>
      <x:c r="U183" s="373"/>
      <x:c r="V183" s="373"/>
      <x:c r="W183" s="373"/>
      <x:c r="X183" s="373"/>
      <x:c r="Y183" s="373"/>
      <x:c r="Z183" s="373"/>
    </x:row>
    <x:row r="184">
      <x:c r="A184" s="373"/>
      <x:c r="B184" s="373"/>
      <x:c r="C184" s="373"/>
      <x:c r="D184" s="373"/>
      <x:c r="E184" s="373"/>
      <x:c r="F184" s="373"/>
      <x:c r="G184" s="373"/>
      <x:c r="H184" s="373"/>
      <x:c r="I184" s="373"/>
      <x:c r="J184" s="373"/>
      <x:c r="K184" s="373"/>
      <x:c r="L184" s="373"/>
      <x:c r="M184" s="373"/>
      <x:c r="N184" s="373"/>
      <x:c r="O184" s="373"/>
      <x:c r="P184" s="373"/>
      <x:c r="Q184" s="373"/>
      <x:c r="R184" s="373"/>
      <x:c r="S184" s="373"/>
      <x:c r="T184" s="373"/>
      <x:c r="U184" s="373"/>
      <x:c r="V184" s="373"/>
      <x:c r="W184" s="373"/>
      <x:c r="X184" s="373"/>
      <x:c r="Y184" s="373"/>
      <x:c r="Z184" s="373"/>
    </x:row>
    <x:row r="185">
      <x:c r="A185" s="373"/>
      <x:c r="B185" s="373"/>
      <x:c r="C185" s="373"/>
      <x:c r="D185" s="373"/>
      <x:c r="E185" s="373"/>
      <x:c r="F185" s="373"/>
      <x:c r="G185" s="373"/>
      <x:c r="H185" s="373"/>
      <x:c r="I185" s="373"/>
      <x:c r="J185" s="373"/>
      <x:c r="K185" s="373"/>
      <x:c r="L185" s="373"/>
      <x:c r="M185" s="373"/>
      <x:c r="N185" s="373"/>
      <x:c r="O185" s="373"/>
      <x:c r="P185" s="373"/>
      <x:c r="Q185" s="373"/>
      <x:c r="R185" s="373"/>
      <x:c r="S185" s="373"/>
      <x:c r="T185" s="373"/>
      <x:c r="U185" s="373"/>
      <x:c r="V185" s="373"/>
      <x:c r="W185" s="373"/>
      <x:c r="X185" s="373"/>
      <x:c r="Y185" s="373"/>
      <x:c r="Z185" s="373"/>
    </x:row>
    <x:row r="186">
      <x:c r="A186" s="373"/>
      <x:c r="B186" s="373"/>
      <x:c r="C186" s="373"/>
      <x:c r="D186" s="373"/>
      <x:c r="E186" s="373"/>
      <x:c r="F186" s="373"/>
      <x:c r="G186" s="373"/>
      <x:c r="H186" s="373"/>
      <x:c r="I186" s="373"/>
      <x:c r="J186" s="373"/>
      <x:c r="K186" s="373"/>
      <x:c r="L186" s="373"/>
      <x:c r="M186" s="373"/>
      <x:c r="N186" s="373"/>
      <x:c r="O186" s="373"/>
      <x:c r="P186" s="373"/>
      <x:c r="Q186" s="373"/>
      <x:c r="R186" s="373"/>
      <x:c r="S186" s="373"/>
      <x:c r="T186" s="373"/>
      <x:c r="U186" s="373"/>
      <x:c r="V186" s="373"/>
      <x:c r="W186" s="373"/>
      <x:c r="X186" s="373"/>
      <x:c r="Y186" s="373"/>
      <x:c r="Z186" s="373"/>
    </x:row>
    <x:row r="187">
      <x:c r="A187" s="373"/>
      <x:c r="B187" s="373"/>
      <x:c r="C187" s="373"/>
      <x:c r="D187" s="373"/>
      <x:c r="E187" s="373"/>
      <x:c r="F187" s="373"/>
      <x:c r="G187" s="373"/>
      <x:c r="H187" s="373"/>
      <x:c r="I187" s="373"/>
      <x:c r="J187" s="373"/>
      <x:c r="K187" s="373"/>
      <x:c r="L187" s="373"/>
      <x:c r="M187" s="373"/>
      <x:c r="N187" s="373"/>
      <x:c r="O187" s="373"/>
      <x:c r="P187" s="373"/>
      <x:c r="Q187" s="373"/>
      <x:c r="R187" s="373"/>
      <x:c r="S187" s="373"/>
      <x:c r="T187" s="373"/>
      <x:c r="U187" s="373"/>
      <x:c r="V187" s="373"/>
      <x:c r="W187" s="373"/>
      <x:c r="X187" s="373"/>
      <x:c r="Y187" s="373"/>
      <x:c r="Z187" s="373"/>
    </x:row>
    <x:row r="188">
      <x:c r="A188" s="373"/>
      <x:c r="B188" s="373"/>
      <x:c r="C188" s="373"/>
      <x:c r="D188" s="373"/>
      <x:c r="E188" s="373"/>
      <x:c r="F188" s="373"/>
      <x:c r="G188" s="373"/>
      <x:c r="H188" s="373"/>
      <x:c r="I188" s="373"/>
      <x:c r="J188" s="373"/>
      <x:c r="K188" s="373"/>
      <x:c r="L188" s="373"/>
      <x:c r="M188" s="373"/>
      <x:c r="N188" s="373"/>
      <x:c r="O188" s="373"/>
      <x:c r="P188" s="373"/>
      <x:c r="Q188" s="373"/>
      <x:c r="R188" s="373"/>
      <x:c r="S188" s="373"/>
      <x:c r="T188" s="373"/>
      <x:c r="U188" s="373"/>
      <x:c r="V188" s="373"/>
      <x:c r="W188" s="373"/>
      <x:c r="X188" s="373"/>
      <x:c r="Y188" s="373"/>
      <x:c r="Z188" s="373"/>
    </x:row>
    <x:row r="189">
      <x:c r="A189" s="373"/>
      <x:c r="B189" s="373"/>
      <x:c r="C189" s="373"/>
      <x:c r="D189" s="373"/>
      <x:c r="E189" s="373"/>
      <x:c r="F189" s="373"/>
      <x:c r="G189" s="373"/>
      <x:c r="H189" s="373"/>
      <x:c r="I189" s="373"/>
      <x:c r="J189" s="373"/>
      <x:c r="K189" s="373"/>
      <x:c r="L189" s="373"/>
      <x:c r="M189" s="373"/>
      <x:c r="N189" s="373"/>
      <x:c r="O189" s="373"/>
      <x:c r="P189" s="373"/>
      <x:c r="Q189" s="373"/>
      <x:c r="R189" s="373"/>
      <x:c r="S189" s="373"/>
      <x:c r="T189" s="373"/>
      <x:c r="U189" s="373"/>
      <x:c r="V189" s="373"/>
      <x:c r="W189" s="373"/>
      <x:c r="X189" s="373"/>
      <x:c r="Y189" s="373"/>
      <x:c r="Z189" s="373"/>
    </x:row>
    <x:row r="190">
      <x:c r="A190" s="373"/>
      <x:c r="B190" s="373"/>
      <x:c r="C190" s="373"/>
      <x:c r="D190" s="373"/>
      <x:c r="E190" s="373"/>
      <x:c r="F190" s="373"/>
      <x:c r="G190" s="373"/>
      <x:c r="H190" s="373"/>
      <x:c r="I190" s="373"/>
      <x:c r="J190" s="373"/>
      <x:c r="K190" s="373"/>
      <x:c r="L190" s="373"/>
      <x:c r="M190" s="373"/>
      <x:c r="N190" s="373"/>
      <x:c r="O190" s="373"/>
      <x:c r="P190" s="373"/>
      <x:c r="Q190" s="373"/>
      <x:c r="R190" s="373"/>
      <x:c r="S190" s="373"/>
      <x:c r="T190" s="373"/>
      <x:c r="U190" s="373"/>
      <x:c r="V190" s="373"/>
      <x:c r="W190" s="373"/>
      <x:c r="X190" s="373"/>
      <x:c r="Y190" s="373"/>
      <x:c r="Z190" s="373"/>
    </x:row>
    <x:row r="191">
      <x:c r="A191" s="373"/>
      <x:c r="B191" s="373"/>
      <x:c r="C191" s="373"/>
      <x:c r="D191" s="373"/>
      <x:c r="E191" s="373"/>
      <x:c r="F191" s="373"/>
      <x:c r="G191" s="373"/>
      <x:c r="H191" s="373"/>
      <x:c r="I191" s="373"/>
      <x:c r="J191" s="373"/>
      <x:c r="K191" s="373"/>
      <x:c r="L191" s="373"/>
      <x:c r="M191" s="373"/>
      <x:c r="N191" s="373"/>
      <x:c r="O191" s="373"/>
      <x:c r="P191" s="373"/>
      <x:c r="Q191" s="373"/>
      <x:c r="R191" s="373"/>
      <x:c r="S191" s="373"/>
      <x:c r="T191" s="373"/>
      <x:c r="U191" s="373"/>
      <x:c r="V191" s="373"/>
      <x:c r="W191" s="373"/>
      <x:c r="X191" s="373"/>
      <x:c r="Y191" s="373"/>
      <x:c r="Z191" s="373"/>
    </x:row>
    <x:row r="192">
      <x:c r="A192" s="373"/>
      <x:c r="B192" s="373"/>
      <x:c r="C192" s="373"/>
      <x:c r="D192" s="373"/>
      <x:c r="E192" s="373"/>
      <x:c r="F192" s="373"/>
      <x:c r="G192" s="373"/>
      <x:c r="H192" s="373"/>
      <x:c r="I192" s="373"/>
      <x:c r="J192" s="373"/>
      <x:c r="K192" s="373"/>
      <x:c r="L192" s="373"/>
      <x:c r="M192" s="373"/>
      <x:c r="N192" s="373"/>
      <x:c r="O192" s="373"/>
      <x:c r="P192" s="373"/>
      <x:c r="Q192" s="373"/>
      <x:c r="R192" s="373"/>
      <x:c r="S192" s="373"/>
      <x:c r="T192" s="373"/>
      <x:c r="U192" s="373"/>
      <x:c r="V192" s="373"/>
      <x:c r="W192" s="373"/>
      <x:c r="X192" s="373"/>
      <x:c r="Y192" s="373"/>
      <x:c r="Z192" s="373"/>
    </x:row>
    <x:row r="193">
      <x:c r="A193" s="373"/>
      <x:c r="B193" s="373"/>
      <x:c r="C193" s="373"/>
      <x:c r="D193" s="373"/>
      <x:c r="E193" s="373"/>
      <x:c r="F193" s="373"/>
      <x:c r="G193" s="373"/>
      <x:c r="H193" s="373"/>
      <x:c r="I193" s="373"/>
      <x:c r="J193" s="373"/>
      <x:c r="K193" s="373"/>
      <x:c r="L193" s="373"/>
      <x:c r="M193" s="373"/>
      <x:c r="N193" s="373"/>
      <x:c r="O193" s="373"/>
      <x:c r="P193" s="373"/>
      <x:c r="Q193" s="373"/>
      <x:c r="R193" s="373"/>
      <x:c r="S193" s="373"/>
      <x:c r="T193" s="373"/>
      <x:c r="U193" s="373"/>
      <x:c r="V193" s="373"/>
      <x:c r="W193" s="373"/>
      <x:c r="X193" s="373"/>
      <x:c r="Y193" s="373"/>
      <x:c r="Z193" s="373"/>
    </x:row>
    <x:row r="194">
      <x:c r="A194" s="373"/>
      <x:c r="B194" s="373"/>
      <x:c r="C194" s="373"/>
      <x:c r="D194" s="373"/>
      <x:c r="E194" s="373"/>
      <x:c r="F194" s="373"/>
      <x:c r="G194" s="373"/>
      <x:c r="H194" s="373"/>
      <x:c r="I194" s="373"/>
      <x:c r="J194" s="373"/>
      <x:c r="K194" s="373"/>
      <x:c r="L194" s="373"/>
      <x:c r="M194" s="373"/>
      <x:c r="N194" s="373"/>
      <x:c r="O194" s="373"/>
      <x:c r="P194" s="373"/>
      <x:c r="Q194" s="373"/>
      <x:c r="R194" s="373"/>
      <x:c r="S194" s="373"/>
      <x:c r="T194" s="373"/>
      <x:c r="U194" s="373"/>
      <x:c r="V194" s="373"/>
      <x:c r="W194" s="373"/>
      <x:c r="X194" s="373"/>
      <x:c r="Y194" s="373"/>
      <x:c r="Z194" s="373"/>
    </x:row>
    <x:row r="195">
      <x:c r="A195" s="373"/>
      <x:c r="B195" s="373"/>
      <x:c r="C195" s="373"/>
      <x:c r="D195" s="373"/>
      <x:c r="E195" s="373"/>
      <x:c r="F195" s="373"/>
      <x:c r="G195" s="373"/>
      <x:c r="H195" s="373"/>
      <x:c r="I195" s="373"/>
      <x:c r="J195" s="373"/>
      <x:c r="K195" s="373"/>
      <x:c r="L195" s="373"/>
      <x:c r="M195" s="373"/>
      <x:c r="N195" s="373"/>
      <x:c r="O195" s="373"/>
      <x:c r="P195" s="373"/>
      <x:c r="Q195" s="373"/>
      <x:c r="R195" s="373"/>
      <x:c r="S195" s="373"/>
      <x:c r="T195" s="373"/>
      <x:c r="U195" s="373"/>
      <x:c r="V195" s="373"/>
      <x:c r="W195" s="373"/>
      <x:c r="X195" s="373"/>
      <x:c r="Y195" s="373"/>
      <x:c r="Z195" s="373"/>
    </x:row>
    <x:row r="196">
      <x:c r="A196" s="373"/>
      <x:c r="B196" s="373"/>
      <x:c r="C196" s="373"/>
      <x:c r="D196" s="373"/>
      <x:c r="E196" s="373"/>
      <x:c r="F196" s="373"/>
      <x:c r="G196" s="373"/>
      <x:c r="H196" s="373"/>
      <x:c r="I196" s="373"/>
      <x:c r="J196" s="373"/>
      <x:c r="K196" s="373"/>
      <x:c r="L196" s="373"/>
      <x:c r="M196" s="373"/>
      <x:c r="N196" s="373"/>
      <x:c r="O196" s="373"/>
      <x:c r="P196" s="373"/>
      <x:c r="Q196" s="373"/>
      <x:c r="R196" s="373"/>
      <x:c r="S196" s="373"/>
      <x:c r="T196" s="373"/>
      <x:c r="U196" s="373"/>
      <x:c r="V196" s="373"/>
      <x:c r="W196" s="373"/>
      <x:c r="X196" s="373"/>
      <x:c r="Y196" s="373"/>
      <x:c r="Z196" s="373"/>
    </x:row>
    <x:row r="197">
      <x:c r="A197" s="373"/>
      <x:c r="B197" s="373"/>
      <x:c r="C197" s="373"/>
      <x:c r="D197" s="373"/>
      <x:c r="E197" s="373"/>
      <x:c r="F197" s="373"/>
      <x:c r="G197" s="373"/>
      <x:c r="H197" s="373"/>
      <x:c r="I197" s="373"/>
      <x:c r="J197" s="373"/>
      <x:c r="K197" s="373"/>
      <x:c r="L197" s="373"/>
      <x:c r="M197" s="373"/>
      <x:c r="N197" s="373"/>
      <x:c r="O197" s="373"/>
      <x:c r="P197" s="373"/>
      <x:c r="Q197" s="373"/>
      <x:c r="R197" s="373"/>
      <x:c r="S197" s="373"/>
      <x:c r="T197" s="373"/>
      <x:c r="U197" s="373"/>
      <x:c r="V197" s="373"/>
      <x:c r="W197" s="373"/>
      <x:c r="X197" s="373"/>
      <x:c r="Y197" s="373"/>
      <x:c r="Z197" s="373"/>
    </x:row>
    <x:row r="198">
      <x:c r="A198" s="373"/>
      <x:c r="B198" s="373"/>
      <x:c r="C198" s="373"/>
      <x:c r="D198" s="373"/>
      <x:c r="E198" s="373"/>
      <x:c r="F198" s="373"/>
      <x:c r="G198" s="373"/>
      <x:c r="H198" s="373"/>
      <x:c r="I198" s="373"/>
      <x:c r="J198" s="373"/>
      <x:c r="K198" s="373"/>
      <x:c r="L198" s="373"/>
      <x:c r="M198" s="373"/>
      <x:c r="N198" s="373"/>
      <x:c r="O198" s="373"/>
      <x:c r="P198" s="373"/>
      <x:c r="Q198" s="373"/>
      <x:c r="R198" s="373"/>
      <x:c r="S198" s="373"/>
      <x:c r="T198" s="373"/>
      <x:c r="U198" s="373"/>
      <x:c r="V198" s="373"/>
      <x:c r="W198" s="373"/>
      <x:c r="X198" s="373"/>
      <x:c r="Y198" s="373"/>
      <x:c r="Z198" s="373"/>
    </x:row>
    <x:row r="199">
      <x:c r="A199" s="373"/>
      <x:c r="B199" s="373"/>
      <x:c r="C199" s="373"/>
      <x:c r="D199" s="373"/>
      <x:c r="E199" s="373"/>
      <x:c r="F199" s="373"/>
      <x:c r="G199" s="373"/>
      <x:c r="H199" s="373"/>
      <x:c r="I199" s="373"/>
      <x:c r="J199" s="373"/>
      <x:c r="K199" s="373"/>
      <x:c r="L199" s="373"/>
      <x:c r="M199" s="373"/>
      <x:c r="N199" s="373"/>
      <x:c r="O199" s="373"/>
      <x:c r="P199" s="373"/>
      <x:c r="Q199" s="373"/>
      <x:c r="R199" s="373"/>
      <x:c r="S199" s="373"/>
      <x:c r="T199" s="373"/>
      <x:c r="U199" s="373"/>
      <x:c r="V199" s="373"/>
      <x:c r="W199" s="373"/>
      <x:c r="X199" s="373"/>
      <x:c r="Y199" s="373"/>
      <x:c r="Z199" s="373"/>
    </x:row>
    <x:row r="200">
      <x:c r="A200" s="373"/>
      <x:c r="B200" s="373"/>
      <x:c r="C200" s="373"/>
      <x:c r="D200" s="373"/>
      <x:c r="E200" s="373"/>
      <x:c r="F200" s="373"/>
      <x:c r="G200" s="373"/>
      <x:c r="H200" s="373"/>
      <x:c r="I200" s="373"/>
      <x:c r="J200" s="373"/>
      <x:c r="K200" s="373"/>
      <x:c r="L200" s="373"/>
      <x:c r="M200" s="373"/>
      <x:c r="N200" s="373"/>
      <x:c r="O200" s="373"/>
      <x:c r="P200" s="373"/>
      <x:c r="Q200" s="373"/>
      <x:c r="R200" s="373"/>
      <x:c r="S200" s="373"/>
      <x:c r="T200" s="373"/>
      <x:c r="U200" s="373"/>
      <x:c r="V200" s="373"/>
      <x:c r="W200" s="373"/>
      <x:c r="X200" s="373"/>
      <x:c r="Y200" s="373"/>
      <x:c r="Z200" s="373"/>
    </x:row>
    <x:row r="201">
      <x:c r="A201" s="373"/>
      <x:c r="B201" s="373"/>
      <x:c r="C201" s="373"/>
      <x:c r="D201" s="373"/>
      <x:c r="E201" s="373"/>
      <x:c r="F201" s="373"/>
      <x:c r="G201" s="373"/>
      <x:c r="H201" s="373"/>
      <x:c r="I201" s="373"/>
      <x:c r="J201" s="373"/>
      <x:c r="K201" s="373"/>
      <x:c r="L201" s="373"/>
      <x:c r="M201" s="373"/>
      <x:c r="N201" s="373"/>
      <x:c r="O201" s="373"/>
      <x:c r="P201" s="373"/>
      <x:c r="Q201" s="373"/>
      <x:c r="R201" s="373"/>
      <x:c r="S201" s="373"/>
      <x:c r="T201" s="373"/>
      <x:c r="U201" s="373"/>
      <x:c r="V201" s="373"/>
      <x:c r="W201" s="373"/>
      <x:c r="X201" s="373"/>
      <x:c r="Y201" s="373"/>
      <x:c r="Z201" s="373"/>
    </x:row>
    <x:row r="202">
      <x:c r="A202" s="373"/>
      <x:c r="B202" s="373"/>
      <x:c r="C202" s="373"/>
      <x:c r="D202" s="373"/>
      <x:c r="E202" s="373"/>
      <x:c r="F202" s="373"/>
      <x:c r="G202" s="373"/>
      <x:c r="H202" s="373"/>
      <x:c r="I202" s="373"/>
      <x:c r="J202" s="373"/>
      <x:c r="K202" s="373"/>
      <x:c r="L202" s="373"/>
      <x:c r="M202" s="373"/>
      <x:c r="N202" s="373"/>
      <x:c r="O202" s="373"/>
      <x:c r="P202" s="373"/>
      <x:c r="Q202" s="373"/>
      <x:c r="R202" s="373"/>
      <x:c r="S202" s="373"/>
      <x:c r="T202" s="373"/>
      <x:c r="U202" s="373"/>
      <x:c r="V202" s="373"/>
      <x:c r="W202" s="373"/>
      <x:c r="X202" s="373"/>
      <x:c r="Y202" s="373"/>
      <x:c r="Z202" s="373"/>
    </x:row>
    <x:row r="203">
      <x:c r="A203" s="373"/>
      <x:c r="B203" s="373"/>
      <x:c r="C203" s="373"/>
      <x:c r="D203" s="373"/>
      <x:c r="E203" s="373"/>
      <x:c r="F203" s="373"/>
      <x:c r="G203" s="373"/>
      <x:c r="H203" s="373"/>
      <x:c r="I203" s="373"/>
      <x:c r="J203" s="373"/>
      <x:c r="K203" s="373"/>
      <x:c r="L203" s="373"/>
      <x:c r="M203" s="373"/>
      <x:c r="N203" s="373"/>
      <x:c r="O203" s="373"/>
      <x:c r="P203" s="373"/>
      <x:c r="Q203" s="373"/>
      <x:c r="R203" s="373"/>
      <x:c r="S203" s="373"/>
      <x:c r="T203" s="373"/>
      <x:c r="U203" s="373"/>
      <x:c r="V203" s="373"/>
      <x:c r="W203" s="373"/>
      <x:c r="X203" s="373"/>
      <x:c r="Y203" s="373"/>
      <x:c r="Z203" s="373"/>
    </x:row>
    <x:row r="204">
      <x:c r="A204" s="373"/>
      <x:c r="B204" s="373"/>
      <x:c r="C204" s="373"/>
      <x:c r="D204" s="373"/>
      <x:c r="E204" s="373"/>
      <x:c r="F204" s="373"/>
      <x:c r="G204" s="373"/>
      <x:c r="H204" s="373"/>
      <x:c r="I204" s="373"/>
      <x:c r="J204" s="373"/>
      <x:c r="K204" s="373"/>
      <x:c r="L204" s="373"/>
      <x:c r="M204" s="373"/>
      <x:c r="N204" s="373"/>
      <x:c r="O204" s="373"/>
      <x:c r="P204" s="373"/>
      <x:c r="Q204" s="373"/>
      <x:c r="R204" s="373"/>
      <x:c r="S204" s="373"/>
      <x:c r="T204" s="373"/>
      <x:c r="U204" s="373"/>
      <x:c r="V204" s="373"/>
      <x:c r="W204" s="373"/>
      <x:c r="X204" s="373"/>
      <x:c r="Y204" s="373"/>
      <x:c r="Z204" s="373"/>
    </x:row>
    <x:row r="205">
      <x:c r="A205" s="373"/>
      <x:c r="B205" s="373"/>
      <x:c r="C205" s="373"/>
      <x:c r="D205" s="373"/>
      <x:c r="E205" s="373"/>
      <x:c r="F205" s="373"/>
      <x:c r="G205" s="373"/>
      <x:c r="H205" s="373"/>
      <x:c r="I205" s="373"/>
      <x:c r="J205" s="373"/>
      <x:c r="K205" s="373"/>
      <x:c r="L205" s="373"/>
      <x:c r="M205" s="373"/>
      <x:c r="N205" s="373"/>
      <x:c r="O205" s="373"/>
      <x:c r="P205" s="373"/>
      <x:c r="Q205" s="373"/>
      <x:c r="R205" s="373"/>
      <x:c r="S205" s="373"/>
      <x:c r="T205" s="373"/>
      <x:c r="U205" s="373"/>
      <x:c r="V205" s="373"/>
      <x:c r="W205" s="373"/>
      <x:c r="X205" s="373"/>
      <x:c r="Y205" s="373"/>
      <x:c r="Z205" s="373"/>
    </x:row>
    <x:row r="206">
      <x:c r="A206" s="373"/>
      <x:c r="B206" s="373"/>
      <x:c r="C206" s="373"/>
      <x:c r="D206" s="373"/>
      <x:c r="E206" s="373"/>
      <x:c r="F206" s="373"/>
      <x:c r="G206" s="373"/>
      <x:c r="H206" s="373"/>
      <x:c r="I206" s="373"/>
      <x:c r="J206" s="373"/>
      <x:c r="K206" s="373"/>
      <x:c r="L206" s="373"/>
      <x:c r="M206" s="373"/>
      <x:c r="N206" s="373"/>
      <x:c r="O206" s="373"/>
      <x:c r="P206" s="373"/>
      <x:c r="Q206" s="373"/>
      <x:c r="R206" s="373"/>
      <x:c r="S206" s="373"/>
      <x:c r="T206" s="373"/>
      <x:c r="U206" s="373"/>
      <x:c r="V206" s="373"/>
      <x:c r="W206" s="373"/>
      <x:c r="X206" s="373"/>
      <x:c r="Y206" s="373"/>
      <x:c r="Z206" s="373"/>
    </x:row>
    <x:row r="207">
      <x:c r="A207" s="373"/>
      <x:c r="B207" s="373"/>
      <x:c r="C207" s="373"/>
      <x:c r="D207" s="373"/>
      <x:c r="E207" s="373"/>
      <x:c r="F207" s="373"/>
      <x:c r="G207" s="373"/>
      <x:c r="H207" s="373"/>
      <x:c r="I207" s="373"/>
      <x:c r="J207" s="373"/>
      <x:c r="K207" s="373"/>
      <x:c r="L207" s="373"/>
      <x:c r="M207" s="373"/>
      <x:c r="N207" s="373"/>
      <x:c r="O207" s="373"/>
      <x:c r="P207" s="373"/>
      <x:c r="Q207" s="373"/>
      <x:c r="R207" s="373"/>
      <x:c r="S207" s="373"/>
      <x:c r="T207" s="373"/>
      <x:c r="U207" s="373"/>
      <x:c r="V207" s="373"/>
      <x:c r="W207" s="373"/>
      <x:c r="X207" s="373"/>
      <x:c r="Y207" s="373"/>
      <x:c r="Z207" s="373"/>
    </x:row>
    <x:row r="208">
      <x:c r="A208" s="373"/>
      <x:c r="B208" s="373"/>
      <x:c r="C208" s="373"/>
      <x:c r="D208" s="373"/>
      <x:c r="E208" s="373"/>
      <x:c r="F208" s="373"/>
      <x:c r="G208" s="373"/>
      <x:c r="H208" s="373"/>
      <x:c r="I208" s="373"/>
      <x:c r="J208" s="373"/>
      <x:c r="K208" s="373"/>
      <x:c r="L208" s="373"/>
      <x:c r="M208" s="373"/>
      <x:c r="N208" s="373"/>
      <x:c r="O208" s="373"/>
      <x:c r="P208" s="373"/>
      <x:c r="Q208" s="373"/>
      <x:c r="R208" s="373"/>
      <x:c r="S208" s="373"/>
      <x:c r="T208" s="373"/>
      <x:c r="U208" s="373"/>
      <x:c r="V208" s="373"/>
      <x:c r="W208" s="373"/>
      <x:c r="X208" s="373"/>
      <x:c r="Y208" s="373"/>
      <x:c r="Z208" s="373"/>
    </x:row>
    <x:row r="209">
      <x:c r="A209" s="373"/>
      <x:c r="B209" s="373"/>
      <x:c r="C209" s="373"/>
      <x:c r="D209" s="373"/>
      <x:c r="E209" s="373"/>
      <x:c r="F209" s="373"/>
      <x:c r="G209" s="373"/>
      <x:c r="H209" s="373"/>
      <x:c r="I209" s="373"/>
      <x:c r="J209" s="373"/>
      <x:c r="K209" s="373"/>
      <x:c r="L209" s="373"/>
      <x:c r="M209" s="373"/>
      <x:c r="N209" s="373"/>
      <x:c r="O209" s="373"/>
      <x:c r="P209" s="373"/>
      <x:c r="Q209" s="373"/>
      <x:c r="R209" s="373"/>
      <x:c r="S209" s="373"/>
      <x:c r="T209" s="373"/>
      <x:c r="U209" s="373"/>
      <x:c r="V209" s="373"/>
      <x:c r="W209" s="373"/>
      <x:c r="X209" s="373"/>
      <x:c r="Y209" s="373"/>
      <x:c r="Z209" s="373"/>
    </x:row>
    <x:row r="210">
      <x:c r="A210" s="373"/>
      <x:c r="B210" s="373"/>
      <x:c r="C210" s="373"/>
      <x:c r="D210" s="373"/>
      <x:c r="E210" s="373"/>
      <x:c r="F210" s="373"/>
      <x:c r="G210" s="373"/>
      <x:c r="H210" s="373"/>
      <x:c r="I210" s="373"/>
      <x:c r="J210" s="373"/>
      <x:c r="K210" s="373"/>
      <x:c r="L210" s="373"/>
      <x:c r="M210" s="373"/>
      <x:c r="N210" s="373"/>
      <x:c r="O210" s="373"/>
      <x:c r="P210" s="373"/>
      <x:c r="Q210" s="373"/>
      <x:c r="R210" s="373"/>
      <x:c r="S210" s="373"/>
      <x:c r="T210" s="373"/>
      <x:c r="U210" s="373"/>
      <x:c r="V210" s="373"/>
      <x:c r="W210" s="373"/>
      <x:c r="X210" s="373"/>
      <x:c r="Y210" s="373"/>
      <x:c r="Z210" s="373"/>
    </x:row>
    <x:row r="211">
      <x:c r="A211" s="373"/>
      <x:c r="B211" s="373"/>
      <x:c r="C211" s="373"/>
      <x:c r="D211" s="373"/>
      <x:c r="E211" s="373"/>
      <x:c r="F211" s="373"/>
      <x:c r="G211" s="373"/>
      <x:c r="H211" s="373"/>
      <x:c r="I211" s="373"/>
      <x:c r="J211" s="373"/>
      <x:c r="K211" s="373"/>
      <x:c r="L211" s="373"/>
      <x:c r="M211" s="373"/>
      <x:c r="N211" s="373"/>
      <x:c r="O211" s="373"/>
      <x:c r="P211" s="373"/>
      <x:c r="Q211" s="373"/>
      <x:c r="R211" s="373"/>
      <x:c r="S211" s="373"/>
      <x:c r="T211" s="373"/>
      <x:c r="U211" s="373"/>
      <x:c r="V211" s="373"/>
      <x:c r="W211" s="373"/>
      <x:c r="X211" s="373"/>
      <x:c r="Y211" s="373"/>
      <x:c r="Z211" s="373"/>
    </x:row>
    <x:row r="212">
      <x:c r="A212" s="373"/>
      <x:c r="B212" s="373"/>
      <x:c r="C212" s="373"/>
      <x:c r="D212" s="373"/>
      <x:c r="E212" s="373"/>
      <x:c r="F212" s="373"/>
      <x:c r="G212" s="373"/>
      <x:c r="H212" s="373"/>
      <x:c r="I212" s="373"/>
      <x:c r="J212" s="373"/>
      <x:c r="K212" s="373"/>
      <x:c r="L212" s="373"/>
      <x:c r="M212" s="373"/>
      <x:c r="N212" s="373"/>
      <x:c r="O212" s="373"/>
      <x:c r="P212" s="373"/>
      <x:c r="Q212" s="373"/>
      <x:c r="R212" s="373"/>
      <x:c r="S212" s="373"/>
      <x:c r="T212" s="373"/>
      <x:c r="U212" s="373"/>
      <x:c r="V212" s="373"/>
      <x:c r="W212" s="373"/>
      <x:c r="X212" s="373"/>
      <x:c r="Y212" s="373"/>
      <x:c r="Z212" s="373"/>
    </x:row>
    <x:row r="213">
      <x:c r="A213" s="373"/>
      <x:c r="B213" s="373"/>
      <x:c r="C213" s="373"/>
      <x:c r="D213" s="373"/>
      <x:c r="E213" s="373"/>
      <x:c r="F213" s="373"/>
      <x:c r="G213" s="373"/>
      <x:c r="H213" s="373"/>
      <x:c r="I213" s="373"/>
      <x:c r="J213" s="373"/>
      <x:c r="K213" s="373"/>
      <x:c r="L213" s="373"/>
      <x:c r="M213" s="373"/>
      <x:c r="N213" s="373"/>
      <x:c r="O213" s="373"/>
      <x:c r="P213" s="373"/>
      <x:c r="Q213" s="373"/>
      <x:c r="R213" s="373"/>
      <x:c r="S213" s="373"/>
      <x:c r="T213" s="373"/>
      <x:c r="U213" s="373"/>
      <x:c r="V213" s="373"/>
      <x:c r="W213" s="373"/>
      <x:c r="X213" s="373"/>
      <x:c r="Y213" s="373"/>
      <x:c r="Z213" s="373"/>
    </x:row>
    <x:row r="214">
      <x:c r="A214" s="373"/>
      <x:c r="B214" s="373"/>
      <x:c r="C214" s="373"/>
      <x:c r="D214" s="373"/>
      <x:c r="E214" s="373"/>
      <x:c r="F214" s="373"/>
      <x:c r="G214" s="373"/>
      <x:c r="H214" s="373"/>
      <x:c r="I214" s="373"/>
      <x:c r="J214" s="373"/>
      <x:c r="K214" s="373"/>
      <x:c r="L214" s="373"/>
      <x:c r="M214" s="373"/>
      <x:c r="N214" s="373"/>
      <x:c r="O214" s="373"/>
      <x:c r="P214" s="373"/>
      <x:c r="Q214" s="373"/>
      <x:c r="R214" s="373"/>
      <x:c r="S214" s="373"/>
      <x:c r="T214" s="373"/>
      <x:c r="U214" s="373"/>
      <x:c r="V214" s="373"/>
      <x:c r="W214" s="373"/>
      <x:c r="X214" s="373"/>
      <x:c r="Y214" s="373"/>
      <x:c r="Z214" s="373"/>
    </x:row>
    <x:row r="215">
      <x:c r="A215" s="373"/>
      <x:c r="B215" s="373"/>
      <x:c r="C215" s="373"/>
      <x:c r="D215" s="373"/>
      <x:c r="E215" s="373"/>
      <x:c r="F215" s="373"/>
      <x:c r="G215" s="373"/>
      <x:c r="H215" s="373"/>
      <x:c r="I215" s="373"/>
      <x:c r="J215" s="373"/>
      <x:c r="K215" s="373"/>
      <x:c r="L215" s="373"/>
      <x:c r="M215" s="373"/>
      <x:c r="N215" s="373"/>
      <x:c r="O215" s="373"/>
      <x:c r="P215" s="373"/>
      <x:c r="Q215" s="373"/>
      <x:c r="R215" s="373"/>
      <x:c r="S215" s="373"/>
      <x:c r="T215" s="373"/>
      <x:c r="U215" s="373"/>
      <x:c r="V215" s="373"/>
      <x:c r="W215" s="373"/>
      <x:c r="X215" s="373"/>
      <x:c r="Y215" s="373"/>
      <x:c r="Z215" s="373"/>
    </x:row>
    <x:row r="216">
      <x:c r="A216" s="373"/>
      <x:c r="B216" s="373"/>
      <x:c r="C216" s="373"/>
      <x:c r="D216" s="373"/>
      <x:c r="E216" s="373"/>
      <x:c r="F216" s="373"/>
      <x:c r="G216" s="373"/>
      <x:c r="H216" s="373"/>
      <x:c r="I216" s="373"/>
      <x:c r="J216" s="373"/>
      <x:c r="K216" s="373"/>
      <x:c r="L216" s="373"/>
      <x:c r="M216" s="373"/>
      <x:c r="N216" s="373"/>
      <x:c r="O216" s="373"/>
      <x:c r="P216" s="373"/>
      <x:c r="Q216" s="373"/>
      <x:c r="R216" s="373"/>
      <x:c r="S216" s="373"/>
      <x:c r="T216" s="373"/>
      <x:c r="U216" s="373"/>
      <x:c r="V216" s="373"/>
      <x:c r="W216" s="373"/>
      <x:c r="X216" s="373"/>
      <x:c r="Y216" s="373"/>
      <x:c r="Z216" s="373"/>
    </x:row>
    <x:row r="217">
      <x:c r="A217" s="373"/>
      <x:c r="B217" s="373"/>
      <x:c r="C217" s="373"/>
      <x:c r="D217" s="373"/>
      <x:c r="E217" s="373"/>
      <x:c r="F217" s="373"/>
      <x:c r="G217" s="373"/>
      <x:c r="H217" s="373"/>
      <x:c r="I217" s="373"/>
      <x:c r="J217" s="373"/>
      <x:c r="K217" s="373"/>
      <x:c r="L217" s="373"/>
      <x:c r="M217" s="373"/>
      <x:c r="N217" s="373"/>
      <x:c r="O217" s="373"/>
      <x:c r="P217" s="373"/>
      <x:c r="Q217" s="373"/>
      <x:c r="R217" s="373"/>
      <x:c r="S217" s="373"/>
      <x:c r="T217" s="373"/>
      <x:c r="U217" s="373"/>
      <x:c r="V217" s="373"/>
      <x:c r="W217" s="373"/>
      <x:c r="X217" s="373"/>
      <x:c r="Y217" s="373"/>
      <x:c r="Z217" s="373"/>
    </x:row>
    <x:row r="218">
      <x:c r="A218" s="373"/>
      <x:c r="B218" s="373"/>
      <x:c r="C218" s="373"/>
      <x:c r="D218" s="373"/>
      <x:c r="E218" s="373"/>
      <x:c r="F218" s="373"/>
      <x:c r="G218" s="373"/>
      <x:c r="H218" s="373"/>
      <x:c r="I218" s="373"/>
      <x:c r="J218" s="373"/>
      <x:c r="K218" s="373"/>
      <x:c r="L218" s="373"/>
      <x:c r="M218" s="373"/>
      <x:c r="N218" s="373"/>
      <x:c r="O218" s="373"/>
      <x:c r="P218" s="373"/>
      <x:c r="Q218" s="373"/>
      <x:c r="R218" s="373"/>
      <x:c r="S218" s="373"/>
      <x:c r="T218" s="373"/>
      <x:c r="U218" s="373"/>
      <x:c r="V218" s="373"/>
      <x:c r="W218" s="373"/>
      <x:c r="X218" s="373"/>
      <x:c r="Y218" s="373"/>
      <x:c r="Z218" s="373"/>
    </x:row>
    <x:row r="219">
      <x:c r="A219" s="373"/>
      <x:c r="B219" s="373"/>
      <x:c r="C219" s="373"/>
      <x:c r="D219" s="373"/>
      <x:c r="E219" s="373"/>
      <x:c r="F219" s="373"/>
      <x:c r="G219" s="373"/>
      <x:c r="H219" s="373"/>
      <x:c r="I219" s="373"/>
      <x:c r="J219" s="373"/>
      <x:c r="K219" s="373"/>
      <x:c r="L219" s="373"/>
      <x:c r="M219" s="373"/>
      <x:c r="N219" s="373"/>
      <x:c r="O219" s="373"/>
      <x:c r="P219" s="373"/>
      <x:c r="Q219" s="373"/>
      <x:c r="R219" s="373"/>
      <x:c r="S219" s="373"/>
      <x:c r="T219" s="373"/>
      <x:c r="U219" s="373"/>
      <x:c r="V219" s="373"/>
      <x:c r="W219" s="373"/>
      <x:c r="X219" s="373"/>
      <x:c r="Y219" s="373"/>
      <x:c r="Z219" s="373"/>
    </x:row>
    <x:row r="220">
      <x:c r="A220" s="373"/>
      <x:c r="B220" s="373"/>
      <x:c r="C220" s="373"/>
      <x:c r="D220" s="373"/>
      <x:c r="E220" s="373"/>
      <x:c r="F220" s="373"/>
      <x:c r="G220" s="373"/>
      <x:c r="H220" s="373"/>
      <x:c r="I220" s="373"/>
      <x:c r="J220" s="373"/>
      <x:c r="K220" s="373"/>
      <x:c r="L220" s="373"/>
      <x:c r="M220" s="373"/>
      <x:c r="N220" s="373"/>
      <x:c r="O220" s="373"/>
      <x:c r="P220" s="373"/>
      <x:c r="Q220" s="373"/>
      <x:c r="R220" s="373"/>
      <x:c r="S220" s="373"/>
      <x:c r="T220" s="373"/>
      <x:c r="U220" s="373"/>
      <x:c r="V220" s="373"/>
      <x:c r="W220" s="373"/>
      <x:c r="X220" s="373"/>
      <x:c r="Y220" s="373"/>
      <x:c r="Z220" s="373"/>
    </x:row>
    <x:row r="221">
      <x:c r="A221" s="373"/>
      <x:c r="B221" s="373"/>
      <x:c r="C221" s="373"/>
      <x:c r="D221" s="373"/>
      <x:c r="E221" s="373"/>
      <x:c r="F221" s="373"/>
      <x:c r="G221" s="373"/>
      <x:c r="H221" s="373"/>
      <x:c r="I221" s="373"/>
      <x:c r="J221" s="373"/>
      <x:c r="K221" s="373"/>
      <x:c r="L221" s="373"/>
      <x:c r="M221" s="373"/>
      <x:c r="N221" s="373"/>
      <x:c r="O221" s="373"/>
      <x:c r="P221" s="373"/>
      <x:c r="Q221" s="373"/>
      <x:c r="R221" s="373"/>
      <x:c r="S221" s="373"/>
      <x:c r="T221" s="373"/>
      <x:c r="U221" s="373"/>
      <x:c r="V221" s="373"/>
      <x:c r="W221" s="373"/>
      <x:c r="X221" s="373"/>
      <x:c r="Y221" s="373"/>
      <x:c r="Z221" s="373"/>
    </x:row>
    <x:row r="222">
      <x:c r="A222" s="373"/>
      <x:c r="B222" s="373"/>
      <x:c r="C222" s="373"/>
      <x:c r="D222" s="373"/>
      <x:c r="E222" s="373"/>
      <x:c r="F222" s="373"/>
      <x:c r="G222" s="373"/>
      <x:c r="H222" s="373"/>
      <x:c r="I222" s="373"/>
      <x:c r="J222" s="373"/>
      <x:c r="K222" s="373"/>
      <x:c r="L222" s="373"/>
      <x:c r="M222" s="373"/>
      <x:c r="N222" s="373"/>
      <x:c r="O222" s="373"/>
      <x:c r="P222" s="373"/>
      <x:c r="Q222" s="373"/>
      <x:c r="R222" s="373"/>
      <x:c r="S222" s="373"/>
      <x:c r="T222" s="373"/>
      <x:c r="U222" s="373"/>
      <x:c r="V222" s="373"/>
      <x:c r="W222" s="373"/>
      <x:c r="X222" s="373"/>
      <x:c r="Y222" s="373"/>
      <x:c r="Z222" s="373"/>
    </x:row>
    <x:row r="223">
      <x:c r="A223" s="373"/>
      <x:c r="B223" s="373"/>
      <x:c r="C223" s="373"/>
      <x:c r="D223" s="373"/>
      <x:c r="E223" s="373"/>
      <x:c r="F223" s="373"/>
      <x:c r="G223" s="373"/>
      <x:c r="H223" s="373"/>
      <x:c r="I223" s="373"/>
      <x:c r="J223" s="373"/>
      <x:c r="K223" s="373"/>
      <x:c r="L223" s="373"/>
      <x:c r="M223" s="373"/>
      <x:c r="N223" s="373"/>
      <x:c r="O223" s="373"/>
      <x:c r="P223" s="373"/>
      <x:c r="Q223" s="373"/>
      <x:c r="R223" s="373"/>
      <x:c r="S223" s="373"/>
      <x:c r="T223" s="373"/>
      <x:c r="U223" s="373"/>
      <x:c r="V223" s="373"/>
      <x:c r="W223" s="373"/>
      <x:c r="X223" s="373"/>
      <x:c r="Y223" s="373"/>
      <x:c r="Z223" s="373"/>
    </x:row>
    <x:row r="224">
      <x:c r="A224" s="373"/>
      <x:c r="B224" s="373"/>
      <x:c r="C224" s="373"/>
      <x:c r="D224" s="373"/>
      <x:c r="E224" s="373"/>
      <x:c r="F224" s="373"/>
      <x:c r="G224" s="373"/>
      <x:c r="H224" s="373"/>
      <x:c r="I224" s="373"/>
      <x:c r="J224" s="373"/>
      <x:c r="K224" s="373"/>
      <x:c r="L224" s="373"/>
      <x:c r="M224" s="373"/>
      <x:c r="N224" s="373"/>
      <x:c r="O224" s="373"/>
      <x:c r="P224" s="373"/>
      <x:c r="Q224" s="373"/>
      <x:c r="R224" s="373"/>
      <x:c r="S224" s="373"/>
      <x:c r="T224" s="373"/>
      <x:c r="U224" s="373"/>
      <x:c r="V224" s="373"/>
      <x:c r="W224" s="373"/>
      <x:c r="X224" s="373"/>
      <x:c r="Y224" s="373"/>
      <x:c r="Z224" s="373"/>
    </x:row>
    <x:row r="225">
      <x:c r="A225" s="373"/>
      <x:c r="B225" s="373"/>
      <x:c r="C225" s="373"/>
      <x:c r="D225" s="373"/>
      <x:c r="E225" s="373"/>
      <x:c r="F225" s="373"/>
      <x:c r="G225" s="373"/>
      <x:c r="H225" s="373"/>
      <x:c r="I225" s="373"/>
      <x:c r="J225" s="373"/>
      <x:c r="K225" s="373"/>
      <x:c r="L225" s="373"/>
      <x:c r="M225" s="373"/>
      <x:c r="N225" s="373"/>
      <x:c r="O225" s="373"/>
      <x:c r="P225" s="373"/>
      <x:c r="Q225" s="373"/>
      <x:c r="R225" s="373"/>
      <x:c r="S225" s="373"/>
      <x:c r="T225" s="373"/>
      <x:c r="U225" s="373"/>
      <x:c r="V225" s="373"/>
      <x:c r="W225" s="373"/>
      <x:c r="X225" s="373"/>
      <x:c r="Y225" s="373"/>
      <x:c r="Z225" s="373"/>
    </x:row>
    <x:row r="226">
      <x:c r="A226" s="373"/>
      <x:c r="B226" s="373"/>
      <x:c r="C226" s="373"/>
      <x:c r="D226" s="373"/>
      <x:c r="E226" s="373"/>
      <x:c r="F226" s="373"/>
      <x:c r="G226" s="373"/>
      <x:c r="H226" s="373"/>
      <x:c r="I226" s="373"/>
      <x:c r="J226" s="373"/>
      <x:c r="K226" s="373"/>
      <x:c r="L226" s="373"/>
      <x:c r="M226" s="373"/>
      <x:c r="N226" s="373"/>
      <x:c r="O226" s="373"/>
      <x:c r="P226" s="373"/>
      <x:c r="Q226" s="373"/>
      <x:c r="R226" s="373"/>
      <x:c r="S226" s="373"/>
      <x:c r="T226" s="373"/>
      <x:c r="U226" s="373"/>
      <x:c r="V226" s="373"/>
      <x:c r="W226" s="373"/>
      <x:c r="X226" s="373"/>
      <x:c r="Y226" s="373"/>
      <x:c r="Z226" s="373"/>
    </x:row>
    <x:row r="227">
      <x:c r="A227" s="373"/>
      <x:c r="B227" s="373"/>
      <x:c r="C227" s="373"/>
      <x:c r="D227" s="373"/>
      <x:c r="E227" s="373"/>
      <x:c r="F227" s="373"/>
      <x:c r="G227" s="373"/>
      <x:c r="H227" s="373"/>
      <x:c r="I227" s="373"/>
      <x:c r="J227" s="373"/>
      <x:c r="K227" s="373"/>
      <x:c r="L227" s="373"/>
      <x:c r="M227" s="373"/>
      <x:c r="N227" s="373"/>
      <x:c r="O227" s="373"/>
      <x:c r="P227" s="373"/>
      <x:c r="Q227" s="373"/>
      <x:c r="R227" s="373"/>
      <x:c r="S227" s="373"/>
      <x:c r="T227" s="373"/>
      <x:c r="U227" s="373"/>
      <x:c r="V227" s="373"/>
      <x:c r="W227" s="373"/>
      <x:c r="X227" s="373"/>
      <x:c r="Y227" s="373"/>
      <x:c r="Z227" s="373"/>
    </x:row>
    <x:row r="228">
      <x:c r="A228" s="373"/>
      <x:c r="B228" s="373"/>
      <x:c r="C228" s="373"/>
      <x:c r="D228" s="373"/>
      <x:c r="E228" s="373"/>
      <x:c r="F228" s="373"/>
      <x:c r="G228" s="373"/>
      <x:c r="H228" s="373"/>
      <x:c r="I228" s="373"/>
      <x:c r="J228" s="373"/>
      <x:c r="K228" s="373"/>
      <x:c r="L228" s="373"/>
      <x:c r="M228" s="373"/>
      <x:c r="N228" s="373"/>
      <x:c r="O228" s="373"/>
      <x:c r="P228" s="373"/>
      <x:c r="Q228" s="373"/>
      <x:c r="R228" s="373"/>
      <x:c r="S228" s="373"/>
      <x:c r="T228" s="373"/>
      <x:c r="U228" s="373"/>
      <x:c r="V228" s="373"/>
      <x:c r="W228" s="373"/>
      <x:c r="X228" s="373"/>
      <x:c r="Y228" s="373"/>
      <x:c r="Z228" s="373"/>
    </x:row>
    <x:row r="229">
      <x:c r="A229" s="373"/>
      <x:c r="B229" s="373"/>
      <x:c r="C229" s="373"/>
      <x:c r="D229" s="373"/>
      <x:c r="E229" s="373"/>
      <x:c r="F229" s="373"/>
      <x:c r="G229" s="373"/>
      <x:c r="H229" s="373"/>
      <x:c r="I229" s="373"/>
      <x:c r="J229" s="373"/>
      <x:c r="K229" s="373"/>
      <x:c r="L229" s="373"/>
      <x:c r="M229" s="373"/>
      <x:c r="N229" s="373"/>
      <x:c r="O229" s="373"/>
      <x:c r="P229" s="373"/>
      <x:c r="Q229" s="373"/>
      <x:c r="R229" s="373"/>
      <x:c r="S229" s="373"/>
      <x:c r="T229" s="373"/>
      <x:c r="U229" s="373"/>
      <x:c r="V229" s="373"/>
      <x:c r="W229" s="373"/>
      <x:c r="X229" s="373"/>
      <x:c r="Y229" s="373"/>
      <x:c r="Z229" s="373"/>
    </x:row>
    <x:row r="230">
      <x:c r="A230" s="373"/>
      <x:c r="B230" s="373"/>
      <x:c r="C230" s="373"/>
      <x:c r="D230" s="373"/>
      <x:c r="E230" s="373"/>
      <x:c r="F230" s="373"/>
      <x:c r="G230" s="373"/>
      <x:c r="H230" s="373"/>
      <x:c r="I230" s="373"/>
      <x:c r="J230" s="373"/>
      <x:c r="K230" s="373"/>
      <x:c r="L230" s="373"/>
      <x:c r="M230" s="373"/>
      <x:c r="N230" s="373"/>
      <x:c r="O230" s="373"/>
      <x:c r="P230" s="373"/>
      <x:c r="Q230" s="373"/>
      <x:c r="R230" s="373"/>
      <x:c r="S230" s="373"/>
      <x:c r="T230" s="373"/>
      <x:c r="U230" s="373"/>
      <x:c r="V230" s="373"/>
      <x:c r="W230" s="373"/>
      <x:c r="X230" s="373"/>
      <x:c r="Y230" s="373"/>
      <x:c r="Z230" s="373"/>
    </x:row>
    <x:row r="231">
      <x:c r="A231" s="373"/>
      <x:c r="B231" s="373"/>
      <x:c r="C231" s="373"/>
      <x:c r="D231" s="373"/>
      <x:c r="E231" s="373"/>
      <x:c r="F231" s="373"/>
      <x:c r="G231" s="373"/>
      <x:c r="H231" s="373"/>
      <x:c r="I231" s="373"/>
      <x:c r="J231" s="373"/>
      <x:c r="K231" s="373"/>
      <x:c r="L231" s="373"/>
      <x:c r="M231" s="373"/>
      <x:c r="N231" s="373"/>
      <x:c r="O231" s="373"/>
      <x:c r="P231" s="373"/>
      <x:c r="Q231" s="373"/>
      <x:c r="R231" s="373"/>
      <x:c r="S231" s="373"/>
      <x:c r="T231" s="373"/>
      <x:c r="U231" s="373"/>
      <x:c r="V231" s="373"/>
      <x:c r="W231" s="373"/>
      <x:c r="X231" s="373"/>
      <x:c r="Y231" s="373"/>
      <x:c r="Z231" s="373"/>
    </x:row>
    <x:row r="232">
      <x:c r="A232" s="373"/>
      <x:c r="B232" s="373"/>
      <x:c r="C232" s="373"/>
      <x:c r="D232" s="373"/>
      <x:c r="E232" s="373"/>
      <x:c r="F232" s="373"/>
      <x:c r="G232" s="373"/>
      <x:c r="H232" s="373"/>
      <x:c r="I232" s="373"/>
      <x:c r="J232" s="373"/>
      <x:c r="K232" s="373"/>
      <x:c r="L232" s="373"/>
      <x:c r="M232" s="373"/>
      <x:c r="N232" s="373"/>
      <x:c r="O232" s="373"/>
      <x:c r="P232" s="373"/>
      <x:c r="Q232" s="373"/>
      <x:c r="R232" s="373"/>
      <x:c r="S232" s="373"/>
      <x:c r="T232" s="373"/>
      <x:c r="U232" s="373"/>
      <x:c r="V232" s="373"/>
      <x:c r="W232" s="373"/>
      <x:c r="X232" s="373"/>
      <x:c r="Y232" s="373"/>
      <x:c r="Z232" s="373"/>
    </x:row>
    <x:row r="233">
      <x:c r="A233" s="373"/>
      <x:c r="B233" s="373"/>
      <x:c r="C233" s="373"/>
      <x:c r="D233" s="373"/>
      <x:c r="E233" s="373"/>
      <x:c r="F233" s="373"/>
      <x:c r="G233" s="373"/>
      <x:c r="H233" s="373"/>
      <x:c r="I233" s="373"/>
      <x:c r="J233" s="373"/>
      <x:c r="K233" s="373"/>
      <x:c r="L233" s="373"/>
      <x:c r="M233" s="373"/>
      <x:c r="N233" s="373"/>
      <x:c r="O233" s="373"/>
      <x:c r="P233" s="373"/>
      <x:c r="Q233" s="373"/>
      <x:c r="R233" s="373"/>
      <x:c r="S233" s="373"/>
      <x:c r="T233" s="373"/>
      <x:c r="U233" s="373"/>
      <x:c r="V233" s="373"/>
      <x:c r="W233" s="373"/>
      <x:c r="X233" s="373"/>
      <x:c r="Y233" s="373"/>
      <x:c r="Z233" s="373"/>
    </x:row>
    <x:row r="234">
      <x:c r="A234" s="373"/>
      <x:c r="B234" s="373"/>
      <x:c r="C234" s="373"/>
      <x:c r="D234" s="373"/>
      <x:c r="E234" s="373"/>
      <x:c r="F234" s="373"/>
      <x:c r="G234" s="373"/>
      <x:c r="H234" s="373"/>
      <x:c r="I234" s="373"/>
      <x:c r="J234" s="373"/>
      <x:c r="K234" s="373"/>
      <x:c r="L234" s="373"/>
      <x:c r="M234" s="373"/>
      <x:c r="N234" s="373"/>
      <x:c r="O234" s="373"/>
      <x:c r="P234" s="373"/>
      <x:c r="Q234" s="373"/>
      <x:c r="R234" s="373"/>
      <x:c r="S234" s="373"/>
      <x:c r="T234" s="373"/>
      <x:c r="U234" s="373"/>
      <x:c r="V234" s="373"/>
      <x:c r="W234" s="373"/>
      <x:c r="X234" s="373"/>
      <x:c r="Y234" s="373"/>
      <x:c r="Z234" s="373"/>
    </x:row>
    <x:row r="235">
      <x:c r="A235" s="373"/>
      <x:c r="B235" s="373"/>
      <x:c r="C235" s="373"/>
      <x:c r="D235" s="373"/>
      <x:c r="E235" s="373"/>
      <x:c r="F235" s="373"/>
      <x:c r="G235" s="373"/>
      <x:c r="H235" s="373"/>
      <x:c r="I235" s="373"/>
      <x:c r="J235" s="373"/>
      <x:c r="K235" s="373"/>
      <x:c r="L235" s="373"/>
      <x:c r="M235" s="373"/>
      <x:c r="N235" s="373"/>
      <x:c r="O235" s="373"/>
      <x:c r="P235" s="373"/>
      <x:c r="Q235" s="373"/>
      <x:c r="R235" s="373"/>
      <x:c r="S235" s="373"/>
      <x:c r="T235" s="373"/>
      <x:c r="U235" s="373"/>
      <x:c r="V235" s="373"/>
      <x:c r="W235" s="373"/>
      <x:c r="X235" s="373"/>
      <x:c r="Y235" s="373"/>
      <x:c r="Z235" s="373"/>
    </x:row>
    <x:row r="236">
      <x:c r="A236" s="373"/>
      <x:c r="B236" s="373"/>
      <x:c r="C236" s="373"/>
      <x:c r="D236" s="373"/>
      <x:c r="E236" s="373"/>
      <x:c r="F236" s="373"/>
      <x:c r="G236" s="373"/>
      <x:c r="H236" s="373"/>
      <x:c r="I236" s="373"/>
      <x:c r="J236" s="373"/>
      <x:c r="K236" s="373"/>
      <x:c r="L236" s="373"/>
      <x:c r="M236" s="373"/>
      <x:c r="N236" s="373"/>
      <x:c r="O236" s="373"/>
      <x:c r="P236" s="373"/>
      <x:c r="Q236" s="373"/>
      <x:c r="R236" s="373"/>
      <x:c r="S236" s="373"/>
      <x:c r="T236" s="373"/>
      <x:c r="U236" s="373"/>
      <x:c r="V236" s="373"/>
      <x:c r="W236" s="373"/>
      <x:c r="X236" s="373"/>
      <x:c r="Y236" s="373"/>
      <x:c r="Z236" s="373"/>
    </x:row>
    <x:row r="237">
      <x:c r="A237" s="373"/>
      <x:c r="B237" s="373"/>
      <x:c r="C237" s="373"/>
      <x:c r="D237" s="373"/>
      <x:c r="E237" s="373"/>
      <x:c r="F237" s="373"/>
      <x:c r="G237" s="373"/>
      <x:c r="H237" s="373"/>
      <x:c r="I237" s="373"/>
      <x:c r="J237" s="373"/>
      <x:c r="K237" s="373"/>
      <x:c r="L237" s="373"/>
      <x:c r="M237" s="373"/>
      <x:c r="N237" s="373"/>
      <x:c r="O237" s="373"/>
      <x:c r="P237" s="373"/>
      <x:c r="Q237" s="373"/>
      <x:c r="R237" s="373"/>
      <x:c r="S237" s="373"/>
      <x:c r="T237" s="373"/>
      <x:c r="U237" s="373"/>
      <x:c r="V237" s="373"/>
      <x:c r="W237" s="373"/>
      <x:c r="X237" s="373"/>
      <x:c r="Y237" s="373"/>
      <x:c r="Z237" s="373"/>
    </x:row>
    <x:row r="238">
      <x:c r="A238" s="373"/>
      <x:c r="B238" s="373"/>
      <x:c r="C238" s="373"/>
      <x:c r="D238" s="373"/>
      <x:c r="E238" s="373"/>
      <x:c r="F238" s="373"/>
      <x:c r="G238" s="373"/>
      <x:c r="H238" s="373"/>
      <x:c r="I238" s="373"/>
      <x:c r="J238" s="373"/>
      <x:c r="K238" s="373"/>
      <x:c r="L238" s="373"/>
      <x:c r="M238" s="373"/>
      <x:c r="N238" s="373"/>
      <x:c r="O238" s="373"/>
      <x:c r="P238" s="373"/>
      <x:c r="Q238" s="373"/>
      <x:c r="R238" s="373"/>
      <x:c r="S238" s="373"/>
      <x:c r="T238" s="373"/>
      <x:c r="U238" s="373"/>
      <x:c r="V238" s="373"/>
      <x:c r="W238" s="373"/>
      <x:c r="X238" s="373"/>
      <x:c r="Y238" s="373"/>
      <x:c r="Z238" s="373"/>
    </x:row>
    <x:row r="239">
      <x:c r="A239" s="373"/>
      <x:c r="B239" s="373"/>
      <x:c r="C239" s="373"/>
      <x:c r="D239" s="373"/>
      <x:c r="E239" s="373"/>
      <x:c r="F239" s="373"/>
      <x:c r="G239" s="373"/>
      <x:c r="H239" s="373"/>
      <x:c r="I239" s="373"/>
      <x:c r="J239" s="373"/>
      <x:c r="K239" s="373"/>
      <x:c r="L239" s="373"/>
      <x:c r="M239" s="373"/>
      <x:c r="N239" s="373"/>
      <x:c r="O239" s="373"/>
      <x:c r="P239" s="373"/>
      <x:c r="Q239" s="373"/>
      <x:c r="R239" s="373"/>
      <x:c r="S239" s="373"/>
      <x:c r="T239" s="373"/>
      <x:c r="U239" s="373"/>
      <x:c r="V239" s="373"/>
      <x:c r="W239" s="373"/>
      <x:c r="X239" s="373"/>
      <x:c r="Y239" s="373"/>
      <x:c r="Z239" s="373"/>
    </x:row>
    <x:row r="240">
      <x:c r="A240" s="373"/>
      <x:c r="B240" s="373"/>
      <x:c r="C240" s="373"/>
      <x:c r="D240" s="373"/>
      <x:c r="E240" s="373"/>
      <x:c r="F240" s="373"/>
      <x:c r="G240" s="373"/>
      <x:c r="H240" s="373"/>
      <x:c r="I240" s="373"/>
      <x:c r="J240" s="373"/>
      <x:c r="K240" s="373"/>
      <x:c r="L240" s="373"/>
      <x:c r="M240" s="373"/>
      <x:c r="N240" s="373"/>
      <x:c r="O240" s="373"/>
      <x:c r="P240" s="373"/>
      <x:c r="Q240" s="373"/>
      <x:c r="R240" s="373"/>
      <x:c r="S240" s="373"/>
      <x:c r="T240" s="373"/>
      <x:c r="U240" s="373"/>
      <x:c r="V240" s="373"/>
      <x:c r="W240" s="373"/>
      <x:c r="X240" s="373"/>
      <x:c r="Y240" s="373"/>
      <x:c r="Z240" s="373"/>
    </x:row>
    <x:row r="241">
      <x:c r="A241" s="373"/>
      <x:c r="B241" s="373"/>
      <x:c r="C241" s="373"/>
      <x:c r="D241" s="373"/>
      <x:c r="E241" s="373"/>
      <x:c r="F241" s="373"/>
      <x:c r="G241" s="373"/>
      <x:c r="H241" s="373"/>
      <x:c r="I241" s="373"/>
      <x:c r="J241" s="373"/>
      <x:c r="K241" s="373"/>
      <x:c r="L241" s="373"/>
      <x:c r="M241" s="373"/>
      <x:c r="N241" s="373"/>
      <x:c r="O241" s="373"/>
      <x:c r="P241" s="373"/>
      <x:c r="Q241" s="373"/>
      <x:c r="R241" s="373"/>
      <x:c r="S241" s="373"/>
      <x:c r="T241" s="373"/>
      <x:c r="U241" s="373"/>
      <x:c r="V241" s="373"/>
      <x:c r="W241" s="373"/>
      <x:c r="X241" s="373"/>
      <x:c r="Y241" s="373"/>
      <x:c r="Z241" s="373"/>
    </x:row>
    <x:row r="242">
      <x:c r="A242" s="373"/>
      <x:c r="B242" s="373"/>
      <x:c r="C242" s="373"/>
      <x:c r="D242" s="373"/>
      <x:c r="E242" s="373"/>
      <x:c r="F242" s="373"/>
      <x:c r="G242" s="373"/>
      <x:c r="H242" s="373"/>
      <x:c r="I242" s="373"/>
      <x:c r="J242" s="373"/>
      <x:c r="K242" s="373"/>
      <x:c r="L242" s="373"/>
      <x:c r="M242" s="373"/>
      <x:c r="N242" s="373"/>
      <x:c r="O242" s="373"/>
      <x:c r="P242" s="373"/>
      <x:c r="Q242" s="373"/>
      <x:c r="R242" s="373"/>
      <x:c r="S242" s="373"/>
      <x:c r="T242" s="373"/>
      <x:c r="U242" s="373"/>
      <x:c r="V242" s="373"/>
      <x:c r="W242" s="373"/>
      <x:c r="X242" s="373"/>
      <x:c r="Y242" s="373"/>
      <x:c r="Z242" s="373"/>
    </x:row>
    <x:row r="243">
      <x:c r="A243" s="373"/>
      <x:c r="B243" s="373"/>
      <x:c r="C243" s="373"/>
      <x:c r="D243" s="373"/>
      <x:c r="E243" s="373"/>
      <x:c r="F243" s="373"/>
      <x:c r="G243" s="373"/>
      <x:c r="H243" s="373"/>
      <x:c r="I243" s="373"/>
      <x:c r="J243" s="373"/>
      <x:c r="K243" s="373"/>
      <x:c r="L243" s="373"/>
      <x:c r="M243" s="373"/>
      <x:c r="N243" s="373"/>
      <x:c r="O243" s="373"/>
      <x:c r="P243" s="373"/>
      <x:c r="Q243" s="373"/>
      <x:c r="R243" s="373"/>
      <x:c r="S243" s="373"/>
      <x:c r="T243" s="373"/>
      <x:c r="U243" s="373"/>
      <x:c r="V243" s="373"/>
      <x:c r="W243" s="373"/>
      <x:c r="X243" s="373"/>
      <x:c r="Y243" s="373"/>
      <x:c r="Z243" s="373"/>
    </x:row>
    <x:row r="244">
      <x:c r="A244" s="373"/>
      <x:c r="B244" s="373"/>
      <x:c r="C244" s="373"/>
      <x:c r="D244" s="373"/>
      <x:c r="E244" s="373"/>
      <x:c r="F244" s="373"/>
      <x:c r="G244" s="373"/>
      <x:c r="H244" s="373"/>
      <x:c r="I244" s="373"/>
      <x:c r="J244" s="373"/>
      <x:c r="K244" s="373"/>
      <x:c r="L244" s="373"/>
      <x:c r="M244" s="373"/>
      <x:c r="N244" s="373"/>
      <x:c r="O244" s="373"/>
      <x:c r="P244" s="373"/>
      <x:c r="Q244" s="373"/>
      <x:c r="R244" s="373"/>
      <x:c r="S244" s="373"/>
      <x:c r="T244" s="373"/>
      <x:c r="U244" s="373"/>
      <x:c r="V244" s="373"/>
      <x:c r="W244" s="373"/>
      <x:c r="X244" s="373"/>
      <x:c r="Y244" s="373"/>
      <x:c r="Z244" s="373"/>
    </x:row>
    <x:row r="245">
      <x:c r="A245" s="373"/>
      <x:c r="B245" s="373"/>
      <x:c r="C245" s="373"/>
      <x:c r="D245" s="373"/>
      <x:c r="E245" s="373"/>
      <x:c r="F245" s="373"/>
      <x:c r="G245" s="373"/>
      <x:c r="H245" s="373"/>
      <x:c r="I245" s="373"/>
      <x:c r="J245" s="373"/>
      <x:c r="K245" s="373"/>
      <x:c r="L245" s="373"/>
      <x:c r="M245" s="373"/>
      <x:c r="N245" s="373"/>
      <x:c r="O245" s="373"/>
      <x:c r="P245" s="373"/>
      <x:c r="Q245" s="373"/>
      <x:c r="R245" s="373"/>
      <x:c r="S245" s="373"/>
      <x:c r="T245" s="373"/>
      <x:c r="U245" s="373"/>
      <x:c r="V245" s="373"/>
      <x:c r="W245" s="373"/>
      <x:c r="X245" s="373"/>
      <x:c r="Y245" s="373"/>
      <x:c r="Z245" s="373"/>
    </x:row>
    <x:row r="246">
      <x:c r="A246" s="373"/>
      <x:c r="B246" s="373"/>
      <x:c r="C246" s="373"/>
      <x:c r="D246" s="373"/>
      <x:c r="E246" s="373"/>
      <x:c r="F246" s="373"/>
      <x:c r="G246" s="373"/>
      <x:c r="H246" s="373"/>
      <x:c r="I246" s="373"/>
      <x:c r="J246" s="373"/>
      <x:c r="K246" s="373"/>
      <x:c r="L246" s="373"/>
      <x:c r="M246" s="373"/>
      <x:c r="N246" s="373"/>
      <x:c r="O246" s="373"/>
      <x:c r="P246" s="373"/>
      <x:c r="Q246" s="373"/>
      <x:c r="R246" s="373"/>
      <x:c r="S246" s="373"/>
      <x:c r="T246" s="373"/>
      <x:c r="U246" s="373"/>
      <x:c r="V246" s="373"/>
      <x:c r="W246" s="373"/>
      <x:c r="X246" s="373"/>
      <x:c r="Y246" s="373"/>
      <x:c r="Z246" s="373"/>
    </x:row>
    <x:row r="247">
      <x:c r="A247" s="373"/>
      <x:c r="B247" s="373"/>
      <x:c r="C247" s="373"/>
      <x:c r="D247" s="373"/>
      <x:c r="E247" s="373"/>
      <x:c r="F247" s="373"/>
      <x:c r="G247" s="373"/>
      <x:c r="H247" s="373"/>
      <x:c r="I247" s="373"/>
      <x:c r="J247" s="373"/>
      <x:c r="K247" s="373"/>
      <x:c r="L247" s="373"/>
      <x:c r="M247" s="373"/>
      <x:c r="N247" s="373"/>
      <x:c r="O247" s="373"/>
      <x:c r="P247" s="373"/>
      <x:c r="Q247" s="373"/>
      <x:c r="R247" s="373"/>
      <x:c r="S247" s="373"/>
      <x:c r="T247" s="373"/>
      <x:c r="U247" s="373"/>
      <x:c r="V247" s="373"/>
      <x:c r="W247" s="373"/>
      <x:c r="X247" s="373"/>
      <x:c r="Y247" s="373"/>
      <x:c r="Z247" s="373"/>
    </x:row>
    <x:row r="248">
      <x:c r="A248" s="373"/>
      <x:c r="B248" s="373"/>
      <x:c r="C248" s="373"/>
      <x:c r="D248" s="373"/>
      <x:c r="E248" s="373"/>
      <x:c r="F248" s="373"/>
      <x:c r="G248" s="373"/>
      <x:c r="H248" s="373"/>
      <x:c r="I248" s="373"/>
      <x:c r="J248" s="373"/>
      <x:c r="K248" s="373"/>
      <x:c r="L248" s="373"/>
      <x:c r="M248" s="373"/>
      <x:c r="N248" s="373"/>
      <x:c r="O248" s="373"/>
      <x:c r="P248" s="373"/>
      <x:c r="Q248" s="373"/>
      <x:c r="R248" s="373"/>
      <x:c r="S248" s="373"/>
      <x:c r="T248" s="373"/>
      <x:c r="U248" s="373"/>
      <x:c r="V248" s="373"/>
      <x:c r="W248" s="373"/>
      <x:c r="X248" s="373"/>
      <x:c r="Y248" s="373"/>
      <x:c r="Z248" s="373"/>
    </x:row>
    <x:row r="249">
      <x:c r="A249" s="373"/>
      <x:c r="B249" s="373"/>
      <x:c r="C249" s="373"/>
      <x:c r="D249" s="373"/>
      <x:c r="E249" s="373"/>
      <x:c r="F249" s="373"/>
      <x:c r="G249" s="373"/>
      <x:c r="H249" s="373"/>
      <x:c r="I249" s="373"/>
      <x:c r="J249" s="373"/>
      <x:c r="K249" s="373"/>
      <x:c r="L249" s="373"/>
      <x:c r="M249" s="373"/>
      <x:c r="N249" s="373"/>
      <x:c r="O249" s="373"/>
      <x:c r="P249" s="373"/>
      <x:c r="Q249" s="373"/>
      <x:c r="R249" s="373"/>
      <x:c r="S249" s="373"/>
      <x:c r="T249" s="373"/>
      <x:c r="U249" s="373"/>
      <x:c r="V249" s="373"/>
      <x:c r="W249" s="373"/>
      <x:c r="X249" s="373"/>
      <x:c r="Y249" s="373"/>
      <x:c r="Z249" s="373"/>
    </x:row>
    <x:row r="250">
      <x:c r="A250" s="373"/>
      <x:c r="B250" s="373"/>
      <x:c r="C250" s="373"/>
      <x:c r="D250" s="373"/>
      <x:c r="E250" s="373"/>
      <x:c r="F250" s="373"/>
      <x:c r="G250" s="373"/>
      <x:c r="H250" s="373"/>
      <x:c r="I250" s="373"/>
      <x:c r="J250" s="373"/>
      <x:c r="K250" s="373"/>
      <x:c r="L250" s="373"/>
      <x:c r="M250" s="373"/>
      <x:c r="N250" s="373"/>
      <x:c r="O250" s="373"/>
      <x:c r="P250" s="373"/>
      <x:c r="Q250" s="373"/>
      <x:c r="R250" s="373"/>
      <x:c r="S250" s="373"/>
      <x:c r="T250" s="373"/>
      <x:c r="U250" s="373"/>
      <x:c r="V250" s="373"/>
      <x:c r="W250" s="373"/>
      <x:c r="X250" s="373"/>
      <x:c r="Y250" s="373"/>
      <x:c r="Z250" s="373"/>
    </x:row>
    <x:row r="251">
      <x:c r="A251" s="373"/>
      <x:c r="B251" s="373"/>
      <x:c r="C251" s="373"/>
      <x:c r="D251" s="373"/>
      <x:c r="E251" s="373"/>
      <x:c r="F251" s="373"/>
      <x:c r="G251" s="373"/>
      <x:c r="H251" s="373"/>
      <x:c r="I251" s="373"/>
      <x:c r="J251" s="373"/>
      <x:c r="K251" s="373"/>
      <x:c r="L251" s="373"/>
      <x:c r="M251" s="373"/>
      <x:c r="N251" s="373"/>
      <x:c r="O251" s="373"/>
      <x:c r="P251" s="373"/>
      <x:c r="Q251" s="373"/>
      <x:c r="R251" s="373"/>
      <x:c r="S251" s="373"/>
      <x:c r="T251" s="373"/>
      <x:c r="U251" s="373"/>
      <x:c r="V251" s="373"/>
      <x:c r="W251" s="373"/>
      <x:c r="X251" s="373"/>
      <x:c r="Y251" s="373"/>
      <x:c r="Z251" s="373"/>
    </x:row>
    <x:row r="252">
      <x:c r="A252" s="373"/>
      <x:c r="B252" s="373"/>
      <x:c r="C252" s="373"/>
      <x:c r="D252" s="373"/>
      <x:c r="E252" s="373"/>
      <x:c r="F252" s="373"/>
      <x:c r="G252" s="373"/>
      <x:c r="H252" s="373"/>
      <x:c r="I252" s="373"/>
      <x:c r="J252" s="373"/>
      <x:c r="K252" s="373"/>
      <x:c r="L252" s="373"/>
      <x:c r="M252" s="373"/>
      <x:c r="N252" s="373"/>
      <x:c r="O252" s="373"/>
      <x:c r="P252" s="373"/>
      <x:c r="Q252" s="373"/>
      <x:c r="R252" s="373"/>
      <x:c r="S252" s="373"/>
      <x:c r="T252" s="373"/>
      <x:c r="U252" s="373"/>
      <x:c r="V252" s="373"/>
      <x:c r="W252" s="373"/>
      <x:c r="X252" s="373"/>
      <x:c r="Y252" s="373"/>
      <x:c r="Z252" s="373"/>
    </x:row>
    <x:row r="253">
      <x:c r="A253" s="373"/>
      <x:c r="B253" s="373"/>
      <x:c r="C253" s="373"/>
      <x:c r="D253" s="373"/>
      <x:c r="E253" s="373"/>
      <x:c r="F253" s="373"/>
      <x:c r="G253" s="373"/>
      <x:c r="H253" s="373"/>
      <x:c r="I253" s="373"/>
      <x:c r="J253" s="373"/>
      <x:c r="K253" s="373"/>
      <x:c r="L253" s="373"/>
      <x:c r="M253" s="373"/>
      <x:c r="N253" s="373"/>
      <x:c r="O253" s="373"/>
      <x:c r="P253" s="373"/>
      <x:c r="Q253" s="373"/>
      <x:c r="R253" s="373"/>
      <x:c r="S253" s="373"/>
      <x:c r="T253" s="373"/>
      <x:c r="U253" s="373"/>
      <x:c r="V253" s="373"/>
      <x:c r="W253" s="373"/>
      <x:c r="X253" s="373"/>
      <x:c r="Y253" s="373"/>
      <x:c r="Z253" s="373"/>
    </x:row>
    <x:row r="254">
      <x:c r="A254" s="373"/>
      <x:c r="B254" s="373"/>
      <x:c r="C254" s="373"/>
      <x:c r="D254" s="373"/>
      <x:c r="E254" s="373"/>
      <x:c r="F254" s="373"/>
      <x:c r="G254" s="373"/>
      <x:c r="H254" s="373"/>
      <x:c r="I254" s="373"/>
      <x:c r="J254" s="373"/>
      <x:c r="K254" s="373"/>
      <x:c r="L254" s="373"/>
      <x:c r="M254" s="373"/>
      <x:c r="N254" s="373"/>
      <x:c r="O254" s="373"/>
      <x:c r="P254" s="373"/>
      <x:c r="Q254" s="373"/>
      <x:c r="R254" s="373"/>
      <x:c r="S254" s="373"/>
      <x:c r="T254" s="373"/>
      <x:c r="U254" s="373"/>
      <x:c r="V254" s="373"/>
      <x:c r="W254" s="373"/>
      <x:c r="X254" s="373"/>
      <x:c r="Y254" s="373"/>
      <x:c r="Z254" s="373"/>
    </x:row>
    <x:row r="255">
      <x:c r="A255" s="373"/>
      <x:c r="B255" s="373"/>
      <x:c r="C255" s="373"/>
      <x:c r="D255" s="373"/>
      <x:c r="E255" s="373"/>
      <x:c r="F255" s="373"/>
      <x:c r="G255" s="373"/>
      <x:c r="H255" s="373"/>
      <x:c r="I255" s="373"/>
      <x:c r="J255" s="373"/>
      <x:c r="K255" s="373"/>
      <x:c r="L255" s="373"/>
      <x:c r="M255" s="373"/>
      <x:c r="N255" s="373"/>
      <x:c r="O255" s="373"/>
      <x:c r="P255" s="373"/>
      <x:c r="Q255" s="373"/>
      <x:c r="R255" s="373"/>
      <x:c r="S255" s="373"/>
      <x:c r="T255" s="373"/>
      <x:c r="U255" s="373"/>
      <x:c r="V255" s="373"/>
      <x:c r="W255" s="373"/>
      <x:c r="X255" s="373"/>
      <x:c r="Y255" s="373"/>
      <x:c r="Z255" s="373"/>
    </x:row>
    <x:row r="256">
      <x:c r="A256" s="373"/>
      <x:c r="B256" s="373"/>
      <x:c r="C256" s="373"/>
      <x:c r="D256" s="373"/>
      <x:c r="E256" s="373"/>
      <x:c r="F256" s="373"/>
      <x:c r="G256" s="373"/>
      <x:c r="H256" s="373"/>
      <x:c r="I256" s="373"/>
      <x:c r="J256" s="373"/>
      <x:c r="K256" s="373"/>
      <x:c r="L256" s="373"/>
      <x:c r="M256" s="373"/>
      <x:c r="N256" s="373"/>
      <x:c r="O256" s="373"/>
      <x:c r="P256" s="373"/>
      <x:c r="Q256" s="373"/>
      <x:c r="R256" s="373"/>
      <x:c r="S256" s="373"/>
      <x:c r="T256" s="373"/>
      <x:c r="U256" s="373"/>
      <x:c r="V256" s="373"/>
      <x:c r="W256" s="373"/>
      <x:c r="X256" s="373"/>
      <x:c r="Y256" s="373"/>
      <x:c r="Z256" s="373"/>
    </x:row>
    <x:row r="257">
      <x:c r="A257" s="373"/>
      <x:c r="B257" s="373"/>
      <x:c r="C257" s="373"/>
      <x:c r="D257" s="373"/>
      <x:c r="E257" s="373"/>
      <x:c r="F257" s="373"/>
      <x:c r="G257" s="373"/>
      <x:c r="H257" s="373"/>
      <x:c r="I257" s="373"/>
      <x:c r="J257" s="373"/>
      <x:c r="K257" s="373"/>
      <x:c r="L257" s="373"/>
      <x:c r="M257" s="373"/>
      <x:c r="N257" s="373"/>
      <x:c r="O257" s="373"/>
      <x:c r="P257" s="373"/>
      <x:c r="Q257" s="373"/>
      <x:c r="R257" s="373"/>
      <x:c r="S257" s="373"/>
      <x:c r="T257" s="373"/>
      <x:c r="U257" s="373"/>
      <x:c r="V257" s="373"/>
      <x:c r="W257" s="373"/>
      <x:c r="X257" s="373"/>
      <x:c r="Y257" s="373"/>
      <x:c r="Z257" s="373"/>
    </x:row>
    <x:row r="258">
      <x:c r="A258" s="373"/>
      <x:c r="B258" s="373"/>
      <x:c r="C258" s="373"/>
      <x:c r="D258" s="373"/>
      <x:c r="E258" s="373"/>
      <x:c r="F258" s="373"/>
      <x:c r="G258" s="373"/>
      <x:c r="H258" s="373"/>
      <x:c r="I258" s="373"/>
      <x:c r="J258" s="373"/>
      <x:c r="K258" s="373"/>
      <x:c r="L258" s="373"/>
      <x:c r="M258" s="373"/>
      <x:c r="N258" s="373"/>
      <x:c r="O258" s="373"/>
      <x:c r="P258" s="373"/>
      <x:c r="Q258" s="373"/>
      <x:c r="R258" s="373"/>
      <x:c r="S258" s="373"/>
      <x:c r="T258" s="373"/>
      <x:c r="U258" s="373"/>
      <x:c r="V258" s="373"/>
      <x:c r="W258" s="373"/>
      <x:c r="X258" s="373"/>
      <x:c r="Y258" s="373"/>
      <x:c r="Z258" s="373"/>
    </x:row>
    <x:row r="259">
      <x:c r="A259" s="373"/>
      <x:c r="B259" s="373"/>
      <x:c r="C259" s="373"/>
      <x:c r="D259" s="373"/>
      <x:c r="E259" s="373"/>
      <x:c r="F259" s="373"/>
      <x:c r="G259" s="373"/>
      <x:c r="H259" s="373"/>
      <x:c r="I259" s="373"/>
      <x:c r="J259" s="373"/>
      <x:c r="K259" s="373"/>
      <x:c r="L259" s="373"/>
      <x:c r="M259" s="373"/>
      <x:c r="N259" s="373"/>
      <x:c r="O259" s="373"/>
      <x:c r="P259" s="373"/>
      <x:c r="Q259" s="373"/>
      <x:c r="R259" s="373"/>
      <x:c r="S259" s="373"/>
      <x:c r="T259" s="373"/>
      <x:c r="U259" s="373"/>
      <x:c r="V259" s="373"/>
      <x:c r="W259" s="373"/>
      <x:c r="X259" s="373"/>
      <x:c r="Y259" s="373"/>
      <x:c r="Z259" s="373"/>
    </x:row>
    <x:row r="260">
      <x:c r="A260" s="373"/>
      <x:c r="B260" s="373"/>
      <x:c r="C260" s="373"/>
      <x:c r="D260" s="373"/>
      <x:c r="E260" s="373"/>
      <x:c r="F260" s="373"/>
      <x:c r="G260" s="373"/>
      <x:c r="H260" s="373"/>
      <x:c r="I260" s="373"/>
      <x:c r="J260" s="373"/>
      <x:c r="K260" s="373"/>
      <x:c r="L260" s="373"/>
      <x:c r="M260" s="373"/>
      <x:c r="N260" s="373"/>
      <x:c r="O260" s="373"/>
      <x:c r="P260" s="373"/>
      <x:c r="Q260" s="373"/>
      <x:c r="R260" s="373"/>
      <x:c r="S260" s="373"/>
      <x:c r="T260" s="373"/>
      <x:c r="U260" s="373"/>
      <x:c r="V260" s="373"/>
      <x:c r="W260" s="373"/>
      <x:c r="X260" s="373"/>
      <x:c r="Y260" s="373"/>
      <x:c r="Z260" s="373"/>
    </x:row>
    <x:row r="261">
      <x:c r="A261" s="373"/>
      <x:c r="B261" s="373"/>
      <x:c r="C261" s="373"/>
      <x:c r="D261" s="373"/>
      <x:c r="E261" s="373"/>
      <x:c r="F261" s="373"/>
      <x:c r="G261" s="373"/>
      <x:c r="H261" s="373"/>
      <x:c r="I261" s="373"/>
      <x:c r="J261" s="373"/>
      <x:c r="K261" s="373"/>
      <x:c r="L261" s="373"/>
      <x:c r="M261" s="373"/>
      <x:c r="N261" s="373"/>
      <x:c r="O261" s="373"/>
      <x:c r="P261" s="373"/>
      <x:c r="Q261" s="373"/>
      <x:c r="R261" s="373"/>
      <x:c r="S261" s="373"/>
      <x:c r="T261" s="373"/>
      <x:c r="U261" s="373"/>
      <x:c r="V261" s="373"/>
      <x:c r="W261" s="373"/>
      <x:c r="X261" s="373"/>
      <x:c r="Y261" s="373"/>
      <x:c r="Z261" s="373"/>
    </x:row>
    <x:row r="262">
      <x:c r="A262" s="373"/>
      <x:c r="B262" s="373"/>
      <x:c r="C262" s="373"/>
      <x:c r="D262" s="373"/>
      <x:c r="E262" s="373"/>
      <x:c r="F262" s="373"/>
      <x:c r="G262" s="373"/>
      <x:c r="H262" s="373"/>
      <x:c r="I262" s="373"/>
      <x:c r="J262" s="373"/>
      <x:c r="K262" s="373"/>
      <x:c r="L262" s="373"/>
      <x:c r="M262" s="373"/>
      <x:c r="N262" s="373"/>
      <x:c r="O262" s="373"/>
      <x:c r="P262" s="373"/>
      <x:c r="Q262" s="373"/>
      <x:c r="R262" s="373"/>
      <x:c r="S262" s="373"/>
      <x:c r="T262" s="373"/>
      <x:c r="U262" s="373"/>
      <x:c r="V262" s="373"/>
      <x:c r="W262" s="373"/>
      <x:c r="X262" s="373"/>
      <x:c r="Y262" s="373"/>
      <x:c r="Z262" s="373"/>
    </x:row>
    <x:row r="263">
      <x:c r="A263" s="373"/>
      <x:c r="B263" s="373"/>
      <x:c r="C263" s="373"/>
      <x:c r="D263" s="373"/>
      <x:c r="E263" s="373"/>
      <x:c r="F263" s="373"/>
      <x:c r="G263" s="373"/>
      <x:c r="H263" s="373"/>
      <x:c r="I263" s="373"/>
      <x:c r="J263" s="373"/>
      <x:c r="K263" s="373"/>
      <x:c r="L263" s="373"/>
      <x:c r="M263" s="373"/>
      <x:c r="N263" s="373"/>
      <x:c r="O263" s="373"/>
      <x:c r="P263" s="373"/>
      <x:c r="Q263" s="373"/>
      <x:c r="R263" s="373"/>
      <x:c r="S263" s="373"/>
      <x:c r="T263" s="373"/>
      <x:c r="U263" s="373"/>
      <x:c r="V263" s="373"/>
      <x:c r="W263" s="373"/>
      <x:c r="X263" s="373"/>
      <x:c r="Y263" s="373"/>
      <x:c r="Z263" s="373"/>
    </x:row>
    <x:row r="264">
      <x:c r="A264" s="373"/>
      <x:c r="B264" s="373"/>
      <x:c r="C264" s="373"/>
      <x:c r="D264" s="373"/>
      <x:c r="E264" s="373"/>
      <x:c r="F264" s="373"/>
      <x:c r="G264" s="373"/>
      <x:c r="H264" s="373"/>
      <x:c r="I264" s="373"/>
      <x:c r="J264" s="373"/>
      <x:c r="K264" s="373"/>
      <x:c r="L264" s="373"/>
      <x:c r="M264" s="373"/>
      <x:c r="N264" s="373"/>
      <x:c r="O264" s="373"/>
      <x:c r="P264" s="373"/>
      <x:c r="Q264" s="373"/>
      <x:c r="R264" s="373"/>
      <x:c r="S264" s="373"/>
      <x:c r="T264" s="373"/>
      <x:c r="U264" s="373"/>
      <x:c r="V264" s="373"/>
      <x:c r="W264" s="373"/>
      <x:c r="X264" s="373"/>
      <x:c r="Y264" s="373"/>
      <x:c r="Z264" s="373"/>
    </x:row>
    <x:row r="265">
      <x:c r="A265" s="373"/>
      <x:c r="B265" s="373"/>
      <x:c r="C265" s="373"/>
      <x:c r="D265" s="373"/>
      <x:c r="E265" s="373"/>
      <x:c r="F265" s="373"/>
      <x:c r="G265" s="373"/>
      <x:c r="H265" s="373"/>
      <x:c r="I265" s="373"/>
      <x:c r="J265" s="373"/>
      <x:c r="K265" s="373"/>
      <x:c r="L265" s="373"/>
      <x:c r="M265" s="373"/>
      <x:c r="N265" s="373"/>
      <x:c r="O265" s="373"/>
      <x:c r="P265" s="373"/>
      <x:c r="Q265" s="373"/>
      <x:c r="R265" s="373"/>
      <x:c r="S265" s="373"/>
      <x:c r="T265" s="373"/>
      <x:c r="U265" s="373"/>
      <x:c r="V265" s="373"/>
      <x:c r="W265" s="373"/>
      <x:c r="X265" s="373"/>
      <x:c r="Y265" s="373"/>
      <x:c r="Z265" s="373"/>
    </x:row>
    <x:row r="266">
      <x:c r="A266" s="373"/>
      <x:c r="B266" s="373"/>
      <x:c r="C266" s="373"/>
      <x:c r="D266" s="373"/>
      <x:c r="E266" s="373"/>
      <x:c r="F266" s="373"/>
      <x:c r="G266" s="373"/>
      <x:c r="H266" s="373"/>
      <x:c r="I266" s="373"/>
      <x:c r="J266" s="373"/>
      <x:c r="K266" s="373"/>
      <x:c r="L266" s="373"/>
      <x:c r="M266" s="373"/>
      <x:c r="N266" s="373"/>
      <x:c r="O266" s="373"/>
      <x:c r="P266" s="373"/>
      <x:c r="Q266" s="373"/>
      <x:c r="R266" s="373"/>
      <x:c r="S266" s="373"/>
      <x:c r="T266" s="373"/>
      <x:c r="U266" s="373"/>
      <x:c r="V266" s="373"/>
      <x:c r="W266" s="373"/>
      <x:c r="X266" s="373"/>
      <x:c r="Y266" s="373"/>
      <x:c r="Z266" s="373"/>
    </x:row>
    <x:row r="267">
      <x:c r="A267" s="373"/>
      <x:c r="B267" s="373"/>
      <x:c r="C267" s="373"/>
      <x:c r="D267" s="373"/>
      <x:c r="E267" s="373"/>
      <x:c r="F267" s="373"/>
      <x:c r="G267" s="373"/>
      <x:c r="H267" s="373"/>
      <x:c r="I267" s="373"/>
      <x:c r="J267" s="373"/>
      <x:c r="K267" s="373"/>
      <x:c r="L267" s="373"/>
      <x:c r="M267" s="373"/>
      <x:c r="N267" s="373"/>
      <x:c r="O267" s="373"/>
      <x:c r="P267" s="373"/>
      <x:c r="Q267" s="373"/>
      <x:c r="R267" s="373"/>
      <x:c r="S267" s="373"/>
      <x:c r="T267" s="373"/>
      <x:c r="U267" s="373"/>
      <x:c r="V267" s="373"/>
      <x:c r="W267" s="373"/>
      <x:c r="X267" s="373"/>
      <x:c r="Y267" s="373"/>
      <x:c r="Z267" s="373"/>
    </x:row>
    <x:row r="268">
      <x:c r="A268" s="373"/>
      <x:c r="B268" s="373"/>
      <x:c r="C268" s="373"/>
      <x:c r="D268" s="373"/>
      <x:c r="E268" s="373"/>
      <x:c r="F268" s="373"/>
      <x:c r="G268" s="373"/>
      <x:c r="H268" s="373"/>
      <x:c r="I268" s="373"/>
      <x:c r="J268" s="373"/>
      <x:c r="K268" s="373"/>
      <x:c r="L268" s="373"/>
      <x:c r="M268" s="373"/>
      <x:c r="N268" s="373"/>
      <x:c r="O268" s="373"/>
      <x:c r="P268" s="373"/>
      <x:c r="Q268" s="373"/>
      <x:c r="R268" s="373"/>
      <x:c r="S268" s="373"/>
      <x:c r="T268" s="373"/>
      <x:c r="U268" s="373"/>
      <x:c r="V268" s="373"/>
      <x:c r="W268" s="373"/>
      <x:c r="X268" s="373"/>
      <x:c r="Y268" s="373"/>
      <x:c r="Z268" s="373"/>
    </x:row>
    <x:row r="269">
      <x:c r="A269" s="373"/>
      <x:c r="B269" s="373"/>
      <x:c r="C269" s="373"/>
      <x:c r="D269" s="373"/>
      <x:c r="E269" s="373"/>
      <x:c r="F269" s="373"/>
      <x:c r="G269" s="373"/>
      <x:c r="H269" s="373"/>
      <x:c r="I269" s="373"/>
      <x:c r="J269" s="373"/>
      <x:c r="K269" s="373"/>
      <x:c r="L269" s="373"/>
      <x:c r="M269" s="373"/>
      <x:c r="N269" s="373"/>
      <x:c r="O269" s="373"/>
      <x:c r="P269" s="373"/>
      <x:c r="Q269" s="373"/>
      <x:c r="R269" s="373"/>
      <x:c r="S269" s="373"/>
      <x:c r="T269" s="373"/>
      <x:c r="U269" s="373"/>
      <x:c r="V269" s="373"/>
      <x:c r="W269" s="373"/>
      <x:c r="X269" s="373"/>
      <x:c r="Y269" s="373"/>
      <x:c r="Z269" s="373"/>
    </x:row>
    <x:row r="270">
      <x:c r="A270" s="373"/>
      <x:c r="B270" s="373"/>
      <x:c r="C270" s="373"/>
      <x:c r="D270" s="373"/>
      <x:c r="E270" s="373"/>
      <x:c r="F270" s="373"/>
      <x:c r="G270" s="373"/>
      <x:c r="H270" s="373"/>
      <x:c r="I270" s="373"/>
      <x:c r="J270" s="373"/>
      <x:c r="K270" s="373"/>
      <x:c r="L270" s="373"/>
      <x:c r="M270" s="373"/>
      <x:c r="N270" s="373"/>
      <x:c r="O270" s="373"/>
      <x:c r="P270" s="373"/>
      <x:c r="Q270" s="373"/>
      <x:c r="R270" s="373"/>
      <x:c r="S270" s="373"/>
      <x:c r="T270" s="373"/>
      <x:c r="U270" s="373"/>
      <x:c r="V270" s="373"/>
      <x:c r="W270" s="373"/>
      <x:c r="X270" s="373"/>
      <x:c r="Y270" s="373"/>
      <x:c r="Z270" s="373"/>
    </x:row>
    <x:row r="271">
      <x:c r="A271" s="373"/>
      <x:c r="B271" s="373"/>
      <x:c r="C271" s="373"/>
      <x:c r="D271" s="373"/>
      <x:c r="E271" s="373"/>
      <x:c r="F271" s="373"/>
      <x:c r="G271" s="373"/>
      <x:c r="H271" s="373"/>
      <x:c r="I271" s="373"/>
      <x:c r="J271" s="373"/>
      <x:c r="K271" s="373"/>
      <x:c r="L271" s="373"/>
      <x:c r="M271" s="373"/>
      <x:c r="N271" s="373"/>
      <x:c r="O271" s="373"/>
      <x:c r="P271" s="373"/>
      <x:c r="Q271" s="373"/>
      <x:c r="R271" s="373"/>
      <x:c r="S271" s="373"/>
      <x:c r="T271" s="373"/>
      <x:c r="U271" s="373"/>
      <x:c r="V271" s="373"/>
      <x:c r="W271" s="373"/>
      <x:c r="X271" s="373"/>
      <x:c r="Y271" s="373"/>
      <x:c r="Z271" s="373"/>
    </x:row>
    <x:row r="272">
      <x:c r="A272" s="373"/>
      <x:c r="B272" s="373"/>
      <x:c r="C272" s="373"/>
      <x:c r="D272" s="373"/>
      <x:c r="E272" s="373"/>
      <x:c r="F272" s="373"/>
      <x:c r="G272" s="373"/>
      <x:c r="H272" s="373"/>
      <x:c r="I272" s="373"/>
      <x:c r="J272" s="373"/>
      <x:c r="K272" s="373"/>
      <x:c r="L272" s="373"/>
      <x:c r="M272" s="373"/>
      <x:c r="N272" s="373"/>
      <x:c r="O272" s="373"/>
      <x:c r="P272" s="373"/>
      <x:c r="Q272" s="373"/>
      <x:c r="R272" s="373"/>
      <x:c r="S272" s="373"/>
      <x:c r="T272" s="373"/>
      <x:c r="U272" s="373"/>
      <x:c r="V272" s="373"/>
      <x:c r="W272" s="373"/>
      <x:c r="X272" s="373"/>
      <x:c r="Y272" s="373"/>
      <x:c r="Z272" s="373"/>
    </x:row>
    <x:row r="273">
      <x:c r="A273" s="373"/>
      <x:c r="B273" s="373"/>
      <x:c r="C273" s="373"/>
      <x:c r="D273" s="373"/>
      <x:c r="E273" s="373"/>
      <x:c r="F273" s="373"/>
      <x:c r="G273" s="373"/>
      <x:c r="H273" s="373"/>
      <x:c r="I273" s="373"/>
      <x:c r="J273" s="373"/>
      <x:c r="K273" s="373"/>
      <x:c r="L273" s="373"/>
      <x:c r="M273" s="373"/>
      <x:c r="N273" s="373"/>
      <x:c r="O273" s="373"/>
      <x:c r="P273" s="373"/>
      <x:c r="Q273" s="373"/>
      <x:c r="R273" s="373"/>
      <x:c r="S273" s="373"/>
      <x:c r="T273" s="373"/>
      <x:c r="U273" s="373"/>
      <x:c r="V273" s="373"/>
      <x:c r="W273" s="373"/>
      <x:c r="X273" s="373"/>
      <x:c r="Y273" s="373"/>
      <x:c r="Z273" s="373"/>
    </x:row>
    <x:row r="274">
      <x:c r="A274" s="373"/>
      <x:c r="B274" s="373"/>
      <x:c r="C274" s="373"/>
      <x:c r="D274" s="373"/>
      <x:c r="E274" s="373"/>
      <x:c r="F274" s="373"/>
      <x:c r="G274" s="373"/>
      <x:c r="H274" s="373"/>
      <x:c r="I274" s="373"/>
      <x:c r="J274" s="373"/>
      <x:c r="K274" s="373"/>
      <x:c r="L274" s="373"/>
      <x:c r="M274" s="373"/>
      <x:c r="N274" s="373"/>
      <x:c r="O274" s="373"/>
      <x:c r="P274" s="373"/>
      <x:c r="Q274" s="373"/>
      <x:c r="R274" s="373"/>
      <x:c r="S274" s="373"/>
      <x:c r="T274" s="373"/>
      <x:c r="U274" s="373"/>
      <x:c r="V274" s="373"/>
      <x:c r="W274" s="373"/>
      <x:c r="X274" s="373"/>
      <x:c r="Y274" s="373"/>
      <x:c r="Z274" s="373"/>
    </x:row>
    <x:row r="275">
      <x:c r="A275" s="373"/>
      <x:c r="B275" s="373"/>
      <x:c r="C275" s="373"/>
      <x:c r="D275" s="373"/>
      <x:c r="E275" s="373"/>
      <x:c r="F275" s="373"/>
      <x:c r="G275" s="373"/>
      <x:c r="H275" s="373"/>
      <x:c r="I275" s="373"/>
      <x:c r="J275" s="373"/>
      <x:c r="K275" s="373"/>
      <x:c r="L275" s="373"/>
      <x:c r="M275" s="373"/>
      <x:c r="N275" s="373"/>
      <x:c r="O275" s="373"/>
      <x:c r="P275" s="373"/>
      <x:c r="Q275" s="373"/>
      <x:c r="R275" s="373"/>
      <x:c r="S275" s="373"/>
      <x:c r="T275" s="373"/>
      <x:c r="U275" s="373"/>
      <x:c r="V275" s="373"/>
      <x:c r="W275" s="373"/>
      <x:c r="X275" s="373"/>
      <x:c r="Y275" s="373"/>
      <x:c r="Z275" s="373"/>
    </x:row>
    <x:row r="276">
      <x:c r="A276" s="373"/>
      <x:c r="B276" s="373"/>
      <x:c r="C276" s="373"/>
      <x:c r="D276" s="373"/>
      <x:c r="E276" s="373"/>
      <x:c r="F276" s="373"/>
      <x:c r="G276" s="373"/>
      <x:c r="H276" s="373"/>
      <x:c r="I276" s="373"/>
      <x:c r="J276" s="373"/>
      <x:c r="K276" s="373"/>
      <x:c r="L276" s="373"/>
      <x:c r="M276" s="373"/>
      <x:c r="N276" s="373"/>
      <x:c r="O276" s="373"/>
      <x:c r="P276" s="373"/>
      <x:c r="Q276" s="373"/>
      <x:c r="R276" s="373"/>
      <x:c r="S276" s="373"/>
      <x:c r="T276" s="373"/>
      <x:c r="U276" s="373"/>
      <x:c r="V276" s="373"/>
      <x:c r="W276" s="373"/>
      <x:c r="X276" s="373"/>
      <x:c r="Y276" s="373"/>
      <x:c r="Z276" s="373"/>
    </x:row>
    <x:row r="277">
      <x:c r="A277" s="373"/>
      <x:c r="B277" s="373"/>
      <x:c r="C277" s="373"/>
      <x:c r="D277" s="373"/>
      <x:c r="E277" s="373"/>
      <x:c r="F277" s="373"/>
      <x:c r="G277" s="373"/>
      <x:c r="H277" s="373"/>
      <x:c r="I277" s="373"/>
      <x:c r="J277" s="373"/>
      <x:c r="K277" s="373"/>
      <x:c r="L277" s="373"/>
      <x:c r="M277" s="373"/>
      <x:c r="N277" s="373"/>
      <x:c r="O277" s="373"/>
      <x:c r="P277" s="373"/>
      <x:c r="Q277" s="373"/>
      <x:c r="R277" s="373"/>
      <x:c r="S277" s="373"/>
      <x:c r="T277" s="373"/>
      <x:c r="U277" s="373"/>
      <x:c r="V277" s="373"/>
      <x:c r="W277" s="373"/>
      <x:c r="X277" s="373"/>
      <x:c r="Y277" s="373"/>
      <x:c r="Z277" s="373"/>
    </x:row>
    <x:row r="278">
      <x:c r="A278" s="373"/>
      <x:c r="B278" s="373"/>
      <x:c r="C278" s="373"/>
      <x:c r="D278" s="373"/>
      <x:c r="E278" s="373"/>
      <x:c r="F278" s="373"/>
      <x:c r="G278" s="373"/>
      <x:c r="H278" s="373"/>
      <x:c r="I278" s="373"/>
      <x:c r="J278" s="373"/>
      <x:c r="K278" s="373"/>
      <x:c r="L278" s="373"/>
      <x:c r="M278" s="373"/>
      <x:c r="N278" s="373"/>
      <x:c r="O278" s="373"/>
      <x:c r="P278" s="373"/>
      <x:c r="Q278" s="373"/>
      <x:c r="R278" s="373"/>
      <x:c r="S278" s="373"/>
      <x:c r="T278" s="373"/>
      <x:c r="U278" s="373"/>
      <x:c r="V278" s="373"/>
      <x:c r="W278" s="373"/>
      <x:c r="X278" s="373"/>
      <x:c r="Y278" s="373"/>
      <x:c r="Z278" s="373"/>
    </x:row>
    <x:row r="279">
      <x:c r="A279" s="373"/>
      <x:c r="B279" s="373"/>
      <x:c r="C279" s="373"/>
      <x:c r="D279" s="373"/>
      <x:c r="E279" s="373"/>
      <x:c r="F279" s="373"/>
      <x:c r="G279" s="373"/>
      <x:c r="H279" s="373"/>
      <x:c r="I279" s="373"/>
      <x:c r="J279" s="373"/>
      <x:c r="K279" s="373"/>
      <x:c r="L279" s="373"/>
      <x:c r="M279" s="373"/>
      <x:c r="N279" s="373"/>
      <x:c r="O279" s="373"/>
      <x:c r="P279" s="373"/>
      <x:c r="Q279" s="373"/>
      <x:c r="R279" s="373"/>
      <x:c r="S279" s="373"/>
      <x:c r="T279" s="373"/>
      <x:c r="U279" s="373"/>
      <x:c r="V279" s="373"/>
      <x:c r="W279" s="373"/>
      <x:c r="X279" s="373"/>
      <x:c r="Y279" s="373"/>
      <x:c r="Z279" s="373"/>
    </x:row>
    <x:row r="280">
      <x:c r="A280" s="373"/>
      <x:c r="B280" s="373"/>
      <x:c r="C280" s="373"/>
      <x:c r="D280" s="373"/>
      <x:c r="E280" s="373"/>
      <x:c r="F280" s="373"/>
      <x:c r="G280" s="373"/>
      <x:c r="H280" s="373"/>
      <x:c r="I280" s="373"/>
      <x:c r="J280" s="373"/>
      <x:c r="K280" s="373"/>
      <x:c r="L280" s="373"/>
      <x:c r="M280" s="373"/>
      <x:c r="N280" s="373"/>
      <x:c r="O280" s="373"/>
      <x:c r="P280" s="373"/>
      <x:c r="Q280" s="373"/>
      <x:c r="R280" s="373"/>
      <x:c r="S280" s="373"/>
      <x:c r="T280" s="373"/>
      <x:c r="U280" s="373"/>
      <x:c r="V280" s="373"/>
      <x:c r="W280" s="373"/>
      <x:c r="X280" s="373"/>
      <x:c r="Y280" s="373"/>
      <x:c r="Z280" s="373"/>
    </x:row>
    <x:row r="281">
      <x:c r="A281" s="373"/>
      <x:c r="B281" s="373"/>
      <x:c r="C281" s="373"/>
      <x:c r="D281" s="373"/>
      <x:c r="E281" s="373"/>
      <x:c r="F281" s="373"/>
      <x:c r="G281" s="373"/>
      <x:c r="H281" s="373"/>
      <x:c r="I281" s="373"/>
      <x:c r="J281" s="373"/>
      <x:c r="K281" s="373"/>
      <x:c r="L281" s="373"/>
      <x:c r="M281" s="373"/>
      <x:c r="N281" s="373"/>
      <x:c r="O281" s="373"/>
      <x:c r="P281" s="373"/>
      <x:c r="Q281" s="373"/>
      <x:c r="R281" s="373"/>
      <x:c r="S281" s="373"/>
      <x:c r="T281" s="373"/>
      <x:c r="U281" s="373"/>
      <x:c r="V281" s="373"/>
      <x:c r="W281" s="373"/>
      <x:c r="X281" s="373"/>
      <x:c r="Y281" s="373"/>
      <x:c r="Z281" s="373"/>
    </x:row>
    <x:row r="282">
      <x:c r="A282" s="373"/>
      <x:c r="B282" s="373"/>
      <x:c r="C282" s="373"/>
      <x:c r="D282" s="373"/>
      <x:c r="E282" s="373"/>
      <x:c r="F282" s="373"/>
      <x:c r="G282" s="373"/>
      <x:c r="H282" s="373"/>
      <x:c r="I282" s="373"/>
      <x:c r="J282" s="373"/>
      <x:c r="K282" s="373"/>
      <x:c r="L282" s="373"/>
      <x:c r="M282" s="373"/>
      <x:c r="N282" s="373"/>
      <x:c r="O282" s="373"/>
      <x:c r="P282" s="373"/>
      <x:c r="Q282" s="373"/>
      <x:c r="R282" s="373"/>
      <x:c r="S282" s="373"/>
      <x:c r="T282" s="373"/>
      <x:c r="U282" s="373"/>
      <x:c r="V282" s="373"/>
      <x:c r="W282" s="373"/>
      <x:c r="X282" s="373"/>
      <x:c r="Y282" s="373"/>
      <x:c r="Z282" s="373"/>
    </x:row>
    <x:row r="283">
      <x:c r="A283" s="373"/>
      <x:c r="B283" s="373"/>
      <x:c r="C283" s="373"/>
      <x:c r="D283" s="373"/>
      <x:c r="E283" s="373"/>
      <x:c r="F283" s="373"/>
      <x:c r="G283" s="373"/>
      <x:c r="H283" s="373"/>
      <x:c r="I283" s="373"/>
      <x:c r="J283" s="373"/>
      <x:c r="K283" s="373"/>
      <x:c r="L283" s="373"/>
      <x:c r="M283" s="373"/>
      <x:c r="N283" s="373"/>
      <x:c r="O283" s="373"/>
      <x:c r="P283" s="373"/>
      <x:c r="Q283" s="373"/>
      <x:c r="R283" s="373"/>
      <x:c r="S283" s="373"/>
      <x:c r="T283" s="373"/>
      <x:c r="U283" s="373"/>
      <x:c r="V283" s="373"/>
      <x:c r="W283" s="373"/>
      <x:c r="X283" s="373"/>
      <x:c r="Y283" s="373"/>
      <x:c r="Z283" s="373"/>
    </x:row>
    <x:row r="284">
      <x:c r="A284" s="373"/>
      <x:c r="B284" s="373"/>
      <x:c r="C284" s="373"/>
      <x:c r="D284" s="373"/>
      <x:c r="E284" s="373"/>
      <x:c r="F284" s="373"/>
      <x:c r="G284" s="373"/>
      <x:c r="H284" s="373"/>
      <x:c r="I284" s="373"/>
      <x:c r="J284" s="373"/>
      <x:c r="K284" s="373"/>
      <x:c r="L284" s="373"/>
      <x:c r="M284" s="373"/>
      <x:c r="N284" s="373"/>
      <x:c r="O284" s="373"/>
      <x:c r="P284" s="373"/>
      <x:c r="Q284" s="373"/>
      <x:c r="R284" s="373"/>
      <x:c r="S284" s="373"/>
      <x:c r="T284" s="373"/>
      <x:c r="U284" s="373"/>
      <x:c r="V284" s="373"/>
      <x:c r="W284" s="373"/>
      <x:c r="X284" s="373"/>
      <x:c r="Y284" s="373"/>
      <x:c r="Z284" s="373"/>
    </x:row>
    <x:row r="285">
      <x:c r="A285" s="373"/>
      <x:c r="B285" s="373"/>
      <x:c r="C285" s="373"/>
      <x:c r="D285" s="373"/>
      <x:c r="E285" s="373"/>
      <x:c r="F285" s="373"/>
      <x:c r="G285" s="373"/>
      <x:c r="H285" s="373"/>
      <x:c r="I285" s="373"/>
      <x:c r="J285" s="373"/>
      <x:c r="K285" s="373"/>
      <x:c r="L285" s="373"/>
      <x:c r="M285" s="373"/>
      <x:c r="N285" s="373"/>
      <x:c r="O285" s="373"/>
      <x:c r="P285" s="373"/>
      <x:c r="Q285" s="373"/>
      <x:c r="R285" s="373"/>
      <x:c r="S285" s="373"/>
      <x:c r="T285" s="373"/>
      <x:c r="U285" s="373"/>
      <x:c r="V285" s="373"/>
      <x:c r="W285" s="373"/>
      <x:c r="X285" s="373"/>
      <x:c r="Y285" s="373"/>
      <x:c r="Z285" s="373"/>
    </x:row>
    <x:row r="286">
      <x:c r="A286" s="373"/>
      <x:c r="B286" s="373"/>
      <x:c r="C286" s="373"/>
      <x:c r="D286" s="373"/>
      <x:c r="E286" s="373"/>
      <x:c r="F286" s="373"/>
      <x:c r="G286" s="373"/>
      <x:c r="H286" s="373"/>
      <x:c r="I286" s="373"/>
      <x:c r="J286" s="373"/>
      <x:c r="K286" s="373"/>
      <x:c r="L286" s="373"/>
      <x:c r="M286" s="373"/>
      <x:c r="N286" s="373"/>
      <x:c r="O286" s="373"/>
      <x:c r="P286" s="373"/>
      <x:c r="Q286" s="373"/>
      <x:c r="R286" s="373"/>
      <x:c r="S286" s="373"/>
      <x:c r="T286" s="373"/>
      <x:c r="U286" s="373"/>
      <x:c r="V286" s="373"/>
      <x:c r="W286" s="373"/>
      <x:c r="X286" s="373"/>
      <x:c r="Y286" s="373"/>
      <x:c r="Z286" s="373"/>
    </x:row>
    <x:row r="287">
      <x:c r="A287" s="373"/>
      <x:c r="B287" s="373"/>
      <x:c r="C287" s="373"/>
      <x:c r="D287" s="373"/>
      <x:c r="E287" s="373"/>
      <x:c r="F287" s="373"/>
      <x:c r="G287" s="373"/>
      <x:c r="H287" s="373"/>
      <x:c r="I287" s="373"/>
      <x:c r="J287" s="373"/>
      <x:c r="K287" s="373"/>
      <x:c r="L287" s="373"/>
      <x:c r="M287" s="373"/>
      <x:c r="N287" s="373"/>
      <x:c r="O287" s="373"/>
      <x:c r="P287" s="373"/>
      <x:c r="Q287" s="373"/>
      <x:c r="R287" s="373"/>
      <x:c r="S287" s="373"/>
      <x:c r="T287" s="373"/>
      <x:c r="U287" s="373"/>
      <x:c r="V287" s="373"/>
      <x:c r="W287" s="373"/>
      <x:c r="X287" s="373"/>
      <x:c r="Y287" s="373"/>
      <x:c r="Z287" s="373"/>
    </x:row>
    <x:row r="288">
      <x:c r="A288" s="373"/>
      <x:c r="B288" s="373"/>
      <x:c r="C288" s="373"/>
      <x:c r="D288" s="373"/>
      <x:c r="E288" s="373"/>
      <x:c r="F288" s="373"/>
      <x:c r="G288" s="373"/>
      <x:c r="H288" s="373"/>
      <x:c r="I288" s="373"/>
      <x:c r="J288" s="373"/>
      <x:c r="K288" s="373"/>
      <x:c r="L288" s="373"/>
      <x:c r="M288" s="373"/>
      <x:c r="N288" s="373"/>
      <x:c r="O288" s="373"/>
      <x:c r="P288" s="373"/>
      <x:c r="Q288" s="373"/>
      <x:c r="R288" s="373"/>
      <x:c r="S288" s="373"/>
      <x:c r="T288" s="373"/>
      <x:c r="U288" s="373"/>
      <x:c r="V288" s="373"/>
      <x:c r="W288" s="373"/>
      <x:c r="X288" s="373"/>
      <x:c r="Y288" s="373"/>
      <x:c r="Z288" s="373"/>
    </x:row>
    <x:row r="289">
      <x:c r="A289" s="373"/>
      <x:c r="B289" s="373"/>
      <x:c r="C289" s="373"/>
      <x:c r="D289" s="373"/>
      <x:c r="E289" s="373"/>
      <x:c r="F289" s="373"/>
      <x:c r="G289" s="373"/>
      <x:c r="H289" s="373"/>
      <x:c r="I289" s="373"/>
      <x:c r="J289" s="373"/>
      <x:c r="K289" s="373"/>
      <x:c r="L289" s="373"/>
      <x:c r="M289" s="373"/>
      <x:c r="N289" s="373"/>
      <x:c r="O289" s="373"/>
      <x:c r="P289" s="373"/>
      <x:c r="Q289" s="373"/>
      <x:c r="R289" s="373"/>
      <x:c r="S289" s="373"/>
      <x:c r="T289" s="373"/>
      <x:c r="U289" s="373"/>
      <x:c r="V289" s="373"/>
      <x:c r="W289" s="373"/>
      <x:c r="X289" s="373"/>
      <x:c r="Y289" s="373"/>
      <x:c r="Z289" s="373"/>
    </x:row>
    <x:row r="290">
      <x:c r="A290" s="373"/>
      <x:c r="B290" s="373"/>
      <x:c r="C290" s="373"/>
      <x:c r="D290" s="373"/>
      <x:c r="E290" s="373"/>
      <x:c r="F290" s="373"/>
      <x:c r="G290" s="373"/>
      <x:c r="H290" s="373"/>
      <x:c r="I290" s="373"/>
      <x:c r="J290" s="373"/>
      <x:c r="K290" s="373"/>
      <x:c r="L290" s="373"/>
      <x:c r="M290" s="373"/>
      <x:c r="N290" s="373"/>
      <x:c r="O290" s="373"/>
      <x:c r="P290" s="373"/>
      <x:c r="Q290" s="373"/>
      <x:c r="R290" s="373"/>
      <x:c r="S290" s="373"/>
      <x:c r="T290" s="373"/>
      <x:c r="U290" s="373"/>
      <x:c r="V290" s="373"/>
      <x:c r="W290" s="373"/>
      <x:c r="X290" s="373"/>
      <x:c r="Y290" s="373"/>
      <x:c r="Z290" s="373"/>
    </x:row>
    <x:row r="291">
      <x:c r="A291" s="373"/>
      <x:c r="B291" s="373"/>
      <x:c r="C291" s="373"/>
      <x:c r="D291" s="373"/>
      <x:c r="E291" s="373"/>
      <x:c r="F291" s="373"/>
      <x:c r="G291" s="373"/>
      <x:c r="H291" s="373"/>
      <x:c r="I291" s="373"/>
      <x:c r="J291" s="373"/>
      <x:c r="K291" s="373"/>
      <x:c r="L291" s="373"/>
      <x:c r="M291" s="373"/>
      <x:c r="N291" s="373"/>
      <x:c r="O291" s="373"/>
      <x:c r="P291" s="373"/>
      <x:c r="Q291" s="373"/>
      <x:c r="R291" s="373"/>
      <x:c r="S291" s="373"/>
      <x:c r="T291" s="373"/>
      <x:c r="U291" s="373"/>
      <x:c r="V291" s="373"/>
      <x:c r="W291" s="373"/>
      <x:c r="X291" s="373"/>
      <x:c r="Y291" s="373"/>
      <x:c r="Z291" s="373"/>
    </x:row>
    <x:row r="292">
      <x:c r="A292" s="373"/>
      <x:c r="B292" s="373"/>
      <x:c r="C292" s="373"/>
      <x:c r="D292" s="373"/>
      <x:c r="E292" s="373"/>
      <x:c r="F292" s="373"/>
      <x:c r="G292" s="373"/>
      <x:c r="H292" s="373"/>
      <x:c r="I292" s="373"/>
      <x:c r="J292" s="373"/>
      <x:c r="K292" s="373"/>
      <x:c r="L292" s="373"/>
      <x:c r="M292" s="373"/>
      <x:c r="N292" s="373"/>
      <x:c r="O292" s="373"/>
      <x:c r="P292" s="373"/>
      <x:c r="Q292" s="373"/>
      <x:c r="R292" s="373"/>
      <x:c r="S292" s="373"/>
      <x:c r="T292" s="373"/>
      <x:c r="U292" s="373"/>
      <x:c r="V292" s="373"/>
      <x:c r="W292" s="373"/>
      <x:c r="X292" s="373"/>
      <x:c r="Y292" s="373"/>
      <x:c r="Z292" s="373"/>
    </x:row>
    <x:row r="293">
      <x:c r="A293" s="373"/>
      <x:c r="B293" s="373"/>
      <x:c r="C293" s="373"/>
      <x:c r="D293" s="373"/>
      <x:c r="E293" s="373"/>
      <x:c r="F293" s="373"/>
      <x:c r="G293" s="373"/>
      <x:c r="H293" s="373"/>
      <x:c r="I293" s="373"/>
      <x:c r="J293" s="373"/>
      <x:c r="K293" s="373"/>
      <x:c r="L293" s="373"/>
      <x:c r="M293" s="373"/>
      <x:c r="N293" s="373"/>
      <x:c r="O293" s="373"/>
      <x:c r="P293" s="373"/>
      <x:c r="Q293" s="373"/>
      <x:c r="R293" s="373"/>
      <x:c r="S293" s="373"/>
      <x:c r="T293" s="373"/>
      <x:c r="U293" s="373"/>
      <x:c r="V293" s="373"/>
      <x:c r="W293" s="373"/>
      <x:c r="X293" s="373"/>
      <x:c r="Y293" s="373"/>
      <x:c r="Z293" s="373"/>
    </x:row>
    <x:row r="294">
      <x:c r="A294" s="373"/>
      <x:c r="B294" s="373"/>
      <x:c r="C294" s="373"/>
      <x:c r="D294" s="373"/>
      <x:c r="E294" s="373"/>
      <x:c r="F294" s="373"/>
      <x:c r="G294" s="373"/>
      <x:c r="H294" s="373"/>
      <x:c r="I294" s="373"/>
      <x:c r="J294" s="373"/>
      <x:c r="K294" s="373"/>
      <x:c r="L294" s="373"/>
      <x:c r="M294" s="373"/>
      <x:c r="N294" s="373"/>
      <x:c r="O294" s="373"/>
      <x:c r="P294" s="373"/>
      <x:c r="Q294" s="373"/>
      <x:c r="R294" s="373"/>
      <x:c r="S294" s="373"/>
      <x:c r="T294" s="373"/>
      <x:c r="U294" s="373"/>
      <x:c r="V294" s="373"/>
      <x:c r="W294" s="373"/>
      <x:c r="X294" s="373"/>
      <x:c r="Y294" s="373"/>
      <x:c r="Z294" s="373"/>
    </x:row>
    <x:row r="295">
      <x:c r="A295" s="373"/>
      <x:c r="B295" s="373"/>
      <x:c r="C295" s="373"/>
      <x:c r="D295" s="373"/>
      <x:c r="E295" s="373"/>
      <x:c r="F295" s="373"/>
      <x:c r="G295" s="373"/>
      <x:c r="H295" s="373"/>
      <x:c r="I295" s="373"/>
      <x:c r="J295" s="373"/>
      <x:c r="K295" s="373"/>
      <x:c r="L295" s="373"/>
      <x:c r="M295" s="373"/>
      <x:c r="N295" s="373"/>
      <x:c r="O295" s="373"/>
      <x:c r="P295" s="373"/>
      <x:c r="Q295" s="373"/>
      <x:c r="R295" s="373"/>
      <x:c r="S295" s="373"/>
      <x:c r="T295" s="373"/>
      <x:c r="U295" s="373"/>
      <x:c r="V295" s="373"/>
      <x:c r="W295" s="373"/>
      <x:c r="X295" s="373"/>
      <x:c r="Y295" s="373"/>
      <x:c r="Z295" s="373"/>
    </x:row>
    <x:row r="296">
      <x:c r="A296" s="373"/>
      <x:c r="B296" s="373"/>
      <x:c r="C296" s="373"/>
      <x:c r="D296" s="373"/>
      <x:c r="E296" s="373"/>
      <x:c r="F296" s="373"/>
      <x:c r="G296" s="373"/>
      <x:c r="H296" s="373"/>
      <x:c r="I296" s="373"/>
      <x:c r="J296" s="373"/>
      <x:c r="K296" s="373"/>
      <x:c r="L296" s="373"/>
      <x:c r="M296" s="373"/>
      <x:c r="N296" s="373"/>
      <x:c r="O296" s="373"/>
      <x:c r="P296" s="373"/>
      <x:c r="Q296" s="373"/>
      <x:c r="R296" s="373"/>
      <x:c r="S296" s="373"/>
      <x:c r="T296" s="373"/>
      <x:c r="U296" s="373"/>
      <x:c r="V296" s="373"/>
      <x:c r="W296" s="373"/>
      <x:c r="X296" s="373"/>
      <x:c r="Y296" s="373"/>
      <x:c r="Z296" s="373"/>
    </x:row>
    <x:row r="297">
      <x:c r="A297" s="373"/>
      <x:c r="B297" s="373"/>
      <x:c r="C297" s="373"/>
      <x:c r="D297" s="373"/>
      <x:c r="E297" s="373"/>
      <x:c r="F297" s="373"/>
      <x:c r="G297" s="373"/>
      <x:c r="H297" s="373"/>
      <x:c r="I297" s="373"/>
      <x:c r="J297" s="373"/>
      <x:c r="K297" s="373"/>
      <x:c r="L297" s="373"/>
      <x:c r="M297" s="373"/>
      <x:c r="N297" s="373"/>
      <x:c r="O297" s="373"/>
      <x:c r="P297" s="373"/>
      <x:c r="Q297" s="373"/>
      <x:c r="R297" s="373"/>
      <x:c r="S297" s="373"/>
      <x:c r="T297" s="373"/>
      <x:c r="U297" s="373"/>
      <x:c r="V297" s="373"/>
      <x:c r="W297" s="373"/>
      <x:c r="X297" s="373"/>
      <x:c r="Y297" s="373"/>
      <x:c r="Z297" s="373"/>
    </x:row>
    <x:row r="298">
      <x:c r="A298" s="373"/>
      <x:c r="B298" s="373"/>
      <x:c r="C298" s="373"/>
      <x:c r="D298" s="373"/>
      <x:c r="E298" s="373"/>
      <x:c r="F298" s="373"/>
      <x:c r="G298" s="373"/>
      <x:c r="H298" s="373"/>
      <x:c r="I298" s="373"/>
      <x:c r="J298" s="373"/>
      <x:c r="K298" s="373"/>
      <x:c r="L298" s="373"/>
      <x:c r="M298" s="373"/>
      <x:c r="N298" s="373"/>
      <x:c r="O298" s="373"/>
      <x:c r="P298" s="373"/>
      <x:c r="Q298" s="373"/>
      <x:c r="R298" s="373"/>
      <x:c r="S298" s="373"/>
      <x:c r="T298" s="373"/>
      <x:c r="U298" s="373"/>
      <x:c r="V298" s="373"/>
      <x:c r="W298" s="373"/>
      <x:c r="X298" s="373"/>
      <x:c r="Y298" s="373"/>
      <x:c r="Z298" s="373"/>
    </x:row>
    <x:row r="299">
      <x:c r="A299" s="373"/>
      <x:c r="B299" s="373"/>
      <x:c r="C299" s="373"/>
      <x:c r="D299" s="373"/>
      <x:c r="E299" s="373"/>
      <x:c r="F299" s="373"/>
      <x:c r="G299" s="373"/>
      <x:c r="H299" s="373"/>
      <x:c r="I299" s="373"/>
      <x:c r="J299" s="373"/>
      <x:c r="K299" s="373"/>
      <x:c r="L299" s="373"/>
      <x:c r="M299" s="373"/>
      <x:c r="N299" s="373"/>
      <x:c r="O299" s="373"/>
      <x:c r="P299" s="373"/>
      <x:c r="Q299" s="373"/>
      <x:c r="R299" s="373"/>
      <x:c r="S299" s="373"/>
      <x:c r="T299" s="373"/>
      <x:c r="U299" s="373"/>
      <x:c r="V299" s="373"/>
      <x:c r="W299" s="373"/>
      <x:c r="X299" s="373"/>
      <x:c r="Y299" s="373"/>
      <x:c r="Z299" s="373"/>
    </x:row>
    <x:row r="300">
      <x:c r="A300" s="373"/>
      <x:c r="B300" s="373"/>
      <x:c r="C300" s="373"/>
      <x:c r="D300" s="373"/>
      <x:c r="E300" s="373"/>
      <x:c r="F300" s="373"/>
      <x:c r="G300" s="373"/>
      <x:c r="H300" s="373"/>
      <x:c r="I300" s="373"/>
      <x:c r="J300" s="373"/>
      <x:c r="K300" s="373"/>
      <x:c r="L300" s="373"/>
      <x:c r="M300" s="373"/>
      <x:c r="N300" s="373"/>
      <x:c r="O300" s="373"/>
      <x:c r="P300" s="373"/>
      <x:c r="Q300" s="373"/>
      <x:c r="R300" s="373"/>
      <x:c r="S300" s="373"/>
      <x:c r="T300" s="373"/>
      <x:c r="U300" s="373"/>
      <x:c r="V300" s="373"/>
      <x:c r="W300" s="373"/>
      <x:c r="X300" s="373"/>
      <x:c r="Y300" s="373"/>
      <x:c r="Z300" s="373"/>
    </x:row>
    <x:row r="301">
      <x:c r="A301" s="373"/>
      <x:c r="B301" s="373"/>
      <x:c r="C301" s="373"/>
      <x:c r="D301" s="373"/>
      <x:c r="E301" s="373"/>
      <x:c r="F301" s="373"/>
      <x:c r="G301" s="373"/>
      <x:c r="H301" s="373"/>
      <x:c r="I301" s="373"/>
      <x:c r="J301" s="373"/>
      <x:c r="K301" s="373"/>
      <x:c r="L301" s="373"/>
      <x:c r="M301" s="373"/>
      <x:c r="N301" s="373"/>
      <x:c r="O301" s="373"/>
      <x:c r="P301" s="373"/>
      <x:c r="Q301" s="373"/>
      <x:c r="R301" s="373"/>
      <x:c r="S301" s="373"/>
      <x:c r="T301" s="373"/>
      <x:c r="U301" s="373"/>
      <x:c r="V301" s="373"/>
      <x:c r="W301" s="373"/>
      <x:c r="X301" s="373"/>
      <x:c r="Y301" s="373"/>
      <x:c r="Z301" s="373"/>
    </x:row>
    <x:row r="302">
      <x:c r="A302" s="373"/>
      <x:c r="B302" s="373"/>
      <x:c r="C302" s="373"/>
      <x:c r="D302" s="373"/>
      <x:c r="E302" s="373"/>
      <x:c r="F302" s="373"/>
      <x:c r="G302" s="373"/>
      <x:c r="H302" s="373"/>
      <x:c r="I302" s="373"/>
      <x:c r="J302" s="373"/>
      <x:c r="K302" s="373"/>
      <x:c r="L302" s="373"/>
      <x:c r="M302" s="373"/>
      <x:c r="N302" s="373"/>
      <x:c r="O302" s="373"/>
      <x:c r="P302" s="373"/>
      <x:c r="Q302" s="373"/>
      <x:c r="R302" s="373"/>
      <x:c r="S302" s="373"/>
      <x:c r="T302" s="373"/>
      <x:c r="U302" s="373"/>
      <x:c r="V302" s="373"/>
      <x:c r="W302" s="373"/>
      <x:c r="X302" s="373"/>
      <x:c r="Y302" s="373"/>
      <x:c r="Z302" s="373"/>
    </x:row>
    <x:row r="303">
      <x:c r="A303" s="373"/>
      <x:c r="B303" s="373"/>
      <x:c r="C303" s="373"/>
      <x:c r="D303" s="373"/>
      <x:c r="E303" s="373"/>
      <x:c r="F303" s="373"/>
      <x:c r="G303" s="373"/>
      <x:c r="H303" s="373"/>
      <x:c r="I303" s="373"/>
      <x:c r="J303" s="373"/>
      <x:c r="K303" s="373"/>
      <x:c r="L303" s="373"/>
      <x:c r="M303" s="373"/>
      <x:c r="N303" s="373"/>
      <x:c r="O303" s="373"/>
      <x:c r="P303" s="373"/>
      <x:c r="Q303" s="373"/>
      <x:c r="R303" s="373"/>
      <x:c r="S303" s="373"/>
      <x:c r="T303" s="373"/>
      <x:c r="U303" s="373"/>
      <x:c r="V303" s="373"/>
      <x:c r="W303" s="373"/>
      <x:c r="X303" s="373"/>
      <x:c r="Y303" s="373"/>
      <x:c r="Z303" s="373"/>
    </x:row>
    <x:row r="304">
      <x:c r="A304" s="373"/>
      <x:c r="B304" s="373"/>
      <x:c r="C304" s="373"/>
      <x:c r="D304" s="373"/>
      <x:c r="E304" s="373"/>
      <x:c r="F304" s="373"/>
      <x:c r="G304" s="373"/>
      <x:c r="H304" s="373"/>
      <x:c r="I304" s="373"/>
      <x:c r="J304" s="373"/>
      <x:c r="K304" s="373"/>
      <x:c r="L304" s="373"/>
      <x:c r="M304" s="373"/>
      <x:c r="N304" s="373"/>
      <x:c r="O304" s="373"/>
      <x:c r="P304" s="373"/>
      <x:c r="Q304" s="373"/>
      <x:c r="R304" s="373"/>
      <x:c r="S304" s="373"/>
      <x:c r="T304" s="373"/>
      <x:c r="U304" s="373"/>
      <x:c r="V304" s="373"/>
      <x:c r="W304" s="373"/>
      <x:c r="X304" s="373"/>
      <x:c r="Y304" s="373"/>
      <x:c r="Z304" s="373"/>
    </x:row>
    <x:row r="305">
      <x:c r="A305" s="373"/>
      <x:c r="B305" s="373"/>
      <x:c r="C305" s="373"/>
      <x:c r="D305" s="373"/>
      <x:c r="E305" s="373"/>
      <x:c r="F305" s="373"/>
      <x:c r="G305" s="373"/>
      <x:c r="H305" s="373"/>
      <x:c r="I305" s="373"/>
      <x:c r="J305" s="373"/>
      <x:c r="K305" s="373"/>
      <x:c r="L305" s="373"/>
      <x:c r="M305" s="373"/>
      <x:c r="N305" s="373"/>
      <x:c r="O305" s="373"/>
      <x:c r="P305" s="373"/>
      <x:c r="Q305" s="373"/>
      <x:c r="R305" s="373"/>
      <x:c r="S305" s="373"/>
      <x:c r="T305" s="373"/>
      <x:c r="U305" s="373"/>
      <x:c r="V305" s="373"/>
      <x:c r="W305" s="373"/>
      <x:c r="X305" s="373"/>
      <x:c r="Y305" s="373"/>
      <x:c r="Z305" s="373"/>
    </x:row>
    <x:row r="306">
      <x:c r="A306" s="373"/>
      <x:c r="B306" s="373"/>
      <x:c r="C306" s="373"/>
      <x:c r="D306" s="373"/>
      <x:c r="E306" s="373"/>
      <x:c r="F306" s="373"/>
      <x:c r="G306" s="373"/>
      <x:c r="H306" s="373"/>
      <x:c r="I306" s="373"/>
      <x:c r="J306" s="373"/>
      <x:c r="K306" s="373"/>
      <x:c r="L306" s="373"/>
      <x:c r="M306" s="373"/>
      <x:c r="N306" s="373"/>
      <x:c r="O306" s="373"/>
      <x:c r="P306" s="373"/>
      <x:c r="Q306" s="373"/>
      <x:c r="R306" s="373"/>
      <x:c r="S306" s="373"/>
      <x:c r="T306" s="373"/>
      <x:c r="U306" s="373"/>
      <x:c r="V306" s="373"/>
      <x:c r="W306" s="373"/>
      <x:c r="X306" s="373"/>
      <x:c r="Y306" s="373"/>
      <x:c r="Z306" s="373"/>
    </x:row>
    <x:row r="307">
      <x:c r="A307" s="373"/>
      <x:c r="B307" s="373"/>
      <x:c r="C307" s="373"/>
      <x:c r="D307" s="373"/>
      <x:c r="E307" s="373"/>
      <x:c r="F307" s="373"/>
      <x:c r="G307" s="373"/>
      <x:c r="H307" s="373"/>
      <x:c r="I307" s="373"/>
      <x:c r="J307" s="373"/>
      <x:c r="K307" s="373"/>
      <x:c r="L307" s="373"/>
      <x:c r="M307" s="373"/>
      <x:c r="N307" s="373"/>
      <x:c r="O307" s="373"/>
      <x:c r="P307" s="373"/>
      <x:c r="Q307" s="373"/>
      <x:c r="R307" s="373"/>
      <x:c r="S307" s="373"/>
      <x:c r="T307" s="373"/>
      <x:c r="U307" s="373"/>
      <x:c r="V307" s="373"/>
      <x:c r="W307" s="373"/>
      <x:c r="X307" s="373"/>
      <x:c r="Y307" s="373"/>
      <x:c r="Z307" s="373"/>
    </x:row>
    <x:row r="308">
      <x:c r="A308" s="373"/>
      <x:c r="B308" s="373"/>
      <x:c r="C308" s="373"/>
      <x:c r="D308" s="373"/>
      <x:c r="E308" s="373"/>
      <x:c r="F308" s="373"/>
      <x:c r="G308" s="373"/>
      <x:c r="H308" s="373"/>
      <x:c r="I308" s="373"/>
      <x:c r="J308" s="373"/>
      <x:c r="K308" s="373"/>
      <x:c r="L308" s="373"/>
      <x:c r="M308" s="373"/>
      <x:c r="N308" s="373"/>
      <x:c r="O308" s="373"/>
      <x:c r="P308" s="373"/>
      <x:c r="Q308" s="373"/>
      <x:c r="R308" s="373"/>
      <x:c r="S308" s="373"/>
      <x:c r="T308" s="373"/>
      <x:c r="U308" s="373"/>
      <x:c r="V308" s="373"/>
      <x:c r="W308" s="373"/>
      <x:c r="X308" s="373"/>
      <x:c r="Y308" s="373"/>
      <x:c r="Z308" s="373"/>
    </x:row>
    <x:row r="309">
      <x:c r="A309" s="373"/>
      <x:c r="B309" s="373"/>
      <x:c r="C309" s="373"/>
      <x:c r="D309" s="373"/>
      <x:c r="E309" s="373"/>
      <x:c r="F309" s="373"/>
      <x:c r="G309" s="373"/>
      <x:c r="H309" s="373"/>
      <x:c r="I309" s="373"/>
      <x:c r="J309" s="373"/>
      <x:c r="K309" s="373"/>
      <x:c r="L309" s="373"/>
      <x:c r="M309" s="373"/>
      <x:c r="N309" s="373"/>
      <x:c r="O309" s="373"/>
      <x:c r="P309" s="373"/>
      <x:c r="Q309" s="373"/>
      <x:c r="R309" s="373"/>
      <x:c r="S309" s="373"/>
      <x:c r="T309" s="373"/>
      <x:c r="U309" s="373"/>
      <x:c r="V309" s="373"/>
      <x:c r="W309" s="373"/>
      <x:c r="X309" s="373"/>
      <x:c r="Y309" s="373"/>
      <x:c r="Z309" s="373"/>
    </x:row>
    <x:row r="310">
      <x:c r="A310" s="373"/>
      <x:c r="B310" s="373"/>
      <x:c r="C310" s="373"/>
      <x:c r="D310" s="373"/>
      <x:c r="E310" s="373"/>
      <x:c r="F310" s="373"/>
      <x:c r="G310" s="373"/>
      <x:c r="H310" s="373"/>
      <x:c r="I310" s="373"/>
      <x:c r="J310" s="373"/>
      <x:c r="K310" s="373"/>
      <x:c r="L310" s="373"/>
      <x:c r="M310" s="373"/>
      <x:c r="N310" s="373"/>
      <x:c r="O310" s="373"/>
      <x:c r="P310" s="373"/>
      <x:c r="Q310" s="373"/>
      <x:c r="R310" s="373"/>
      <x:c r="S310" s="373"/>
      <x:c r="T310" s="373"/>
      <x:c r="U310" s="373"/>
      <x:c r="V310" s="373"/>
      <x:c r="W310" s="373"/>
      <x:c r="X310" s="373"/>
      <x:c r="Y310" s="373"/>
      <x:c r="Z310" s="373"/>
    </x:row>
    <x:row r="311">
      <x:c r="A311" s="373"/>
      <x:c r="B311" s="373"/>
      <x:c r="C311" s="373"/>
      <x:c r="D311" s="373"/>
      <x:c r="E311" s="373"/>
      <x:c r="F311" s="373"/>
      <x:c r="G311" s="373"/>
      <x:c r="H311" s="373"/>
      <x:c r="I311" s="373"/>
      <x:c r="J311" s="373"/>
      <x:c r="K311" s="373"/>
      <x:c r="L311" s="373"/>
      <x:c r="M311" s="373"/>
      <x:c r="N311" s="373"/>
      <x:c r="O311" s="373"/>
      <x:c r="P311" s="373"/>
      <x:c r="Q311" s="373"/>
      <x:c r="R311" s="373"/>
      <x:c r="S311" s="373"/>
      <x:c r="T311" s="373"/>
      <x:c r="U311" s="373"/>
      <x:c r="V311" s="373"/>
      <x:c r="W311" s="373"/>
      <x:c r="X311" s="373"/>
      <x:c r="Y311" s="373"/>
      <x:c r="Z311" s="373"/>
    </x:row>
    <x:row r="312">
      <x:c r="A312" s="373"/>
      <x:c r="B312" s="373"/>
      <x:c r="C312" s="373"/>
      <x:c r="D312" s="373"/>
      <x:c r="E312" s="373"/>
      <x:c r="F312" s="373"/>
      <x:c r="G312" s="373"/>
      <x:c r="H312" s="373"/>
      <x:c r="I312" s="373"/>
      <x:c r="J312" s="373"/>
      <x:c r="K312" s="373"/>
      <x:c r="L312" s="373"/>
      <x:c r="M312" s="373"/>
      <x:c r="N312" s="373"/>
      <x:c r="O312" s="373"/>
      <x:c r="P312" s="373"/>
      <x:c r="Q312" s="373"/>
      <x:c r="R312" s="373"/>
      <x:c r="S312" s="373"/>
      <x:c r="T312" s="373"/>
      <x:c r="U312" s="373"/>
      <x:c r="V312" s="373"/>
      <x:c r="W312" s="373"/>
      <x:c r="X312" s="373"/>
      <x:c r="Y312" s="373"/>
      <x:c r="Z312" s="373"/>
    </x:row>
    <x:row r="313">
      <x:c r="A313" s="373"/>
      <x:c r="B313" s="373"/>
      <x:c r="C313" s="373"/>
      <x:c r="D313" s="373"/>
      <x:c r="E313" s="373"/>
      <x:c r="F313" s="373"/>
      <x:c r="G313" s="373"/>
      <x:c r="H313" s="373"/>
      <x:c r="I313" s="373"/>
      <x:c r="J313" s="373"/>
      <x:c r="K313" s="373"/>
      <x:c r="L313" s="373"/>
      <x:c r="M313" s="373"/>
      <x:c r="N313" s="373"/>
      <x:c r="O313" s="373"/>
      <x:c r="P313" s="373"/>
      <x:c r="Q313" s="373"/>
      <x:c r="R313" s="373"/>
      <x:c r="S313" s="373"/>
      <x:c r="T313" s="373"/>
      <x:c r="U313" s="373"/>
      <x:c r="V313" s="373"/>
      <x:c r="W313" s="373"/>
      <x:c r="X313" s="373"/>
      <x:c r="Y313" s="373"/>
      <x:c r="Z313" s="373"/>
    </x:row>
    <x:row r="314">
      <x:c r="A314" s="373"/>
      <x:c r="B314" s="373"/>
      <x:c r="C314" s="373"/>
      <x:c r="D314" s="373"/>
      <x:c r="E314" s="373"/>
      <x:c r="F314" s="373"/>
      <x:c r="G314" s="373"/>
      <x:c r="H314" s="373"/>
      <x:c r="I314" s="373"/>
      <x:c r="J314" s="373"/>
      <x:c r="K314" s="373"/>
      <x:c r="L314" s="373"/>
      <x:c r="M314" s="373"/>
      <x:c r="N314" s="373"/>
      <x:c r="O314" s="373"/>
      <x:c r="P314" s="373"/>
      <x:c r="Q314" s="373"/>
      <x:c r="R314" s="373"/>
      <x:c r="S314" s="373"/>
      <x:c r="T314" s="373"/>
      <x:c r="U314" s="373"/>
      <x:c r="V314" s="373"/>
      <x:c r="W314" s="373"/>
      <x:c r="X314" s="373"/>
      <x:c r="Y314" s="373"/>
      <x:c r="Z314" s="373"/>
    </x:row>
    <x:row r="315">
      <x:c r="A315" s="373"/>
      <x:c r="B315" s="373"/>
      <x:c r="C315" s="373"/>
      <x:c r="D315" s="373"/>
      <x:c r="E315" s="373"/>
      <x:c r="F315" s="373"/>
      <x:c r="G315" s="373"/>
      <x:c r="H315" s="373"/>
      <x:c r="I315" s="373"/>
      <x:c r="J315" s="373"/>
      <x:c r="K315" s="373"/>
      <x:c r="L315" s="373"/>
      <x:c r="M315" s="373"/>
      <x:c r="N315" s="373"/>
      <x:c r="O315" s="373"/>
      <x:c r="P315" s="373"/>
      <x:c r="Q315" s="373"/>
      <x:c r="R315" s="373"/>
      <x:c r="S315" s="373"/>
      <x:c r="T315" s="373"/>
      <x:c r="U315" s="373"/>
      <x:c r="V315" s="373"/>
      <x:c r="W315" s="373"/>
      <x:c r="X315" s="373"/>
      <x:c r="Y315" s="373"/>
      <x:c r="Z315" s="373"/>
    </x:row>
    <x:row r="316">
      <x:c r="A316" s="373"/>
      <x:c r="B316" s="373"/>
      <x:c r="C316" s="373"/>
      <x:c r="D316" s="373"/>
      <x:c r="E316" s="373"/>
      <x:c r="F316" s="373"/>
      <x:c r="G316" s="373"/>
      <x:c r="H316" s="373"/>
      <x:c r="I316" s="373"/>
      <x:c r="J316" s="373"/>
      <x:c r="K316" s="373"/>
      <x:c r="L316" s="373"/>
      <x:c r="M316" s="373"/>
      <x:c r="N316" s="373"/>
      <x:c r="O316" s="373"/>
      <x:c r="P316" s="373"/>
      <x:c r="Q316" s="373"/>
      <x:c r="R316" s="373"/>
      <x:c r="S316" s="373"/>
      <x:c r="T316" s="373"/>
      <x:c r="U316" s="373"/>
      <x:c r="V316" s="373"/>
      <x:c r="W316" s="373"/>
      <x:c r="X316" s="373"/>
      <x:c r="Y316" s="373"/>
      <x:c r="Z316" s="373"/>
    </x:row>
    <x:row r="317">
      <x:c r="A317" s="373"/>
      <x:c r="B317" s="373"/>
      <x:c r="C317" s="373"/>
      <x:c r="D317" s="373"/>
      <x:c r="E317" s="373"/>
      <x:c r="F317" s="373"/>
      <x:c r="G317" s="373"/>
      <x:c r="H317" s="373"/>
      <x:c r="I317" s="373"/>
      <x:c r="J317" s="373"/>
      <x:c r="K317" s="373"/>
      <x:c r="L317" s="373"/>
      <x:c r="M317" s="373"/>
      <x:c r="N317" s="373"/>
      <x:c r="O317" s="373"/>
      <x:c r="P317" s="373"/>
      <x:c r="Q317" s="373"/>
      <x:c r="R317" s="373"/>
      <x:c r="S317" s="373"/>
      <x:c r="T317" s="373"/>
      <x:c r="U317" s="373"/>
      <x:c r="V317" s="373"/>
      <x:c r="W317" s="373"/>
      <x:c r="X317" s="373"/>
      <x:c r="Y317" s="373"/>
      <x:c r="Z317" s="373"/>
    </x:row>
    <x:row r="318">
      <x:c r="A318" s="373"/>
      <x:c r="B318" s="373"/>
      <x:c r="C318" s="373"/>
      <x:c r="D318" s="373"/>
      <x:c r="E318" s="373"/>
      <x:c r="F318" s="373"/>
      <x:c r="G318" s="373"/>
      <x:c r="H318" s="373"/>
      <x:c r="I318" s="373"/>
      <x:c r="J318" s="373"/>
      <x:c r="K318" s="373"/>
      <x:c r="L318" s="373"/>
      <x:c r="M318" s="373"/>
      <x:c r="N318" s="373"/>
      <x:c r="O318" s="373"/>
      <x:c r="P318" s="373"/>
      <x:c r="Q318" s="373"/>
      <x:c r="R318" s="373"/>
      <x:c r="S318" s="373"/>
      <x:c r="T318" s="373"/>
      <x:c r="U318" s="373"/>
      <x:c r="V318" s="373"/>
      <x:c r="W318" s="373"/>
      <x:c r="X318" s="373"/>
      <x:c r="Y318" s="373"/>
      <x:c r="Z318" s="373"/>
    </x:row>
    <x:row r="319">
      <x:c r="A319" s="373"/>
      <x:c r="B319" s="373"/>
      <x:c r="C319" s="373"/>
      <x:c r="D319" s="373"/>
      <x:c r="E319" s="373"/>
      <x:c r="F319" s="373"/>
      <x:c r="G319" s="373"/>
      <x:c r="H319" s="373"/>
      <x:c r="I319" s="373"/>
      <x:c r="J319" s="373"/>
      <x:c r="K319" s="373"/>
      <x:c r="L319" s="373"/>
      <x:c r="M319" s="373"/>
      <x:c r="N319" s="373"/>
      <x:c r="O319" s="373"/>
      <x:c r="P319" s="373"/>
      <x:c r="Q319" s="373"/>
      <x:c r="R319" s="373"/>
      <x:c r="S319" s="373"/>
      <x:c r="T319" s="373"/>
      <x:c r="U319" s="373"/>
      <x:c r="V319" s="373"/>
      <x:c r="W319" s="373"/>
      <x:c r="X319" s="373"/>
      <x:c r="Y319" s="373"/>
      <x:c r="Z319" s="373"/>
    </x:row>
    <x:row r="320">
      <x:c r="A320" s="373"/>
      <x:c r="B320" s="373"/>
      <x:c r="C320" s="373"/>
      <x:c r="D320" s="373"/>
      <x:c r="E320" s="373"/>
      <x:c r="F320" s="373"/>
      <x:c r="G320" s="373"/>
      <x:c r="H320" s="373"/>
      <x:c r="I320" s="373"/>
      <x:c r="J320" s="373"/>
      <x:c r="K320" s="373"/>
      <x:c r="L320" s="373"/>
      <x:c r="M320" s="373"/>
      <x:c r="N320" s="373"/>
      <x:c r="O320" s="373"/>
      <x:c r="P320" s="373"/>
      <x:c r="Q320" s="373"/>
      <x:c r="R320" s="373"/>
      <x:c r="S320" s="373"/>
      <x:c r="T320" s="373"/>
      <x:c r="U320" s="373"/>
      <x:c r="V320" s="373"/>
      <x:c r="W320" s="373"/>
      <x:c r="X320" s="373"/>
      <x:c r="Y320" s="373"/>
      <x:c r="Z320" s="373"/>
    </x:row>
    <x:row r="321">
      <x:c r="A321" s="373"/>
      <x:c r="B321" s="373"/>
      <x:c r="C321" s="373"/>
      <x:c r="D321" s="373"/>
      <x:c r="E321" s="373"/>
      <x:c r="F321" s="373"/>
      <x:c r="G321" s="373"/>
      <x:c r="H321" s="373"/>
      <x:c r="I321" s="373"/>
      <x:c r="J321" s="373"/>
      <x:c r="K321" s="373"/>
      <x:c r="L321" s="373"/>
      <x:c r="M321" s="373"/>
      <x:c r="N321" s="373"/>
      <x:c r="O321" s="373"/>
      <x:c r="P321" s="373"/>
      <x:c r="Q321" s="373"/>
      <x:c r="R321" s="373"/>
      <x:c r="S321" s="373"/>
      <x:c r="T321" s="373"/>
      <x:c r="U321" s="373"/>
      <x:c r="V321" s="373"/>
      <x:c r="W321" s="373"/>
      <x:c r="X321" s="373"/>
      <x:c r="Y321" s="373"/>
      <x:c r="Z321" s="373"/>
    </x:row>
    <x:row r="322">
      <x:c r="A322" s="373"/>
      <x:c r="B322" s="373"/>
      <x:c r="C322" s="373"/>
      <x:c r="D322" s="373"/>
      <x:c r="E322" s="373"/>
      <x:c r="F322" s="373"/>
      <x:c r="G322" s="373"/>
      <x:c r="H322" s="373"/>
      <x:c r="I322" s="373"/>
      <x:c r="J322" s="373"/>
      <x:c r="K322" s="373"/>
      <x:c r="L322" s="373"/>
      <x:c r="M322" s="373"/>
      <x:c r="N322" s="373"/>
      <x:c r="O322" s="373"/>
      <x:c r="P322" s="373"/>
      <x:c r="Q322" s="373"/>
      <x:c r="R322" s="373"/>
      <x:c r="S322" s="373"/>
      <x:c r="T322" s="373"/>
      <x:c r="U322" s="373"/>
      <x:c r="V322" s="373"/>
      <x:c r="W322" s="373"/>
      <x:c r="X322" s="373"/>
      <x:c r="Y322" s="373"/>
      <x:c r="Z322" s="373"/>
    </x:row>
    <x:row r="323">
      <x:c r="A323" s="373"/>
      <x:c r="B323" s="373"/>
      <x:c r="C323" s="373"/>
      <x:c r="D323" s="373"/>
      <x:c r="E323" s="373"/>
      <x:c r="F323" s="373"/>
      <x:c r="G323" s="373"/>
      <x:c r="H323" s="373"/>
      <x:c r="I323" s="373"/>
      <x:c r="J323" s="373"/>
      <x:c r="K323" s="373"/>
      <x:c r="L323" s="373"/>
      <x:c r="M323" s="373"/>
      <x:c r="N323" s="373"/>
      <x:c r="O323" s="373"/>
      <x:c r="P323" s="373"/>
      <x:c r="Q323" s="373"/>
      <x:c r="R323" s="373"/>
      <x:c r="S323" s="373"/>
      <x:c r="T323" s="373"/>
      <x:c r="U323" s="373"/>
      <x:c r="V323" s="373"/>
      <x:c r="W323" s="373"/>
      <x:c r="X323" s="373"/>
      <x:c r="Y323" s="373"/>
      <x:c r="Z323" s="373"/>
    </x:row>
    <x:row r="324">
      <x:c r="A324" s="373"/>
      <x:c r="B324" s="373"/>
      <x:c r="C324" s="373"/>
      <x:c r="D324" s="373"/>
      <x:c r="E324" s="373"/>
      <x:c r="F324" s="373"/>
      <x:c r="G324" s="373"/>
      <x:c r="H324" s="373"/>
      <x:c r="I324" s="373"/>
      <x:c r="J324" s="373"/>
      <x:c r="K324" s="373"/>
      <x:c r="L324" s="373"/>
      <x:c r="M324" s="373"/>
      <x:c r="N324" s="373"/>
      <x:c r="O324" s="373"/>
      <x:c r="P324" s="373"/>
      <x:c r="Q324" s="373"/>
      <x:c r="R324" s="373"/>
      <x:c r="S324" s="373"/>
      <x:c r="T324" s="373"/>
      <x:c r="U324" s="373"/>
      <x:c r="V324" s="373"/>
      <x:c r="W324" s="373"/>
      <x:c r="X324" s="373"/>
      <x:c r="Y324" s="373"/>
      <x:c r="Z324" s="373"/>
    </x:row>
    <x:row r="325">
      <x:c r="A325" s="373"/>
      <x:c r="B325" s="373"/>
      <x:c r="C325" s="373"/>
      <x:c r="D325" s="373"/>
      <x:c r="E325" s="373"/>
      <x:c r="F325" s="373"/>
      <x:c r="G325" s="373"/>
      <x:c r="H325" s="373"/>
      <x:c r="I325" s="373"/>
      <x:c r="J325" s="373"/>
      <x:c r="K325" s="373"/>
      <x:c r="L325" s="373"/>
      <x:c r="M325" s="373"/>
      <x:c r="N325" s="373"/>
      <x:c r="O325" s="373"/>
      <x:c r="P325" s="373"/>
      <x:c r="Q325" s="373"/>
      <x:c r="R325" s="373"/>
      <x:c r="S325" s="373"/>
      <x:c r="T325" s="373"/>
      <x:c r="U325" s="373"/>
      <x:c r="V325" s="373"/>
      <x:c r="W325" s="373"/>
      <x:c r="X325" s="373"/>
      <x:c r="Y325" s="373"/>
      <x:c r="Z325" s="373"/>
    </x:row>
    <x:row r="326">
      <x:c r="A326" s="373"/>
      <x:c r="B326" s="373"/>
      <x:c r="C326" s="373"/>
      <x:c r="D326" s="373"/>
      <x:c r="E326" s="373"/>
      <x:c r="F326" s="373"/>
      <x:c r="G326" s="373"/>
      <x:c r="H326" s="373"/>
      <x:c r="I326" s="373"/>
      <x:c r="J326" s="373"/>
      <x:c r="K326" s="373"/>
      <x:c r="L326" s="373"/>
      <x:c r="M326" s="373"/>
      <x:c r="N326" s="373"/>
      <x:c r="O326" s="373"/>
      <x:c r="P326" s="373"/>
      <x:c r="Q326" s="373"/>
      <x:c r="R326" s="373"/>
      <x:c r="S326" s="373"/>
      <x:c r="T326" s="373"/>
      <x:c r="U326" s="373"/>
      <x:c r="V326" s="373"/>
      <x:c r="W326" s="373"/>
      <x:c r="X326" s="373"/>
      <x:c r="Y326" s="373"/>
      <x:c r="Z326" s="373"/>
    </x:row>
    <x:row r="327">
      <x:c r="A327" s="373"/>
      <x:c r="B327" s="373"/>
      <x:c r="C327" s="373"/>
      <x:c r="D327" s="373"/>
      <x:c r="E327" s="373"/>
      <x:c r="F327" s="373"/>
      <x:c r="G327" s="373"/>
      <x:c r="H327" s="373"/>
      <x:c r="I327" s="373"/>
      <x:c r="J327" s="373"/>
      <x:c r="K327" s="373"/>
      <x:c r="L327" s="373"/>
      <x:c r="M327" s="373"/>
      <x:c r="N327" s="373"/>
      <x:c r="O327" s="373"/>
      <x:c r="P327" s="373"/>
      <x:c r="Q327" s="373"/>
      <x:c r="R327" s="373"/>
      <x:c r="S327" s="373"/>
      <x:c r="T327" s="373"/>
      <x:c r="U327" s="373"/>
      <x:c r="V327" s="373"/>
      <x:c r="W327" s="373"/>
      <x:c r="X327" s="373"/>
      <x:c r="Y327" s="373"/>
      <x:c r="Z327" s="373"/>
    </x:row>
    <x:row r="328">
      <x:c r="A328" s="373"/>
      <x:c r="B328" s="373"/>
      <x:c r="C328" s="373"/>
      <x:c r="D328" s="373"/>
      <x:c r="E328" s="373"/>
      <x:c r="F328" s="373"/>
      <x:c r="G328" s="373"/>
      <x:c r="H328" s="373"/>
      <x:c r="I328" s="373"/>
      <x:c r="J328" s="373"/>
      <x:c r="K328" s="373"/>
      <x:c r="L328" s="373"/>
      <x:c r="M328" s="373"/>
      <x:c r="N328" s="373"/>
      <x:c r="O328" s="373"/>
      <x:c r="P328" s="373"/>
      <x:c r="Q328" s="373"/>
      <x:c r="R328" s="373"/>
      <x:c r="S328" s="373"/>
      <x:c r="T328" s="373"/>
      <x:c r="U328" s="373"/>
      <x:c r="V328" s="373"/>
      <x:c r="W328" s="373"/>
      <x:c r="X328" s="373"/>
      <x:c r="Y328" s="373"/>
      <x:c r="Z328" s="373"/>
    </x:row>
    <x:row r="329">
      <x:c r="A329" s="373"/>
      <x:c r="B329" s="373"/>
      <x:c r="C329" s="373"/>
      <x:c r="D329" s="373"/>
      <x:c r="E329" s="373"/>
      <x:c r="F329" s="373"/>
      <x:c r="G329" s="373"/>
      <x:c r="H329" s="373"/>
      <x:c r="I329" s="373"/>
      <x:c r="J329" s="373"/>
      <x:c r="K329" s="373"/>
      <x:c r="L329" s="373"/>
      <x:c r="M329" s="373"/>
      <x:c r="N329" s="373"/>
      <x:c r="O329" s="373"/>
      <x:c r="P329" s="373"/>
      <x:c r="Q329" s="373"/>
      <x:c r="R329" s="373"/>
      <x:c r="S329" s="373"/>
      <x:c r="T329" s="373"/>
      <x:c r="U329" s="373"/>
      <x:c r="V329" s="373"/>
      <x:c r="W329" s="373"/>
      <x:c r="X329" s="373"/>
      <x:c r="Y329" s="373"/>
      <x:c r="Z329" s="373"/>
    </x:row>
    <x:row r="330">
      <x:c r="A330" s="373"/>
      <x:c r="B330" s="373"/>
      <x:c r="C330" s="373"/>
      <x:c r="D330" s="373"/>
      <x:c r="E330" s="373"/>
      <x:c r="F330" s="373"/>
      <x:c r="G330" s="373"/>
      <x:c r="H330" s="373"/>
      <x:c r="I330" s="373"/>
      <x:c r="J330" s="373"/>
      <x:c r="K330" s="373"/>
      <x:c r="L330" s="373"/>
      <x:c r="M330" s="373"/>
      <x:c r="N330" s="373"/>
      <x:c r="O330" s="373"/>
      <x:c r="P330" s="373"/>
      <x:c r="Q330" s="373"/>
      <x:c r="R330" s="373"/>
      <x:c r="S330" s="373"/>
      <x:c r="T330" s="373"/>
      <x:c r="U330" s="373"/>
      <x:c r="V330" s="373"/>
      <x:c r="W330" s="373"/>
      <x:c r="X330" s="373"/>
      <x:c r="Y330" s="373"/>
      <x:c r="Z330" s="373"/>
    </x:row>
    <x:row r="331">
      <x:c r="A331" s="373"/>
      <x:c r="B331" s="373"/>
      <x:c r="C331" s="373"/>
      <x:c r="D331" s="373"/>
      <x:c r="E331" s="373"/>
      <x:c r="F331" s="373"/>
      <x:c r="G331" s="373"/>
      <x:c r="H331" s="373"/>
      <x:c r="I331" s="373"/>
      <x:c r="J331" s="373"/>
      <x:c r="K331" s="373"/>
      <x:c r="L331" s="373"/>
      <x:c r="M331" s="373"/>
      <x:c r="N331" s="373"/>
      <x:c r="O331" s="373"/>
      <x:c r="P331" s="373"/>
      <x:c r="Q331" s="373"/>
      <x:c r="R331" s="373"/>
      <x:c r="S331" s="373"/>
      <x:c r="T331" s="373"/>
      <x:c r="U331" s="373"/>
      <x:c r="V331" s="373"/>
      <x:c r="W331" s="373"/>
      <x:c r="X331" s="373"/>
      <x:c r="Y331" s="373"/>
      <x:c r="Z331" s="373"/>
    </x:row>
    <x:row r="332">
      <x:c r="A332" s="373"/>
      <x:c r="B332" s="373"/>
      <x:c r="C332" s="373"/>
      <x:c r="D332" s="373"/>
      <x:c r="E332" s="373"/>
      <x:c r="F332" s="373"/>
      <x:c r="G332" s="373"/>
      <x:c r="H332" s="373"/>
      <x:c r="I332" s="373"/>
      <x:c r="J332" s="373"/>
      <x:c r="K332" s="373"/>
      <x:c r="L332" s="373"/>
      <x:c r="M332" s="373"/>
      <x:c r="N332" s="373"/>
      <x:c r="O332" s="373"/>
      <x:c r="P332" s="373"/>
      <x:c r="Q332" s="373"/>
      <x:c r="R332" s="373"/>
      <x:c r="S332" s="373"/>
      <x:c r="T332" s="373"/>
      <x:c r="U332" s="373"/>
      <x:c r="V332" s="373"/>
      <x:c r="W332" s="373"/>
      <x:c r="X332" s="373"/>
      <x:c r="Y332" s="373"/>
      <x:c r="Z332" s="373"/>
    </x:row>
    <x:row r="333">
      <x:c r="A333" s="373"/>
      <x:c r="B333" s="373"/>
      <x:c r="C333" s="373"/>
      <x:c r="D333" s="373"/>
      <x:c r="E333" s="373"/>
      <x:c r="F333" s="373"/>
      <x:c r="G333" s="373"/>
      <x:c r="H333" s="373"/>
      <x:c r="I333" s="373"/>
      <x:c r="J333" s="373"/>
      <x:c r="K333" s="373"/>
      <x:c r="L333" s="373"/>
      <x:c r="M333" s="373"/>
      <x:c r="N333" s="373"/>
      <x:c r="O333" s="373"/>
      <x:c r="P333" s="373"/>
      <x:c r="Q333" s="373"/>
      <x:c r="R333" s="373"/>
      <x:c r="S333" s="373"/>
      <x:c r="T333" s="373"/>
      <x:c r="U333" s="373"/>
      <x:c r="V333" s="373"/>
      <x:c r="W333" s="373"/>
      <x:c r="X333" s="373"/>
      <x:c r="Y333" s="373"/>
      <x:c r="Z333" s="373"/>
    </x:row>
    <x:row r="334">
      <x:c r="A334" s="373"/>
      <x:c r="B334" s="373"/>
      <x:c r="C334" s="373"/>
      <x:c r="D334" s="373"/>
      <x:c r="E334" s="373"/>
      <x:c r="F334" s="373"/>
      <x:c r="G334" s="373"/>
      <x:c r="H334" s="373"/>
      <x:c r="I334" s="373"/>
      <x:c r="J334" s="373"/>
      <x:c r="K334" s="373"/>
      <x:c r="L334" s="373"/>
      <x:c r="M334" s="373"/>
      <x:c r="N334" s="373"/>
      <x:c r="O334" s="373"/>
      <x:c r="P334" s="373"/>
      <x:c r="Q334" s="373"/>
      <x:c r="R334" s="373"/>
      <x:c r="S334" s="373"/>
      <x:c r="T334" s="373"/>
      <x:c r="U334" s="373"/>
      <x:c r="V334" s="373"/>
      <x:c r="W334" s="373"/>
      <x:c r="X334" s="373"/>
      <x:c r="Y334" s="373"/>
      <x:c r="Z334" s="373"/>
    </x:row>
    <x:row r="335">
      <x:c r="A335" s="373"/>
      <x:c r="B335" s="373"/>
      <x:c r="C335" s="373"/>
      <x:c r="D335" s="373"/>
      <x:c r="E335" s="373"/>
      <x:c r="F335" s="373"/>
      <x:c r="G335" s="373"/>
      <x:c r="H335" s="373"/>
      <x:c r="I335" s="373"/>
      <x:c r="J335" s="373"/>
      <x:c r="K335" s="373"/>
      <x:c r="L335" s="373"/>
      <x:c r="M335" s="373"/>
      <x:c r="N335" s="373"/>
      <x:c r="O335" s="373"/>
      <x:c r="P335" s="373"/>
      <x:c r="Q335" s="373"/>
      <x:c r="R335" s="373"/>
      <x:c r="S335" s="373"/>
      <x:c r="T335" s="373"/>
      <x:c r="U335" s="373"/>
      <x:c r="V335" s="373"/>
      <x:c r="W335" s="373"/>
      <x:c r="X335" s="373"/>
      <x:c r="Y335" s="373"/>
      <x:c r="Z335" s="373"/>
    </x:row>
    <x:row r="336">
      <x:c r="A336" s="373"/>
      <x:c r="B336" s="373"/>
      <x:c r="C336" s="373"/>
      <x:c r="D336" s="373"/>
      <x:c r="E336" s="373"/>
      <x:c r="F336" s="373"/>
      <x:c r="G336" s="373"/>
      <x:c r="H336" s="373"/>
      <x:c r="I336" s="373"/>
      <x:c r="J336" s="373"/>
      <x:c r="K336" s="373"/>
      <x:c r="L336" s="373"/>
      <x:c r="M336" s="373"/>
      <x:c r="N336" s="373"/>
      <x:c r="O336" s="373"/>
      <x:c r="P336" s="373"/>
      <x:c r="Q336" s="373"/>
      <x:c r="R336" s="373"/>
      <x:c r="S336" s="373"/>
      <x:c r="T336" s="373"/>
      <x:c r="U336" s="373"/>
      <x:c r="V336" s="373"/>
      <x:c r="W336" s="373"/>
      <x:c r="X336" s="373"/>
      <x:c r="Y336" s="373"/>
      <x:c r="Z336" s="373"/>
    </x:row>
    <x:row r="337">
      <x:c r="A337" s="373"/>
      <x:c r="B337" s="373"/>
      <x:c r="C337" s="373"/>
      <x:c r="D337" s="373"/>
      <x:c r="E337" s="373"/>
      <x:c r="F337" s="373"/>
      <x:c r="G337" s="373"/>
      <x:c r="H337" s="373"/>
      <x:c r="I337" s="373"/>
      <x:c r="J337" s="373"/>
      <x:c r="K337" s="373"/>
      <x:c r="L337" s="373"/>
      <x:c r="M337" s="373"/>
      <x:c r="N337" s="373"/>
      <x:c r="O337" s="373"/>
      <x:c r="P337" s="373"/>
      <x:c r="Q337" s="373"/>
      <x:c r="R337" s="373"/>
      <x:c r="S337" s="373"/>
      <x:c r="T337" s="373"/>
      <x:c r="U337" s="373"/>
      <x:c r="V337" s="373"/>
      <x:c r="W337" s="373"/>
      <x:c r="X337" s="373"/>
      <x:c r="Y337" s="373"/>
      <x:c r="Z337" s="373"/>
    </x:row>
    <x:row r="338">
      <x:c r="A338" s="373"/>
      <x:c r="B338" s="373"/>
      <x:c r="C338" s="373"/>
      <x:c r="D338" s="373"/>
      <x:c r="E338" s="373"/>
      <x:c r="F338" s="373"/>
      <x:c r="G338" s="373"/>
      <x:c r="H338" s="373"/>
      <x:c r="I338" s="373"/>
      <x:c r="J338" s="373"/>
      <x:c r="K338" s="373"/>
      <x:c r="L338" s="373"/>
      <x:c r="M338" s="373"/>
      <x:c r="N338" s="373"/>
      <x:c r="O338" s="373"/>
      <x:c r="P338" s="373"/>
      <x:c r="Q338" s="373"/>
      <x:c r="R338" s="373"/>
      <x:c r="S338" s="373"/>
      <x:c r="T338" s="373"/>
      <x:c r="U338" s="373"/>
      <x:c r="V338" s="373"/>
      <x:c r="W338" s="373"/>
      <x:c r="X338" s="373"/>
      <x:c r="Y338" s="373"/>
      <x:c r="Z338" s="373"/>
    </x:row>
    <x:row r="339">
      <x:c r="A339" s="373"/>
      <x:c r="B339" s="373"/>
      <x:c r="C339" s="373"/>
      <x:c r="D339" s="373"/>
      <x:c r="E339" s="373"/>
      <x:c r="F339" s="373"/>
      <x:c r="G339" s="373"/>
      <x:c r="H339" s="373"/>
      <x:c r="I339" s="373"/>
      <x:c r="J339" s="373"/>
      <x:c r="K339" s="373"/>
      <x:c r="L339" s="373"/>
      <x:c r="M339" s="373"/>
      <x:c r="N339" s="373"/>
      <x:c r="O339" s="373"/>
      <x:c r="P339" s="373"/>
      <x:c r="Q339" s="373"/>
      <x:c r="R339" s="373"/>
      <x:c r="S339" s="373"/>
      <x:c r="T339" s="373"/>
      <x:c r="U339" s="373"/>
      <x:c r="V339" s="373"/>
      <x:c r="W339" s="373"/>
      <x:c r="X339" s="373"/>
      <x:c r="Y339" s="373"/>
      <x:c r="Z339" s="373"/>
    </x:row>
    <x:row r="340">
      <x:c r="A340" s="373"/>
      <x:c r="B340" s="373"/>
      <x:c r="C340" s="373"/>
      <x:c r="D340" s="373"/>
      <x:c r="E340" s="373"/>
      <x:c r="F340" s="373"/>
      <x:c r="G340" s="373"/>
      <x:c r="H340" s="373"/>
      <x:c r="I340" s="373"/>
      <x:c r="J340" s="373"/>
      <x:c r="K340" s="373"/>
      <x:c r="L340" s="373"/>
      <x:c r="M340" s="373"/>
      <x:c r="N340" s="373"/>
      <x:c r="O340" s="373"/>
      <x:c r="P340" s="373"/>
      <x:c r="Q340" s="373"/>
      <x:c r="R340" s="373"/>
      <x:c r="S340" s="373"/>
      <x:c r="T340" s="373"/>
      <x:c r="U340" s="373"/>
      <x:c r="V340" s="373"/>
      <x:c r="W340" s="373"/>
      <x:c r="X340" s="373"/>
      <x:c r="Y340" s="373"/>
      <x:c r="Z340" s="373"/>
    </x:row>
    <x:row r="341">
      <x:c r="A341" s="373"/>
      <x:c r="B341" s="373"/>
      <x:c r="C341" s="373"/>
      <x:c r="D341" s="373"/>
      <x:c r="E341" s="373"/>
      <x:c r="F341" s="373"/>
      <x:c r="G341" s="373"/>
      <x:c r="H341" s="373"/>
      <x:c r="I341" s="373"/>
      <x:c r="J341" s="373"/>
      <x:c r="K341" s="373"/>
      <x:c r="L341" s="373"/>
      <x:c r="M341" s="373"/>
      <x:c r="N341" s="373"/>
      <x:c r="O341" s="373"/>
      <x:c r="P341" s="373"/>
      <x:c r="Q341" s="373"/>
      <x:c r="R341" s="373"/>
      <x:c r="S341" s="373"/>
      <x:c r="T341" s="373"/>
      <x:c r="U341" s="373"/>
      <x:c r="V341" s="373"/>
      <x:c r="W341" s="373"/>
      <x:c r="X341" s="373"/>
      <x:c r="Y341" s="373"/>
      <x:c r="Z341" s="373"/>
    </x:row>
    <x:row r="342">
      <x:c r="A342" s="373"/>
      <x:c r="B342" s="373"/>
      <x:c r="C342" s="373"/>
      <x:c r="D342" s="373"/>
      <x:c r="E342" s="373"/>
      <x:c r="F342" s="373"/>
      <x:c r="G342" s="373"/>
      <x:c r="H342" s="373"/>
      <x:c r="I342" s="373"/>
      <x:c r="J342" s="373"/>
      <x:c r="K342" s="373"/>
      <x:c r="L342" s="373"/>
      <x:c r="M342" s="373"/>
      <x:c r="N342" s="373"/>
      <x:c r="O342" s="373"/>
      <x:c r="P342" s="373"/>
      <x:c r="Q342" s="373"/>
      <x:c r="R342" s="373"/>
      <x:c r="S342" s="373"/>
      <x:c r="T342" s="373"/>
      <x:c r="U342" s="373"/>
      <x:c r="V342" s="373"/>
      <x:c r="W342" s="373"/>
      <x:c r="X342" s="373"/>
      <x:c r="Y342" s="373"/>
      <x:c r="Z342" s="373"/>
    </x:row>
    <x:row r="343">
      <x:c r="A343" s="373"/>
      <x:c r="B343" s="373"/>
      <x:c r="C343" s="373"/>
      <x:c r="D343" s="373"/>
      <x:c r="E343" s="373"/>
      <x:c r="F343" s="373"/>
      <x:c r="G343" s="373"/>
      <x:c r="H343" s="373"/>
      <x:c r="I343" s="373"/>
      <x:c r="J343" s="373"/>
      <x:c r="K343" s="373"/>
      <x:c r="L343" s="373"/>
      <x:c r="M343" s="373"/>
      <x:c r="N343" s="373"/>
      <x:c r="O343" s="373"/>
      <x:c r="P343" s="373"/>
      <x:c r="Q343" s="373"/>
      <x:c r="R343" s="373"/>
      <x:c r="S343" s="373"/>
      <x:c r="T343" s="373"/>
      <x:c r="U343" s="373"/>
      <x:c r="V343" s="373"/>
      <x:c r="W343" s="373"/>
      <x:c r="X343" s="373"/>
      <x:c r="Y343" s="373"/>
      <x:c r="Z343" s="373"/>
    </x:row>
    <x:row r="344">
      <x:c r="A344" s="373"/>
      <x:c r="B344" s="373"/>
      <x:c r="C344" s="373"/>
      <x:c r="D344" s="373"/>
      <x:c r="E344" s="373"/>
      <x:c r="F344" s="373"/>
      <x:c r="G344" s="373"/>
      <x:c r="H344" s="373"/>
      <x:c r="I344" s="373"/>
      <x:c r="J344" s="373"/>
      <x:c r="K344" s="373"/>
      <x:c r="L344" s="373"/>
      <x:c r="M344" s="373"/>
      <x:c r="N344" s="373"/>
      <x:c r="O344" s="373"/>
      <x:c r="P344" s="373"/>
      <x:c r="Q344" s="373"/>
      <x:c r="R344" s="373"/>
      <x:c r="S344" s="373"/>
      <x:c r="T344" s="373"/>
      <x:c r="U344" s="373"/>
      <x:c r="V344" s="373"/>
      <x:c r="W344" s="373"/>
      <x:c r="X344" s="373"/>
      <x:c r="Y344" s="373"/>
      <x:c r="Z344" s="373"/>
    </x:row>
    <x:row r="345">
      <x:c r="A345" s="373"/>
      <x:c r="B345" s="373"/>
      <x:c r="C345" s="373"/>
      <x:c r="D345" s="373"/>
      <x:c r="E345" s="373"/>
      <x:c r="F345" s="373"/>
      <x:c r="G345" s="373"/>
      <x:c r="H345" s="373"/>
      <x:c r="I345" s="373"/>
      <x:c r="J345" s="373"/>
      <x:c r="K345" s="373"/>
      <x:c r="L345" s="373"/>
      <x:c r="M345" s="373"/>
      <x:c r="N345" s="373"/>
      <x:c r="O345" s="373"/>
      <x:c r="P345" s="373"/>
      <x:c r="Q345" s="373"/>
      <x:c r="R345" s="373"/>
      <x:c r="S345" s="373"/>
      <x:c r="T345" s="373"/>
      <x:c r="U345" s="373"/>
      <x:c r="V345" s="373"/>
      <x:c r="W345" s="373"/>
      <x:c r="X345" s="373"/>
      <x:c r="Y345" s="373"/>
      <x:c r="Z345" s="373"/>
    </x:row>
    <x:row r="346">
      <x:c r="A346" s="373"/>
      <x:c r="B346" s="373"/>
      <x:c r="C346" s="373"/>
      <x:c r="D346" s="373"/>
      <x:c r="E346" s="373"/>
      <x:c r="F346" s="373"/>
      <x:c r="G346" s="373"/>
      <x:c r="H346" s="373"/>
      <x:c r="I346" s="373"/>
      <x:c r="J346" s="373"/>
      <x:c r="K346" s="373"/>
      <x:c r="L346" s="373"/>
      <x:c r="M346" s="373"/>
      <x:c r="N346" s="373"/>
      <x:c r="O346" s="373"/>
      <x:c r="P346" s="373"/>
      <x:c r="Q346" s="373"/>
      <x:c r="R346" s="373"/>
      <x:c r="S346" s="373"/>
      <x:c r="T346" s="373"/>
      <x:c r="U346" s="373"/>
      <x:c r="V346" s="373"/>
      <x:c r="W346" s="373"/>
      <x:c r="X346" s="373"/>
      <x:c r="Y346" s="373"/>
      <x:c r="Z346" s="373"/>
    </x:row>
    <x:row r="347">
      <x:c r="A347" s="373"/>
      <x:c r="B347" s="373"/>
      <x:c r="C347" s="373"/>
      <x:c r="D347" s="373"/>
      <x:c r="E347" s="373"/>
      <x:c r="F347" s="373"/>
      <x:c r="G347" s="373"/>
      <x:c r="H347" s="373"/>
      <x:c r="I347" s="373"/>
      <x:c r="J347" s="373"/>
      <x:c r="K347" s="373"/>
      <x:c r="L347" s="373"/>
      <x:c r="M347" s="373"/>
      <x:c r="N347" s="373"/>
      <x:c r="O347" s="373"/>
      <x:c r="P347" s="373"/>
      <x:c r="Q347" s="373"/>
      <x:c r="R347" s="373"/>
      <x:c r="S347" s="373"/>
      <x:c r="T347" s="373"/>
      <x:c r="U347" s="373"/>
      <x:c r="V347" s="373"/>
      <x:c r="W347" s="373"/>
      <x:c r="X347" s="373"/>
      <x:c r="Y347" s="373"/>
      <x:c r="Z347" s="373"/>
    </x:row>
    <x:row r="348">
      <x:c r="A348" s="373"/>
      <x:c r="B348" s="373"/>
      <x:c r="C348" s="373"/>
      <x:c r="D348" s="373"/>
      <x:c r="E348" s="373"/>
      <x:c r="F348" s="373"/>
      <x:c r="G348" s="373"/>
      <x:c r="H348" s="373"/>
      <x:c r="I348" s="373"/>
      <x:c r="J348" s="373"/>
      <x:c r="K348" s="373"/>
      <x:c r="L348" s="373"/>
      <x:c r="M348" s="373"/>
      <x:c r="N348" s="373"/>
      <x:c r="O348" s="373"/>
      <x:c r="P348" s="373"/>
      <x:c r="Q348" s="373"/>
      <x:c r="R348" s="373"/>
      <x:c r="S348" s="373"/>
      <x:c r="T348" s="373"/>
      <x:c r="U348" s="373"/>
      <x:c r="V348" s="373"/>
      <x:c r="W348" s="373"/>
      <x:c r="X348" s="373"/>
      <x:c r="Y348" s="373"/>
      <x:c r="Z348" s="373"/>
    </x:row>
    <x:row r="349">
      <x:c r="A349" s="373"/>
      <x:c r="B349" s="373"/>
      <x:c r="C349" s="373"/>
      <x:c r="D349" s="373"/>
      <x:c r="E349" s="373"/>
      <x:c r="F349" s="373"/>
      <x:c r="G349" s="373"/>
      <x:c r="H349" s="373"/>
      <x:c r="I349" s="373"/>
      <x:c r="J349" s="373"/>
      <x:c r="K349" s="373"/>
      <x:c r="L349" s="373"/>
      <x:c r="M349" s="373"/>
      <x:c r="N349" s="373"/>
      <x:c r="O349" s="373"/>
      <x:c r="P349" s="373"/>
      <x:c r="Q349" s="373"/>
      <x:c r="R349" s="373"/>
      <x:c r="S349" s="373"/>
      <x:c r="T349" s="373"/>
      <x:c r="U349" s="373"/>
      <x:c r="V349" s="373"/>
      <x:c r="W349" s="373"/>
      <x:c r="X349" s="373"/>
      <x:c r="Y349" s="373"/>
      <x:c r="Z349" s="373"/>
    </x:row>
    <x:row r="350">
      <x:c r="A350" s="373"/>
      <x:c r="B350" s="373"/>
      <x:c r="C350" s="373"/>
      <x:c r="D350" s="373"/>
      <x:c r="E350" s="373"/>
      <x:c r="F350" s="373"/>
      <x:c r="G350" s="373"/>
      <x:c r="H350" s="373"/>
      <x:c r="I350" s="373"/>
      <x:c r="J350" s="373"/>
      <x:c r="K350" s="373"/>
      <x:c r="L350" s="373"/>
      <x:c r="M350" s="373"/>
      <x:c r="N350" s="373"/>
      <x:c r="O350" s="373"/>
      <x:c r="P350" s="373"/>
      <x:c r="Q350" s="373"/>
      <x:c r="R350" s="373"/>
      <x:c r="S350" s="373"/>
      <x:c r="T350" s="373"/>
      <x:c r="U350" s="373"/>
      <x:c r="V350" s="373"/>
      <x:c r="W350" s="373"/>
      <x:c r="X350" s="373"/>
      <x:c r="Y350" s="373"/>
      <x:c r="Z350" s="373"/>
    </x:row>
    <x:row r="351">
      <x:c r="A351" s="373"/>
      <x:c r="B351" s="373"/>
      <x:c r="C351" s="373"/>
      <x:c r="D351" s="373"/>
      <x:c r="E351" s="373"/>
      <x:c r="F351" s="373"/>
      <x:c r="G351" s="373"/>
      <x:c r="H351" s="373"/>
      <x:c r="I351" s="373"/>
      <x:c r="J351" s="373"/>
      <x:c r="K351" s="373"/>
      <x:c r="L351" s="373"/>
      <x:c r="M351" s="373"/>
      <x:c r="N351" s="373"/>
      <x:c r="O351" s="373"/>
      <x:c r="P351" s="373"/>
      <x:c r="Q351" s="373"/>
      <x:c r="R351" s="373"/>
      <x:c r="S351" s="373"/>
      <x:c r="T351" s="373"/>
      <x:c r="U351" s="373"/>
      <x:c r="V351" s="373"/>
      <x:c r="W351" s="373"/>
      <x:c r="X351" s="373"/>
      <x:c r="Y351" s="373"/>
      <x:c r="Z351" s="373"/>
    </x:row>
    <x:row r="352">
      <x:c r="A352" s="373"/>
      <x:c r="B352" s="373"/>
      <x:c r="C352" s="373"/>
      <x:c r="D352" s="373"/>
      <x:c r="E352" s="373"/>
      <x:c r="F352" s="373"/>
      <x:c r="G352" s="373"/>
      <x:c r="H352" s="373"/>
      <x:c r="I352" s="373"/>
      <x:c r="J352" s="373"/>
      <x:c r="K352" s="373"/>
      <x:c r="L352" s="373"/>
      <x:c r="M352" s="373"/>
      <x:c r="N352" s="373"/>
      <x:c r="O352" s="373"/>
      <x:c r="P352" s="373"/>
      <x:c r="Q352" s="373"/>
      <x:c r="R352" s="373"/>
      <x:c r="S352" s="373"/>
      <x:c r="T352" s="373"/>
      <x:c r="U352" s="373"/>
      <x:c r="V352" s="373"/>
      <x:c r="W352" s="373"/>
      <x:c r="X352" s="373"/>
      <x:c r="Y352" s="373"/>
      <x:c r="Z352" s="373"/>
    </x:row>
    <x:row r="353">
      <x:c r="A353" s="373"/>
      <x:c r="B353" s="373"/>
      <x:c r="C353" s="373"/>
      <x:c r="D353" s="373"/>
      <x:c r="E353" s="373"/>
      <x:c r="F353" s="373"/>
      <x:c r="G353" s="373"/>
      <x:c r="H353" s="373"/>
      <x:c r="I353" s="373"/>
      <x:c r="J353" s="373"/>
      <x:c r="K353" s="373"/>
      <x:c r="L353" s="373"/>
      <x:c r="M353" s="373"/>
      <x:c r="N353" s="373"/>
      <x:c r="O353" s="373"/>
      <x:c r="P353" s="373"/>
      <x:c r="Q353" s="373"/>
      <x:c r="R353" s="373"/>
      <x:c r="S353" s="373"/>
      <x:c r="T353" s="373"/>
      <x:c r="U353" s="373"/>
      <x:c r="V353" s="373"/>
      <x:c r="W353" s="373"/>
      <x:c r="X353" s="373"/>
      <x:c r="Y353" s="373"/>
      <x:c r="Z353" s="373"/>
    </x:row>
    <x:row r="354">
      <x:c r="A354" s="373"/>
      <x:c r="B354" s="373"/>
      <x:c r="C354" s="373"/>
      <x:c r="D354" s="373"/>
      <x:c r="E354" s="373"/>
      <x:c r="F354" s="373"/>
      <x:c r="G354" s="373"/>
      <x:c r="H354" s="373"/>
      <x:c r="I354" s="373"/>
      <x:c r="J354" s="373"/>
      <x:c r="K354" s="373"/>
      <x:c r="L354" s="373"/>
      <x:c r="M354" s="373"/>
      <x:c r="N354" s="373"/>
      <x:c r="O354" s="373"/>
      <x:c r="P354" s="373"/>
      <x:c r="Q354" s="373"/>
      <x:c r="R354" s="373"/>
      <x:c r="S354" s="373"/>
      <x:c r="T354" s="373"/>
      <x:c r="U354" s="373"/>
      <x:c r="V354" s="373"/>
      <x:c r="W354" s="373"/>
      <x:c r="X354" s="373"/>
      <x:c r="Y354" s="373"/>
      <x:c r="Z354" s="373"/>
    </x:row>
    <x:row r="355">
      <x:c r="A355" s="373"/>
      <x:c r="B355" s="373"/>
      <x:c r="C355" s="373"/>
      <x:c r="D355" s="373"/>
      <x:c r="E355" s="373"/>
      <x:c r="F355" s="373"/>
      <x:c r="G355" s="373"/>
      <x:c r="H355" s="373"/>
      <x:c r="I355" s="373"/>
      <x:c r="J355" s="373"/>
      <x:c r="K355" s="373"/>
      <x:c r="L355" s="373"/>
      <x:c r="M355" s="373"/>
      <x:c r="N355" s="373"/>
      <x:c r="O355" s="373"/>
      <x:c r="P355" s="373"/>
      <x:c r="Q355" s="373"/>
      <x:c r="R355" s="373"/>
      <x:c r="S355" s="373"/>
      <x:c r="T355" s="373"/>
      <x:c r="U355" s="373"/>
      <x:c r="V355" s="373"/>
      <x:c r="W355" s="373"/>
      <x:c r="X355" s="373"/>
      <x:c r="Y355" s="373"/>
      <x:c r="Z355" s="373"/>
    </x:row>
    <x:row r="356">
      <x:c r="A356" s="373"/>
      <x:c r="B356" s="373"/>
      <x:c r="C356" s="373"/>
      <x:c r="D356" s="373"/>
      <x:c r="E356" s="373"/>
      <x:c r="F356" s="373"/>
      <x:c r="G356" s="373"/>
      <x:c r="H356" s="373"/>
      <x:c r="I356" s="373"/>
      <x:c r="J356" s="373"/>
      <x:c r="K356" s="373"/>
      <x:c r="L356" s="373"/>
      <x:c r="M356" s="373"/>
      <x:c r="N356" s="373"/>
      <x:c r="O356" s="373"/>
      <x:c r="P356" s="373"/>
      <x:c r="Q356" s="373"/>
      <x:c r="R356" s="373"/>
      <x:c r="S356" s="373"/>
      <x:c r="T356" s="373"/>
      <x:c r="U356" s="373"/>
      <x:c r="V356" s="373"/>
      <x:c r="W356" s="373"/>
      <x:c r="X356" s="373"/>
      <x:c r="Y356" s="373"/>
      <x:c r="Z356" s="373"/>
    </x:row>
    <x:row r="357">
      <x:c r="A357" s="373"/>
      <x:c r="B357" s="373"/>
      <x:c r="C357" s="373"/>
      <x:c r="D357" s="373"/>
      <x:c r="E357" s="373"/>
      <x:c r="F357" s="373"/>
      <x:c r="G357" s="373"/>
      <x:c r="H357" s="373"/>
      <x:c r="I357" s="373"/>
      <x:c r="J357" s="373"/>
      <x:c r="K357" s="373"/>
      <x:c r="L357" s="373"/>
      <x:c r="M357" s="373"/>
      <x:c r="N357" s="373"/>
      <x:c r="O357" s="373"/>
      <x:c r="P357" s="373"/>
      <x:c r="Q357" s="373"/>
      <x:c r="R357" s="373"/>
      <x:c r="S357" s="373"/>
      <x:c r="T357" s="373"/>
      <x:c r="U357" s="373"/>
      <x:c r="V357" s="373"/>
      <x:c r="W357" s="373"/>
      <x:c r="X357" s="373"/>
      <x:c r="Y357" s="373"/>
      <x:c r="Z357" s="373"/>
    </x:row>
    <x:row r="358">
      <x:c r="A358" s="373"/>
      <x:c r="B358" s="373"/>
      <x:c r="C358" s="373"/>
      <x:c r="D358" s="373"/>
      <x:c r="E358" s="373"/>
      <x:c r="F358" s="373"/>
      <x:c r="G358" s="373"/>
      <x:c r="H358" s="373"/>
      <x:c r="I358" s="373"/>
      <x:c r="J358" s="373"/>
      <x:c r="K358" s="373"/>
      <x:c r="L358" s="373"/>
      <x:c r="M358" s="373"/>
      <x:c r="N358" s="373"/>
      <x:c r="O358" s="373"/>
      <x:c r="P358" s="373"/>
      <x:c r="Q358" s="373"/>
      <x:c r="R358" s="373"/>
      <x:c r="S358" s="373"/>
      <x:c r="T358" s="373"/>
      <x:c r="U358" s="373"/>
      <x:c r="V358" s="373"/>
      <x:c r="W358" s="373"/>
      <x:c r="X358" s="373"/>
      <x:c r="Y358" s="373"/>
      <x:c r="Z358" s="373"/>
    </x:row>
    <x:row r="359">
      <x:c r="A359" s="373"/>
      <x:c r="B359" s="373"/>
      <x:c r="C359" s="373"/>
      <x:c r="D359" s="373"/>
      <x:c r="E359" s="373"/>
      <x:c r="F359" s="373"/>
      <x:c r="G359" s="373"/>
      <x:c r="H359" s="373"/>
      <x:c r="I359" s="373"/>
      <x:c r="J359" s="373"/>
      <x:c r="K359" s="373"/>
      <x:c r="L359" s="373"/>
      <x:c r="M359" s="373"/>
      <x:c r="N359" s="373"/>
      <x:c r="O359" s="373"/>
      <x:c r="P359" s="373"/>
      <x:c r="Q359" s="373"/>
      <x:c r="R359" s="373"/>
      <x:c r="S359" s="373"/>
      <x:c r="T359" s="373"/>
      <x:c r="U359" s="373"/>
      <x:c r="V359" s="373"/>
      <x:c r="W359" s="373"/>
      <x:c r="X359" s="373"/>
      <x:c r="Y359" s="373"/>
      <x:c r="Z359" s="373"/>
    </x:row>
    <x:row r="360">
      <x:c r="A360" s="373"/>
      <x:c r="B360" s="373"/>
      <x:c r="C360" s="373"/>
      <x:c r="D360" s="373"/>
      <x:c r="E360" s="373"/>
      <x:c r="F360" s="373"/>
      <x:c r="G360" s="373"/>
      <x:c r="H360" s="373"/>
      <x:c r="I360" s="373"/>
      <x:c r="J360" s="373"/>
      <x:c r="K360" s="373"/>
      <x:c r="L360" s="373"/>
      <x:c r="M360" s="373"/>
      <x:c r="N360" s="373"/>
      <x:c r="O360" s="373"/>
      <x:c r="P360" s="373"/>
      <x:c r="Q360" s="373"/>
      <x:c r="R360" s="373"/>
      <x:c r="S360" s="373"/>
      <x:c r="T360" s="373"/>
      <x:c r="U360" s="373"/>
      <x:c r="V360" s="373"/>
      <x:c r="W360" s="373"/>
      <x:c r="X360" s="373"/>
      <x:c r="Y360" s="373"/>
      <x:c r="Z360" s="373"/>
    </x:row>
    <x:row r="361">
      <x:c r="A361" s="373"/>
      <x:c r="B361" s="373"/>
      <x:c r="C361" s="373"/>
      <x:c r="D361" s="373"/>
      <x:c r="E361" s="373"/>
      <x:c r="F361" s="373"/>
      <x:c r="G361" s="373"/>
      <x:c r="H361" s="373"/>
      <x:c r="I361" s="373"/>
      <x:c r="J361" s="373"/>
      <x:c r="K361" s="373"/>
      <x:c r="L361" s="373"/>
      <x:c r="M361" s="373"/>
      <x:c r="N361" s="373"/>
      <x:c r="O361" s="373"/>
      <x:c r="P361" s="373"/>
      <x:c r="Q361" s="373"/>
      <x:c r="R361" s="373"/>
      <x:c r="S361" s="373"/>
      <x:c r="T361" s="373"/>
      <x:c r="U361" s="373"/>
      <x:c r="V361" s="373"/>
      <x:c r="W361" s="373"/>
      <x:c r="X361" s="373"/>
      <x:c r="Y361" s="373"/>
      <x:c r="Z361" s="373"/>
    </x:row>
    <x:row r="362">
      <x:c r="A362" s="373"/>
      <x:c r="B362" s="373"/>
      <x:c r="C362" s="373"/>
      <x:c r="D362" s="373"/>
      <x:c r="E362" s="373"/>
      <x:c r="F362" s="373"/>
      <x:c r="G362" s="373"/>
      <x:c r="H362" s="373"/>
      <x:c r="I362" s="373"/>
      <x:c r="J362" s="373"/>
      <x:c r="K362" s="373"/>
      <x:c r="L362" s="373"/>
      <x:c r="M362" s="373"/>
      <x:c r="N362" s="373"/>
      <x:c r="O362" s="373"/>
      <x:c r="P362" s="373"/>
      <x:c r="Q362" s="373"/>
      <x:c r="R362" s="373"/>
      <x:c r="S362" s="373"/>
      <x:c r="T362" s="373"/>
      <x:c r="U362" s="373"/>
      <x:c r="V362" s="373"/>
      <x:c r="W362" s="373"/>
      <x:c r="X362" s="373"/>
      <x:c r="Y362" s="373"/>
      <x:c r="Z362" s="373"/>
    </x:row>
    <x:row r="363">
      <x:c r="A363" s="373"/>
      <x:c r="B363" s="373"/>
      <x:c r="C363" s="373"/>
      <x:c r="D363" s="373"/>
      <x:c r="E363" s="373"/>
      <x:c r="F363" s="373"/>
      <x:c r="G363" s="373"/>
      <x:c r="H363" s="373"/>
      <x:c r="I363" s="373"/>
      <x:c r="J363" s="373"/>
      <x:c r="K363" s="373"/>
      <x:c r="L363" s="373"/>
      <x:c r="M363" s="373"/>
      <x:c r="N363" s="373"/>
      <x:c r="O363" s="373"/>
      <x:c r="P363" s="373"/>
      <x:c r="Q363" s="373"/>
      <x:c r="R363" s="373"/>
      <x:c r="S363" s="373"/>
      <x:c r="T363" s="373"/>
      <x:c r="U363" s="373"/>
      <x:c r="V363" s="373"/>
      <x:c r="W363" s="373"/>
      <x:c r="X363" s="373"/>
      <x:c r="Y363" s="373"/>
      <x:c r="Z363" s="373"/>
    </x:row>
    <x:row r="364">
      <x:c r="A364" s="373"/>
      <x:c r="B364" s="373"/>
      <x:c r="C364" s="373"/>
      <x:c r="D364" s="373"/>
      <x:c r="E364" s="373"/>
      <x:c r="F364" s="373"/>
      <x:c r="G364" s="373"/>
      <x:c r="H364" s="373"/>
      <x:c r="I364" s="373"/>
      <x:c r="J364" s="373"/>
      <x:c r="K364" s="373"/>
      <x:c r="L364" s="373"/>
      <x:c r="M364" s="373"/>
      <x:c r="N364" s="373"/>
      <x:c r="O364" s="373"/>
      <x:c r="P364" s="373"/>
      <x:c r="Q364" s="373"/>
      <x:c r="R364" s="373"/>
      <x:c r="S364" s="373"/>
      <x:c r="T364" s="373"/>
      <x:c r="U364" s="373"/>
      <x:c r="V364" s="373"/>
      <x:c r="W364" s="373"/>
      <x:c r="X364" s="373"/>
      <x:c r="Y364" s="373"/>
      <x:c r="Z364" s="373"/>
    </x:row>
    <x:row r="365">
      <x:c r="A365" s="373"/>
      <x:c r="B365" s="373"/>
      <x:c r="C365" s="373"/>
      <x:c r="D365" s="373"/>
      <x:c r="E365" s="373"/>
      <x:c r="F365" s="373"/>
      <x:c r="G365" s="373"/>
      <x:c r="H365" s="373"/>
      <x:c r="I365" s="373"/>
      <x:c r="J365" s="373"/>
      <x:c r="K365" s="373"/>
      <x:c r="L365" s="373"/>
      <x:c r="M365" s="373"/>
      <x:c r="N365" s="373"/>
      <x:c r="O365" s="373"/>
      <x:c r="P365" s="373"/>
      <x:c r="Q365" s="373"/>
      <x:c r="R365" s="373"/>
      <x:c r="S365" s="373"/>
      <x:c r="T365" s="373"/>
      <x:c r="U365" s="373"/>
      <x:c r="V365" s="373"/>
      <x:c r="W365" s="373"/>
      <x:c r="X365" s="373"/>
      <x:c r="Y365" s="373"/>
      <x:c r="Z365" s="373"/>
    </x:row>
    <x:row r="366">
      <x:c r="A366" s="373"/>
      <x:c r="B366" s="373"/>
      <x:c r="C366" s="373"/>
      <x:c r="D366" s="373"/>
      <x:c r="E366" s="373"/>
      <x:c r="F366" s="373"/>
      <x:c r="G366" s="373"/>
      <x:c r="H366" s="373"/>
      <x:c r="I366" s="373"/>
      <x:c r="J366" s="373"/>
      <x:c r="K366" s="373"/>
      <x:c r="L366" s="373"/>
      <x:c r="M366" s="373"/>
      <x:c r="N366" s="373"/>
      <x:c r="O366" s="373"/>
      <x:c r="P366" s="373"/>
      <x:c r="Q366" s="373"/>
      <x:c r="R366" s="373"/>
      <x:c r="S366" s="373"/>
      <x:c r="T366" s="373"/>
      <x:c r="U366" s="373"/>
      <x:c r="V366" s="373"/>
      <x:c r="W366" s="373"/>
      <x:c r="X366" s="373"/>
      <x:c r="Y366" s="373"/>
      <x:c r="Z366" s="373"/>
    </x:row>
    <x:row r="367">
      <x:c r="A367" s="373"/>
      <x:c r="B367" s="373"/>
      <x:c r="C367" s="373"/>
      <x:c r="D367" s="373"/>
      <x:c r="E367" s="373"/>
      <x:c r="F367" s="373"/>
      <x:c r="G367" s="373"/>
      <x:c r="H367" s="373"/>
      <x:c r="I367" s="373"/>
      <x:c r="J367" s="373"/>
      <x:c r="K367" s="373"/>
      <x:c r="L367" s="373"/>
      <x:c r="M367" s="373"/>
      <x:c r="N367" s="373"/>
      <x:c r="O367" s="373"/>
      <x:c r="P367" s="373"/>
      <x:c r="Q367" s="373"/>
      <x:c r="R367" s="373"/>
      <x:c r="S367" s="373"/>
      <x:c r="T367" s="373"/>
      <x:c r="U367" s="373"/>
      <x:c r="V367" s="373"/>
      <x:c r="W367" s="373"/>
      <x:c r="X367" s="373"/>
      <x:c r="Y367" s="373"/>
      <x:c r="Z367" s="373"/>
    </x:row>
    <x:row r="368">
      <x:c r="A368" s="373"/>
      <x:c r="B368" s="373"/>
      <x:c r="C368" s="373"/>
      <x:c r="D368" s="373"/>
      <x:c r="E368" s="373"/>
      <x:c r="F368" s="373"/>
      <x:c r="G368" s="373"/>
      <x:c r="H368" s="373"/>
      <x:c r="I368" s="373"/>
      <x:c r="J368" s="373"/>
      <x:c r="K368" s="373"/>
      <x:c r="L368" s="373"/>
      <x:c r="M368" s="373"/>
      <x:c r="N368" s="373"/>
      <x:c r="O368" s="373"/>
      <x:c r="P368" s="373"/>
      <x:c r="Q368" s="373"/>
      <x:c r="R368" s="373"/>
      <x:c r="S368" s="373"/>
      <x:c r="T368" s="373"/>
      <x:c r="U368" s="373"/>
      <x:c r="V368" s="373"/>
      <x:c r="W368" s="373"/>
      <x:c r="X368" s="373"/>
      <x:c r="Y368" s="373"/>
      <x:c r="Z368" s="373"/>
    </x:row>
    <x:row r="369">
      <x:c r="A369" s="373"/>
      <x:c r="B369" s="373"/>
      <x:c r="C369" s="373"/>
      <x:c r="D369" s="373"/>
      <x:c r="E369" s="373"/>
      <x:c r="F369" s="373"/>
      <x:c r="G369" s="373"/>
      <x:c r="H369" s="373"/>
      <x:c r="I369" s="373"/>
      <x:c r="J369" s="373"/>
      <x:c r="K369" s="373"/>
      <x:c r="L369" s="373"/>
      <x:c r="M369" s="373"/>
      <x:c r="N369" s="373"/>
      <x:c r="O369" s="373"/>
      <x:c r="P369" s="373"/>
      <x:c r="Q369" s="373"/>
      <x:c r="R369" s="373"/>
      <x:c r="S369" s="373"/>
      <x:c r="T369" s="373"/>
      <x:c r="U369" s="373"/>
      <x:c r="V369" s="373"/>
      <x:c r="W369" s="373"/>
      <x:c r="X369" s="373"/>
      <x:c r="Y369" s="373"/>
      <x:c r="Z369" s="373"/>
    </x:row>
    <x:row r="370">
      <x:c r="A370" s="373"/>
      <x:c r="B370" s="373"/>
      <x:c r="C370" s="373"/>
      <x:c r="D370" s="373"/>
      <x:c r="E370" s="373"/>
      <x:c r="F370" s="373"/>
      <x:c r="G370" s="373"/>
      <x:c r="H370" s="373"/>
      <x:c r="I370" s="373"/>
      <x:c r="J370" s="373"/>
      <x:c r="K370" s="373"/>
      <x:c r="L370" s="373"/>
      <x:c r="M370" s="373"/>
      <x:c r="N370" s="373"/>
      <x:c r="O370" s="373"/>
      <x:c r="P370" s="373"/>
      <x:c r="Q370" s="373"/>
      <x:c r="R370" s="373"/>
      <x:c r="S370" s="373"/>
      <x:c r="T370" s="373"/>
      <x:c r="U370" s="373"/>
      <x:c r="V370" s="373"/>
      <x:c r="W370" s="373"/>
      <x:c r="X370" s="373"/>
      <x:c r="Y370" s="373"/>
      <x:c r="Z370" s="373"/>
    </x:row>
    <x:row r="371">
      <x:c r="A371" s="373"/>
      <x:c r="B371" s="373"/>
      <x:c r="C371" s="373"/>
      <x:c r="D371" s="373"/>
      <x:c r="E371" s="373"/>
      <x:c r="F371" s="373"/>
      <x:c r="G371" s="373"/>
      <x:c r="H371" s="373"/>
      <x:c r="I371" s="373"/>
      <x:c r="J371" s="373"/>
      <x:c r="K371" s="373"/>
      <x:c r="L371" s="373"/>
      <x:c r="M371" s="373"/>
      <x:c r="N371" s="373"/>
      <x:c r="O371" s="373"/>
      <x:c r="P371" s="373"/>
      <x:c r="Q371" s="373"/>
      <x:c r="R371" s="373"/>
      <x:c r="S371" s="373"/>
      <x:c r="T371" s="373"/>
      <x:c r="U371" s="373"/>
      <x:c r="V371" s="373"/>
      <x:c r="W371" s="373"/>
      <x:c r="X371" s="373"/>
      <x:c r="Y371" s="373"/>
      <x:c r="Z371" s="373"/>
    </x:row>
    <x:row r="372">
      <x:c r="A372" s="373"/>
      <x:c r="B372" s="373"/>
      <x:c r="C372" s="373"/>
      <x:c r="D372" s="373"/>
      <x:c r="E372" s="373"/>
      <x:c r="F372" s="373"/>
      <x:c r="G372" s="373"/>
      <x:c r="H372" s="373"/>
      <x:c r="I372" s="373"/>
      <x:c r="J372" s="373"/>
      <x:c r="K372" s="373"/>
      <x:c r="L372" s="373"/>
      <x:c r="M372" s="373"/>
      <x:c r="N372" s="373"/>
      <x:c r="O372" s="373"/>
      <x:c r="P372" s="373"/>
      <x:c r="Q372" s="373"/>
      <x:c r="R372" s="373"/>
      <x:c r="S372" s="373"/>
      <x:c r="T372" s="373"/>
      <x:c r="U372" s="373"/>
      <x:c r="V372" s="373"/>
      <x:c r="W372" s="373"/>
      <x:c r="X372" s="373"/>
      <x:c r="Y372" s="373"/>
      <x:c r="Z372" s="373"/>
    </x:row>
    <x:row r="373">
      <x:c r="A373" s="373"/>
      <x:c r="B373" s="373"/>
      <x:c r="C373" s="373"/>
      <x:c r="D373" s="373"/>
      <x:c r="E373" s="373"/>
      <x:c r="F373" s="373"/>
      <x:c r="G373" s="373"/>
      <x:c r="H373" s="373"/>
      <x:c r="I373" s="373"/>
      <x:c r="J373" s="373"/>
      <x:c r="K373" s="373"/>
      <x:c r="L373" s="373"/>
      <x:c r="M373" s="373"/>
      <x:c r="N373" s="373"/>
      <x:c r="O373" s="373"/>
      <x:c r="P373" s="373"/>
      <x:c r="Q373" s="373"/>
      <x:c r="R373" s="373"/>
      <x:c r="S373" s="373"/>
      <x:c r="T373" s="373"/>
      <x:c r="U373" s="373"/>
      <x:c r="V373" s="373"/>
      <x:c r="W373" s="373"/>
      <x:c r="X373" s="373"/>
      <x:c r="Y373" s="373"/>
      <x:c r="Z373" s="373"/>
    </x:row>
    <x:row r="374">
      <x:c r="A374" s="373"/>
      <x:c r="B374" s="373"/>
      <x:c r="C374" s="373"/>
      <x:c r="D374" s="373"/>
      <x:c r="E374" s="373"/>
      <x:c r="F374" s="373"/>
      <x:c r="G374" s="373"/>
      <x:c r="H374" s="373"/>
      <x:c r="I374" s="373"/>
      <x:c r="J374" s="373"/>
      <x:c r="K374" s="373"/>
      <x:c r="L374" s="373"/>
      <x:c r="M374" s="373"/>
      <x:c r="N374" s="373"/>
      <x:c r="O374" s="373"/>
      <x:c r="P374" s="373"/>
      <x:c r="Q374" s="373"/>
      <x:c r="R374" s="373"/>
      <x:c r="S374" s="373"/>
      <x:c r="T374" s="373"/>
      <x:c r="U374" s="373"/>
      <x:c r="V374" s="373"/>
      <x:c r="W374" s="373"/>
      <x:c r="X374" s="373"/>
      <x:c r="Y374" s="373"/>
      <x:c r="Z374" s="373"/>
    </x:row>
    <x:row r="375">
      <x:c r="A375" s="373"/>
      <x:c r="B375" s="373"/>
      <x:c r="C375" s="373"/>
      <x:c r="D375" s="373"/>
      <x:c r="E375" s="373"/>
      <x:c r="F375" s="373"/>
      <x:c r="G375" s="373"/>
      <x:c r="H375" s="373"/>
      <x:c r="I375" s="373"/>
      <x:c r="J375" s="373"/>
      <x:c r="K375" s="373"/>
      <x:c r="L375" s="373"/>
      <x:c r="M375" s="373"/>
      <x:c r="N375" s="373"/>
      <x:c r="O375" s="373"/>
      <x:c r="P375" s="373"/>
      <x:c r="Q375" s="373"/>
      <x:c r="R375" s="373"/>
      <x:c r="S375" s="373"/>
      <x:c r="T375" s="373"/>
      <x:c r="U375" s="373"/>
      <x:c r="V375" s="373"/>
      <x:c r="W375" s="373"/>
      <x:c r="X375" s="373"/>
      <x:c r="Y375" s="373"/>
      <x:c r="Z375" s="373"/>
    </x:row>
    <x:row r="376">
      <x:c r="A376" s="373"/>
      <x:c r="B376" s="373"/>
      <x:c r="C376" s="373"/>
      <x:c r="D376" s="373"/>
      <x:c r="E376" s="373"/>
      <x:c r="F376" s="373"/>
      <x:c r="G376" s="373"/>
      <x:c r="H376" s="373"/>
      <x:c r="I376" s="373"/>
      <x:c r="J376" s="373"/>
      <x:c r="K376" s="373"/>
      <x:c r="L376" s="373"/>
      <x:c r="M376" s="373"/>
      <x:c r="N376" s="373"/>
      <x:c r="O376" s="373"/>
      <x:c r="P376" s="373"/>
      <x:c r="Q376" s="373"/>
      <x:c r="R376" s="373"/>
      <x:c r="S376" s="373"/>
      <x:c r="T376" s="373"/>
      <x:c r="U376" s="373"/>
      <x:c r="V376" s="373"/>
      <x:c r="W376" s="373"/>
      <x:c r="X376" s="373"/>
      <x:c r="Y376" s="373"/>
      <x:c r="Z376" s="373"/>
    </x:row>
    <x:row r="377">
      <x:c r="A377" s="373"/>
      <x:c r="B377" s="373"/>
      <x:c r="C377" s="373"/>
      <x:c r="D377" s="373"/>
      <x:c r="E377" s="373"/>
      <x:c r="F377" s="373"/>
      <x:c r="G377" s="373"/>
      <x:c r="H377" s="373"/>
      <x:c r="I377" s="373"/>
      <x:c r="J377" s="373"/>
      <x:c r="K377" s="373"/>
      <x:c r="L377" s="373"/>
      <x:c r="M377" s="373"/>
      <x:c r="N377" s="373"/>
      <x:c r="O377" s="373"/>
      <x:c r="P377" s="373"/>
      <x:c r="Q377" s="373"/>
      <x:c r="R377" s="373"/>
      <x:c r="S377" s="373"/>
      <x:c r="T377" s="373"/>
      <x:c r="U377" s="373"/>
      <x:c r="V377" s="373"/>
      <x:c r="W377" s="373"/>
      <x:c r="X377" s="373"/>
      <x:c r="Y377" s="373"/>
      <x:c r="Z377" s="373"/>
    </x:row>
    <x:row r="378">
      <x:c r="A378" s="373"/>
      <x:c r="B378" s="373"/>
      <x:c r="C378" s="373"/>
      <x:c r="D378" s="373"/>
      <x:c r="E378" s="373"/>
      <x:c r="F378" s="373"/>
      <x:c r="G378" s="373"/>
      <x:c r="H378" s="373"/>
      <x:c r="I378" s="373"/>
      <x:c r="J378" s="373"/>
      <x:c r="K378" s="373"/>
      <x:c r="L378" s="373"/>
      <x:c r="M378" s="373"/>
      <x:c r="N378" s="373"/>
      <x:c r="O378" s="373"/>
      <x:c r="P378" s="373"/>
      <x:c r="Q378" s="373"/>
      <x:c r="R378" s="373"/>
      <x:c r="S378" s="373"/>
      <x:c r="T378" s="373"/>
      <x:c r="U378" s="373"/>
      <x:c r="V378" s="373"/>
      <x:c r="W378" s="373"/>
      <x:c r="X378" s="373"/>
      <x:c r="Y378" s="373"/>
      <x:c r="Z378" s="373"/>
    </x:row>
    <x:row r="379">
      <x:c r="A379" s="373"/>
      <x:c r="B379" s="373"/>
      <x:c r="C379" s="373"/>
      <x:c r="D379" s="373"/>
      <x:c r="E379" s="373"/>
      <x:c r="F379" s="373"/>
      <x:c r="G379" s="373"/>
      <x:c r="H379" s="373"/>
      <x:c r="I379" s="373"/>
      <x:c r="J379" s="373"/>
      <x:c r="K379" s="373"/>
      <x:c r="L379" s="373"/>
      <x:c r="M379" s="373"/>
      <x:c r="N379" s="373"/>
      <x:c r="O379" s="373"/>
      <x:c r="P379" s="373"/>
      <x:c r="Q379" s="373"/>
      <x:c r="R379" s="373"/>
      <x:c r="S379" s="373"/>
      <x:c r="T379" s="373"/>
      <x:c r="U379" s="373"/>
      <x:c r="V379" s="373"/>
      <x:c r="W379" s="373"/>
      <x:c r="X379" s="373"/>
      <x:c r="Y379" s="373"/>
      <x:c r="Z379" s="373"/>
    </x:row>
    <x:row r="380">
      <x:c r="A380" s="373"/>
      <x:c r="B380" s="373"/>
      <x:c r="C380" s="373"/>
      <x:c r="D380" s="373"/>
      <x:c r="E380" s="373"/>
      <x:c r="F380" s="373"/>
      <x:c r="G380" s="373"/>
      <x:c r="H380" s="373"/>
      <x:c r="I380" s="373"/>
      <x:c r="J380" s="373"/>
      <x:c r="K380" s="373"/>
      <x:c r="L380" s="373"/>
      <x:c r="M380" s="373"/>
      <x:c r="N380" s="373"/>
      <x:c r="O380" s="373"/>
      <x:c r="P380" s="373"/>
      <x:c r="Q380" s="373"/>
      <x:c r="R380" s="373"/>
      <x:c r="S380" s="373"/>
      <x:c r="T380" s="373"/>
      <x:c r="U380" s="373"/>
      <x:c r="V380" s="373"/>
      <x:c r="W380" s="373"/>
      <x:c r="X380" s="373"/>
      <x:c r="Y380" s="373"/>
      <x:c r="Z380" s="373"/>
    </x:row>
    <x:row r="381">
      <x:c r="A381" s="373"/>
      <x:c r="B381" s="373"/>
      <x:c r="C381" s="373"/>
      <x:c r="D381" s="373"/>
      <x:c r="E381" s="373"/>
      <x:c r="F381" s="373"/>
      <x:c r="G381" s="373"/>
      <x:c r="H381" s="373"/>
      <x:c r="I381" s="373"/>
      <x:c r="J381" s="373"/>
      <x:c r="K381" s="373"/>
      <x:c r="L381" s="373"/>
      <x:c r="M381" s="373"/>
      <x:c r="N381" s="373"/>
      <x:c r="O381" s="373"/>
      <x:c r="P381" s="373"/>
      <x:c r="Q381" s="373"/>
      <x:c r="R381" s="373"/>
      <x:c r="S381" s="373"/>
      <x:c r="T381" s="373"/>
      <x:c r="U381" s="373"/>
      <x:c r="V381" s="373"/>
      <x:c r="W381" s="373"/>
      <x:c r="X381" s="373"/>
      <x:c r="Y381" s="373"/>
      <x:c r="Z381" s="373"/>
    </x:row>
    <x:row r="382">
      <x:c r="A382" s="373"/>
      <x:c r="B382" s="373"/>
      <x:c r="C382" s="373"/>
      <x:c r="D382" s="373"/>
      <x:c r="E382" s="373"/>
      <x:c r="F382" s="373"/>
      <x:c r="G382" s="373"/>
      <x:c r="H382" s="373"/>
      <x:c r="I382" s="373"/>
      <x:c r="J382" s="373"/>
      <x:c r="K382" s="373"/>
      <x:c r="L382" s="373"/>
      <x:c r="M382" s="373"/>
      <x:c r="N382" s="373"/>
      <x:c r="O382" s="373"/>
      <x:c r="P382" s="373"/>
      <x:c r="Q382" s="373"/>
      <x:c r="R382" s="373"/>
      <x:c r="S382" s="373"/>
      <x:c r="T382" s="373"/>
      <x:c r="U382" s="373"/>
      <x:c r="V382" s="373"/>
      <x:c r="W382" s="373"/>
      <x:c r="X382" s="373"/>
      <x:c r="Y382" s="373"/>
      <x:c r="Z382" s="373"/>
    </x:row>
    <x:row r="383">
      <x:c r="A383" s="373"/>
      <x:c r="B383" s="373"/>
      <x:c r="C383" s="373"/>
      <x:c r="D383" s="373"/>
      <x:c r="E383" s="373"/>
      <x:c r="F383" s="373"/>
      <x:c r="G383" s="373"/>
      <x:c r="H383" s="373"/>
      <x:c r="I383" s="373"/>
      <x:c r="J383" s="373"/>
      <x:c r="K383" s="373"/>
      <x:c r="L383" s="373"/>
      <x:c r="M383" s="373"/>
      <x:c r="N383" s="373"/>
      <x:c r="O383" s="373"/>
      <x:c r="P383" s="373"/>
      <x:c r="Q383" s="373"/>
      <x:c r="R383" s="373"/>
      <x:c r="S383" s="373"/>
      <x:c r="T383" s="373"/>
      <x:c r="U383" s="373"/>
      <x:c r="V383" s="373"/>
      <x:c r="W383" s="373"/>
      <x:c r="X383" s="373"/>
      <x:c r="Y383" s="373"/>
      <x:c r="Z383" s="373"/>
    </x:row>
    <x:row r="384">
      <x:c r="A384" s="373"/>
      <x:c r="B384" s="373"/>
      <x:c r="C384" s="373"/>
      <x:c r="D384" s="373"/>
      <x:c r="E384" s="373"/>
      <x:c r="F384" s="373"/>
      <x:c r="G384" s="373"/>
      <x:c r="H384" s="373"/>
      <x:c r="I384" s="373"/>
      <x:c r="J384" s="373"/>
      <x:c r="K384" s="373"/>
      <x:c r="L384" s="373"/>
      <x:c r="M384" s="373"/>
      <x:c r="N384" s="373"/>
      <x:c r="O384" s="373"/>
      <x:c r="P384" s="373"/>
      <x:c r="Q384" s="373"/>
      <x:c r="R384" s="373"/>
      <x:c r="S384" s="373"/>
      <x:c r="T384" s="373"/>
      <x:c r="U384" s="373"/>
      <x:c r="V384" s="373"/>
      <x:c r="W384" s="373"/>
      <x:c r="X384" s="373"/>
      <x:c r="Y384" s="373"/>
      <x:c r="Z384" s="373"/>
    </x:row>
    <x:row r="385">
      <x:c r="A385" s="373"/>
      <x:c r="B385" s="373"/>
      <x:c r="C385" s="373"/>
      <x:c r="D385" s="373"/>
      <x:c r="E385" s="373"/>
      <x:c r="F385" s="373"/>
      <x:c r="G385" s="373"/>
      <x:c r="H385" s="373"/>
      <x:c r="I385" s="373"/>
      <x:c r="J385" s="373"/>
      <x:c r="K385" s="373"/>
      <x:c r="L385" s="373"/>
      <x:c r="M385" s="373"/>
      <x:c r="N385" s="373"/>
      <x:c r="O385" s="373"/>
      <x:c r="P385" s="373"/>
      <x:c r="Q385" s="373"/>
      <x:c r="R385" s="373"/>
      <x:c r="S385" s="373"/>
      <x:c r="T385" s="373"/>
      <x:c r="U385" s="373"/>
      <x:c r="V385" s="373"/>
      <x:c r="W385" s="373"/>
      <x:c r="X385" s="373"/>
      <x:c r="Y385" s="373"/>
      <x:c r="Z385" s="373"/>
    </x:row>
    <x:row r="386">
      <x:c r="A386" s="373"/>
      <x:c r="B386" s="373"/>
      <x:c r="C386" s="373"/>
      <x:c r="D386" s="373"/>
      <x:c r="E386" s="373"/>
      <x:c r="F386" s="373"/>
      <x:c r="G386" s="373"/>
      <x:c r="H386" s="373"/>
      <x:c r="I386" s="373"/>
      <x:c r="J386" s="373"/>
      <x:c r="K386" s="373"/>
      <x:c r="L386" s="373"/>
      <x:c r="M386" s="373"/>
      <x:c r="N386" s="373"/>
      <x:c r="O386" s="373"/>
      <x:c r="P386" s="373"/>
      <x:c r="Q386" s="373"/>
      <x:c r="R386" s="373"/>
      <x:c r="S386" s="373"/>
      <x:c r="T386" s="373"/>
      <x:c r="U386" s="373"/>
      <x:c r="V386" s="373"/>
      <x:c r="W386" s="373"/>
      <x:c r="X386" s="373"/>
      <x:c r="Y386" s="373"/>
      <x:c r="Z386" s="373"/>
    </x:row>
    <x:row r="387">
      <x:c r="A387" s="373"/>
      <x:c r="B387" s="373"/>
      <x:c r="C387" s="373"/>
      <x:c r="D387" s="373"/>
      <x:c r="E387" s="373"/>
      <x:c r="F387" s="373"/>
      <x:c r="G387" s="373"/>
      <x:c r="H387" s="373"/>
      <x:c r="I387" s="373"/>
      <x:c r="J387" s="373"/>
      <x:c r="K387" s="373"/>
      <x:c r="L387" s="373"/>
      <x:c r="M387" s="373"/>
      <x:c r="N387" s="373"/>
      <x:c r="O387" s="373"/>
      <x:c r="P387" s="373"/>
      <x:c r="Q387" s="373"/>
      <x:c r="R387" s="373"/>
      <x:c r="S387" s="373"/>
      <x:c r="T387" s="373"/>
      <x:c r="U387" s="373"/>
      <x:c r="V387" s="373"/>
      <x:c r="W387" s="373"/>
      <x:c r="X387" s="373"/>
      <x:c r="Y387" s="373"/>
      <x:c r="Z387" s="373"/>
    </x:row>
    <x:row r="388">
      <x:c r="A388" s="373"/>
      <x:c r="B388" s="373"/>
      <x:c r="C388" s="373"/>
      <x:c r="D388" s="373"/>
      <x:c r="E388" s="373"/>
      <x:c r="F388" s="373"/>
      <x:c r="G388" s="373"/>
      <x:c r="H388" s="373"/>
      <x:c r="I388" s="373"/>
      <x:c r="J388" s="373"/>
      <x:c r="K388" s="373"/>
      <x:c r="L388" s="373"/>
      <x:c r="M388" s="373"/>
      <x:c r="N388" s="373"/>
      <x:c r="O388" s="373"/>
      <x:c r="P388" s="373"/>
      <x:c r="Q388" s="373"/>
      <x:c r="R388" s="373"/>
      <x:c r="S388" s="373"/>
      <x:c r="T388" s="373"/>
      <x:c r="U388" s="373"/>
      <x:c r="V388" s="373"/>
      <x:c r="W388" s="373"/>
      <x:c r="X388" s="373"/>
      <x:c r="Y388" s="373"/>
      <x:c r="Z388" s="373"/>
    </x:row>
    <x:row r="389">
      <x:c r="A389" s="373"/>
      <x:c r="B389" s="373"/>
      <x:c r="C389" s="373"/>
      <x:c r="D389" s="373"/>
      <x:c r="E389" s="373"/>
      <x:c r="F389" s="373"/>
      <x:c r="G389" s="373"/>
      <x:c r="H389" s="373"/>
      <x:c r="I389" s="373"/>
      <x:c r="J389" s="373"/>
      <x:c r="K389" s="373"/>
      <x:c r="L389" s="373"/>
      <x:c r="M389" s="373"/>
      <x:c r="N389" s="373"/>
      <x:c r="O389" s="373"/>
      <x:c r="P389" s="373"/>
      <x:c r="Q389" s="373"/>
      <x:c r="R389" s="373"/>
      <x:c r="S389" s="373"/>
      <x:c r="T389" s="373"/>
      <x:c r="U389" s="373"/>
      <x:c r="V389" s="373"/>
      <x:c r="W389" s="373"/>
      <x:c r="X389" s="373"/>
      <x:c r="Y389" s="373"/>
      <x:c r="Z389" s="373"/>
    </x:row>
    <x:row r="390">
      <x:c r="A390" s="373"/>
      <x:c r="B390" s="373"/>
      <x:c r="C390" s="373"/>
      <x:c r="D390" s="373"/>
      <x:c r="E390" s="373"/>
      <x:c r="F390" s="373"/>
      <x:c r="G390" s="373"/>
      <x:c r="H390" s="373"/>
      <x:c r="I390" s="373"/>
      <x:c r="J390" s="373"/>
      <x:c r="K390" s="373"/>
      <x:c r="L390" s="373"/>
      <x:c r="M390" s="373"/>
      <x:c r="N390" s="373"/>
      <x:c r="O390" s="373"/>
      <x:c r="P390" s="373"/>
      <x:c r="Q390" s="373"/>
      <x:c r="R390" s="373"/>
      <x:c r="S390" s="373"/>
      <x:c r="T390" s="373"/>
      <x:c r="U390" s="373"/>
      <x:c r="V390" s="373"/>
      <x:c r="W390" s="373"/>
      <x:c r="X390" s="373"/>
      <x:c r="Y390" s="373"/>
      <x:c r="Z390" s="373"/>
    </x:row>
    <x:row r="391">
      <x:c r="A391" s="373"/>
      <x:c r="B391" s="373"/>
      <x:c r="C391" s="373"/>
      <x:c r="D391" s="373"/>
      <x:c r="E391" s="373"/>
      <x:c r="F391" s="373"/>
      <x:c r="G391" s="373"/>
      <x:c r="H391" s="373"/>
      <x:c r="I391" s="373"/>
      <x:c r="J391" s="373"/>
      <x:c r="K391" s="373"/>
      <x:c r="L391" s="373"/>
      <x:c r="M391" s="373"/>
      <x:c r="N391" s="373"/>
      <x:c r="O391" s="373"/>
      <x:c r="P391" s="373"/>
      <x:c r="Q391" s="373"/>
      <x:c r="R391" s="373"/>
      <x:c r="S391" s="373"/>
      <x:c r="T391" s="373"/>
      <x:c r="U391" s="373"/>
      <x:c r="V391" s="373"/>
      <x:c r="W391" s="373"/>
      <x:c r="X391" s="373"/>
      <x:c r="Y391" s="373"/>
      <x:c r="Z391" s="373"/>
    </x:row>
    <x:row r="392">
      <x:c r="A392" s="373"/>
      <x:c r="B392" s="373"/>
      <x:c r="C392" s="373"/>
      <x:c r="D392" s="373"/>
      <x:c r="E392" s="373"/>
      <x:c r="F392" s="373"/>
      <x:c r="G392" s="373"/>
      <x:c r="H392" s="373"/>
      <x:c r="I392" s="373"/>
      <x:c r="J392" s="373"/>
      <x:c r="K392" s="373"/>
      <x:c r="L392" s="373"/>
      <x:c r="M392" s="373"/>
      <x:c r="N392" s="373"/>
      <x:c r="O392" s="373"/>
      <x:c r="P392" s="373"/>
      <x:c r="Q392" s="373"/>
      <x:c r="R392" s="373"/>
      <x:c r="S392" s="373"/>
      <x:c r="T392" s="373"/>
      <x:c r="U392" s="373"/>
      <x:c r="V392" s="373"/>
      <x:c r="W392" s="373"/>
      <x:c r="X392" s="373"/>
      <x:c r="Y392" s="373"/>
      <x:c r="Z392" s="373"/>
    </x:row>
    <x:row r="393">
      <x:c r="A393" s="373"/>
      <x:c r="B393" s="373"/>
      <x:c r="C393" s="373"/>
      <x:c r="D393" s="373"/>
      <x:c r="E393" s="373"/>
      <x:c r="F393" s="373"/>
      <x:c r="G393" s="373"/>
      <x:c r="H393" s="373"/>
      <x:c r="I393" s="373"/>
      <x:c r="J393" s="373"/>
      <x:c r="K393" s="373"/>
      <x:c r="L393" s="373"/>
      <x:c r="M393" s="373"/>
      <x:c r="N393" s="373"/>
      <x:c r="O393" s="373"/>
      <x:c r="P393" s="373"/>
      <x:c r="Q393" s="373"/>
      <x:c r="R393" s="373"/>
      <x:c r="S393" s="373"/>
      <x:c r="T393" s="373"/>
      <x:c r="U393" s="373"/>
      <x:c r="V393" s="373"/>
      <x:c r="W393" s="373"/>
      <x:c r="X393" s="373"/>
      <x:c r="Y393" s="373"/>
      <x:c r="Z393" s="373"/>
    </x:row>
    <x:row r="394">
      <x:c r="A394" s="373"/>
      <x:c r="B394" s="373"/>
      <x:c r="C394" s="373"/>
      <x:c r="D394" s="373"/>
      <x:c r="E394" s="373"/>
      <x:c r="F394" s="373"/>
      <x:c r="G394" s="373"/>
      <x:c r="H394" s="373"/>
      <x:c r="I394" s="373"/>
      <x:c r="J394" s="373"/>
      <x:c r="K394" s="373"/>
      <x:c r="L394" s="373"/>
      <x:c r="M394" s="373"/>
      <x:c r="N394" s="373"/>
      <x:c r="O394" s="373"/>
      <x:c r="P394" s="373"/>
      <x:c r="Q394" s="373"/>
      <x:c r="R394" s="373"/>
      <x:c r="S394" s="373"/>
      <x:c r="T394" s="373"/>
      <x:c r="U394" s="373"/>
      <x:c r="V394" s="373"/>
      <x:c r="W394" s="373"/>
      <x:c r="X394" s="373"/>
      <x:c r="Y394" s="373"/>
      <x:c r="Z394" s="373"/>
    </x:row>
    <x:row r="395">
      <x:c r="A395" s="373"/>
      <x:c r="B395" s="373"/>
      <x:c r="C395" s="373"/>
      <x:c r="D395" s="373"/>
      <x:c r="E395" s="373"/>
      <x:c r="F395" s="373"/>
      <x:c r="G395" s="373"/>
      <x:c r="H395" s="373"/>
      <x:c r="I395" s="373"/>
      <x:c r="J395" s="373"/>
      <x:c r="K395" s="373"/>
      <x:c r="L395" s="373"/>
      <x:c r="M395" s="373"/>
      <x:c r="N395" s="373"/>
      <x:c r="O395" s="373"/>
      <x:c r="P395" s="373"/>
      <x:c r="Q395" s="373"/>
      <x:c r="R395" s="373"/>
      <x:c r="S395" s="373"/>
      <x:c r="T395" s="373"/>
      <x:c r="U395" s="373"/>
      <x:c r="V395" s="373"/>
      <x:c r="W395" s="373"/>
      <x:c r="X395" s="373"/>
      <x:c r="Y395" s="373"/>
      <x:c r="Z395" s="373"/>
    </x:row>
    <x:row r="396">
      <x:c r="A396" s="373"/>
      <x:c r="B396" s="373"/>
      <x:c r="C396" s="373"/>
      <x:c r="D396" s="373"/>
      <x:c r="E396" s="373"/>
      <x:c r="F396" s="373"/>
      <x:c r="G396" s="373"/>
      <x:c r="H396" s="373"/>
      <x:c r="I396" s="373"/>
      <x:c r="J396" s="373"/>
      <x:c r="K396" s="373"/>
      <x:c r="L396" s="373"/>
      <x:c r="M396" s="373"/>
      <x:c r="N396" s="373"/>
      <x:c r="O396" s="373"/>
      <x:c r="P396" s="373"/>
      <x:c r="Q396" s="373"/>
      <x:c r="R396" s="373"/>
      <x:c r="S396" s="373"/>
      <x:c r="T396" s="373"/>
      <x:c r="U396" s="373"/>
      <x:c r="V396" s="373"/>
      <x:c r="W396" s="373"/>
      <x:c r="X396" s="373"/>
      <x:c r="Y396" s="373"/>
      <x:c r="Z396" s="373"/>
    </x:row>
    <x:row r="397">
      <x:c r="A397" s="373"/>
      <x:c r="B397" s="373"/>
      <x:c r="C397" s="373"/>
      <x:c r="D397" s="373"/>
      <x:c r="E397" s="373"/>
      <x:c r="F397" s="373"/>
      <x:c r="G397" s="373"/>
      <x:c r="H397" s="373"/>
      <x:c r="I397" s="373"/>
      <x:c r="J397" s="373"/>
      <x:c r="K397" s="373"/>
      <x:c r="L397" s="373"/>
      <x:c r="M397" s="373"/>
      <x:c r="N397" s="373"/>
      <x:c r="O397" s="373"/>
      <x:c r="P397" s="373"/>
      <x:c r="Q397" s="373"/>
      <x:c r="R397" s="373"/>
      <x:c r="S397" s="373"/>
      <x:c r="T397" s="373"/>
      <x:c r="U397" s="373"/>
      <x:c r="V397" s="373"/>
      <x:c r="W397" s="373"/>
      <x:c r="X397" s="373"/>
      <x:c r="Y397" s="373"/>
      <x:c r="Z397" s="373"/>
    </x:row>
    <x:row r="398">
      <x:c r="A398" s="373"/>
      <x:c r="B398" s="373"/>
      <x:c r="C398" s="373"/>
      <x:c r="D398" s="373"/>
      <x:c r="E398" s="373"/>
      <x:c r="F398" s="373"/>
      <x:c r="G398" s="373"/>
      <x:c r="H398" s="373"/>
      <x:c r="I398" s="373"/>
      <x:c r="J398" s="373"/>
      <x:c r="K398" s="373"/>
      <x:c r="L398" s="373"/>
      <x:c r="M398" s="373"/>
      <x:c r="N398" s="373"/>
      <x:c r="O398" s="373"/>
      <x:c r="P398" s="373"/>
      <x:c r="Q398" s="373"/>
      <x:c r="R398" s="373"/>
      <x:c r="S398" s="373"/>
      <x:c r="T398" s="373"/>
      <x:c r="U398" s="373"/>
      <x:c r="V398" s="373"/>
      <x:c r="W398" s="373"/>
      <x:c r="X398" s="373"/>
      <x:c r="Y398" s="373"/>
      <x:c r="Z398" s="373"/>
    </x:row>
    <x:row r="399">
      <x:c r="A399" s="373"/>
      <x:c r="B399" s="373"/>
      <x:c r="C399" s="373"/>
      <x:c r="D399" s="373"/>
      <x:c r="E399" s="373"/>
      <x:c r="F399" s="373"/>
      <x:c r="G399" s="373"/>
      <x:c r="H399" s="373"/>
      <x:c r="I399" s="373"/>
      <x:c r="J399" s="373"/>
      <x:c r="K399" s="373"/>
      <x:c r="L399" s="373"/>
      <x:c r="M399" s="373"/>
      <x:c r="N399" s="373"/>
      <x:c r="O399" s="373"/>
      <x:c r="P399" s="373"/>
      <x:c r="Q399" s="373"/>
      <x:c r="R399" s="373"/>
      <x:c r="S399" s="373"/>
      <x:c r="T399" s="373"/>
      <x:c r="U399" s="373"/>
      <x:c r="V399" s="373"/>
      <x:c r="W399" s="373"/>
      <x:c r="X399" s="373"/>
      <x:c r="Y399" s="373"/>
      <x:c r="Z399" s="373"/>
    </x:row>
    <x:row r="400">
      <x:c r="A400" s="373"/>
      <x:c r="B400" s="373"/>
      <x:c r="C400" s="373"/>
      <x:c r="D400" s="373"/>
      <x:c r="E400" s="373"/>
      <x:c r="F400" s="373"/>
      <x:c r="G400" s="373"/>
      <x:c r="H400" s="373"/>
      <x:c r="I400" s="373"/>
      <x:c r="J400" s="373"/>
      <x:c r="K400" s="373"/>
      <x:c r="L400" s="373"/>
      <x:c r="M400" s="373"/>
      <x:c r="N400" s="373"/>
      <x:c r="O400" s="373"/>
      <x:c r="P400" s="373"/>
      <x:c r="Q400" s="373"/>
      <x:c r="R400" s="373"/>
      <x:c r="S400" s="373"/>
      <x:c r="T400" s="373"/>
      <x:c r="U400" s="373"/>
      <x:c r="V400" s="373"/>
      <x:c r="W400" s="373"/>
      <x:c r="X400" s="373"/>
      <x:c r="Y400" s="373"/>
      <x:c r="Z400" s="373"/>
    </x:row>
    <x:row r="401">
      <x:c r="A401" s="373"/>
      <x:c r="B401" s="373"/>
      <x:c r="C401" s="373"/>
      <x:c r="D401" s="373"/>
      <x:c r="E401" s="373"/>
      <x:c r="F401" s="373"/>
      <x:c r="G401" s="373"/>
      <x:c r="H401" s="373"/>
      <x:c r="I401" s="373"/>
      <x:c r="J401" s="373"/>
      <x:c r="K401" s="373"/>
      <x:c r="L401" s="373"/>
      <x:c r="M401" s="373"/>
      <x:c r="N401" s="373"/>
      <x:c r="O401" s="373"/>
      <x:c r="P401" s="373"/>
      <x:c r="Q401" s="373"/>
      <x:c r="R401" s="373"/>
      <x:c r="S401" s="373"/>
      <x:c r="T401" s="373"/>
      <x:c r="U401" s="373"/>
      <x:c r="V401" s="373"/>
      <x:c r="W401" s="373"/>
      <x:c r="X401" s="373"/>
      <x:c r="Y401" s="373"/>
      <x:c r="Z401" s="373"/>
    </x:row>
    <x:row r="402">
      <x:c r="A402" s="373"/>
      <x:c r="B402" s="373"/>
      <x:c r="C402" s="373"/>
      <x:c r="D402" s="373"/>
      <x:c r="E402" s="373"/>
      <x:c r="F402" s="373"/>
      <x:c r="G402" s="373"/>
      <x:c r="H402" s="373"/>
      <x:c r="I402" s="373"/>
      <x:c r="J402" s="373"/>
      <x:c r="K402" s="373"/>
      <x:c r="L402" s="373"/>
      <x:c r="M402" s="373"/>
      <x:c r="N402" s="373"/>
      <x:c r="O402" s="373"/>
      <x:c r="P402" s="373"/>
      <x:c r="Q402" s="373"/>
      <x:c r="R402" s="373"/>
      <x:c r="S402" s="373"/>
      <x:c r="T402" s="373"/>
      <x:c r="U402" s="373"/>
      <x:c r="V402" s="373"/>
      <x:c r="W402" s="373"/>
      <x:c r="X402" s="373"/>
      <x:c r="Y402" s="373"/>
      <x:c r="Z402" s="373"/>
    </x:row>
    <x:row r="403">
      <x:c r="A403" s="373"/>
      <x:c r="B403" s="373"/>
      <x:c r="C403" s="373"/>
      <x:c r="D403" s="373"/>
      <x:c r="E403" s="373"/>
      <x:c r="F403" s="373"/>
      <x:c r="G403" s="373"/>
      <x:c r="H403" s="373"/>
      <x:c r="I403" s="373"/>
      <x:c r="J403" s="373"/>
      <x:c r="K403" s="373"/>
      <x:c r="L403" s="373"/>
      <x:c r="M403" s="373"/>
      <x:c r="N403" s="373"/>
      <x:c r="O403" s="373"/>
      <x:c r="P403" s="373"/>
      <x:c r="Q403" s="373"/>
      <x:c r="R403" s="373"/>
      <x:c r="S403" s="373"/>
      <x:c r="T403" s="373"/>
      <x:c r="U403" s="373"/>
      <x:c r="V403" s="373"/>
      <x:c r="W403" s="373"/>
      <x:c r="X403" s="373"/>
      <x:c r="Y403" s="373"/>
      <x:c r="Z403" s="373"/>
    </x:row>
    <x:row r="404">
      <x:c r="A404" s="373"/>
      <x:c r="B404" s="373"/>
      <x:c r="C404" s="373"/>
      <x:c r="D404" s="373"/>
      <x:c r="E404" s="373"/>
      <x:c r="F404" s="373"/>
      <x:c r="G404" s="373"/>
      <x:c r="H404" s="373"/>
      <x:c r="I404" s="373"/>
      <x:c r="J404" s="373"/>
      <x:c r="K404" s="373"/>
      <x:c r="L404" s="373"/>
      <x:c r="M404" s="373"/>
      <x:c r="N404" s="373"/>
      <x:c r="O404" s="373"/>
      <x:c r="P404" s="373"/>
      <x:c r="Q404" s="373"/>
      <x:c r="R404" s="373"/>
      <x:c r="S404" s="373"/>
      <x:c r="T404" s="373"/>
      <x:c r="U404" s="373"/>
      <x:c r="V404" s="373"/>
      <x:c r="W404" s="373"/>
      <x:c r="X404" s="373"/>
      <x:c r="Y404" s="373"/>
      <x:c r="Z404" s="373"/>
    </x:row>
    <x:row r="405">
      <x:c r="A405" s="373"/>
      <x:c r="B405" s="373"/>
      <x:c r="C405" s="373"/>
      <x:c r="D405" s="373"/>
      <x:c r="E405" s="373"/>
      <x:c r="F405" s="373"/>
      <x:c r="G405" s="373"/>
      <x:c r="H405" s="373"/>
      <x:c r="I405" s="373"/>
      <x:c r="J405" s="373"/>
      <x:c r="K405" s="373"/>
      <x:c r="L405" s="373"/>
      <x:c r="M405" s="373"/>
      <x:c r="N405" s="373"/>
      <x:c r="O405" s="373"/>
      <x:c r="P405" s="373"/>
      <x:c r="Q405" s="373"/>
      <x:c r="R405" s="373"/>
      <x:c r="S405" s="373"/>
      <x:c r="T405" s="373"/>
      <x:c r="U405" s="373"/>
      <x:c r="V405" s="373"/>
      <x:c r="W405" s="373"/>
      <x:c r="X405" s="373"/>
      <x:c r="Y405" s="373"/>
      <x:c r="Z405" s="373"/>
    </x:row>
    <x:row r="406">
      <x:c r="A406" s="373"/>
      <x:c r="B406" s="373"/>
      <x:c r="C406" s="373"/>
      <x:c r="D406" s="373"/>
      <x:c r="E406" s="373"/>
      <x:c r="F406" s="373"/>
      <x:c r="G406" s="373"/>
      <x:c r="H406" s="373"/>
      <x:c r="I406" s="373"/>
      <x:c r="J406" s="373"/>
      <x:c r="K406" s="373"/>
      <x:c r="L406" s="373"/>
      <x:c r="M406" s="373"/>
      <x:c r="N406" s="373"/>
      <x:c r="O406" s="373"/>
      <x:c r="P406" s="373"/>
      <x:c r="Q406" s="373"/>
      <x:c r="R406" s="373"/>
      <x:c r="S406" s="373"/>
      <x:c r="T406" s="373"/>
      <x:c r="U406" s="373"/>
      <x:c r="V406" s="373"/>
      <x:c r="W406" s="373"/>
      <x:c r="X406" s="373"/>
      <x:c r="Y406" s="373"/>
      <x:c r="Z406" s="373"/>
    </x:row>
    <x:row r="407">
      <x:c r="A407" s="373"/>
      <x:c r="B407" s="373"/>
      <x:c r="C407" s="373"/>
      <x:c r="D407" s="373"/>
      <x:c r="E407" s="373"/>
      <x:c r="F407" s="373"/>
      <x:c r="G407" s="373"/>
      <x:c r="H407" s="373"/>
      <x:c r="I407" s="373"/>
      <x:c r="J407" s="373"/>
      <x:c r="K407" s="373"/>
      <x:c r="L407" s="373"/>
      <x:c r="M407" s="373"/>
      <x:c r="N407" s="373"/>
      <x:c r="O407" s="373"/>
      <x:c r="P407" s="373"/>
      <x:c r="Q407" s="373"/>
      <x:c r="R407" s="373"/>
      <x:c r="S407" s="373"/>
      <x:c r="T407" s="373"/>
      <x:c r="U407" s="373"/>
      <x:c r="V407" s="373"/>
      <x:c r="W407" s="373"/>
      <x:c r="X407" s="373"/>
      <x:c r="Y407" s="373"/>
      <x:c r="Z407" s="373"/>
    </x:row>
    <x:row r="408">
      <x:c r="A408" s="373"/>
      <x:c r="B408" s="373"/>
      <x:c r="C408" s="373"/>
      <x:c r="D408" s="373"/>
      <x:c r="E408" s="373"/>
      <x:c r="F408" s="373"/>
      <x:c r="G408" s="373"/>
      <x:c r="H408" s="373"/>
      <x:c r="I408" s="373"/>
      <x:c r="J408" s="373"/>
      <x:c r="K408" s="373"/>
      <x:c r="L408" s="373"/>
      <x:c r="M408" s="373"/>
      <x:c r="N408" s="373"/>
      <x:c r="O408" s="373"/>
      <x:c r="P408" s="373"/>
      <x:c r="Q408" s="373"/>
      <x:c r="R408" s="373"/>
      <x:c r="S408" s="373"/>
      <x:c r="T408" s="373"/>
      <x:c r="U408" s="373"/>
      <x:c r="V408" s="373"/>
      <x:c r="W408" s="373"/>
      <x:c r="X408" s="373"/>
      <x:c r="Y408" s="373"/>
      <x:c r="Z408" s="373"/>
    </x:row>
    <x:row r="409">
      <x:c r="A409" s="373"/>
      <x:c r="B409" s="373"/>
      <x:c r="C409" s="373"/>
      <x:c r="D409" s="373"/>
      <x:c r="E409" s="373"/>
      <x:c r="F409" s="373"/>
      <x:c r="G409" s="373"/>
      <x:c r="H409" s="373"/>
      <x:c r="I409" s="373"/>
      <x:c r="J409" s="373"/>
      <x:c r="K409" s="373"/>
      <x:c r="L409" s="373"/>
      <x:c r="M409" s="373"/>
      <x:c r="N409" s="373"/>
      <x:c r="O409" s="373"/>
      <x:c r="P409" s="373"/>
      <x:c r="Q409" s="373"/>
      <x:c r="R409" s="373"/>
      <x:c r="S409" s="373"/>
      <x:c r="T409" s="373"/>
      <x:c r="U409" s="373"/>
      <x:c r="V409" s="373"/>
      <x:c r="W409" s="373"/>
      <x:c r="X409" s="373"/>
      <x:c r="Y409" s="373"/>
      <x:c r="Z409" s="373"/>
    </x:row>
    <x:row r="410">
      <x:c r="A410" s="373"/>
      <x:c r="B410" s="373"/>
      <x:c r="C410" s="373"/>
      <x:c r="D410" s="373"/>
      <x:c r="E410" s="373"/>
      <x:c r="F410" s="373"/>
      <x:c r="G410" s="373"/>
      <x:c r="H410" s="373"/>
      <x:c r="I410" s="373"/>
      <x:c r="J410" s="373"/>
      <x:c r="K410" s="373"/>
      <x:c r="L410" s="373"/>
      <x:c r="M410" s="373"/>
      <x:c r="N410" s="373"/>
      <x:c r="O410" s="373"/>
      <x:c r="P410" s="373"/>
      <x:c r="Q410" s="373"/>
      <x:c r="R410" s="373"/>
      <x:c r="S410" s="373"/>
      <x:c r="T410" s="373"/>
      <x:c r="U410" s="373"/>
      <x:c r="V410" s="373"/>
      <x:c r="W410" s="373"/>
      <x:c r="X410" s="373"/>
      <x:c r="Y410" s="373"/>
      <x:c r="Z410" s="373"/>
    </x:row>
    <x:row r="411">
      <x:c r="A411" s="373"/>
      <x:c r="B411" s="373"/>
      <x:c r="C411" s="373"/>
      <x:c r="D411" s="373"/>
      <x:c r="E411" s="373"/>
      <x:c r="F411" s="373"/>
      <x:c r="G411" s="373"/>
      <x:c r="H411" s="373"/>
      <x:c r="I411" s="373"/>
      <x:c r="J411" s="373"/>
      <x:c r="K411" s="373"/>
      <x:c r="L411" s="373"/>
      <x:c r="M411" s="373"/>
      <x:c r="N411" s="373"/>
      <x:c r="O411" s="373"/>
      <x:c r="P411" s="373"/>
      <x:c r="Q411" s="373"/>
      <x:c r="R411" s="373"/>
      <x:c r="S411" s="373"/>
      <x:c r="T411" s="373"/>
      <x:c r="U411" s="373"/>
      <x:c r="V411" s="373"/>
      <x:c r="W411" s="373"/>
      <x:c r="X411" s="373"/>
      <x:c r="Y411" s="373"/>
      <x:c r="Z411" s="373"/>
    </x:row>
    <x:row r="412">
      <x:c r="A412" s="373"/>
      <x:c r="B412" s="373"/>
      <x:c r="C412" s="373"/>
      <x:c r="D412" s="373"/>
      <x:c r="E412" s="373"/>
      <x:c r="F412" s="373"/>
      <x:c r="G412" s="373"/>
      <x:c r="H412" s="373"/>
      <x:c r="I412" s="373"/>
      <x:c r="J412" s="373"/>
      <x:c r="K412" s="373"/>
      <x:c r="L412" s="373"/>
      <x:c r="M412" s="373"/>
      <x:c r="N412" s="373"/>
      <x:c r="O412" s="373"/>
      <x:c r="P412" s="373"/>
      <x:c r="Q412" s="373"/>
      <x:c r="R412" s="373"/>
      <x:c r="S412" s="373"/>
      <x:c r="T412" s="373"/>
      <x:c r="U412" s="373"/>
      <x:c r="V412" s="373"/>
      <x:c r="W412" s="373"/>
      <x:c r="X412" s="373"/>
      <x:c r="Y412" s="373"/>
      <x:c r="Z412" s="373"/>
    </x:row>
    <x:row r="413">
      <x:c r="A413" s="373"/>
      <x:c r="B413" s="373"/>
      <x:c r="C413" s="373"/>
      <x:c r="D413" s="373"/>
      <x:c r="E413" s="373"/>
      <x:c r="F413" s="373"/>
      <x:c r="G413" s="373"/>
      <x:c r="H413" s="373"/>
      <x:c r="I413" s="373"/>
      <x:c r="J413" s="373"/>
      <x:c r="K413" s="373"/>
      <x:c r="L413" s="373"/>
      <x:c r="M413" s="373"/>
      <x:c r="N413" s="373"/>
      <x:c r="O413" s="373"/>
      <x:c r="P413" s="373"/>
      <x:c r="Q413" s="373"/>
      <x:c r="R413" s="373"/>
      <x:c r="S413" s="373"/>
      <x:c r="T413" s="373"/>
      <x:c r="U413" s="373"/>
      <x:c r="V413" s="373"/>
      <x:c r="W413" s="373"/>
      <x:c r="X413" s="373"/>
      <x:c r="Y413" s="373"/>
      <x:c r="Z413" s="373"/>
    </x:row>
    <x:row r="414">
      <x:c r="A414" s="373"/>
      <x:c r="B414" s="373"/>
      <x:c r="C414" s="373"/>
      <x:c r="D414" s="373"/>
      <x:c r="E414" s="373"/>
      <x:c r="F414" s="373"/>
      <x:c r="G414" s="373"/>
      <x:c r="H414" s="373"/>
      <x:c r="I414" s="373"/>
      <x:c r="J414" s="373"/>
      <x:c r="K414" s="373"/>
      <x:c r="L414" s="373"/>
      <x:c r="M414" s="373"/>
      <x:c r="N414" s="373"/>
      <x:c r="O414" s="373"/>
      <x:c r="P414" s="373"/>
      <x:c r="Q414" s="373"/>
      <x:c r="R414" s="373"/>
      <x:c r="S414" s="373"/>
      <x:c r="T414" s="373"/>
      <x:c r="U414" s="373"/>
      <x:c r="V414" s="373"/>
      <x:c r="W414" s="373"/>
      <x:c r="X414" s="373"/>
      <x:c r="Y414" s="373"/>
      <x:c r="Z414" s="373"/>
    </x:row>
    <x:row r="415">
      <x:c r="A415" s="373"/>
      <x:c r="B415" s="373"/>
      <x:c r="C415" s="373"/>
      <x:c r="D415" s="373"/>
      <x:c r="E415" s="373"/>
      <x:c r="F415" s="373"/>
      <x:c r="G415" s="373"/>
      <x:c r="H415" s="373"/>
      <x:c r="I415" s="373"/>
      <x:c r="J415" s="373"/>
      <x:c r="K415" s="373"/>
      <x:c r="L415" s="373"/>
      <x:c r="M415" s="373"/>
      <x:c r="N415" s="373"/>
      <x:c r="O415" s="373"/>
      <x:c r="P415" s="373"/>
      <x:c r="Q415" s="373"/>
      <x:c r="R415" s="373"/>
      <x:c r="S415" s="373"/>
      <x:c r="T415" s="373"/>
      <x:c r="U415" s="373"/>
      <x:c r="V415" s="373"/>
      <x:c r="W415" s="373"/>
      <x:c r="X415" s="373"/>
      <x:c r="Y415" s="373"/>
      <x:c r="Z415" s="373"/>
    </x:row>
    <x:row r="416">
      <x:c r="A416" s="373"/>
      <x:c r="B416" s="373"/>
      <x:c r="C416" s="373"/>
      <x:c r="D416" s="373"/>
      <x:c r="E416" s="373"/>
      <x:c r="F416" s="373"/>
      <x:c r="G416" s="373"/>
      <x:c r="H416" s="373"/>
      <x:c r="I416" s="373"/>
      <x:c r="J416" s="373"/>
      <x:c r="K416" s="373"/>
      <x:c r="L416" s="373"/>
      <x:c r="M416" s="373"/>
      <x:c r="N416" s="373"/>
      <x:c r="O416" s="373"/>
      <x:c r="P416" s="373"/>
      <x:c r="Q416" s="373"/>
      <x:c r="R416" s="373"/>
      <x:c r="S416" s="373"/>
      <x:c r="T416" s="373"/>
      <x:c r="U416" s="373"/>
      <x:c r="V416" s="373"/>
      <x:c r="W416" s="373"/>
      <x:c r="X416" s="373"/>
      <x:c r="Y416" s="373"/>
      <x:c r="Z416" s="373"/>
    </x:row>
    <x:row r="417">
      <x:c r="A417" s="373"/>
      <x:c r="B417" s="373"/>
      <x:c r="C417" s="373"/>
      <x:c r="D417" s="373"/>
      <x:c r="E417" s="373"/>
      <x:c r="F417" s="373"/>
      <x:c r="G417" s="373"/>
      <x:c r="H417" s="373"/>
      <x:c r="I417" s="373"/>
      <x:c r="J417" s="373"/>
      <x:c r="K417" s="373"/>
      <x:c r="L417" s="373"/>
      <x:c r="M417" s="373"/>
      <x:c r="N417" s="373"/>
      <x:c r="O417" s="373"/>
      <x:c r="P417" s="373"/>
      <x:c r="Q417" s="373"/>
      <x:c r="R417" s="373"/>
      <x:c r="S417" s="373"/>
      <x:c r="T417" s="373"/>
      <x:c r="U417" s="373"/>
      <x:c r="V417" s="373"/>
      <x:c r="W417" s="373"/>
      <x:c r="X417" s="373"/>
      <x:c r="Y417" s="373"/>
      <x:c r="Z417" s="373"/>
    </x:row>
    <x:row r="418">
      <x:c r="A418" s="373"/>
      <x:c r="B418" s="373"/>
      <x:c r="C418" s="373"/>
      <x:c r="D418" s="373"/>
      <x:c r="E418" s="373"/>
      <x:c r="F418" s="373"/>
      <x:c r="G418" s="373"/>
      <x:c r="H418" s="373"/>
      <x:c r="I418" s="373"/>
      <x:c r="J418" s="373"/>
      <x:c r="K418" s="373"/>
      <x:c r="L418" s="373"/>
      <x:c r="M418" s="373"/>
      <x:c r="N418" s="373"/>
      <x:c r="O418" s="373"/>
      <x:c r="P418" s="373"/>
      <x:c r="Q418" s="373"/>
      <x:c r="R418" s="373"/>
      <x:c r="S418" s="373"/>
      <x:c r="T418" s="373"/>
      <x:c r="U418" s="373"/>
      <x:c r="V418" s="373"/>
      <x:c r="W418" s="373"/>
      <x:c r="X418" s="373"/>
      <x:c r="Y418" s="373"/>
      <x:c r="Z418" s="373"/>
    </x:row>
    <x:row r="419">
      <x:c r="A419" s="373"/>
      <x:c r="B419" s="373"/>
      <x:c r="C419" s="373"/>
      <x:c r="D419" s="373"/>
      <x:c r="E419" s="373"/>
      <x:c r="F419" s="373"/>
      <x:c r="G419" s="373"/>
      <x:c r="H419" s="373"/>
      <x:c r="I419" s="373"/>
      <x:c r="J419" s="373"/>
      <x:c r="K419" s="373"/>
      <x:c r="L419" s="373"/>
      <x:c r="M419" s="373"/>
      <x:c r="N419" s="373"/>
      <x:c r="O419" s="373"/>
      <x:c r="P419" s="373"/>
      <x:c r="Q419" s="373"/>
      <x:c r="R419" s="373"/>
      <x:c r="S419" s="373"/>
      <x:c r="T419" s="373"/>
      <x:c r="U419" s="373"/>
      <x:c r="V419" s="373"/>
      <x:c r="W419" s="373"/>
      <x:c r="X419" s="373"/>
      <x:c r="Y419" s="373"/>
      <x:c r="Z419" s="373"/>
    </x:row>
    <x:row r="420">
      <x:c r="A420" s="373"/>
      <x:c r="B420" s="373"/>
      <x:c r="C420" s="373"/>
      <x:c r="D420" s="373"/>
      <x:c r="E420" s="373"/>
      <x:c r="F420" s="373"/>
      <x:c r="G420" s="373"/>
      <x:c r="H420" s="373"/>
      <x:c r="I420" s="373"/>
      <x:c r="J420" s="373"/>
      <x:c r="K420" s="373"/>
      <x:c r="L420" s="373"/>
      <x:c r="M420" s="373"/>
      <x:c r="N420" s="373"/>
      <x:c r="O420" s="373"/>
      <x:c r="P420" s="373"/>
      <x:c r="Q420" s="373"/>
      <x:c r="R420" s="373"/>
      <x:c r="S420" s="373"/>
      <x:c r="T420" s="373"/>
      <x:c r="U420" s="373"/>
      <x:c r="V420" s="373"/>
      <x:c r="W420" s="373"/>
      <x:c r="X420" s="373"/>
      <x:c r="Y420" s="373"/>
      <x:c r="Z420" s="373"/>
    </x:row>
    <x:row r="421">
      <x:c r="A421" s="373"/>
      <x:c r="B421" s="373"/>
      <x:c r="C421" s="373"/>
      <x:c r="D421" s="373"/>
      <x:c r="E421" s="373"/>
      <x:c r="F421" s="373"/>
      <x:c r="G421" s="373"/>
      <x:c r="H421" s="373"/>
      <x:c r="I421" s="373"/>
      <x:c r="J421" s="373"/>
      <x:c r="K421" s="373"/>
      <x:c r="L421" s="373"/>
      <x:c r="M421" s="373"/>
      <x:c r="N421" s="373"/>
      <x:c r="O421" s="373"/>
      <x:c r="P421" s="373"/>
      <x:c r="Q421" s="373"/>
      <x:c r="R421" s="373"/>
      <x:c r="S421" s="373"/>
      <x:c r="T421" s="373"/>
      <x:c r="U421" s="373"/>
      <x:c r="V421" s="373"/>
      <x:c r="W421" s="373"/>
      <x:c r="X421" s="373"/>
      <x:c r="Y421" s="373"/>
      <x:c r="Z421" s="373"/>
    </x:row>
    <x:row r="422">
      <x:c r="A422" s="373"/>
      <x:c r="B422" s="373"/>
      <x:c r="C422" s="373"/>
      <x:c r="D422" s="373"/>
      <x:c r="E422" s="373"/>
      <x:c r="F422" s="373"/>
      <x:c r="G422" s="373"/>
      <x:c r="H422" s="373"/>
      <x:c r="I422" s="373"/>
      <x:c r="J422" s="373"/>
      <x:c r="K422" s="373"/>
      <x:c r="L422" s="373"/>
      <x:c r="M422" s="373"/>
      <x:c r="N422" s="373"/>
      <x:c r="O422" s="373"/>
      <x:c r="P422" s="373"/>
      <x:c r="Q422" s="373"/>
      <x:c r="R422" s="373"/>
      <x:c r="S422" s="373"/>
      <x:c r="T422" s="373"/>
      <x:c r="U422" s="373"/>
      <x:c r="V422" s="373"/>
      <x:c r="W422" s="373"/>
      <x:c r="X422" s="373"/>
      <x:c r="Y422" s="373"/>
      <x:c r="Z422" s="373"/>
    </x:row>
    <x:row r="423">
      <x:c r="A423" s="373"/>
      <x:c r="B423" s="373"/>
      <x:c r="C423" s="373"/>
      <x:c r="D423" s="373"/>
      <x:c r="E423" s="373"/>
      <x:c r="F423" s="373"/>
      <x:c r="G423" s="373"/>
      <x:c r="H423" s="373"/>
      <x:c r="I423" s="373"/>
      <x:c r="J423" s="373"/>
      <x:c r="K423" s="373"/>
      <x:c r="L423" s="373"/>
      <x:c r="M423" s="373"/>
      <x:c r="N423" s="373"/>
      <x:c r="O423" s="373"/>
      <x:c r="P423" s="373"/>
      <x:c r="Q423" s="373"/>
      <x:c r="R423" s="373"/>
      <x:c r="S423" s="373"/>
      <x:c r="T423" s="373"/>
      <x:c r="U423" s="373"/>
      <x:c r="V423" s="373"/>
      <x:c r="W423" s="373"/>
      <x:c r="X423" s="373"/>
      <x:c r="Y423" s="373"/>
      <x:c r="Z423" s="373"/>
    </x:row>
    <x:row r="424">
      <x:c r="A424" s="373"/>
      <x:c r="B424" s="373"/>
      <x:c r="C424" s="373"/>
      <x:c r="D424" s="373"/>
      <x:c r="E424" s="373"/>
      <x:c r="F424" s="373"/>
      <x:c r="G424" s="373"/>
      <x:c r="H424" s="373"/>
      <x:c r="I424" s="373"/>
      <x:c r="J424" s="373"/>
      <x:c r="K424" s="373"/>
      <x:c r="L424" s="373"/>
      <x:c r="M424" s="373"/>
      <x:c r="N424" s="373"/>
      <x:c r="O424" s="373"/>
      <x:c r="P424" s="373"/>
      <x:c r="Q424" s="373"/>
      <x:c r="R424" s="373"/>
      <x:c r="S424" s="373"/>
      <x:c r="T424" s="373"/>
      <x:c r="U424" s="373"/>
      <x:c r="V424" s="373"/>
      <x:c r="W424" s="373"/>
      <x:c r="X424" s="373"/>
      <x:c r="Y424" s="373"/>
      <x:c r="Z424" s="373"/>
    </x:row>
    <x:row r="425">
      <x:c r="A425" s="373"/>
      <x:c r="B425" s="373"/>
      <x:c r="C425" s="373"/>
      <x:c r="D425" s="373"/>
      <x:c r="E425" s="373"/>
      <x:c r="F425" s="373"/>
      <x:c r="G425" s="373"/>
      <x:c r="H425" s="373"/>
      <x:c r="I425" s="373"/>
      <x:c r="J425" s="373"/>
      <x:c r="K425" s="373"/>
      <x:c r="L425" s="373"/>
      <x:c r="M425" s="373"/>
      <x:c r="N425" s="373"/>
      <x:c r="O425" s="373"/>
      <x:c r="P425" s="373"/>
      <x:c r="Q425" s="373"/>
      <x:c r="R425" s="373"/>
      <x:c r="S425" s="373"/>
      <x:c r="T425" s="373"/>
      <x:c r="U425" s="373"/>
      <x:c r="V425" s="373"/>
      <x:c r="W425" s="373"/>
      <x:c r="X425" s="373"/>
      <x:c r="Y425" s="373"/>
      <x:c r="Z425" s="373"/>
    </x:row>
    <x:row r="426">
      <x:c r="A426" s="373"/>
      <x:c r="B426" s="373"/>
      <x:c r="C426" s="373"/>
      <x:c r="D426" s="373"/>
      <x:c r="E426" s="373"/>
      <x:c r="F426" s="373"/>
      <x:c r="G426" s="373"/>
      <x:c r="H426" s="373"/>
      <x:c r="I426" s="373"/>
      <x:c r="J426" s="373"/>
      <x:c r="K426" s="373"/>
      <x:c r="L426" s="373"/>
      <x:c r="M426" s="373"/>
      <x:c r="N426" s="373"/>
      <x:c r="O426" s="373"/>
      <x:c r="P426" s="373"/>
      <x:c r="Q426" s="373"/>
      <x:c r="R426" s="373"/>
      <x:c r="S426" s="373"/>
      <x:c r="T426" s="373"/>
      <x:c r="U426" s="373"/>
      <x:c r="V426" s="373"/>
      <x:c r="W426" s="373"/>
      <x:c r="X426" s="373"/>
      <x:c r="Y426" s="373"/>
      <x:c r="Z426" s="373"/>
    </x:row>
    <x:row r="427">
      <x:c r="A427" s="373"/>
      <x:c r="B427" s="373"/>
      <x:c r="C427" s="373"/>
      <x:c r="D427" s="373"/>
      <x:c r="E427" s="373"/>
      <x:c r="F427" s="373"/>
      <x:c r="G427" s="373"/>
      <x:c r="H427" s="373"/>
      <x:c r="I427" s="373"/>
      <x:c r="J427" s="373"/>
      <x:c r="K427" s="373"/>
      <x:c r="L427" s="373"/>
      <x:c r="M427" s="373"/>
      <x:c r="N427" s="373"/>
      <x:c r="O427" s="373"/>
      <x:c r="P427" s="373"/>
      <x:c r="Q427" s="373"/>
      <x:c r="R427" s="373"/>
      <x:c r="S427" s="373"/>
      <x:c r="T427" s="373"/>
      <x:c r="U427" s="373"/>
      <x:c r="V427" s="373"/>
      <x:c r="W427" s="373"/>
      <x:c r="X427" s="373"/>
      <x:c r="Y427" s="373"/>
      <x:c r="Z427" s="373"/>
    </x:row>
    <x:row r="428">
      <x:c r="A428" s="373"/>
      <x:c r="B428" s="373"/>
      <x:c r="C428" s="373"/>
      <x:c r="D428" s="373"/>
      <x:c r="E428" s="373"/>
      <x:c r="F428" s="373"/>
      <x:c r="G428" s="373"/>
      <x:c r="H428" s="373"/>
      <x:c r="I428" s="373"/>
      <x:c r="J428" s="373"/>
      <x:c r="K428" s="373"/>
      <x:c r="L428" s="373"/>
      <x:c r="M428" s="373"/>
      <x:c r="N428" s="373"/>
      <x:c r="O428" s="373"/>
      <x:c r="P428" s="373"/>
      <x:c r="Q428" s="373"/>
      <x:c r="R428" s="373"/>
      <x:c r="S428" s="373"/>
      <x:c r="T428" s="373"/>
      <x:c r="U428" s="373"/>
      <x:c r="V428" s="373"/>
      <x:c r="W428" s="373"/>
      <x:c r="X428" s="373"/>
      <x:c r="Y428" s="373"/>
      <x:c r="Z428" s="373"/>
    </x:row>
    <x:row r="429">
      <x:c r="A429" s="373"/>
      <x:c r="B429" s="373"/>
      <x:c r="C429" s="373"/>
      <x:c r="D429" s="373"/>
      <x:c r="E429" s="373"/>
      <x:c r="F429" s="373"/>
      <x:c r="G429" s="373"/>
      <x:c r="H429" s="373"/>
      <x:c r="I429" s="373"/>
      <x:c r="J429" s="373"/>
      <x:c r="K429" s="373"/>
      <x:c r="L429" s="373"/>
      <x:c r="M429" s="373"/>
      <x:c r="N429" s="373"/>
      <x:c r="O429" s="373"/>
      <x:c r="P429" s="373"/>
      <x:c r="Q429" s="373"/>
      <x:c r="R429" s="373"/>
      <x:c r="S429" s="373"/>
      <x:c r="T429" s="373"/>
      <x:c r="U429" s="373"/>
      <x:c r="V429" s="373"/>
      <x:c r="W429" s="373"/>
      <x:c r="X429" s="373"/>
      <x:c r="Y429" s="373"/>
      <x:c r="Z429" s="373"/>
    </x:row>
    <x:row r="430">
      <x:c r="A430" s="373"/>
      <x:c r="B430" s="373"/>
      <x:c r="C430" s="373"/>
      <x:c r="D430" s="373"/>
      <x:c r="E430" s="373"/>
      <x:c r="F430" s="373"/>
      <x:c r="G430" s="373"/>
      <x:c r="H430" s="373"/>
      <x:c r="I430" s="373"/>
      <x:c r="J430" s="373"/>
      <x:c r="K430" s="373"/>
      <x:c r="L430" s="373"/>
      <x:c r="M430" s="373"/>
      <x:c r="N430" s="373"/>
      <x:c r="O430" s="373"/>
      <x:c r="P430" s="373"/>
      <x:c r="Q430" s="373"/>
      <x:c r="R430" s="373"/>
      <x:c r="S430" s="373"/>
      <x:c r="T430" s="373"/>
      <x:c r="U430" s="373"/>
      <x:c r="V430" s="373"/>
      <x:c r="W430" s="373"/>
      <x:c r="X430" s="373"/>
      <x:c r="Y430" s="373"/>
      <x:c r="Z430" s="373"/>
    </x:row>
    <x:row r="431">
      <x:c r="A431" s="373"/>
      <x:c r="B431" s="373"/>
      <x:c r="C431" s="373"/>
      <x:c r="D431" s="373"/>
      <x:c r="E431" s="373"/>
      <x:c r="F431" s="373"/>
      <x:c r="G431" s="373"/>
      <x:c r="H431" s="373"/>
      <x:c r="I431" s="373"/>
      <x:c r="J431" s="373"/>
      <x:c r="K431" s="373"/>
      <x:c r="L431" s="373"/>
      <x:c r="M431" s="373"/>
      <x:c r="N431" s="373"/>
      <x:c r="O431" s="373"/>
      <x:c r="P431" s="373"/>
      <x:c r="Q431" s="373"/>
      <x:c r="R431" s="373"/>
      <x:c r="S431" s="373"/>
      <x:c r="T431" s="373"/>
      <x:c r="U431" s="373"/>
      <x:c r="V431" s="373"/>
      <x:c r="W431" s="373"/>
      <x:c r="X431" s="373"/>
      <x:c r="Y431" s="373"/>
      <x:c r="Z431" s="373"/>
    </x:row>
    <x:row r="432">
      <x:c r="A432" s="373"/>
      <x:c r="B432" s="373"/>
      <x:c r="C432" s="373"/>
      <x:c r="D432" s="373"/>
      <x:c r="E432" s="373"/>
      <x:c r="F432" s="373"/>
      <x:c r="G432" s="373"/>
      <x:c r="H432" s="373"/>
      <x:c r="I432" s="373"/>
      <x:c r="J432" s="373"/>
      <x:c r="K432" s="373"/>
      <x:c r="L432" s="373"/>
      <x:c r="M432" s="373"/>
      <x:c r="N432" s="373"/>
      <x:c r="O432" s="373"/>
      <x:c r="P432" s="373"/>
      <x:c r="Q432" s="373"/>
      <x:c r="R432" s="373"/>
      <x:c r="S432" s="373"/>
      <x:c r="T432" s="373"/>
      <x:c r="U432" s="373"/>
      <x:c r="V432" s="373"/>
      <x:c r="W432" s="373"/>
      <x:c r="X432" s="373"/>
      <x:c r="Y432" s="373"/>
      <x:c r="Z432" s="373"/>
    </x:row>
    <x:row r="433">
      <x:c r="A433" s="373"/>
      <x:c r="B433" s="373"/>
      <x:c r="C433" s="373"/>
      <x:c r="D433" s="373"/>
      <x:c r="E433" s="373"/>
      <x:c r="F433" s="373"/>
      <x:c r="G433" s="373"/>
      <x:c r="H433" s="373"/>
      <x:c r="I433" s="373"/>
      <x:c r="J433" s="373"/>
      <x:c r="K433" s="373"/>
      <x:c r="L433" s="373"/>
      <x:c r="M433" s="373"/>
      <x:c r="N433" s="373"/>
      <x:c r="O433" s="373"/>
      <x:c r="P433" s="373"/>
      <x:c r="Q433" s="373"/>
      <x:c r="R433" s="373"/>
      <x:c r="S433" s="373"/>
      <x:c r="T433" s="373"/>
      <x:c r="U433" s="373"/>
      <x:c r="V433" s="373"/>
      <x:c r="W433" s="373"/>
      <x:c r="X433" s="373"/>
      <x:c r="Y433" s="373"/>
      <x:c r="Z433" s="373"/>
    </x:row>
    <x:row r="434">
      <x:c r="A434" s="373"/>
      <x:c r="B434" s="373"/>
      <x:c r="C434" s="373"/>
      <x:c r="D434" s="373"/>
      <x:c r="E434" s="373"/>
      <x:c r="F434" s="373"/>
      <x:c r="G434" s="373"/>
      <x:c r="H434" s="373"/>
      <x:c r="I434" s="373"/>
      <x:c r="J434" s="373"/>
      <x:c r="K434" s="373"/>
      <x:c r="L434" s="373"/>
      <x:c r="M434" s="373"/>
      <x:c r="N434" s="373"/>
      <x:c r="O434" s="373"/>
      <x:c r="P434" s="373"/>
      <x:c r="Q434" s="373"/>
      <x:c r="R434" s="373"/>
      <x:c r="S434" s="373"/>
      <x:c r="T434" s="373"/>
      <x:c r="U434" s="373"/>
      <x:c r="V434" s="373"/>
      <x:c r="W434" s="373"/>
      <x:c r="X434" s="373"/>
      <x:c r="Y434" s="373"/>
      <x:c r="Z434" s="373"/>
    </x:row>
    <x:row r="435">
      <x:c r="A435" s="373"/>
      <x:c r="B435" s="373"/>
      <x:c r="C435" s="373"/>
      <x:c r="D435" s="373"/>
      <x:c r="E435" s="373"/>
      <x:c r="F435" s="373"/>
      <x:c r="G435" s="373"/>
      <x:c r="H435" s="373"/>
      <x:c r="I435" s="373"/>
      <x:c r="J435" s="373"/>
      <x:c r="K435" s="373"/>
      <x:c r="L435" s="373"/>
      <x:c r="M435" s="373"/>
      <x:c r="N435" s="373"/>
      <x:c r="O435" s="373"/>
      <x:c r="P435" s="373"/>
      <x:c r="Q435" s="373"/>
      <x:c r="R435" s="373"/>
      <x:c r="S435" s="373"/>
      <x:c r="T435" s="373"/>
      <x:c r="U435" s="373"/>
      <x:c r="V435" s="373"/>
      <x:c r="W435" s="373"/>
      <x:c r="X435" s="373"/>
      <x:c r="Y435" s="373"/>
      <x:c r="Z435" s="373"/>
    </x:row>
    <x:row r="436">
      <x:c r="A436" s="373"/>
      <x:c r="B436" s="373"/>
      <x:c r="C436" s="373"/>
      <x:c r="D436" s="373"/>
      <x:c r="E436" s="373"/>
      <x:c r="F436" s="373"/>
      <x:c r="G436" s="373"/>
      <x:c r="H436" s="373"/>
      <x:c r="I436" s="373"/>
      <x:c r="J436" s="373"/>
      <x:c r="K436" s="373"/>
      <x:c r="L436" s="373"/>
      <x:c r="M436" s="373"/>
      <x:c r="N436" s="373"/>
      <x:c r="O436" s="373"/>
      <x:c r="P436" s="373"/>
      <x:c r="Q436" s="373"/>
      <x:c r="R436" s="373"/>
      <x:c r="S436" s="373"/>
      <x:c r="T436" s="373"/>
      <x:c r="U436" s="373"/>
      <x:c r="V436" s="373"/>
      <x:c r="W436" s="373"/>
      <x:c r="X436" s="373"/>
      <x:c r="Y436" s="373"/>
      <x:c r="Z436" s="373"/>
    </x:row>
    <x:row r="437">
      <x:c r="A437" s="373"/>
      <x:c r="B437" s="373"/>
      <x:c r="C437" s="373"/>
      <x:c r="D437" s="373"/>
      <x:c r="E437" s="373"/>
      <x:c r="F437" s="373"/>
      <x:c r="G437" s="373"/>
      <x:c r="H437" s="373"/>
      <x:c r="I437" s="373"/>
      <x:c r="J437" s="373"/>
      <x:c r="K437" s="373"/>
      <x:c r="L437" s="373"/>
      <x:c r="M437" s="373"/>
      <x:c r="N437" s="373"/>
      <x:c r="O437" s="373"/>
      <x:c r="P437" s="373"/>
      <x:c r="Q437" s="373"/>
      <x:c r="R437" s="373"/>
      <x:c r="S437" s="373"/>
      <x:c r="T437" s="373"/>
      <x:c r="U437" s="373"/>
      <x:c r="V437" s="373"/>
      <x:c r="W437" s="373"/>
      <x:c r="X437" s="373"/>
      <x:c r="Y437" s="373"/>
      <x:c r="Z437" s="373"/>
    </x:row>
    <x:row r="438">
      <x:c r="A438" s="373"/>
      <x:c r="B438" s="373"/>
      <x:c r="C438" s="373"/>
      <x:c r="D438" s="373"/>
      <x:c r="E438" s="373"/>
      <x:c r="F438" s="373"/>
      <x:c r="G438" s="373"/>
      <x:c r="H438" s="373"/>
      <x:c r="I438" s="373"/>
      <x:c r="J438" s="373"/>
      <x:c r="K438" s="373"/>
      <x:c r="L438" s="373"/>
      <x:c r="M438" s="373"/>
      <x:c r="N438" s="373"/>
      <x:c r="O438" s="373"/>
      <x:c r="P438" s="373"/>
      <x:c r="Q438" s="373"/>
      <x:c r="R438" s="373"/>
      <x:c r="S438" s="373"/>
      <x:c r="T438" s="373"/>
      <x:c r="U438" s="373"/>
      <x:c r="V438" s="373"/>
      <x:c r="W438" s="373"/>
      <x:c r="X438" s="373"/>
      <x:c r="Y438" s="373"/>
      <x:c r="Z438" s="373"/>
    </x:row>
    <x:row r="439">
      <x:c r="A439" s="373"/>
      <x:c r="B439" s="373"/>
      <x:c r="C439" s="373"/>
      <x:c r="D439" s="373"/>
      <x:c r="E439" s="373"/>
      <x:c r="F439" s="373"/>
      <x:c r="G439" s="373"/>
      <x:c r="H439" s="373"/>
      <x:c r="I439" s="373"/>
      <x:c r="J439" s="373"/>
      <x:c r="K439" s="373"/>
      <x:c r="L439" s="373"/>
      <x:c r="M439" s="373"/>
      <x:c r="N439" s="373"/>
      <x:c r="O439" s="373"/>
      <x:c r="P439" s="373"/>
      <x:c r="Q439" s="373"/>
      <x:c r="R439" s="373"/>
      <x:c r="S439" s="373"/>
      <x:c r="T439" s="373"/>
      <x:c r="U439" s="373"/>
      <x:c r="V439" s="373"/>
      <x:c r="W439" s="373"/>
      <x:c r="X439" s="373"/>
      <x:c r="Y439" s="373"/>
      <x:c r="Z439" s="373"/>
    </x:row>
    <x:row r="440">
      <x:c r="A440" s="373"/>
      <x:c r="B440" s="373"/>
      <x:c r="C440" s="373"/>
      <x:c r="D440" s="373"/>
      <x:c r="E440" s="373"/>
      <x:c r="F440" s="373"/>
      <x:c r="G440" s="373"/>
      <x:c r="H440" s="373"/>
      <x:c r="I440" s="373"/>
      <x:c r="J440" s="373"/>
      <x:c r="K440" s="373"/>
      <x:c r="L440" s="373"/>
      <x:c r="M440" s="373"/>
      <x:c r="N440" s="373"/>
      <x:c r="O440" s="373"/>
      <x:c r="P440" s="373"/>
      <x:c r="Q440" s="373"/>
      <x:c r="R440" s="373"/>
      <x:c r="S440" s="373"/>
      <x:c r="T440" s="373"/>
      <x:c r="U440" s="373"/>
      <x:c r="V440" s="373"/>
      <x:c r="W440" s="373"/>
      <x:c r="X440" s="373"/>
      <x:c r="Y440" s="373"/>
      <x:c r="Z440" s="373"/>
    </x:row>
    <x:row r="441">
      <x:c r="A441" s="373"/>
      <x:c r="B441" s="373"/>
      <x:c r="C441" s="373"/>
      <x:c r="D441" s="373"/>
      <x:c r="E441" s="373"/>
      <x:c r="F441" s="373"/>
      <x:c r="G441" s="373"/>
      <x:c r="H441" s="373"/>
      <x:c r="I441" s="373"/>
      <x:c r="J441" s="373"/>
      <x:c r="K441" s="373"/>
      <x:c r="L441" s="373"/>
      <x:c r="M441" s="373"/>
      <x:c r="N441" s="373"/>
      <x:c r="O441" s="373"/>
      <x:c r="P441" s="373"/>
      <x:c r="Q441" s="373"/>
      <x:c r="R441" s="373"/>
      <x:c r="S441" s="373"/>
      <x:c r="T441" s="373"/>
      <x:c r="U441" s="373"/>
      <x:c r="V441" s="373"/>
      <x:c r="W441" s="373"/>
      <x:c r="X441" s="373"/>
      <x:c r="Y441" s="373"/>
      <x:c r="Z441" s="373"/>
    </x:row>
    <x:row r="442">
      <x:c r="A442" s="373"/>
      <x:c r="B442" s="373"/>
      <x:c r="C442" s="373"/>
      <x:c r="D442" s="373"/>
      <x:c r="E442" s="373"/>
      <x:c r="F442" s="373"/>
      <x:c r="G442" s="373"/>
      <x:c r="H442" s="373"/>
      <x:c r="I442" s="373"/>
      <x:c r="J442" s="373"/>
      <x:c r="K442" s="373"/>
      <x:c r="L442" s="373"/>
      <x:c r="M442" s="373"/>
      <x:c r="N442" s="373"/>
      <x:c r="O442" s="373"/>
      <x:c r="P442" s="373"/>
      <x:c r="Q442" s="373"/>
      <x:c r="R442" s="373"/>
      <x:c r="S442" s="373"/>
      <x:c r="T442" s="373"/>
      <x:c r="U442" s="373"/>
      <x:c r="V442" s="373"/>
      <x:c r="W442" s="373"/>
      <x:c r="X442" s="373"/>
      <x:c r="Y442" s="373"/>
      <x:c r="Z442" s="373"/>
    </x:row>
    <x:row r="443">
      <x:c r="A443" s="373"/>
      <x:c r="B443" s="373"/>
      <x:c r="C443" s="373"/>
      <x:c r="D443" s="373"/>
      <x:c r="E443" s="373"/>
      <x:c r="F443" s="373"/>
      <x:c r="G443" s="373"/>
      <x:c r="H443" s="373"/>
      <x:c r="I443" s="373"/>
      <x:c r="J443" s="373"/>
      <x:c r="K443" s="373"/>
      <x:c r="L443" s="373"/>
      <x:c r="M443" s="373"/>
      <x:c r="N443" s="373"/>
      <x:c r="O443" s="373"/>
      <x:c r="P443" s="373"/>
      <x:c r="Q443" s="373"/>
      <x:c r="R443" s="373"/>
      <x:c r="S443" s="373"/>
      <x:c r="T443" s="373"/>
      <x:c r="U443" s="373"/>
      <x:c r="V443" s="373"/>
      <x:c r="W443" s="373"/>
      <x:c r="X443" s="373"/>
      <x:c r="Y443" s="373"/>
      <x:c r="Z443" s="373"/>
    </x:row>
    <x:row r="444">
      <x:c r="A444" s="373"/>
      <x:c r="B444" s="373"/>
      <x:c r="C444" s="373"/>
      <x:c r="D444" s="373"/>
      <x:c r="E444" s="373"/>
      <x:c r="F444" s="373"/>
      <x:c r="G444" s="373"/>
      <x:c r="H444" s="373"/>
      <x:c r="I444" s="373"/>
      <x:c r="J444" s="373"/>
      <x:c r="K444" s="373"/>
      <x:c r="L444" s="373"/>
      <x:c r="M444" s="373"/>
      <x:c r="N444" s="373"/>
      <x:c r="O444" s="373"/>
      <x:c r="P444" s="373"/>
      <x:c r="Q444" s="373"/>
      <x:c r="R444" s="373"/>
      <x:c r="S444" s="373"/>
      <x:c r="T444" s="373"/>
      <x:c r="U444" s="373"/>
      <x:c r="V444" s="373"/>
      <x:c r="W444" s="373"/>
      <x:c r="X444" s="373"/>
      <x:c r="Y444" s="373"/>
      <x:c r="Z444" s="373"/>
    </x:row>
    <x:row r="445">
      <x:c r="A445" s="373"/>
      <x:c r="B445" s="373"/>
      <x:c r="C445" s="373"/>
      <x:c r="D445" s="373"/>
      <x:c r="E445" s="373"/>
      <x:c r="F445" s="373"/>
      <x:c r="G445" s="373"/>
      <x:c r="H445" s="373"/>
      <x:c r="I445" s="373"/>
      <x:c r="J445" s="373"/>
      <x:c r="K445" s="373"/>
      <x:c r="L445" s="373"/>
      <x:c r="M445" s="373"/>
      <x:c r="N445" s="373"/>
      <x:c r="O445" s="373"/>
      <x:c r="P445" s="373"/>
      <x:c r="Q445" s="373"/>
      <x:c r="R445" s="373"/>
      <x:c r="S445" s="373"/>
      <x:c r="T445" s="373"/>
      <x:c r="U445" s="373"/>
      <x:c r="V445" s="373"/>
      <x:c r="W445" s="373"/>
      <x:c r="X445" s="373"/>
      <x:c r="Y445" s="373"/>
      <x:c r="Z445" s="373"/>
    </x:row>
    <x:row r="446">
      <x:c r="A446" s="373"/>
      <x:c r="B446" s="373"/>
      <x:c r="C446" s="373"/>
      <x:c r="D446" s="373"/>
      <x:c r="E446" s="373"/>
      <x:c r="F446" s="373"/>
      <x:c r="G446" s="373"/>
      <x:c r="H446" s="373"/>
      <x:c r="I446" s="373"/>
      <x:c r="J446" s="373"/>
      <x:c r="K446" s="373"/>
      <x:c r="L446" s="373"/>
      <x:c r="M446" s="373"/>
      <x:c r="N446" s="373"/>
      <x:c r="O446" s="373"/>
      <x:c r="P446" s="373"/>
      <x:c r="Q446" s="373"/>
      <x:c r="R446" s="373"/>
      <x:c r="S446" s="373"/>
      <x:c r="T446" s="373"/>
      <x:c r="U446" s="373"/>
      <x:c r="V446" s="373"/>
      <x:c r="W446" s="373"/>
      <x:c r="X446" s="373"/>
      <x:c r="Y446" s="373"/>
      <x:c r="Z446" s="373"/>
    </x:row>
    <x:row r="447">
      <x:c r="A447" s="373"/>
      <x:c r="B447" s="373"/>
      <x:c r="C447" s="373"/>
      <x:c r="D447" s="373"/>
      <x:c r="E447" s="373"/>
      <x:c r="F447" s="373"/>
      <x:c r="G447" s="373"/>
      <x:c r="H447" s="373"/>
      <x:c r="I447" s="373"/>
      <x:c r="J447" s="373"/>
      <x:c r="K447" s="373"/>
      <x:c r="L447" s="373"/>
      <x:c r="M447" s="373"/>
      <x:c r="N447" s="373"/>
      <x:c r="O447" s="373"/>
      <x:c r="P447" s="373"/>
      <x:c r="Q447" s="373"/>
      <x:c r="R447" s="373"/>
      <x:c r="S447" s="373"/>
      <x:c r="T447" s="373"/>
      <x:c r="U447" s="373"/>
      <x:c r="V447" s="373"/>
      <x:c r="W447" s="373"/>
      <x:c r="X447" s="373"/>
      <x:c r="Y447" s="373"/>
      <x:c r="Z447" s="373"/>
    </x:row>
    <x:row r="448">
      <x:c r="A448" s="373"/>
      <x:c r="B448" s="373"/>
      <x:c r="C448" s="373"/>
      <x:c r="D448" s="373"/>
      <x:c r="E448" s="373"/>
      <x:c r="F448" s="373"/>
      <x:c r="G448" s="373"/>
      <x:c r="H448" s="373"/>
      <x:c r="I448" s="373"/>
      <x:c r="J448" s="373"/>
      <x:c r="K448" s="373"/>
      <x:c r="L448" s="373"/>
      <x:c r="M448" s="373"/>
      <x:c r="N448" s="373"/>
      <x:c r="O448" s="373"/>
      <x:c r="P448" s="373"/>
      <x:c r="Q448" s="373"/>
      <x:c r="R448" s="373"/>
      <x:c r="S448" s="373"/>
      <x:c r="T448" s="373"/>
      <x:c r="U448" s="373"/>
      <x:c r="V448" s="373"/>
      <x:c r="W448" s="373"/>
      <x:c r="X448" s="373"/>
      <x:c r="Y448" s="373"/>
      <x:c r="Z448" s="373"/>
    </x:row>
    <x:row r="449">
      <x:c r="A449" s="373"/>
      <x:c r="B449" s="373"/>
      <x:c r="C449" s="373"/>
      <x:c r="D449" s="373"/>
      <x:c r="E449" s="373"/>
      <x:c r="F449" s="373"/>
      <x:c r="G449" s="373"/>
      <x:c r="H449" s="373"/>
      <x:c r="I449" s="373"/>
      <x:c r="J449" s="373"/>
      <x:c r="K449" s="373"/>
      <x:c r="L449" s="373"/>
      <x:c r="M449" s="373"/>
      <x:c r="N449" s="373"/>
      <x:c r="O449" s="373"/>
      <x:c r="P449" s="373"/>
      <x:c r="Q449" s="373"/>
      <x:c r="R449" s="373"/>
      <x:c r="S449" s="373"/>
      <x:c r="T449" s="373"/>
      <x:c r="U449" s="373"/>
      <x:c r="V449" s="373"/>
      <x:c r="W449" s="373"/>
      <x:c r="X449" s="373"/>
      <x:c r="Y449" s="373"/>
      <x:c r="Z449" s="373"/>
    </x:row>
    <x:row r="450">
      <x:c r="A450" s="373"/>
      <x:c r="B450" s="373"/>
      <x:c r="C450" s="373"/>
      <x:c r="D450" s="373"/>
      <x:c r="E450" s="373"/>
      <x:c r="F450" s="373"/>
      <x:c r="G450" s="373"/>
      <x:c r="H450" s="373"/>
      <x:c r="I450" s="373"/>
      <x:c r="J450" s="373"/>
      <x:c r="K450" s="373"/>
      <x:c r="L450" s="373"/>
      <x:c r="M450" s="373"/>
      <x:c r="N450" s="373"/>
      <x:c r="O450" s="373"/>
      <x:c r="P450" s="373"/>
      <x:c r="Q450" s="373"/>
      <x:c r="R450" s="373"/>
      <x:c r="S450" s="373"/>
      <x:c r="T450" s="373"/>
      <x:c r="U450" s="373"/>
      <x:c r="V450" s="373"/>
      <x:c r="W450" s="373"/>
      <x:c r="X450" s="373"/>
      <x:c r="Y450" s="373"/>
      <x:c r="Z450" s="373"/>
    </x:row>
    <x:row r="451">
      <x:c r="A451" s="373"/>
      <x:c r="B451" s="373"/>
      <x:c r="C451" s="373"/>
      <x:c r="D451" s="373"/>
      <x:c r="E451" s="373"/>
      <x:c r="F451" s="373"/>
      <x:c r="G451" s="373"/>
      <x:c r="H451" s="373"/>
      <x:c r="I451" s="373"/>
      <x:c r="J451" s="373"/>
      <x:c r="K451" s="373"/>
      <x:c r="L451" s="373"/>
      <x:c r="M451" s="373"/>
      <x:c r="N451" s="373"/>
      <x:c r="O451" s="373"/>
      <x:c r="P451" s="373"/>
      <x:c r="Q451" s="373"/>
      <x:c r="R451" s="373"/>
      <x:c r="S451" s="373"/>
      <x:c r="T451" s="373"/>
      <x:c r="U451" s="373"/>
      <x:c r="V451" s="373"/>
      <x:c r="W451" s="373"/>
      <x:c r="X451" s="373"/>
      <x:c r="Y451" s="373"/>
      <x:c r="Z451" s="373"/>
    </x:row>
    <x:row r="452">
      <x:c r="A452" s="373"/>
      <x:c r="B452" s="373"/>
      <x:c r="C452" s="373"/>
      <x:c r="D452" s="373"/>
      <x:c r="E452" s="373"/>
      <x:c r="F452" s="373"/>
      <x:c r="G452" s="373"/>
      <x:c r="H452" s="373"/>
      <x:c r="I452" s="373"/>
      <x:c r="J452" s="373"/>
      <x:c r="K452" s="373"/>
      <x:c r="L452" s="373"/>
      <x:c r="M452" s="373"/>
      <x:c r="N452" s="373"/>
      <x:c r="O452" s="373"/>
      <x:c r="P452" s="373"/>
      <x:c r="Q452" s="373"/>
      <x:c r="R452" s="373"/>
      <x:c r="S452" s="373"/>
      <x:c r="T452" s="373"/>
      <x:c r="U452" s="373"/>
      <x:c r="V452" s="373"/>
      <x:c r="W452" s="373"/>
      <x:c r="X452" s="373"/>
      <x:c r="Y452" s="373"/>
      <x:c r="Z452" s="373"/>
    </x:row>
    <x:row r="453">
      <x:c r="A453" s="373"/>
      <x:c r="B453" s="373"/>
      <x:c r="C453" s="373"/>
      <x:c r="D453" s="373"/>
      <x:c r="E453" s="373"/>
      <x:c r="F453" s="373"/>
      <x:c r="G453" s="373"/>
      <x:c r="H453" s="373"/>
      <x:c r="I453" s="373"/>
      <x:c r="J453" s="373"/>
      <x:c r="K453" s="373"/>
      <x:c r="L453" s="373"/>
      <x:c r="M453" s="373"/>
      <x:c r="N453" s="373"/>
      <x:c r="O453" s="373"/>
      <x:c r="P453" s="373"/>
      <x:c r="Q453" s="373"/>
      <x:c r="R453" s="373"/>
      <x:c r="S453" s="373"/>
      <x:c r="T453" s="373"/>
      <x:c r="U453" s="373"/>
      <x:c r="V453" s="373"/>
      <x:c r="W453" s="373"/>
      <x:c r="X453" s="373"/>
      <x:c r="Y453" s="373"/>
      <x:c r="Z453" s="373"/>
    </x:row>
    <x:row r="454">
      <x:c r="A454" s="373"/>
      <x:c r="B454" s="373"/>
      <x:c r="C454" s="373"/>
      <x:c r="D454" s="373"/>
      <x:c r="E454" s="373"/>
      <x:c r="F454" s="373"/>
      <x:c r="G454" s="373"/>
      <x:c r="H454" s="373"/>
      <x:c r="I454" s="373"/>
      <x:c r="J454" s="373"/>
      <x:c r="K454" s="373"/>
      <x:c r="L454" s="373"/>
      <x:c r="M454" s="373"/>
      <x:c r="N454" s="373"/>
      <x:c r="O454" s="373"/>
      <x:c r="P454" s="373"/>
      <x:c r="Q454" s="373"/>
      <x:c r="R454" s="373"/>
      <x:c r="S454" s="373"/>
      <x:c r="T454" s="373"/>
      <x:c r="U454" s="373"/>
      <x:c r="V454" s="373"/>
      <x:c r="W454" s="373"/>
      <x:c r="X454" s="373"/>
      <x:c r="Y454" s="373"/>
      <x:c r="Z454" s="373"/>
    </x:row>
    <x:row r="455">
      <x:c r="A455" s="373"/>
      <x:c r="B455" s="373"/>
      <x:c r="C455" s="373"/>
      <x:c r="D455" s="373"/>
      <x:c r="E455" s="373"/>
      <x:c r="F455" s="373"/>
      <x:c r="G455" s="373"/>
      <x:c r="H455" s="373"/>
      <x:c r="I455" s="373"/>
      <x:c r="J455" s="373"/>
      <x:c r="K455" s="373"/>
      <x:c r="L455" s="373"/>
      <x:c r="M455" s="373"/>
      <x:c r="N455" s="373"/>
      <x:c r="O455" s="373"/>
      <x:c r="P455" s="373"/>
      <x:c r="Q455" s="373"/>
      <x:c r="R455" s="373"/>
      <x:c r="S455" s="373"/>
      <x:c r="T455" s="373"/>
      <x:c r="U455" s="373"/>
      <x:c r="V455" s="373"/>
      <x:c r="W455" s="373"/>
      <x:c r="X455" s="373"/>
      <x:c r="Y455" s="373"/>
      <x:c r="Z455" s="373"/>
    </x:row>
    <x:row r="456">
      <x:c r="A456" s="373"/>
      <x:c r="B456" s="373"/>
      <x:c r="C456" s="373"/>
      <x:c r="D456" s="373"/>
      <x:c r="E456" s="373"/>
      <x:c r="F456" s="373"/>
      <x:c r="G456" s="373"/>
      <x:c r="H456" s="373"/>
      <x:c r="I456" s="373"/>
      <x:c r="J456" s="373"/>
      <x:c r="K456" s="373"/>
      <x:c r="L456" s="373"/>
      <x:c r="M456" s="373"/>
      <x:c r="N456" s="373"/>
      <x:c r="O456" s="373"/>
      <x:c r="P456" s="373"/>
      <x:c r="Q456" s="373"/>
      <x:c r="R456" s="373"/>
      <x:c r="S456" s="373"/>
      <x:c r="T456" s="373"/>
      <x:c r="U456" s="373"/>
      <x:c r="V456" s="373"/>
      <x:c r="W456" s="373"/>
      <x:c r="X456" s="373"/>
      <x:c r="Y456" s="373"/>
      <x:c r="Z456" s="373"/>
    </x:row>
    <x:row r="457">
      <x:c r="A457" s="373"/>
      <x:c r="B457" s="373"/>
      <x:c r="C457" s="373"/>
      <x:c r="D457" s="373"/>
      <x:c r="E457" s="373"/>
      <x:c r="F457" s="373"/>
      <x:c r="G457" s="373"/>
      <x:c r="H457" s="373"/>
      <x:c r="I457" s="373"/>
      <x:c r="J457" s="373"/>
      <x:c r="K457" s="373"/>
      <x:c r="L457" s="373"/>
      <x:c r="M457" s="373"/>
      <x:c r="N457" s="373"/>
      <x:c r="O457" s="373"/>
      <x:c r="P457" s="373"/>
      <x:c r="Q457" s="373"/>
      <x:c r="R457" s="373"/>
      <x:c r="S457" s="373"/>
      <x:c r="T457" s="373"/>
      <x:c r="U457" s="373"/>
      <x:c r="V457" s="373"/>
      <x:c r="W457" s="373"/>
      <x:c r="X457" s="373"/>
      <x:c r="Y457" s="373"/>
      <x:c r="Z457" s="373"/>
    </x:row>
    <x:row r="458">
      <x:c r="A458" s="373"/>
      <x:c r="B458" s="373"/>
      <x:c r="C458" s="373"/>
      <x:c r="D458" s="373"/>
      <x:c r="E458" s="373"/>
      <x:c r="F458" s="373"/>
      <x:c r="G458" s="373"/>
      <x:c r="H458" s="373"/>
      <x:c r="I458" s="373"/>
      <x:c r="J458" s="373"/>
      <x:c r="K458" s="373"/>
      <x:c r="L458" s="373"/>
      <x:c r="M458" s="373"/>
      <x:c r="N458" s="373"/>
      <x:c r="O458" s="373"/>
      <x:c r="P458" s="373"/>
      <x:c r="Q458" s="373"/>
      <x:c r="R458" s="373"/>
      <x:c r="S458" s="373"/>
      <x:c r="T458" s="373"/>
      <x:c r="U458" s="373"/>
      <x:c r="V458" s="373"/>
      <x:c r="W458" s="373"/>
      <x:c r="X458" s="373"/>
      <x:c r="Y458" s="373"/>
      <x:c r="Z458" s="373"/>
    </x:row>
    <x:row r="459">
      <x:c r="A459" s="373"/>
      <x:c r="B459" s="373"/>
      <x:c r="C459" s="373"/>
      <x:c r="D459" s="373"/>
      <x:c r="E459" s="373"/>
      <x:c r="F459" s="373"/>
      <x:c r="G459" s="373"/>
      <x:c r="H459" s="373"/>
      <x:c r="I459" s="373"/>
      <x:c r="J459" s="373"/>
      <x:c r="K459" s="373"/>
      <x:c r="L459" s="373"/>
      <x:c r="M459" s="373"/>
      <x:c r="N459" s="373"/>
      <x:c r="O459" s="373"/>
      <x:c r="P459" s="373"/>
      <x:c r="Q459" s="373"/>
      <x:c r="R459" s="373"/>
      <x:c r="S459" s="373"/>
      <x:c r="T459" s="373"/>
      <x:c r="U459" s="373"/>
      <x:c r="V459" s="373"/>
      <x:c r="W459" s="373"/>
      <x:c r="X459" s="373"/>
      <x:c r="Y459" s="373"/>
      <x:c r="Z459" s="373"/>
    </x:row>
    <x:row r="460">
      <x:c r="A460" s="373"/>
      <x:c r="B460" s="373"/>
      <x:c r="C460" s="373"/>
      <x:c r="D460" s="373"/>
      <x:c r="E460" s="373"/>
      <x:c r="F460" s="373"/>
      <x:c r="G460" s="373"/>
      <x:c r="H460" s="373"/>
      <x:c r="I460" s="373"/>
      <x:c r="J460" s="373"/>
      <x:c r="K460" s="373"/>
      <x:c r="L460" s="373"/>
      <x:c r="M460" s="373"/>
      <x:c r="N460" s="373"/>
      <x:c r="O460" s="373"/>
      <x:c r="P460" s="373"/>
      <x:c r="Q460" s="373"/>
      <x:c r="R460" s="373"/>
      <x:c r="S460" s="373"/>
      <x:c r="T460" s="373"/>
      <x:c r="U460" s="373"/>
      <x:c r="V460" s="373"/>
      <x:c r="W460" s="373"/>
      <x:c r="X460" s="373"/>
      <x:c r="Y460" s="373"/>
      <x:c r="Z460" s="373"/>
    </x:row>
    <x:row r="461">
      <x:c r="A461" s="373"/>
      <x:c r="B461" s="373"/>
      <x:c r="C461" s="373"/>
      <x:c r="D461" s="373"/>
      <x:c r="E461" s="373"/>
      <x:c r="F461" s="373"/>
      <x:c r="G461" s="373"/>
      <x:c r="H461" s="373"/>
      <x:c r="I461" s="373"/>
      <x:c r="J461" s="373"/>
      <x:c r="K461" s="373"/>
      <x:c r="L461" s="373"/>
      <x:c r="M461" s="373"/>
      <x:c r="N461" s="373"/>
      <x:c r="O461" s="373"/>
      <x:c r="P461" s="373"/>
      <x:c r="Q461" s="373"/>
      <x:c r="R461" s="373"/>
      <x:c r="S461" s="373"/>
      <x:c r="T461" s="373"/>
      <x:c r="U461" s="373"/>
      <x:c r="V461" s="373"/>
      <x:c r="W461" s="373"/>
      <x:c r="X461" s="373"/>
      <x:c r="Y461" s="373"/>
      <x:c r="Z461" s="373"/>
    </x:row>
    <x:row r="462">
      <x:c r="A462" s="373"/>
      <x:c r="B462" s="373"/>
      <x:c r="C462" s="373"/>
      <x:c r="D462" s="373"/>
      <x:c r="E462" s="373"/>
      <x:c r="F462" s="373"/>
      <x:c r="G462" s="373"/>
      <x:c r="H462" s="373"/>
      <x:c r="I462" s="373"/>
      <x:c r="J462" s="373"/>
      <x:c r="K462" s="373"/>
      <x:c r="L462" s="373"/>
      <x:c r="M462" s="373"/>
      <x:c r="N462" s="373"/>
      <x:c r="O462" s="373"/>
      <x:c r="P462" s="373"/>
      <x:c r="Q462" s="373"/>
      <x:c r="R462" s="373"/>
      <x:c r="S462" s="373"/>
      <x:c r="T462" s="373"/>
      <x:c r="U462" s="373"/>
      <x:c r="V462" s="373"/>
      <x:c r="W462" s="373"/>
      <x:c r="X462" s="373"/>
      <x:c r="Y462" s="373"/>
      <x:c r="Z462" s="373"/>
    </x:row>
    <x:row r="463">
      <x:c r="A463" s="373"/>
      <x:c r="B463" s="373"/>
      <x:c r="C463" s="373"/>
      <x:c r="D463" s="373"/>
      <x:c r="E463" s="373"/>
      <x:c r="F463" s="373"/>
      <x:c r="G463" s="373"/>
      <x:c r="H463" s="373"/>
      <x:c r="I463" s="373"/>
      <x:c r="J463" s="373"/>
      <x:c r="K463" s="373"/>
      <x:c r="L463" s="373"/>
      <x:c r="M463" s="373"/>
      <x:c r="N463" s="373"/>
      <x:c r="O463" s="373"/>
      <x:c r="P463" s="373"/>
      <x:c r="Q463" s="373"/>
      <x:c r="R463" s="373"/>
      <x:c r="S463" s="373"/>
      <x:c r="T463" s="373"/>
      <x:c r="U463" s="373"/>
      <x:c r="V463" s="373"/>
      <x:c r="W463" s="373"/>
      <x:c r="X463" s="373"/>
      <x:c r="Y463" s="373"/>
      <x:c r="Z463" s="373"/>
    </x:row>
    <x:row r="464">
      <x:c r="A464" s="373"/>
      <x:c r="B464" s="373"/>
      <x:c r="C464" s="373"/>
      <x:c r="D464" s="373"/>
      <x:c r="E464" s="373"/>
      <x:c r="F464" s="373"/>
      <x:c r="G464" s="373"/>
      <x:c r="H464" s="373"/>
      <x:c r="I464" s="373"/>
      <x:c r="J464" s="373"/>
      <x:c r="K464" s="373"/>
      <x:c r="L464" s="373"/>
      <x:c r="M464" s="373"/>
      <x:c r="N464" s="373"/>
      <x:c r="O464" s="373"/>
      <x:c r="P464" s="373"/>
      <x:c r="Q464" s="373"/>
      <x:c r="R464" s="373"/>
      <x:c r="S464" s="373"/>
      <x:c r="T464" s="373"/>
      <x:c r="U464" s="373"/>
      <x:c r="V464" s="373"/>
      <x:c r="W464" s="373"/>
      <x:c r="X464" s="373"/>
      <x:c r="Y464" s="373"/>
      <x:c r="Z464" s="373"/>
    </x:row>
    <x:row r="465">
      <x:c r="A465" s="373"/>
      <x:c r="B465" s="373"/>
      <x:c r="C465" s="373"/>
      <x:c r="D465" s="373"/>
      <x:c r="E465" s="373"/>
      <x:c r="F465" s="373"/>
      <x:c r="G465" s="373"/>
      <x:c r="H465" s="373"/>
      <x:c r="I465" s="373"/>
      <x:c r="J465" s="373"/>
      <x:c r="K465" s="373"/>
      <x:c r="L465" s="373"/>
      <x:c r="M465" s="373"/>
      <x:c r="N465" s="373"/>
      <x:c r="O465" s="373"/>
      <x:c r="P465" s="373"/>
      <x:c r="Q465" s="373"/>
      <x:c r="R465" s="373"/>
      <x:c r="S465" s="373"/>
      <x:c r="T465" s="373"/>
      <x:c r="U465" s="373"/>
      <x:c r="V465" s="373"/>
      <x:c r="W465" s="373"/>
      <x:c r="X465" s="373"/>
      <x:c r="Y465" s="373"/>
      <x:c r="Z465" s="373"/>
    </x:row>
    <x:row r="466">
      <x:c r="A466" s="373"/>
      <x:c r="B466" s="373"/>
      <x:c r="C466" s="373"/>
      <x:c r="D466" s="373"/>
      <x:c r="E466" s="373"/>
      <x:c r="F466" s="373"/>
      <x:c r="G466" s="373"/>
      <x:c r="H466" s="373"/>
      <x:c r="I466" s="373"/>
      <x:c r="J466" s="373"/>
      <x:c r="K466" s="373"/>
      <x:c r="L466" s="373"/>
      <x:c r="M466" s="373"/>
      <x:c r="N466" s="373"/>
      <x:c r="O466" s="373"/>
      <x:c r="P466" s="373"/>
      <x:c r="Q466" s="373"/>
      <x:c r="R466" s="373"/>
      <x:c r="S466" s="373"/>
      <x:c r="T466" s="373"/>
      <x:c r="U466" s="373"/>
      <x:c r="V466" s="373"/>
      <x:c r="W466" s="373"/>
      <x:c r="X466" s="373"/>
      <x:c r="Y466" s="373"/>
      <x:c r="Z466" s="373"/>
    </x:row>
    <x:row r="467">
      <x:c r="A467" s="373"/>
      <x:c r="B467" s="373"/>
      <x:c r="C467" s="373"/>
      <x:c r="D467" s="373"/>
      <x:c r="E467" s="373"/>
      <x:c r="F467" s="373"/>
      <x:c r="G467" s="373"/>
      <x:c r="H467" s="373"/>
      <x:c r="I467" s="373"/>
      <x:c r="J467" s="373"/>
      <x:c r="K467" s="373"/>
      <x:c r="L467" s="373"/>
      <x:c r="M467" s="373"/>
      <x:c r="N467" s="373"/>
      <x:c r="O467" s="373"/>
      <x:c r="P467" s="373"/>
      <x:c r="Q467" s="373"/>
      <x:c r="R467" s="373"/>
      <x:c r="S467" s="373"/>
      <x:c r="T467" s="373"/>
      <x:c r="U467" s="373"/>
      <x:c r="V467" s="373"/>
      <x:c r="W467" s="373"/>
      <x:c r="X467" s="373"/>
      <x:c r="Y467" s="373"/>
      <x:c r="Z467" s="373"/>
    </x:row>
    <x:row r="468">
      <x:c r="A468" s="373"/>
      <x:c r="B468" s="373"/>
      <x:c r="C468" s="373"/>
      <x:c r="D468" s="373"/>
      <x:c r="E468" s="373"/>
      <x:c r="F468" s="373"/>
      <x:c r="G468" s="373"/>
      <x:c r="H468" s="373"/>
      <x:c r="I468" s="373"/>
      <x:c r="J468" s="373"/>
      <x:c r="K468" s="373"/>
      <x:c r="L468" s="373"/>
      <x:c r="M468" s="373"/>
      <x:c r="N468" s="373"/>
      <x:c r="O468" s="373"/>
      <x:c r="P468" s="373"/>
      <x:c r="Q468" s="373"/>
      <x:c r="R468" s="373"/>
      <x:c r="S468" s="373"/>
      <x:c r="T468" s="373"/>
      <x:c r="U468" s="373"/>
      <x:c r="V468" s="373"/>
      <x:c r="W468" s="373"/>
      <x:c r="X468" s="373"/>
      <x:c r="Y468" s="373"/>
      <x:c r="Z468" s="373"/>
    </x:row>
    <x:row r="469">
      <x:c r="A469" s="373"/>
      <x:c r="B469" s="373"/>
      <x:c r="C469" s="373"/>
      <x:c r="D469" s="373"/>
      <x:c r="E469" s="373"/>
      <x:c r="F469" s="373"/>
      <x:c r="G469" s="373"/>
      <x:c r="H469" s="373"/>
      <x:c r="I469" s="373"/>
      <x:c r="J469" s="373"/>
      <x:c r="K469" s="373"/>
      <x:c r="L469" s="373"/>
      <x:c r="M469" s="373"/>
      <x:c r="N469" s="373"/>
      <x:c r="O469" s="373"/>
      <x:c r="P469" s="373"/>
      <x:c r="Q469" s="373"/>
      <x:c r="R469" s="373"/>
      <x:c r="S469" s="373"/>
      <x:c r="T469" s="373"/>
      <x:c r="U469" s="373"/>
      <x:c r="V469" s="373"/>
      <x:c r="W469" s="373"/>
      <x:c r="X469" s="373"/>
      <x:c r="Y469" s="373"/>
      <x:c r="Z469" s="373"/>
    </x:row>
    <x:row r="470">
      <x:c r="A470" s="373"/>
      <x:c r="B470" s="373"/>
      <x:c r="C470" s="373"/>
      <x:c r="D470" s="373"/>
      <x:c r="E470" s="373"/>
      <x:c r="F470" s="373"/>
      <x:c r="G470" s="373"/>
      <x:c r="H470" s="373"/>
      <x:c r="I470" s="373"/>
      <x:c r="J470" s="373"/>
      <x:c r="K470" s="373"/>
      <x:c r="L470" s="373"/>
      <x:c r="M470" s="373"/>
      <x:c r="N470" s="373"/>
      <x:c r="O470" s="373"/>
      <x:c r="P470" s="373"/>
      <x:c r="Q470" s="373"/>
      <x:c r="R470" s="373"/>
      <x:c r="S470" s="373"/>
      <x:c r="T470" s="373"/>
      <x:c r="U470" s="373"/>
      <x:c r="V470" s="373"/>
      <x:c r="W470" s="373"/>
      <x:c r="X470" s="373"/>
      <x:c r="Y470" s="373"/>
      <x:c r="Z470" s="373"/>
    </x:row>
    <x:row r="471">
      <x:c r="A471" s="373"/>
      <x:c r="B471" s="373"/>
      <x:c r="C471" s="373"/>
      <x:c r="D471" s="373"/>
      <x:c r="E471" s="373"/>
      <x:c r="F471" s="373"/>
      <x:c r="G471" s="373"/>
      <x:c r="H471" s="373"/>
      <x:c r="I471" s="373"/>
      <x:c r="J471" s="373"/>
      <x:c r="K471" s="373"/>
      <x:c r="L471" s="373"/>
      <x:c r="M471" s="373"/>
      <x:c r="N471" s="373"/>
      <x:c r="O471" s="373"/>
      <x:c r="P471" s="373"/>
      <x:c r="Q471" s="373"/>
      <x:c r="R471" s="373"/>
      <x:c r="S471" s="373"/>
      <x:c r="T471" s="373"/>
      <x:c r="U471" s="373"/>
      <x:c r="V471" s="373"/>
      <x:c r="W471" s="373"/>
      <x:c r="X471" s="373"/>
      <x:c r="Y471" s="373"/>
      <x:c r="Z471" s="373"/>
    </x:row>
    <x:row r="472">
      <x:c r="A472" s="373"/>
      <x:c r="B472" s="373"/>
      <x:c r="C472" s="373"/>
      <x:c r="D472" s="373"/>
      <x:c r="E472" s="373"/>
      <x:c r="F472" s="373"/>
      <x:c r="G472" s="373"/>
      <x:c r="H472" s="373"/>
      <x:c r="I472" s="373"/>
      <x:c r="J472" s="373"/>
      <x:c r="K472" s="373"/>
      <x:c r="L472" s="373"/>
      <x:c r="M472" s="373"/>
      <x:c r="N472" s="373"/>
      <x:c r="O472" s="373"/>
      <x:c r="P472" s="373"/>
      <x:c r="Q472" s="373"/>
      <x:c r="R472" s="373"/>
      <x:c r="S472" s="373"/>
      <x:c r="T472" s="373"/>
      <x:c r="U472" s="373"/>
      <x:c r="V472" s="373"/>
      <x:c r="W472" s="373"/>
      <x:c r="X472" s="373"/>
      <x:c r="Y472" s="373"/>
      <x:c r="Z472" s="373"/>
    </x:row>
    <x:row r="473">
      <x:c r="A473" s="373"/>
      <x:c r="B473" s="373"/>
      <x:c r="C473" s="373"/>
      <x:c r="D473" s="373"/>
      <x:c r="E473" s="373"/>
      <x:c r="F473" s="373"/>
      <x:c r="G473" s="373"/>
      <x:c r="H473" s="373"/>
      <x:c r="I473" s="373"/>
      <x:c r="J473" s="373"/>
      <x:c r="K473" s="373"/>
      <x:c r="L473" s="373"/>
      <x:c r="M473" s="373"/>
      <x:c r="N473" s="373"/>
      <x:c r="O473" s="373"/>
      <x:c r="P473" s="373"/>
      <x:c r="Q473" s="373"/>
      <x:c r="R473" s="373"/>
      <x:c r="S473" s="373"/>
      <x:c r="T473" s="373"/>
      <x:c r="U473" s="373"/>
      <x:c r="V473" s="373"/>
      <x:c r="W473" s="373"/>
      <x:c r="X473" s="373"/>
      <x:c r="Y473" s="373"/>
      <x:c r="Z473" s="373"/>
    </x:row>
    <x:row r="474">
      <x:c r="A474" s="373"/>
      <x:c r="B474" s="373"/>
      <x:c r="C474" s="373"/>
      <x:c r="D474" s="373"/>
      <x:c r="E474" s="373"/>
      <x:c r="F474" s="373"/>
      <x:c r="G474" s="373"/>
      <x:c r="H474" s="373"/>
      <x:c r="I474" s="373"/>
      <x:c r="J474" s="373"/>
      <x:c r="K474" s="373"/>
      <x:c r="L474" s="373"/>
      <x:c r="M474" s="373"/>
      <x:c r="N474" s="373"/>
      <x:c r="O474" s="373"/>
      <x:c r="P474" s="373"/>
      <x:c r="Q474" s="373"/>
      <x:c r="R474" s="373"/>
      <x:c r="S474" s="373"/>
      <x:c r="T474" s="373"/>
      <x:c r="U474" s="373"/>
      <x:c r="V474" s="373"/>
      <x:c r="W474" s="373"/>
      <x:c r="X474" s="373"/>
      <x:c r="Y474" s="373"/>
      <x:c r="Z474" s="373"/>
    </x:row>
    <x:row r="475">
      <x:c r="A475" s="373"/>
      <x:c r="B475" s="373"/>
      <x:c r="C475" s="373"/>
      <x:c r="D475" s="373"/>
      <x:c r="E475" s="373"/>
      <x:c r="F475" s="373"/>
      <x:c r="G475" s="373"/>
      <x:c r="H475" s="373"/>
      <x:c r="I475" s="373"/>
      <x:c r="J475" s="373"/>
      <x:c r="K475" s="373"/>
      <x:c r="L475" s="373"/>
      <x:c r="M475" s="373"/>
      <x:c r="N475" s="373"/>
      <x:c r="O475" s="373"/>
      <x:c r="P475" s="373"/>
      <x:c r="Q475" s="373"/>
      <x:c r="R475" s="373"/>
      <x:c r="S475" s="373"/>
      <x:c r="T475" s="373"/>
      <x:c r="U475" s="373"/>
      <x:c r="V475" s="373"/>
      <x:c r="W475" s="373"/>
      <x:c r="X475" s="373"/>
      <x:c r="Y475" s="373"/>
      <x:c r="Z475" s="373"/>
    </x:row>
    <x:row r="476">
      <x:c r="A476" s="373"/>
      <x:c r="B476" s="373"/>
      <x:c r="C476" s="373"/>
      <x:c r="D476" s="373"/>
      <x:c r="E476" s="373"/>
      <x:c r="F476" s="373"/>
      <x:c r="G476" s="373"/>
      <x:c r="H476" s="373"/>
      <x:c r="I476" s="373"/>
      <x:c r="J476" s="373"/>
      <x:c r="K476" s="373"/>
      <x:c r="L476" s="373"/>
      <x:c r="M476" s="373"/>
      <x:c r="N476" s="373"/>
      <x:c r="O476" s="373"/>
      <x:c r="P476" s="373"/>
      <x:c r="Q476" s="373"/>
      <x:c r="R476" s="373"/>
      <x:c r="S476" s="373"/>
      <x:c r="T476" s="373"/>
      <x:c r="U476" s="373"/>
      <x:c r="V476" s="373"/>
      <x:c r="W476" s="373"/>
      <x:c r="X476" s="373"/>
      <x:c r="Y476" s="373"/>
      <x:c r="Z476" s="373"/>
    </x:row>
    <x:row r="477">
      <x:c r="A477" s="373"/>
      <x:c r="B477" s="373"/>
      <x:c r="C477" s="373"/>
      <x:c r="D477" s="373"/>
      <x:c r="E477" s="373"/>
      <x:c r="F477" s="373"/>
      <x:c r="G477" s="373"/>
      <x:c r="H477" s="373"/>
      <x:c r="I477" s="373"/>
      <x:c r="J477" s="373"/>
      <x:c r="K477" s="373"/>
      <x:c r="L477" s="373"/>
      <x:c r="M477" s="373"/>
      <x:c r="N477" s="373"/>
      <x:c r="O477" s="373"/>
      <x:c r="P477" s="373"/>
      <x:c r="Q477" s="373"/>
      <x:c r="R477" s="373"/>
      <x:c r="S477" s="373"/>
      <x:c r="T477" s="373"/>
      <x:c r="U477" s="373"/>
      <x:c r="V477" s="373"/>
      <x:c r="W477" s="373"/>
      <x:c r="X477" s="373"/>
      <x:c r="Y477" s="373"/>
      <x:c r="Z477" s="373"/>
    </x:row>
    <x:row r="478">
      <x:c r="A478" s="373"/>
      <x:c r="B478" s="373"/>
      <x:c r="C478" s="373"/>
      <x:c r="D478" s="373"/>
      <x:c r="E478" s="373"/>
      <x:c r="F478" s="373"/>
      <x:c r="G478" s="373"/>
      <x:c r="H478" s="373"/>
      <x:c r="I478" s="373"/>
      <x:c r="J478" s="373"/>
      <x:c r="K478" s="373"/>
      <x:c r="L478" s="373"/>
      <x:c r="M478" s="373"/>
      <x:c r="N478" s="373"/>
      <x:c r="O478" s="373"/>
      <x:c r="P478" s="373"/>
      <x:c r="Q478" s="373"/>
      <x:c r="R478" s="373"/>
      <x:c r="S478" s="373"/>
      <x:c r="T478" s="373"/>
      <x:c r="U478" s="373"/>
      <x:c r="V478" s="373"/>
      <x:c r="W478" s="373"/>
      <x:c r="X478" s="373"/>
      <x:c r="Y478" s="373"/>
      <x:c r="Z478" s="373"/>
    </x:row>
    <x:row r="479">
      <x:c r="A479" s="373"/>
      <x:c r="B479" s="373"/>
      <x:c r="C479" s="373"/>
      <x:c r="D479" s="373"/>
      <x:c r="E479" s="373"/>
      <x:c r="F479" s="373"/>
      <x:c r="G479" s="373"/>
      <x:c r="H479" s="373"/>
      <x:c r="I479" s="373"/>
      <x:c r="J479" s="373"/>
      <x:c r="K479" s="373"/>
      <x:c r="L479" s="373"/>
      <x:c r="M479" s="373"/>
      <x:c r="N479" s="373"/>
      <x:c r="O479" s="373"/>
      <x:c r="P479" s="373"/>
      <x:c r="Q479" s="373"/>
      <x:c r="R479" s="373"/>
      <x:c r="S479" s="373"/>
      <x:c r="T479" s="373"/>
      <x:c r="U479" s="373"/>
      <x:c r="V479" s="373"/>
      <x:c r="W479" s="373"/>
      <x:c r="X479" s="373"/>
      <x:c r="Y479" s="373"/>
      <x:c r="Z479" s="373"/>
    </x:row>
    <x:row r="480">
      <x:c r="A480" s="373"/>
      <x:c r="B480" s="373"/>
      <x:c r="C480" s="373"/>
      <x:c r="D480" s="373"/>
      <x:c r="E480" s="373"/>
      <x:c r="F480" s="373"/>
      <x:c r="G480" s="373"/>
      <x:c r="H480" s="373"/>
      <x:c r="I480" s="373"/>
      <x:c r="J480" s="373"/>
      <x:c r="K480" s="373"/>
      <x:c r="L480" s="373"/>
      <x:c r="M480" s="373"/>
      <x:c r="N480" s="373"/>
      <x:c r="O480" s="373"/>
      <x:c r="P480" s="373"/>
      <x:c r="Q480" s="373"/>
      <x:c r="R480" s="373"/>
      <x:c r="S480" s="373"/>
      <x:c r="T480" s="373"/>
      <x:c r="U480" s="373"/>
      <x:c r="V480" s="373"/>
      <x:c r="W480" s="373"/>
      <x:c r="X480" s="373"/>
      <x:c r="Y480" s="373"/>
      <x:c r="Z480" s="373"/>
    </x:row>
    <x:row r="481">
      <x:c r="A481" s="373"/>
      <x:c r="B481" s="373"/>
      <x:c r="C481" s="373"/>
      <x:c r="D481" s="373"/>
      <x:c r="E481" s="373"/>
      <x:c r="F481" s="373"/>
      <x:c r="G481" s="373"/>
      <x:c r="H481" s="373"/>
      <x:c r="I481" s="373"/>
      <x:c r="J481" s="373"/>
      <x:c r="K481" s="373"/>
      <x:c r="L481" s="373"/>
      <x:c r="M481" s="373"/>
      <x:c r="N481" s="373"/>
      <x:c r="O481" s="373"/>
      <x:c r="P481" s="373"/>
      <x:c r="Q481" s="373"/>
      <x:c r="R481" s="373"/>
      <x:c r="S481" s="373"/>
      <x:c r="T481" s="373"/>
      <x:c r="U481" s="373"/>
      <x:c r="V481" s="373"/>
      <x:c r="W481" s="373"/>
      <x:c r="X481" s="373"/>
      <x:c r="Y481" s="373"/>
      <x:c r="Z481" s="373"/>
    </x:row>
    <x:row r="482">
      <x:c r="A482" s="373"/>
      <x:c r="B482" s="373"/>
      <x:c r="C482" s="373"/>
      <x:c r="D482" s="373"/>
      <x:c r="E482" s="373"/>
      <x:c r="F482" s="373"/>
      <x:c r="G482" s="373"/>
      <x:c r="H482" s="373"/>
      <x:c r="I482" s="373"/>
      <x:c r="J482" s="373"/>
      <x:c r="K482" s="373"/>
      <x:c r="L482" s="373"/>
      <x:c r="M482" s="373"/>
      <x:c r="N482" s="373"/>
      <x:c r="O482" s="373"/>
      <x:c r="P482" s="373"/>
      <x:c r="Q482" s="373"/>
      <x:c r="R482" s="373"/>
      <x:c r="S482" s="373"/>
      <x:c r="T482" s="373"/>
      <x:c r="U482" s="373"/>
      <x:c r="V482" s="373"/>
      <x:c r="W482" s="373"/>
      <x:c r="X482" s="373"/>
      <x:c r="Y482" s="373"/>
      <x:c r="Z482" s="373"/>
    </x:row>
    <x:row r="483">
      <x:c r="A483" s="373"/>
      <x:c r="B483" s="373"/>
      <x:c r="C483" s="373"/>
      <x:c r="D483" s="373"/>
      <x:c r="E483" s="373"/>
      <x:c r="F483" s="373"/>
      <x:c r="G483" s="373"/>
      <x:c r="H483" s="373"/>
      <x:c r="I483" s="373"/>
      <x:c r="J483" s="373"/>
      <x:c r="K483" s="373"/>
      <x:c r="L483" s="373"/>
      <x:c r="M483" s="373"/>
      <x:c r="N483" s="373"/>
      <x:c r="O483" s="373"/>
      <x:c r="P483" s="373"/>
      <x:c r="Q483" s="373"/>
      <x:c r="R483" s="373"/>
      <x:c r="S483" s="373"/>
      <x:c r="T483" s="373"/>
      <x:c r="U483" s="373"/>
      <x:c r="V483" s="373"/>
      <x:c r="W483" s="373"/>
      <x:c r="X483" s="373"/>
      <x:c r="Y483" s="373"/>
      <x:c r="Z483" s="373"/>
    </x:row>
    <x:row r="484">
      <x:c r="A484" s="373"/>
      <x:c r="B484" s="373"/>
      <x:c r="C484" s="373"/>
      <x:c r="D484" s="373"/>
      <x:c r="E484" s="373"/>
      <x:c r="F484" s="373"/>
      <x:c r="G484" s="373"/>
      <x:c r="H484" s="373"/>
      <x:c r="I484" s="373"/>
      <x:c r="J484" s="373"/>
      <x:c r="K484" s="373"/>
      <x:c r="L484" s="373"/>
      <x:c r="M484" s="373"/>
      <x:c r="N484" s="373"/>
      <x:c r="O484" s="373"/>
      <x:c r="P484" s="373"/>
      <x:c r="Q484" s="373"/>
      <x:c r="R484" s="373"/>
      <x:c r="S484" s="373"/>
      <x:c r="T484" s="373"/>
      <x:c r="U484" s="373"/>
      <x:c r="V484" s="373"/>
      <x:c r="W484" s="373"/>
      <x:c r="X484" s="373"/>
      <x:c r="Y484" s="373"/>
      <x:c r="Z484" s="373"/>
    </x:row>
    <x:row r="485">
      <x:c r="A485" s="373"/>
      <x:c r="B485" s="373"/>
      <x:c r="C485" s="373"/>
      <x:c r="D485" s="373"/>
      <x:c r="E485" s="373"/>
      <x:c r="F485" s="373"/>
      <x:c r="G485" s="373"/>
      <x:c r="H485" s="373"/>
      <x:c r="I485" s="373"/>
      <x:c r="J485" s="373"/>
      <x:c r="K485" s="373"/>
      <x:c r="L485" s="373"/>
      <x:c r="M485" s="373"/>
      <x:c r="N485" s="373"/>
      <x:c r="O485" s="373"/>
      <x:c r="P485" s="373"/>
      <x:c r="Q485" s="373"/>
      <x:c r="R485" s="373"/>
      <x:c r="S485" s="373"/>
      <x:c r="T485" s="373"/>
      <x:c r="U485" s="373"/>
      <x:c r="V485" s="373"/>
      <x:c r="W485" s="373"/>
      <x:c r="X485" s="373"/>
      <x:c r="Y485" s="373"/>
      <x:c r="Z485" s="373"/>
    </x:row>
    <x:row r="486">
      <x:c r="A486" s="373"/>
      <x:c r="B486" s="373"/>
      <x:c r="C486" s="373"/>
      <x:c r="D486" s="373"/>
      <x:c r="E486" s="373"/>
      <x:c r="F486" s="373"/>
      <x:c r="G486" s="373"/>
      <x:c r="H486" s="373"/>
      <x:c r="I486" s="373"/>
      <x:c r="J486" s="373"/>
      <x:c r="K486" s="373"/>
      <x:c r="L486" s="373"/>
      <x:c r="M486" s="373"/>
      <x:c r="N486" s="373"/>
      <x:c r="O486" s="373"/>
      <x:c r="P486" s="373"/>
      <x:c r="Q486" s="373"/>
      <x:c r="R486" s="373"/>
      <x:c r="S486" s="373"/>
      <x:c r="T486" s="373"/>
      <x:c r="U486" s="373"/>
      <x:c r="V486" s="373"/>
      <x:c r="W486" s="373"/>
      <x:c r="X486" s="373"/>
      <x:c r="Y486" s="373"/>
      <x:c r="Z486" s="373"/>
    </x:row>
    <x:row r="487">
      <x:c r="A487" s="373"/>
      <x:c r="B487" s="373"/>
      <x:c r="C487" s="373"/>
      <x:c r="D487" s="373"/>
      <x:c r="E487" s="373"/>
      <x:c r="F487" s="373"/>
      <x:c r="G487" s="373"/>
      <x:c r="H487" s="373"/>
      <x:c r="I487" s="373"/>
      <x:c r="J487" s="373"/>
      <x:c r="K487" s="373"/>
      <x:c r="L487" s="373"/>
      <x:c r="M487" s="373"/>
      <x:c r="N487" s="373"/>
      <x:c r="O487" s="373"/>
      <x:c r="P487" s="373"/>
      <x:c r="Q487" s="373"/>
      <x:c r="R487" s="373"/>
      <x:c r="S487" s="373"/>
      <x:c r="T487" s="373"/>
      <x:c r="U487" s="373"/>
      <x:c r="V487" s="373"/>
      <x:c r="W487" s="373"/>
      <x:c r="X487" s="373"/>
      <x:c r="Y487" s="373"/>
      <x:c r="Z487" s="373"/>
    </x:row>
    <x:row r="488">
      <x:c r="A488" s="373"/>
      <x:c r="B488" s="373"/>
      <x:c r="C488" s="373"/>
      <x:c r="D488" s="373"/>
      <x:c r="E488" s="373"/>
      <x:c r="F488" s="373"/>
      <x:c r="G488" s="373"/>
      <x:c r="H488" s="373"/>
      <x:c r="I488" s="373"/>
      <x:c r="J488" s="373"/>
      <x:c r="K488" s="373"/>
      <x:c r="L488" s="373"/>
      <x:c r="M488" s="373"/>
      <x:c r="N488" s="373"/>
      <x:c r="O488" s="373"/>
      <x:c r="P488" s="373"/>
      <x:c r="Q488" s="373"/>
      <x:c r="R488" s="373"/>
      <x:c r="S488" s="373"/>
      <x:c r="T488" s="373"/>
      <x:c r="U488" s="373"/>
      <x:c r="V488" s="373"/>
      <x:c r="W488" s="373"/>
      <x:c r="X488" s="373"/>
      <x:c r="Y488" s="373"/>
      <x:c r="Z488" s="373"/>
    </x:row>
    <x:row r="489">
      <x:c r="A489" s="373"/>
      <x:c r="B489" s="373"/>
      <x:c r="C489" s="373"/>
      <x:c r="D489" s="373"/>
      <x:c r="E489" s="373"/>
      <x:c r="F489" s="373"/>
      <x:c r="G489" s="373"/>
      <x:c r="H489" s="373"/>
      <x:c r="I489" s="373"/>
      <x:c r="J489" s="373"/>
      <x:c r="K489" s="373"/>
      <x:c r="L489" s="373"/>
      <x:c r="M489" s="373"/>
      <x:c r="N489" s="373"/>
      <x:c r="O489" s="373"/>
      <x:c r="P489" s="373"/>
      <x:c r="Q489" s="373"/>
      <x:c r="R489" s="373"/>
      <x:c r="S489" s="373"/>
      <x:c r="T489" s="373"/>
      <x:c r="U489" s="373"/>
      <x:c r="V489" s="373"/>
      <x:c r="W489" s="373"/>
      <x:c r="X489" s="373"/>
      <x:c r="Y489" s="373"/>
      <x:c r="Z489" s="373"/>
    </x:row>
    <x:row r="490">
      <x:c r="A490" s="373"/>
      <x:c r="B490" s="373"/>
      <x:c r="C490" s="373"/>
      <x:c r="D490" s="373"/>
      <x:c r="E490" s="373"/>
      <x:c r="F490" s="373"/>
      <x:c r="G490" s="373"/>
      <x:c r="H490" s="373"/>
      <x:c r="I490" s="373"/>
      <x:c r="J490" s="373"/>
      <x:c r="K490" s="373"/>
      <x:c r="L490" s="373"/>
      <x:c r="M490" s="373"/>
      <x:c r="N490" s="373"/>
      <x:c r="O490" s="373"/>
      <x:c r="P490" s="373"/>
      <x:c r="Q490" s="373"/>
      <x:c r="R490" s="373"/>
      <x:c r="S490" s="373"/>
      <x:c r="T490" s="373"/>
      <x:c r="U490" s="373"/>
      <x:c r="V490" s="373"/>
      <x:c r="W490" s="373"/>
      <x:c r="X490" s="373"/>
      <x:c r="Y490" s="373"/>
      <x:c r="Z490" s="373"/>
    </x:row>
    <x:row r="491">
      <x:c r="A491" s="373"/>
      <x:c r="B491" s="373"/>
      <x:c r="C491" s="373"/>
      <x:c r="D491" s="373"/>
      <x:c r="E491" s="373"/>
      <x:c r="F491" s="373"/>
      <x:c r="G491" s="373"/>
      <x:c r="H491" s="373"/>
      <x:c r="I491" s="373"/>
      <x:c r="J491" s="373"/>
      <x:c r="K491" s="373"/>
      <x:c r="L491" s="373"/>
      <x:c r="M491" s="373"/>
      <x:c r="N491" s="373"/>
      <x:c r="O491" s="373"/>
      <x:c r="P491" s="373"/>
      <x:c r="Q491" s="373"/>
      <x:c r="R491" s="373"/>
      <x:c r="S491" s="373"/>
      <x:c r="T491" s="373"/>
      <x:c r="U491" s="373"/>
      <x:c r="V491" s="373"/>
      <x:c r="W491" s="373"/>
      <x:c r="X491" s="373"/>
      <x:c r="Y491" s="373"/>
      <x:c r="Z491" s="373"/>
    </x:row>
    <x:row r="492">
      <x:c r="A492" s="373"/>
      <x:c r="B492" s="373"/>
      <x:c r="C492" s="373"/>
      <x:c r="D492" s="373"/>
      <x:c r="E492" s="373"/>
      <x:c r="F492" s="373"/>
      <x:c r="G492" s="373"/>
      <x:c r="H492" s="373"/>
      <x:c r="I492" s="373"/>
      <x:c r="J492" s="373"/>
      <x:c r="K492" s="373"/>
      <x:c r="L492" s="373"/>
      <x:c r="M492" s="373"/>
      <x:c r="N492" s="373"/>
      <x:c r="O492" s="373"/>
      <x:c r="P492" s="373"/>
      <x:c r="Q492" s="373"/>
      <x:c r="R492" s="373"/>
      <x:c r="S492" s="373"/>
      <x:c r="T492" s="373"/>
      <x:c r="U492" s="373"/>
      <x:c r="V492" s="373"/>
      <x:c r="W492" s="373"/>
      <x:c r="X492" s="373"/>
      <x:c r="Y492" s="373"/>
      <x:c r="Z492" s="373"/>
    </x:row>
    <x:row r="493">
      <x:c r="A493" s="373"/>
      <x:c r="B493" s="373"/>
      <x:c r="C493" s="373"/>
      <x:c r="D493" s="373"/>
      <x:c r="E493" s="373"/>
      <x:c r="F493" s="373"/>
      <x:c r="G493" s="373"/>
      <x:c r="H493" s="373"/>
      <x:c r="I493" s="373"/>
      <x:c r="J493" s="373"/>
      <x:c r="K493" s="373"/>
      <x:c r="L493" s="373"/>
      <x:c r="M493" s="373"/>
      <x:c r="N493" s="373"/>
      <x:c r="O493" s="373"/>
      <x:c r="P493" s="373"/>
      <x:c r="Q493" s="373"/>
      <x:c r="R493" s="373"/>
      <x:c r="S493" s="373"/>
      <x:c r="T493" s="373"/>
      <x:c r="U493" s="373"/>
      <x:c r="V493" s="373"/>
      <x:c r="W493" s="373"/>
      <x:c r="X493" s="373"/>
      <x:c r="Y493" s="373"/>
      <x:c r="Z493" s="373"/>
    </x:row>
    <x:row r="494">
      <x:c r="A494" s="373"/>
      <x:c r="B494" s="373"/>
      <x:c r="C494" s="373"/>
      <x:c r="D494" s="373"/>
      <x:c r="E494" s="373"/>
      <x:c r="F494" s="373"/>
      <x:c r="G494" s="373"/>
      <x:c r="H494" s="373"/>
      <x:c r="I494" s="373"/>
      <x:c r="J494" s="373"/>
      <x:c r="K494" s="373"/>
      <x:c r="L494" s="373"/>
      <x:c r="M494" s="373"/>
      <x:c r="N494" s="373"/>
      <x:c r="O494" s="373"/>
      <x:c r="P494" s="373"/>
      <x:c r="Q494" s="373"/>
      <x:c r="R494" s="373"/>
      <x:c r="S494" s="373"/>
      <x:c r="T494" s="373"/>
      <x:c r="U494" s="373"/>
      <x:c r="V494" s="373"/>
      <x:c r="W494" s="373"/>
      <x:c r="X494" s="373"/>
      <x:c r="Y494" s="373"/>
      <x:c r="Z494" s="373"/>
    </x:row>
    <x:row r="495">
      <x:c r="A495" s="373"/>
      <x:c r="B495" s="373"/>
      <x:c r="C495" s="373"/>
      <x:c r="D495" s="373"/>
      <x:c r="E495" s="373"/>
      <x:c r="F495" s="373"/>
      <x:c r="G495" s="373"/>
      <x:c r="H495" s="373"/>
      <x:c r="I495" s="373"/>
      <x:c r="J495" s="373"/>
      <x:c r="K495" s="373"/>
      <x:c r="L495" s="373"/>
      <x:c r="M495" s="373"/>
      <x:c r="N495" s="373"/>
      <x:c r="O495" s="373"/>
      <x:c r="P495" s="373"/>
      <x:c r="Q495" s="373"/>
      <x:c r="R495" s="373"/>
      <x:c r="S495" s="373"/>
      <x:c r="T495" s="373"/>
      <x:c r="U495" s="373"/>
      <x:c r="V495" s="373"/>
      <x:c r="W495" s="373"/>
      <x:c r="X495" s="373"/>
      <x:c r="Y495" s="373"/>
      <x:c r="Z495" s="373"/>
    </x:row>
    <x:row r="496">
      <x:c r="A496" s="373"/>
      <x:c r="B496" s="373"/>
      <x:c r="C496" s="373"/>
      <x:c r="D496" s="373"/>
      <x:c r="E496" s="373"/>
      <x:c r="F496" s="373"/>
      <x:c r="G496" s="373"/>
      <x:c r="H496" s="373"/>
      <x:c r="I496" s="373"/>
      <x:c r="J496" s="373"/>
      <x:c r="K496" s="373"/>
      <x:c r="L496" s="373"/>
      <x:c r="M496" s="373"/>
      <x:c r="N496" s="373"/>
      <x:c r="O496" s="373"/>
      <x:c r="P496" s="373"/>
      <x:c r="Q496" s="373"/>
      <x:c r="R496" s="373"/>
      <x:c r="S496" s="373"/>
      <x:c r="T496" s="373"/>
      <x:c r="U496" s="373"/>
      <x:c r="V496" s="373"/>
      <x:c r="W496" s="373"/>
      <x:c r="X496" s="373"/>
      <x:c r="Y496" s="373"/>
      <x:c r="Z496" s="373"/>
    </x:row>
    <x:row r="497">
      <x:c r="A497" s="373"/>
      <x:c r="B497" s="373"/>
      <x:c r="C497" s="373"/>
      <x:c r="D497" s="373"/>
      <x:c r="E497" s="373"/>
      <x:c r="F497" s="373"/>
      <x:c r="G497" s="373"/>
      <x:c r="H497" s="373"/>
      <x:c r="I497" s="373"/>
      <x:c r="J497" s="373"/>
      <x:c r="K497" s="373"/>
      <x:c r="L497" s="373"/>
      <x:c r="M497" s="373"/>
      <x:c r="N497" s="373"/>
      <x:c r="O497" s="373"/>
      <x:c r="P497" s="373"/>
      <x:c r="Q497" s="373"/>
      <x:c r="R497" s="373"/>
      <x:c r="S497" s="373"/>
      <x:c r="T497" s="373"/>
      <x:c r="U497" s="373"/>
      <x:c r="V497" s="373"/>
      <x:c r="W497" s="373"/>
      <x:c r="X497" s="373"/>
      <x:c r="Y497" s="373"/>
      <x:c r="Z497" s="373"/>
    </x:row>
    <x:row r="498">
      <x:c r="A498" s="373"/>
      <x:c r="B498" s="373"/>
      <x:c r="C498" s="373"/>
      <x:c r="D498" s="373"/>
      <x:c r="E498" s="373"/>
      <x:c r="F498" s="373"/>
      <x:c r="G498" s="373"/>
      <x:c r="H498" s="373"/>
      <x:c r="I498" s="373"/>
      <x:c r="J498" s="373"/>
      <x:c r="K498" s="373"/>
      <x:c r="L498" s="373"/>
      <x:c r="M498" s="373"/>
      <x:c r="N498" s="373"/>
      <x:c r="O498" s="373"/>
      <x:c r="P498" s="373"/>
      <x:c r="Q498" s="373"/>
      <x:c r="R498" s="373"/>
      <x:c r="S498" s="373"/>
      <x:c r="T498" s="373"/>
      <x:c r="U498" s="373"/>
      <x:c r="V498" s="373"/>
      <x:c r="W498" s="373"/>
      <x:c r="X498" s="373"/>
      <x:c r="Y498" s="373"/>
      <x:c r="Z498" s="373"/>
    </x:row>
    <x:row r="499">
      <x:c r="A499" s="373"/>
      <x:c r="B499" s="373"/>
      <x:c r="C499" s="373"/>
      <x:c r="D499" s="373"/>
      <x:c r="E499" s="373"/>
      <x:c r="F499" s="373"/>
      <x:c r="G499" s="373"/>
      <x:c r="H499" s="373"/>
      <x:c r="I499" s="373"/>
      <x:c r="J499" s="373"/>
      <x:c r="K499" s="373"/>
      <x:c r="L499" s="373"/>
      <x:c r="M499" s="373"/>
      <x:c r="N499" s="373"/>
      <x:c r="O499" s="373"/>
      <x:c r="P499" s="373"/>
      <x:c r="Q499" s="373"/>
      <x:c r="R499" s="373"/>
      <x:c r="S499" s="373"/>
      <x:c r="T499" s="373"/>
      <x:c r="U499" s="373"/>
      <x:c r="V499" s="373"/>
      <x:c r="W499" s="373"/>
      <x:c r="X499" s="373"/>
      <x:c r="Y499" s="373"/>
      <x:c r="Z499" s="373"/>
    </x:row>
    <x:row r="500">
      <x:c r="A500" s="373"/>
      <x:c r="B500" s="373"/>
      <x:c r="C500" s="373"/>
      <x:c r="D500" s="373"/>
      <x:c r="E500" s="373"/>
      <x:c r="F500" s="373"/>
      <x:c r="G500" s="373"/>
      <x:c r="H500" s="373"/>
      <x:c r="I500" s="373"/>
      <x:c r="J500" s="373"/>
      <x:c r="K500" s="373"/>
      <x:c r="L500" s="373"/>
      <x:c r="M500" s="373"/>
      <x:c r="N500" s="373"/>
      <x:c r="O500" s="373"/>
      <x:c r="P500" s="373"/>
      <x:c r="Q500" s="373"/>
      <x:c r="R500" s="373"/>
      <x:c r="S500" s="373"/>
      <x:c r="T500" s="373"/>
      <x:c r="U500" s="373"/>
      <x:c r="V500" s="373"/>
      <x:c r="W500" s="373"/>
      <x:c r="X500" s="373"/>
      <x:c r="Y500" s="373"/>
      <x:c r="Z500" s="373"/>
    </x:row>
  </x:sheetData>
  <x:mergeCells>
    <x:mergeCell ref="A1:U1"/>
    <x:mergeCell ref="A2:U2"/>
  </x:mergeCells>
  <x:conditionalFormatting sqref="I5:I130">
    <x:cfRule type="expression" dxfId="8" priority="1">
      <x:formula>I5="Done"</x:formula>
    </x:cfRule>
    <x:cfRule type="expression" dxfId="9" priority="2">
      <x:formula>I5="Passed"</x:formula>
    </x:cfRule>
    <x:cfRule type="expression" dxfId="10" priority="3">
      <x:formula>I5="In Progress"</x:formula>
    </x:cfRule>
    <x:cfRule type="expression" dxfId="11" priority="4">
      <x:formula>I5="In Review"</x:formula>
    </x:cfRule>
    <x:cfRule type="expression" dxfId="12" priority="5">
      <x:formula>I5="Blocked"</x:formula>
    </x:cfRule>
    <x:cfRule type="expression" dxfId="13" priority="6">
      <x:formula>I5="Failed"</x:formula>
    </x:cfRule>
    <x:cfRule type="expression" dxfId="14" priority="7">
      <x:formula>I5="Not Run"</x:formula>
    </x:cfRule>
    <x:cfRule type="expression" dxfId="15" priority="8">
      <x:formula>I5="Backlog"</x:formula>
    </x:cfRule>
  </x:conditionalFormatting>
  <x:conditionalFormatting sqref="J5:J130">
    <x:cfRule type="dataBar" priority="9">
      <x:dataBar>
        <x:cfvo type="min"/>
        <x:cfvo type="max"/>
        <x:color rgb="FF2563EB"/>
      </x:dataBar>
      <x:extLst>
        <x:ext xmlns:x14="http://schemas.microsoft.com/office/spreadsheetml/2009/9/main" uri="{B025F937-C7B1-47D3-B67F-A62EFF666E3E}">
          <x14:id>{0EA2303B-0BA6-80ED-A64A-CD5AF961DD77}</x14:id>
        </x:ext>
      </x:extLst>
    </x:cfRule>
  </x:conditionalFormatting>
  <x:dataValidations count="2">
    <x:dataValidation type="list" sqref="I5:I130">
      <x:formula1>"Backlog,Ready,In Progress,Blocked,In Review,Done,Deferred"</x:formula1>
    </x:dataValidation>
    <x:dataValidation type="list" sqref="G5:G130">
      <x:formula1>"Critical,High,Medium,Low"</x:formula1>
    </x:dataValidation>
  </x:dataValidations>
  <x:pageMargins left="0.7" right="0.7" top="0.75" bottom="0.75" header="0.3" footer="0.3"/>
  <x:tableParts count="1">
    <x:tablePart xmlns:r="http://schemas.openxmlformats.org/officeDocument/2006/relationships" r:id="Rf516bb0387ce4a3c"/>
  </x:tableParts>
  <x:extLst>
    <x:ext xmlns:x14="http://schemas.microsoft.com/office/spreadsheetml/2009/9/main" xmlns:xm="http://schemas.microsoft.com/office/excel/2006/main" uri="{78C0D931-6437-407d-A8EE-F0AAD7539E65}">
      <x14:conditionalFormattings>
        <x14:conditionalFormatting>
          <x14:cfRule type="dataBar" priority="9" id="{0EA2303B-0BA6-80ED-A64A-CD5AF961DD77}">
            <x14:dataBar gradient="1">
              <x14:cfvo type="min"/>
              <x14:cfvo type="max"/>
              <x14:fillColor rgb="FF2563EB"/>
            </x14:dataBar>
          </x14:cfRule>
          <xm:sqref>J5:J130</xm:sqref>
        </x14:conditionalFormatting>
      </x14:conditionalFormattings>
    </x:ext>
  </x:extLst>
</x:worksheet>
</file>

<file path=xl/worksheets/sheet4.xml><?xml version="1.0" encoding="utf-8"?>
<x:worksheet xmlns:x="http://schemas.openxmlformats.org/spreadsheetml/2006/main">
  <x:sheetFormatPr defaultRowHeight="15"/>
  <x:cols>
    <x:col min="1" max="1" width="13" hidden="0" customWidth="1"/>
    <x:col min="2" max="2" width="10" hidden="0" customWidth="1"/>
    <x:col min="3" max="3" width="18" hidden="0" customWidth="1"/>
    <x:col min="4" max="4" width="50" hidden="0" customWidth="1"/>
    <x:col min="5" max="5" width="40" hidden="0" customWidth="1"/>
    <x:col min="6" max="6" width="10" hidden="0" customWidth="1"/>
    <x:col min="7" max="7" width="18" hidden="0" customWidth="1"/>
    <x:col min="8" max="8" width="44" hidden="0" customWidth="1"/>
    <x:col min="9" max="9" width="14" hidden="0" customWidth="1"/>
    <x:col min="10" max="10" width="15" hidden="0" customWidth="1"/>
    <x:col min="11" max="11" width="10" hidden="0" customWidth="1"/>
    <x:col min="12" max="12" width="11" hidden="0" customWidth="1"/>
    <x:col min="13" max="13" width="11" hidden="0" customWidth="1"/>
    <x:col min="14" max="14" width="28" hidden="0" customWidth="1"/>
    <x:col min="15" max="15" width="12" hidden="0" customWidth="1"/>
    <x:col min="16" max="16" width="28" hidden="0" customWidth="1"/>
    <x:col min="17" max="17" width="22" hidden="0" customWidth="1"/>
  </x:cols>
  <x:sheetData>
    <x:row r="1" ht="32" customHeight="1">
      <x:c r="A1" s="486" t="str">
        <x:v>Requirements &amp; Traceability</x:v>
      </x:c>
      <x:c r="B1" s="486"/>
      <x:c r="C1" s="486"/>
      <x:c r="D1" s="486"/>
      <x:c r="E1" s="486"/>
      <x:c r="F1" s="486"/>
      <x:c r="G1" s="486"/>
      <x:c r="H1" s="486"/>
      <x:c r="I1" s="486"/>
      <x:c r="J1" s="486"/>
      <x:c r="K1" s="486"/>
      <x:c r="L1" s="486"/>
      <x:c r="M1" s="486"/>
      <x:c r="N1" s="486"/>
      <x:c r="O1" s="486"/>
      <x:c r="P1" s="486"/>
      <x:c r="Q1" s="486"/>
      <x:c r="R1" s="373"/>
      <x:c r="S1" s="373"/>
      <x:c r="T1" s="373"/>
      <x:c r="U1" s="373"/>
      <x:c r="V1" s="373"/>
      <x:c r="W1" s="373"/>
      <x:c r="X1" s="373"/>
      <x:c r="Y1" s="373"/>
      <x:c r="Z1" s="373"/>
    </x:row>
    <x:row r="2" ht="22" customHeight="1">
      <x:c r="A2" s="374" t="str">
        <x:v>Every requirement must have explicit acceptance criteria, linked features, test coverage, and evidence.</x:v>
      </x:c>
      <x:c r="B2" s="374"/>
      <x:c r="C2" s="374"/>
      <x:c r="D2" s="374"/>
      <x:c r="E2" s="374"/>
      <x:c r="F2" s="374"/>
      <x:c r="G2" s="374"/>
      <x:c r="H2" s="374"/>
      <x:c r="I2" s="374"/>
      <x:c r="J2" s="374"/>
      <x:c r="K2" s="374"/>
      <x:c r="L2" s="374"/>
      <x:c r="M2" s="374"/>
      <x:c r="N2" s="374"/>
      <x:c r="O2" s="374"/>
      <x:c r="P2" s="374"/>
      <x:c r="Q2" s="374"/>
      <x:c r="R2" s="373"/>
      <x:c r="S2" s="373"/>
      <x:c r="T2" s="373"/>
      <x:c r="U2" s="373"/>
      <x:c r="V2" s="373"/>
      <x:c r="W2" s="373"/>
      <x:c r="X2" s="373"/>
      <x:c r="Y2" s="373"/>
      <x:c r="Z2" s="373"/>
    </x:row>
    <x:row r="3">
      <x:c r="A3" s="373"/>
      <x:c r="B3" s="373"/>
      <x:c r="C3" s="373"/>
      <x:c r="D3" s="373"/>
      <x:c r="E3" s="373"/>
      <x:c r="F3" s="373"/>
      <x:c r="G3" s="373"/>
      <x:c r="H3" s="373"/>
      <x:c r="I3" s="373"/>
      <x:c r="J3" s="373"/>
      <x:c r="K3" s="373"/>
      <x:c r="L3" s="373"/>
      <x:c r="M3" s="373"/>
      <x:c r="N3" s="373"/>
      <x:c r="O3" s="373"/>
      <x:c r="P3" s="373"/>
      <x:c r="Q3" s="373"/>
      <x:c r="R3" s="373"/>
      <x:c r="S3" s="373"/>
      <x:c r="T3" s="373"/>
      <x:c r="U3" s="373"/>
      <x:c r="V3" s="373"/>
      <x:c r="W3" s="373"/>
      <x:c r="X3" s="373"/>
      <x:c r="Y3" s="373"/>
      <x:c r="Z3" s="373"/>
    </x:row>
    <x:row r="4">
      <x:c r="A4" s="409" t="str">
        <x:v>Requirement ID</x:v>
      </x:c>
      <x:c r="B4" s="413" t="str">
        <x:v>Release</x:v>
      </x:c>
      <x:c r="C4" s="413" t="str">
        <x:v>Category</x:v>
      </x:c>
      <x:c r="D4" s="413" t="str">
        <x:v>Requirement</x:v>
      </x:c>
      <x:c r="E4" s="413" t="str">
        <x:v>Rationale</x:v>
      </x:c>
      <x:c r="F4" s="413" t="str">
        <x:v>Priority</x:v>
      </x:c>
      <x:c r="G4" s="413" t="str">
        <x:v>Verification Method</x:v>
      </x:c>
      <x:c r="H4" s="413" t="str">
        <x:v>Acceptance Criteria</x:v>
      </x:c>
      <x:c r="I4" s="413" t="str">
        <x:v>Status</x:v>
      </x:c>
      <x:c r="J4" s="413" t="str">
        <x:v>Linked Feature ID</x:v>
      </x:c>
      <x:c r="K4" s="413" t="str">
        <x:v>Test Count</x:v>
      </x:c>
      <x:c r="L4" s="413" t="str">
        <x:v>Passed Tests</x:v>
      </x:c>
      <x:c r="M4" s="413" t="str">
        <x:v>Coverage %</x:v>
      </x:c>
      <x:c r="N4" s="413" t="str">
        <x:v>Evidence</x:v>
      </x:c>
      <x:c r="O4" s="413" t="str">
        <x:v>Owner</x:v>
      </x:c>
      <x:c r="P4" s="413" t="str">
        <x:v>Notes</x:v>
      </x:c>
      <x:c r="Q4" s="410" t="str">
        <x:v>JS Key</x:v>
      </x:c>
      <x:c r="R4" s="373"/>
      <x:c r="S4" s="373"/>
      <x:c r="T4" s="373"/>
      <x:c r="U4" s="373"/>
      <x:c r="V4" s="373"/>
      <x:c r="W4" s="373"/>
      <x:c r="X4" s="373"/>
      <x:c r="Y4" s="373"/>
      <x:c r="Z4" s="373"/>
    </x:row>
    <x:row r="5">
      <x:c r="A5" s="411" t="str">
        <x:v>REQ-001</x:v>
      </x:c>
      <x:c r="B5" s="411" t="str">
        <x:v>v0.1.1</x:v>
      </x:c>
      <x:c r="C5" s="411" t="str">
        <x:v>Runtime</x:v>
      </x:c>
      <x:c r="D5" s="411" t="str">
        <x:v>The platform shall capture the current launch tree, processes, nodes, shutdown path, and known cleanup failures.</x:v>
      </x:c>
      <x:c r="E5" s="411" t="str">
        <x:v>Supports Runtime Cleanup &amp; Deterministic Shutdown and removes a documented project limitation.</x:v>
      </x:c>
      <x:c r="F5" s="411" t="str">
        <x:v>Critical</x:v>
      </x:c>
      <x:c r="G5" s="411" t="str">
        <x:v>Test</x:v>
      </x:c>
      <x:c r="H5" s="411" t="str">
        <x:v>Acceptance test passes; failure path is verified; regression suite remains green.</x:v>
      </x:c>
      <x:c r="I5" s="411" t="str">
        <x:v>Draft</x:v>
      </x:c>
      <x:c r="J5" s="411" t="str">
        <x:v>F-RUN-001</x:v>
      </x:c>
      <x:c r="K5" s="464" t="n">
        <x:f>COUNTIF(Test_Cases!$E$5:$E$1000,A5)</x:f>
        <x:v>1</x:v>
      </x:c>
      <x:c r="L5" s="464" t="n">
        <x:f>COUNTIFS(Test_Cases!$E$5:$E$1000,A5,Test_Cases!$L$5:$L$1000,"Passed")</x:f>
        <x:v>0</x:v>
      </x:c>
      <x:c r="M5" s="414" t="n">
        <x:f>IF(K5=0,0,L5/K5)</x:f>
        <x:v>0</x:v>
      </x:c>
      <x:c r="N5" s="411" t="str"/>
      <x:c r="O5" s="411" t="str">
        <x:v>Devansh</x:v>
      </x:c>
      <x:c r="P5" s="411" t="str"/>
      <x:c r="Q5" s="411" t="str">
        <x:v>req_001</x:v>
      </x:c>
      <x:c r="R5" s="373"/>
      <x:c r="S5" s="373"/>
      <x:c r="T5" s="373"/>
      <x:c r="U5" s="373"/>
      <x:c r="V5" s="373"/>
      <x:c r="W5" s="373"/>
      <x:c r="X5" s="373"/>
      <x:c r="Y5" s="373"/>
      <x:c r="Z5" s="373"/>
    </x:row>
    <x:row r="6">
      <x:c r="A6" s="411" t="str">
        <x:v>REQ-002</x:v>
      </x:c>
      <x:c r="B6" s="411" t="str">
        <x:v>v0.1.1</x:v>
      </x:c>
      <x:c r="C6" s="411" t="str">
        <x:v>Runtime</x:v>
      </x:c>
      <x:c r="D6" s="411" t="str">
        <x:v>The platform shall prevent a second Gazebo/platform launch when an instance is already active.</x:v>
      </x:c>
      <x:c r="E6" s="411" t="str">
        <x:v>Supports Runtime Cleanup &amp; Deterministic Shutdown and removes a documented project limitation.</x:v>
      </x:c>
      <x:c r="F6" s="411" t="str">
        <x:v>Critical</x:v>
      </x:c>
      <x:c r="G6" s="411" t="str">
        <x:v>Test</x:v>
      </x:c>
      <x:c r="H6" s="411" t="str">
        <x:v>Acceptance test passes; failure path is verified; regression suite remains green.</x:v>
      </x:c>
      <x:c r="I6" s="411" t="str">
        <x:v>Draft</x:v>
      </x:c>
      <x:c r="J6" s="411" t="str">
        <x:v>F-RUN-002</x:v>
      </x:c>
      <x:c r="K6" s="464" t="n">
        <x:f>COUNTIF(Test_Cases!$E$5:$E$1000,A6)</x:f>
        <x:v>1</x:v>
      </x:c>
      <x:c r="L6" s="464" t="n">
        <x:f>COUNTIFS(Test_Cases!$E$5:$E$1000,A6,Test_Cases!$L$5:$L$1000,"Passed")</x:f>
        <x:v>0</x:v>
      </x:c>
      <x:c r="M6" s="414" t="n">
        <x:f>IF(K6=0,0,L6/K6)</x:f>
        <x:v>0</x:v>
      </x:c>
      <x:c r="N6" s="411" t="str"/>
      <x:c r="O6" s="411" t="str">
        <x:v>Devansh</x:v>
      </x:c>
      <x:c r="P6" s="411" t="str"/>
      <x:c r="Q6" s="411" t="str">
        <x:v>req_002</x:v>
      </x:c>
      <x:c r="R6" s="373"/>
      <x:c r="S6" s="373"/>
      <x:c r="T6" s="373"/>
      <x:c r="U6" s="373"/>
      <x:c r="V6" s="373"/>
      <x:c r="W6" s="373"/>
      <x:c r="X6" s="373"/>
      <x:c r="Y6" s="373"/>
      <x:c r="Z6" s="373"/>
    </x:row>
    <x:row r="7">
      <x:c r="A7" s="411" t="str">
        <x:v>REQ-003</x:v>
      </x:c>
      <x:c r="B7" s="411" t="str">
        <x:v>v0.1.1</x:v>
      </x:c>
      <x:c r="C7" s="411" t="str">
        <x:v>Runtime</x:v>
      </x:c>
      <x:c r="D7" s="411" t="str">
        <x:v>The platform shall track every process and launch handle created by the platform.</x:v>
      </x:c>
      <x:c r="E7" s="411" t="str">
        <x:v>Supports Runtime Cleanup &amp; Deterministic Shutdown and removes a documented project limitation.</x:v>
      </x:c>
      <x:c r="F7" s="411" t="str">
        <x:v>High</x:v>
      </x:c>
      <x:c r="G7" s="411" t="str">
        <x:v>Test</x:v>
      </x:c>
      <x:c r="H7" s="411" t="str">
        <x:v>Nominal and negative tests pass; behavior is documented and reproducible.</x:v>
      </x:c>
      <x:c r="I7" s="411" t="str">
        <x:v>Draft</x:v>
      </x:c>
      <x:c r="J7" s="411" t="str">
        <x:v>F-RUN-003</x:v>
      </x:c>
      <x:c r="K7" s="464" t="n">
        <x:f>COUNTIF(Test_Cases!$E$5:$E$1000,A7)</x:f>
        <x:v>1</x:v>
      </x:c>
      <x:c r="L7" s="464" t="n">
        <x:f>COUNTIFS(Test_Cases!$E$5:$E$1000,A7,Test_Cases!$L$5:$L$1000,"Passed")</x:f>
        <x:v>0</x:v>
      </x:c>
      <x:c r="M7" s="414" t="n">
        <x:f>IF(K7=0,0,L7/K7)</x:f>
        <x:v>0</x:v>
      </x:c>
      <x:c r="N7" s="411" t="str"/>
      <x:c r="O7" s="411" t="str">
        <x:v>Devansh</x:v>
      </x:c>
      <x:c r="P7" s="411" t="str"/>
      <x:c r="Q7" s="411" t="str">
        <x:v>req_003</x:v>
      </x:c>
      <x:c r="R7" s="373"/>
      <x:c r="S7" s="373"/>
      <x:c r="T7" s="373"/>
      <x:c r="U7" s="373"/>
      <x:c r="V7" s="373"/>
      <x:c r="W7" s="373"/>
      <x:c r="X7" s="373"/>
      <x:c r="Y7" s="373"/>
      <x:c r="Z7" s="373"/>
    </x:row>
    <x:row r="8">
      <x:c r="A8" s="411" t="str">
        <x:v>REQ-004</x:v>
      </x:c>
      <x:c r="B8" s="411" t="str">
        <x:v>v0.1.1</x:v>
      </x:c>
      <x:c r="C8" s="411" t="str">
        <x:v>Runtime</x:v>
      </x:c>
      <x:c r="D8" s="411" t="str">
        <x:v>The platform shall stop goals, deactivate modes, stop controllers, terminate nodes, and close Gazebo in order.</x:v>
      </x:c>
      <x:c r="E8" s="411" t="str">
        <x:v>Supports Runtime Cleanup &amp; Deterministic Shutdown and removes a documented project limitation.</x:v>
      </x:c>
      <x:c r="F8" s="411" t="str">
        <x:v>Critical</x:v>
      </x:c>
      <x:c r="G8" s="411" t="str">
        <x:v>Test</x:v>
      </x:c>
      <x:c r="H8" s="411" t="str">
        <x:v>Acceptance test passes; failure path is verified; regression suite remains green.</x:v>
      </x:c>
      <x:c r="I8" s="411" t="str">
        <x:v>Draft</x:v>
      </x:c>
      <x:c r="J8" s="411" t="str">
        <x:v>F-RUN-004</x:v>
      </x:c>
      <x:c r="K8" s="464" t="n">
        <x:f>COUNTIF(Test_Cases!$E$5:$E$1000,A8)</x:f>
        <x:v>1</x:v>
      </x:c>
      <x:c r="L8" s="464" t="n">
        <x:f>COUNTIFS(Test_Cases!$E$5:$E$1000,A8,Test_Cases!$L$5:$L$1000,"Passed")</x:f>
        <x:v>0</x:v>
      </x:c>
      <x:c r="M8" s="414" t="n">
        <x:f>IF(K8=0,0,L8/K8)</x:f>
        <x:v>0</x:v>
      </x:c>
      <x:c r="N8" s="411" t="str"/>
      <x:c r="O8" s="411" t="str">
        <x:v>Devansh</x:v>
      </x:c>
      <x:c r="P8" s="411" t="str"/>
      <x:c r="Q8" s="411" t="str">
        <x:v>req_004</x:v>
      </x:c>
      <x:c r="R8" s="373"/>
      <x:c r="S8" s="373"/>
      <x:c r="T8" s="373"/>
      <x:c r="U8" s="373"/>
      <x:c r="V8" s="373"/>
      <x:c r="W8" s="373"/>
      <x:c r="X8" s="373"/>
      <x:c r="Y8" s="373"/>
      <x:c r="Z8" s="373"/>
    </x:row>
    <x:row r="9">
      <x:c r="A9" s="411" t="str">
        <x:v>REQ-005</x:v>
      </x:c>
      <x:c r="B9" s="411" t="str">
        <x:v>v0.1.1</x:v>
      </x:c>
      <x:c r="C9" s="411" t="str">
        <x:v>Runtime</x:v>
      </x:c>
      <x:c r="D9" s="411" t="str">
        <x:v>The platform shall escalate from graceful stop to terminate/kill with bounded timeouts and diagnostics.</x:v>
      </x:c>
      <x:c r="E9" s="411" t="str">
        <x:v>Supports Runtime Cleanup &amp; Deterministic Shutdown and removes a documented project limitation.</x:v>
      </x:c>
      <x:c r="F9" s="411" t="str">
        <x:v>High</x:v>
      </x:c>
      <x:c r="G9" s="411" t="str">
        <x:v>Test</x:v>
      </x:c>
      <x:c r="H9" s="411" t="str">
        <x:v>Nominal and negative tests pass; behavior is documented and reproducible.</x:v>
      </x:c>
      <x:c r="I9" s="411" t="str">
        <x:v>Draft</x:v>
      </x:c>
      <x:c r="J9" s="411" t="str">
        <x:v>F-RUN-005</x:v>
      </x:c>
      <x:c r="K9" s="464" t="n">
        <x:f>COUNTIF(Test_Cases!$E$5:$E$1000,A9)</x:f>
        <x:v>1</x:v>
      </x:c>
      <x:c r="L9" s="464" t="n">
        <x:f>COUNTIFS(Test_Cases!$E$5:$E$1000,A9,Test_Cases!$L$5:$L$1000,"Passed")</x:f>
        <x:v>0</x:v>
      </x:c>
      <x:c r="M9" s="414" t="n">
        <x:f>IF(K9=0,0,L9/K9)</x:f>
        <x:v>0</x:v>
      </x:c>
      <x:c r="N9" s="411" t="str"/>
      <x:c r="O9" s="411" t="str">
        <x:v>Devansh</x:v>
      </x:c>
      <x:c r="P9" s="411" t="str"/>
      <x:c r="Q9" s="411" t="str">
        <x:v>req_005</x:v>
      </x:c>
      <x:c r="R9" s="373"/>
      <x:c r="S9" s="373"/>
      <x:c r="T9" s="373"/>
      <x:c r="U9" s="373"/>
      <x:c r="V9" s="373"/>
      <x:c r="W9" s="373"/>
      <x:c r="X9" s="373"/>
      <x:c r="Y9" s="373"/>
      <x:c r="Z9" s="373"/>
    </x:row>
    <x:row r="10">
      <x:c r="A10" s="411" t="str">
        <x:v>REQ-006</x:v>
      </x:c>
      <x:c r="B10" s="411" t="str">
        <x:v>v0.1.1</x:v>
      </x:c>
      <x:c r="C10" s="411" t="str">
        <x:v>State</x:v>
      </x:c>
      <x:c r="D10" s="411" t="str">
        <x:v>The platform shall reset selected environment, mode, active-goal, and process state after shutdown.</x:v>
      </x:c>
      <x:c r="E10" s="411" t="str">
        <x:v>Supports Runtime Cleanup &amp; Deterministic Shutdown and removes a documented project limitation.</x:v>
      </x:c>
      <x:c r="F10" s="411" t="str">
        <x:v>High</x:v>
      </x:c>
      <x:c r="G10" s="411" t="str">
        <x:v>Test</x:v>
      </x:c>
      <x:c r="H10" s="411" t="str">
        <x:v>Nominal and negative tests pass; behavior is documented and reproducible.</x:v>
      </x:c>
      <x:c r="I10" s="411" t="str">
        <x:v>Draft</x:v>
      </x:c>
      <x:c r="J10" s="411" t="str">
        <x:v>F-RUN-006</x:v>
      </x:c>
      <x:c r="K10" s="464" t="n">
        <x:f>COUNTIF(Test_Cases!$E$5:$E$1000,A10)</x:f>
        <x:v>1</x:v>
      </x:c>
      <x:c r="L10" s="464" t="n">
        <x:f>COUNTIFS(Test_Cases!$E$5:$E$1000,A10,Test_Cases!$L$5:$L$1000,"Passed")</x:f>
        <x:v>0</x:v>
      </x:c>
      <x:c r="M10" s="414" t="n">
        <x:f>IF(K10=0,0,L10/K10)</x:f>
        <x:v>0</x:v>
      </x:c>
      <x:c r="N10" s="411" t="str"/>
      <x:c r="O10" s="411" t="str">
        <x:v>Devansh</x:v>
      </x:c>
      <x:c r="P10" s="411" t="str"/>
      <x:c r="Q10" s="411" t="str">
        <x:v>req_006</x:v>
      </x:c>
      <x:c r="R10" s="373"/>
      <x:c r="S10" s="373"/>
      <x:c r="T10" s="373"/>
      <x:c r="U10" s="373"/>
      <x:c r="V10" s="373"/>
      <x:c r="W10" s="373"/>
      <x:c r="X10" s="373"/>
      <x:c r="Y10" s="373"/>
      <x:c r="Z10" s="373"/>
    </x:row>
    <x:row r="11">
      <x:c r="A11" s="411" t="str">
        <x:v>REQ-007</x:v>
      </x:c>
      <x:c r="B11" s="411" t="str">
        <x:v>v0.1.1</x:v>
      </x:c>
      <x:c r="C11" s="411" t="str">
        <x:v>Runtime</x:v>
      </x:c>
      <x:c r="D11" s="411" t="str">
        <x:v>The platform shall detect duplicate Gazebo, controller, manager, and autonomy nodes.</x:v>
      </x:c>
      <x:c r="E11" s="411" t="str">
        <x:v>Supports Runtime Cleanup &amp; Deterministic Shutdown and removes a documented project limitation.</x:v>
      </x:c>
      <x:c r="F11" s="411" t="str">
        <x:v>High</x:v>
      </x:c>
      <x:c r="G11" s="411" t="str">
        <x:v>Test</x:v>
      </x:c>
      <x:c r="H11" s="411" t="str">
        <x:v>Nominal and negative tests pass; behavior is documented and reproducible.</x:v>
      </x:c>
      <x:c r="I11" s="411" t="str">
        <x:v>Draft</x:v>
      </x:c>
      <x:c r="J11" s="411" t="str">
        <x:v>F-RUN-007</x:v>
      </x:c>
      <x:c r="K11" s="464" t="n">
        <x:f>COUNTIF(Test_Cases!$E$5:$E$1000,A11)</x:f>
        <x:v>1</x:v>
      </x:c>
      <x:c r="L11" s="464" t="n">
        <x:f>COUNTIFS(Test_Cases!$E$5:$E$1000,A11,Test_Cases!$L$5:$L$1000,"Passed")</x:f>
        <x:v>0</x:v>
      </x:c>
      <x:c r="M11" s="414" t="n">
        <x:f>IF(K11=0,0,L11/K11)</x:f>
        <x:v>0</x:v>
      </x:c>
      <x:c r="N11" s="411" t="str"/>
      <x:c r="O11" s="411" t="str">
        <x:v>Devansh</x:v>
      </x:c>
      <x:c r="P11" s="411" t="str"/>
      <x:c r="Q11" s="411" t="str">
        <x:v>req_007</x:v>
      </x:c>
      <x:c r="R11" s="373"/>
      <x:c r="S11" s="373"/>
      <x:c r="T11" s="373"/>
      <x:c r="U11" s="373"/>
      <x:c r="V11" s="373"/>
      <x:c r="W11" s="373"/>
      <x:c r="X11" s="373"/>
      <x:c r="Y11" s="373"/>
      <x:c r="Z11" s="373"/>
    </x:row>
    <x:row r="12">
      <x:c r="A12" s="411" t="str">
        <x:v>REQ-008</x:v>
      </x:c>
      <x:c r="B12" s="411" t="str">
        <x:v>v0.1.1</x:v>
      </x:c>
      <x:c r="C12" s="411" t="str">
        <x:v>Diagnostics</x:v>
      </x:c>
      <x:c r="D12" s="411" t="str">
        <x:v>The platform shall report exact remaining process, node, PID, and failed shutdown stage.</x:v>
      </x:c>
      <x:c r="E12" s="411" t="str">
        <x:v>Supports Runtime Cleanup &amp; Deterministic Shutdown and removes a documented project limitation.</x:v>
      </x:c>
      <x:c r="F12" s="411" t="str">
        <x:v>High</x:v>
      </x:c>
      <x:c r="G12" s="411" t="str">
        <x:v>Test</x:v>
      </x:c>
      <x:c r="H12" s="411" t="str">
        <x:v>Nominal and negative tests pass; behavior is documented and reproducible.</x:v>
      </x:c>
      <x:c r="I12" s="411" t="str">
        <x:v>Draft</x:v>
      </x:c>
      <x:c r="J12" s="411" t="str">
        <x:v>F-RUN-008</x:v>
      </x:c>
      <x:c r="K12" s="464" t="n">
        <x:f>COUNTIF(Test_Cases!$E$5:$E$1000,A12)</x:f>
        <x:v>1</x:v>
      </x:c>
      <x:c r="L12" s="464" t="n">
        <x:f>COUNTIFS(Test_Cases!$E$5:$E$1000,A12,Test_Cases!$L$5:$L$1000,"Passed")</x:f>
        <x:v>0</x:v>
      </x:c>
      <x:c r="M12" s="414" t="n">
        <x:f>IF(K12=0,0,L12/K12)</x:f>
        <x:v>0</x:v>
      </x:c>
      <x:c r="N12" s="411" t="str"/>
      <x:c r="O12" s="411" t="str">
        <x:v>Devansh</x:v>
      </x:c>
      <x:c r="P12" s="411" t="str"/>
      <x:c r="Q12" s="411" t="str">
        <x:v>req_008</x:v>
      </x:c>
      <x:c r="R12" s="373"/>
      <x:c r="S12" s="373"/>
      <x:c r="T12" s="373"/>
      <x:c r="U12" s="373"/>
      <x:c r="V12" s="373"/>
      <x:c r="W12" s="373"/>
      <x:c r="X12" s="373"/>
      <x:c r="Y12" s="373"/>
      <x:c r="Z12" s="373"/>
    </x:row>
    <x:row r="13">
      <x:c r="A13" s="411" t="str">
        <x:v>REQ-009</x:v>
      </x:c>
      <x:c r="B13" s="411" t="str">
        <x:v>v0.1.1</x:v>
      </x:c>
      <x:c r="C13" s="411" t="str">
        <x:v>Verification</x:v>
      </x:c>
      <x:c r="D13" s="411" t="str">
        <x:v>The platform shall automate repeated bring-up and shutdown cycles.</x:v>
      </x:c>
      <x:c r="E13" s="411" t="str">
        <x:v>Supports Runtime Cleanup &amp; Deterministic Shutdown and removes a documented project limitation.</x:v>
      </x:c>
      <x:c r="F13" s="411" t="str">
        <x:v>Critical</x:v>
      </x:c>
      <x:c r="G13" s="411" t="str">
        <x:v>Test</x:v>
      </x:c>
      <x:c r="H13" s="411" t="str">
        <x:v>Acceptance test passes; failure path is verified; regression suite remains green.</x:v>
      </x:c>
      <x:c r="I13" s="411" t="str">
        <x:v>Draft</x:v>
      </x:c>
      <x:c r="J13" s="411" t="str">
        <x:v>F-RUN-009</x:v>
      </x:c>
      <x:c r="K13" s="464" t="n">
        <x:f>COUNTIF(Test_Cases!$E$5:$E$1000,A13)</x:f>
        <x:v>2</x:v>
      </x:c>
      <x:c r="L13" s="464" t="n">
        <x:f>COUNTIFS(Test_Cases!$E$5:$E$1000,A13,Test_Cases!$L$5:$L$1000,"Passed")</x:f>
        <x:v>0</x:v>
      </x:c>
      <x:c r="M13" s="414" t="n">
        <x:f>IF(K13=0,0,L13/K13)</x:f>
        <x:v>0</x:v>
      </x:c>
      <x:c r="N13" s="411" t="str"/>
      <x:c r="O13" s="411" t="str">
        <x:v>Devansh</x:v>
      </x:c>
      <x:c r="P13" s="411" t="str"/>
      <x:c r="Q13" s="411" t="str">
        <x:v>req_009</x:v>
      </x:c>
      <x:c r="R13" s="373"/>
      <x:c r="S13" s="373"/>
      <x:c r="T13" s="373"/>
      <x:c r="U13" s="373"/>
      <x:c r="V13" s="373"/>
      <x:c r="W13" s="373"/>
      <x:c r="X13" s="373"/>
      <x:c r="Y13" s="373"/>
      <x:c r="Z13" s="373"/>
    </x:row>
    <x:row r="14">
      <x:c r="A14" s="411" t="str">
        <x:v>REQ-010</x:v>
      </x:c>
      <x:c r="B14" s="411" t="str">
        <x:v>v0.1.1</x:v>
      </x:c>
      <x:c r="C14" s="411" t="str">
        <x:v>Evidence</x:v>
      </x:c>
      <x:c r="D14" s="411" t="str">
        <x:v>The platform shall store logs, test output, process snapshots, and release decision evidence.</x:v>
      </x:c>
      <x:c r="E14" s="411" t="str">
        <x:v>Supports Runtime Cleanup &amp; Deterministic Shutdown and removes a documented project limitation.</x:v>
      </x:c>
      <x:c r="F14" s="411" t="str">
        <x:v>Medium</x:v>
      </x:c>
      <x:c r="G14" s="411" t="str">
        <x:v>Test</x:v>
      </x:c>
      <x:c r="H14" s="411" t="str">
        <x:v>Capability is usable, documented, and covered by at least one verification test.</x:v>
      </x:c>
      <x:c r="I14" s="411" t="str">
        <x:v>Draft</x:v>
      </x:c>
      <x:c r="J14" s="411" t="str">
        <x:v>F-RUN-010</x:v>
      </x:c>
      <x:c r="K14" s="464" t="n">
        <x:f>COUNTIF(Test_Cases!$E$5:$E$1000,A14)</x:f>
        <x:v>1</x:v>
      </x:c>
      <x:c r="L14" s="464" t="n">
        <x:f>COUNTIFS(Test_Cases!$E$5:$E$1000,A14,Test_Cases!$L$5:$L$1000,"Passed")</x:f>
        <x:v>0</x:v>
      </x:c>
      <x:c r="M14" s="414" t="n">
        <x:f>IF(K14=0,0,L14/K14)</x:f>
        <x:v>0</x:v>
      </x:c>
      <x:c r="N14" s="411" t="str"/>
      <x:c r="O14" s="411" t="str">
        <x:v>Devansh</x:v>
      </x:c>
      <x:c r="P14" s="411" t="str"/>
      <x:c r="Q14" s="411" t="str">
        <x:v>req_010</x:v>
      </x:c>
      <x:c r="R14" s="373"/>
      <x:c r="S14" s="373"/>
      <x:c r="T14" s="373"/>
      <x:c r="U14" s="373"/>
      <x:c r="V14" s="373"/>
      <x:c r="W14" s="373"/>
      <x:c r="X14" s="373"/>
      <x:c r="Y14" s="373"/>
      <x:c r="Z14" s="373"/>
    </x:row>
    <x:row r="15">
      <x:c r="A15" s="411" t="str">
        <x:v>REQ-011</x:v>
      </x:c>
      <x:c r="B15" s="411" t="str">
        <x:v>v0.1.2</x:v>
      </x:c>
      <x:c r="C15" s="411" t="str">
        <x:v>Lifecycle</x:v>
      </x:c>
      <x:c r="D15" s="411" t="str">
        <x:v>The platform shall create a reusable managed-component abstraction with transition contracts.</x:v>
      </x:c>
      <x:c r="E15" s="411" t="str">
        <x:v>Supports Lifecycle Management Foundation and removes a documented project limitation.</x:v>
      </x:c>
      <x:c r="F15" s="411" t="str">
        <x:v>Critical</x:v>
      </x:c>
      <x:c r="G15" s="411" t="str">
        <x:v>Test</x:v>
      </x:c>
      <x:c r="H15" s="411" t="str">
        <x:v>Acceptance test passes; failure path is verified; regression suite remains green.</x:v>
      </x:c>
      <x:c r="I15" s="411" t="str">
        <x:v>Draft</x:v>
      </x:c>
      <x:c r="J15" s="411" t="str">
        <x:v>F-LIFE-001</x:v>
      </x:c>
      <x:c r="K15" s="464" t="n">
        <x:f>COUNTIF(Test_Cases!$E$5:$E$1000,A15)</x:f>
        <x:v>2</x:v>
      </x:c>
      <x:c r="L15" s="464" t="n">
        <x:f>COUNTIFS(Test_Cases!$E$5:$E$1000,A15,Test_Cases!$L$5:$L$1000,"Passed")</x:f>
        <x:v>0</x:v>
      </x:c>
      <x:c r="M15" s="414" t="n">
        <x:f>IF(K15=0,0,L15/K15)</x:f>
        <x:v>0</x:v>
      </x:c>
      <x:c r="N15" s="411" t="str"/>
      <x:c r="O15" s="411" t="str">
        <x:v>Devansh</x:v>
      </x:c>
      <x:c r="P15" s="411" t="str"/>
      <x:c r="Q15" s="411" t="str">
        <x:v>req_011</x:v>
      </x:c>
      <x:c r="R15" s="373"/>
      <x:c r="S15" s="373"/>
      <x:c r="T15" s="373"/>
      <x:c r="U15" s="373"/>
      <x:c r="V15" s="373"/>
      <x:c r="W15" s="373"/>
      <x:c r="X15" s="373"/>
      <x:c r="Y15" s="373"/>
      <x:c r="Z15" s="373"/>
    </x:row>
    <x:row r="16">
      <x:c r="A16" s="411" t="str">
        <x:v>REQ-012</x:v>
      </x:c>
      <x:c r="B16" s="411" t="str">
        <x:v>v0.1.2</x:v>
      </x:c>
      <x:c r="C16" s="411" t="str">
        <x:v>Lifecycle</x:v>
      </x:c>
      <x:c r="D16" s="411" t="str">
        <x:v>The platform shall define configure, activate, deactivate, cleanup, shutdown, and error transitions.</x:v>
      </x:c>
      <x:c r="E16" s="411" t="str">
        <x:v>Supports Lifecycle Management Foundation and removes a documented project limitation.</x:v>
      </x:c>
      <x:c r="F16" s="411" t="str">
        <x:v>Critical</x:v>
      </x:c>
      <x:c r="G16" s="411" t="str">
        <x:v>Test</x:v>
      </x:c>
      <x:c r="H16" s="411" t="str">
        <x:v>Acceptance test passes; failure path is verified; regression suite remains green.</x:v>
      </x:c>
      <x:c r="I16" s="411" t="str">
        <x:v>Draft</x:v>
      </x:c>
      <x:c r="J16" s="411" t="str">
        <x:v>F-LIFE-002</x:v>
      </x:c>
      <x:c r="K16" s="464" t="n">
        <x:f>COUNTIF(Test_Cases!$E$5:$E$1000,A16)</x:f>
        <x:v>2</x:v>
      </x:c>
      <x:c r="L16" s="464" t="n">
        <x:f>COUNTIFS(Test_Cases!$E$5:$E$1000,A16,Test_Cases!$L$5:$L$1000,"Passed")</x:f>
        <x:v>0</x:v>
      </x:c>
      <x:c r="M16" s="414" t="n">
        <x:f>IF(K16=0,0,L16/K16)</x:f>
        <x:v>0</x:v>
      </x:c>
      <x:c r="N16" s="411" t="str"/>
      <x:c r="O16" s="411" t="str">
        <x:v>Devansh</x:v>
      </x:c>
      <x:c r="P16" s="411" t="str"/>
      <x:c r="Q16" s="411" t="str">
        <x:v>req_012</x:v>
      </x:c>
      <x:c r="R16" s="373"/>
      <x:c r="S16" s="373"/>
      <x:c r="T16" s="373"/>
      <x:c r="U16" s="373"/>
      <x:c r="V16" s="373"/>
      <x:c r="W16" s="373"/>
      <x:c r="X16" s="373"/>
      <x:c r="Y16" s="373"/>
      <x:c r="Z16" s="373"/>
    </x:row>
    <x:row r="17">
      <x:c r="A17" s="411" t="str">
        <x:v>REQ-013</x:v>
      </x:c>
      <x:c r="B17" s="411" t="str">
        <x:v>v0.1.2</x:v>
      </x:c>
      <x:c r="C17" s="411" t="str">
        <x:v>Lifecycle</x:v>
      </x:c>
      <x:c r="D17" s="411" t="str">
        <x:v>The platform shall return code, reason, failed dependency, timestamps, and recovery guidance.</x:v>
      </x:c>
      <x:c r="E17" s="411" t="str">
        <x:v>Supports Lifecycle Management Foundation and removes a documented project limitation.</x:v>
      </x:c>
      <x:c r="F17" s="411" t="str">
        <x:v>High</x:v>
      </x:c>
      <x:c r="G17" s="411" t="str">
        <x:v>Test</x:v>
      </x:c>
      <x:c r="H17" s="411" t="str">
        <x:v>Nominal and negative tests pass; behavior is documented and reproducible.</x:v>
      </x:c>
      <x:c r="I17" s="411" t="str">
        <x:v>Draft</x:v>
      </x:c>
      <x:c r="J17" s="411" t="str">
        <x:v>F-LIFE-003</x:v>
      </x:c>
      <x:c r="K17" s="464" t="n">
        <x:f>COUNTIF(Test_Cases!$E$5:$E$1000,A17)</x:f>
        <x:v>1</x:v>
      </x:c>
      <x:c r="L17" s="464" t="n">
        <x:f>COUNTIFS(Test_Cases!$E$5:$E$1000,A17,Test_Cases!$L$5:$L$1000,"Passed")</x:f>
        <x:v>0</x:v>
      </x:c>
      <x:c r="M17" s="414" t="n">
        <x:f>IF(K17=0,0,L17/K17)</x:f>
        <x:v>0</x:v>
      </x:c>
      <x:c r="N17" s="411" t="str"/>
      <x:c r="O17" s="411" t="str">
        <x:v>Devansh</x:v>
      </x:c>
      <x:c r="P17" s="411" t="str"/>
      <x:c r="Q17" s="411" t="str">
        <x:v>req_013</x:v>
      </x:c>
      <x:c r="R17" s="373"/>
      <x:c r="S17" s="373"/>
      <x:c r="T17" s="373"/>
      <x:c r="U17" s="373"/>
      <x:c r="V17" s="373"/>
      <x:c r="W17" s="373"/>
      <x:c r="X17" s="373"/>
      <x:c r="Y17" s="373"/>
      <x:c r="Z17" s="373"/>
    </x:row>
    <x:row r="18">
      <x:c r="A18" s="411" t="str">
        <x:v>REQ-014</x:v>
      </x:c>
      <x:c r="B18" s="411" t="str">
        <x:v>v0.1.2</x:v>
      </x:c>
      <x:c r="C18" s="411" t="str">
        <x:v>Orchestration</x:v>
      </x:c>
      <x:c r="D18" s="411" t="str">
        <x:v>The platform shall own component transition order and rollback behavior.</x:v>
      </x:c>
      <x:c r="E18" s="411" t="str">
        <x:v>Supports Lifecycle Management Foundation and removes a documented project limitation.</x:v>
      </x:c>
      <x:c r="F18" s="411" t="str">
        <x:v>Critical</x:v>
      </x:c>
      <x:c r="G18" s="411" t="str">
        <x:v>Test</x:v>
      </x:c>
      <x:c r="H18" s="411" t="str">
        <x:v>Acceptance test passes; failure path is verified; regression suite remains green.</x:v>
      </x:c>
      <x:c r="I18" s="411" t="str">
        <x:v>Draft</x:v>
      </x:c>
      <x:c r="J18" s="411" t="str">
        <x:v>F-LIFE-004</x:v>
      </x:c>
      <x:c r="K18" s="464" t="n">
        <x:f>COUNTIF(Test_Cases!$E$5:$E$1000,A18)</x:f>
        <x:v>2</x:v>
      </x:c>
      <x:c r="L18" s="464" t="n">
        <x:f>COUNTIFS(Test_Cases!$E$5:$E$1000,A18,Test_Cases!$L$5:$L$1000,"Passed")</x:f>
        <x:v>0</x:v>
      </x:c>
      <x:c r="M18" s="414" t="n">
        <x:f>IF(K18=0,0,L18/K18)</x:f>
        <x:v>0</x:v>
      </x:c>
      <x:c r="N18" s="411" t="str"/>
      <x:c r="O18" s="411" t="str">
        <x:v>Devansh</x:v>
      </x:c>
      <x:c r="P18" s="411" t="str"/>
      <x:c r="Q18" s="411" t="str">
        <x:v>req_014</x:v>
      </x:c>
      <x:c r="R18" s="373"/>
      <x:c r="S18" s="373"/>
      <x:c r="T18" s="373"/>
      <x:c r="U18" s="373"/>
      <x:c r="V18" s="373"/>
      <x:c r="W18" s="373"/>
      <x:c r="X18" s="373"/>
      <x:c r="Y18" s="373"/>
      <x:c r="Z18" s="373"/>
    </x:row>
    <x:row r="19">
      <x:c r="A19" s="411" t="str">
        <x:v>REQ-015</x:v>
      </x:c>
      <x:c r="B19" s="411" t="str">
        <x:v>v0.1.2</x:v>
      </x:c>
      <x:c r="C19" s="411" t="str">
        <x:v>Lifecycle</x:v>
      </x:c>
      <x:c r="D19" s="411" t="str">
        <x:v>The platform shall convert simulation manager to explicit lifecycle handling.</x:v>
      </x:c>
      <x:c r="E19" s="411" t="str">
        <x:v>Supports Lifecycle Management Foundation and removes a documented project limitation.</x:v>
      </x:c>
      <x:c r="F19" s="411" t="str">
        <x:v>High</x:v>
      </x:c>
      <x:c r="G19" s="411" t="str">
        <x:v>Test</x:v>
      </x:c>
      <x:c r="H19" s="411" t="str">
        <x:v>Nominal and negative tests pass; behavior is documented and reproducible.</x:v>
      </x:c>
      <x:c r="I19" s="411" t="str">
        <x:v>Draft</x:v>
      </x:c>
      <x:c r="J19" s="411" t="str">
        <x:v>F-LIFE-005</x:v>
      </x:c>
      <x:c r="K19" s="464" t="n">
        <x:f>COUNTIF(Test_Cases!$E$5:$E$1000,A19)</x:f>
        <x:v>1</x:v>
      </x:c>
      <x:c r="L19" s="464" t="n">
        <x:f>COUNTIFS(Test_Cases!$E$5:$E$1000,A19,Test_Cases!$L$5:$L$1000,"Passed")</x:f>
        <x:v>0</x:v>
      </x:c>
      <x:c r="M19" s="414" t="n">
        <x:f>IF(K19=0,0,L19/K19)</x:f>
        <x:v>0</x:v>
      </x:c>
      <x:c r="N19" s="411" t="str"/>
      <x:c r="O19" s="411" t="str">
        <x:v>Devansh</x:v>
      </x:c>
      <x:c r="P19" s="411" t="str"/>
      <x:c r="Q19" s="411" t="str">
        <x:v>req_015</x:v>
      </x:c>
      <x:c r="R19" s="373"/>
      <x:c r="S19" s="373"/>
      <x:c r="T19" s="373"/>
      <x:c r="U19" s="373"/>
      <x:c r="V19" s="373"/>
      <x:c r="W19" s="373"/>
      <x:c r="X19" s="373"/>
      <x:c r="Y19" s="373"/>
      <x:c r="Z19" s="373"/>
    </x:row>
    <x:row r="20">
      <x:c r="A20" s="411" t="str">
        <x:v>REQ-016</x:v>
      </x:c>
      <x:c r="B20" s="411" t="str">
        <x:v>v0.1.2</x:v>
      </x:c>
      <x:c r="C20" s="411" t="str">
        <x:v>Lifecycle</x:v>
      </x:c>
      <x:c r="D20" s="411" t="str">
        <x:v>The platform shall convert mapping manager to explicit lifecycle handling.</x:v>
      </x:c>
      <x:c r="E20" s="411" t="str">
        <x:v>Supports Lifecycle Management Foundation and removes a documented project limitation.</x:v>
      </x:c>
      <x:c r="F20" s="411" t="str">
        <x:v>High</x:v>
      </x:c>
      <x:c r="G20" s="411" t="str">
        <x:v>Test</x:v>
      </x:c>
      <x:c r="H20" s="411" t="str">
        <x:v>Nominal and negative tests pass; behavior is documented and reproducible.</x:v>
      </x:c>
      <x:c r="I20" s="411" t="str">
        <x:v>Draft</x:v>
      </x:c>
      <x:c r="J20" s="411" t="str">
        <x:v>F-LIFE-006</x:v>
      </x:c>
      <x:c r="K20" s="464" t="n">
        <x:f>COUNTIF(Test_Cases!$E$5:$E$1000,A20)</x:f>
        <x:v>1</x:v>
      </x:c>
      <x:c r="L20" s="464" t="n">
        <x:f>COUNTIFS(Test_Cases!$E$5:$E$1000,A20,Test_Cases!$L$5:$L$1000,"Passed")</x:f>
        <x:v>0</x:v>
      </x:c>
      <x:c r="M20" s="414" t="n">
        <x:f>IF(K20=0,0,L20/K20)</x:f>
        <x:v>0</x:v>
      </x:c>
      <x:c r="N20" s="411" t="str"/>
      <x:c r="O20" s="411" t="str">
        <x:v>Devansh</x:v>
      </x:c>
      <x:c r="P20" s="411" t="str"/>
      <x:c r="Q20" s="411" t="str">
        <x:v>req_016</x:v>
      </x:c>
      <x:c r="R20" s="373"/>
      <x:c r="S20" s="373"/>
      <x:c r="T20" s="373"/>
      <x:c r="U20" s="373"/>
      <x:c r="V20" s="373"/>
      <x:c r="W20" s="373"/>
      <x:c r="X20" s="373"/>
      <x:c r="Y20" s="373"/>
      <x:c r="Z20" s="373"/>
    </x:row>
    <x:row r="21">
      <x:c r="A21" s="411" t="str">
        <x:v>REQ-017</x:v>
      </x:c>
      <x:c r="B21" s="411" t="str">
        <x:v>v0.1.2</x:v>
      </x:c>
      <x:c r="C21" s="411" t="str">
        <x:v>Lifecycle</x:v>
      </x:c>
      <x:c r="D21" s="411" t="str">
        <x:v>The platform shall convert localization manager to explicit lifecycle handling.</x:v>
      </x:c>
      <x:c r="E21" s="411" t="str">
        <x:v>Supports Lifecycle Management Foundation and removes a documented project limitation.</x:v>
      </x:c>
      <x:c r="F21" s="411" t="str">
        <x:v>High</x:v>
      </x:c>
      <x:c r="G21" s="411" t="str">
        <x:v>Test</x:v>
      </x:c>
      <x:c r="H21" s="411" t="str">
        <x:v>Nominal and negative tests pass; behavior is documented and reproducible.</x:v>
      </x:c>
      <x:c r="I21" s="411" t="str">
        <x:v>Draft</x:v>
      </x:c>
      <x:c r="J21" s="411" t="str">
        <x:v>F-LIFE-007</x:v>
      </x:c>
      <x:c r="K21" s="464" t="n">
        <x:f>COUNTIF(Test_Cases!$E$5:$E$1000,A21)</x:f>
        <x:v>1</x:v>
      </x:c>
      <x:c r="L21" s="464" t="n">
        <x:f>COUNTIFS(Test_Cases!$E$5:$E$1000,A21,Test_Cases!$L$5:$L$1000,"Passed")</x:f>
        <x:v>0</x:v>
      </x:c>
      <x:c r="M21" s="414" t="n">
        <x:f>IF(K21=0,0,L21/K21)</x:f>
        <x:v>0</x:v>
      </x:c>
      <x:c r="N21" s="411" t="str"/>
      <x:c r="O21" s="411" t="str">
        <x:v>Devansh</x:v>
      </x:c>
      <x:c r="P21" s="411" t="str"/>
      <x:c r="Q21" s="411" t="str">
        <x:v>req_017</x:v>
      </x:c>
      <x:c r="R21" s="373"/>
      <x:c r="S21" s="373"/>
      <x:c r="T21" s="373"/>
      <x:c r="U21" s="373"/>
      <x:c r="V21" s="373"/>
      <x:c r="W21" s="373"/>
      <x:c r="X21" s="373"/>
      <x:c r="Y21" s="373"/>
      <x:c r="Z21" s="373"/>
    </x:row>
    <x:row r="22">
      <x:c r="A22" s="411" t="str">
        <x:v>REQ-018</x:v>
      </x:c>
      <x:c r="B22" s="411" t="str">
        <x:v>v0.1.2</x:v>
      </x:c>
      <x:c r="C22" s="411" t="str">
        <x:v>Lifecycle</x:v>
      </x:c>
      <x:c r="D22" s="411" t="str">
        <x:v>The platform shall convert navigation manager to explicit lifecycle handling.</x:v>
      </x:c>
      <x:c r="E22" s="411" t="str">
        <x:v>Supports Lifecycle Management Foundation and removes a documented project limitation.</x:v>
      </x:c>
      <x:c r="F22" s="411" t="str">
        <x:v>High</x:v>
      </x:c>
      <x:c r="G22" s="411" t="str">
        <x:v>Test</x:v>
      </x:c>
      <x:c r="H22" s="411" t="str">
        <x:v>Nominal and negative tests pass; behavior is documented and reproducible.</x:v>
      </x:c>
      <x:c r="I22" s="411" t="str">
        <x:v>Draft</x:v>
      </x:c>
      <x:c r="J22" s="411" t="str">
        <x:v>F-LIFE-008</x:v>
      </x:c>
      <x:c r="K22" s="464" t="n">
        <x:f>COUNTIF(Test_Cases!$E$5:$E$1000,A22)</x:f>
        <x:v>1</x:v>
      </x:c>
      <x:c r="L22" s="464" t="n">
        <x:f>COUNTIFS(Test_Cases!$E$5:$E$1000,A22,Test_Cases!$L$5:$L$1000,"Passed")</x:f>
        <x:v>0</x:v>
      </x:c>
      <x:c r="M22" s="414" t="n">
        <x:f>IF(K22=0,0,L22/K22)</x:f>
        <x:v>0</x:v>
      </x:c>
      <x:c r="N22" s="411" t="str"/>
      <x:c r="O22" s="411" t="str">
        <x:v>Devansh</x:v>
      </x:c>
      <x:c r="P22" s="411" t="str"/>
      <x:c r="Q22" s="411" t="str">
        <x:v>req_018</x:v>
      </x:c>
      <x:c r="R22" s="373"/>
      <x:c r="S22" s="373"/>
      <x:c r="T22" s="373"/>
      <x:c r="U22" s="373"/>
      <x:c r="V22" s="373"/>
      <x:c r="W22" s="373"/>
      <x:c r="X22" s="373"/>
      <x:c r="Y22" s="373"/>
      <x:c r="Z22" s="373"/>
    </x:row>
    <x:row r="23">
      <x:c r="A23" s="411" t="str">
        <x:v>REQ-019</x:v>
      </x:c>
      <x:c r="B23" s="411" t="str">
        <x:v>v0.1.2</x:v>
      </x:c>
      <x:c r="C23" s="411" t="str">
        <x:v>Recovery</x:v>
      </x:c>
      <x:c r="D23" s="411" t="str">
        <x:v>The platform shall define retry, cleanup, rollback, and error-state recovery.</x:v>
      </x:c>
      <x:c r="E23" s="411" t="str">
        <x:v>Supports Lifecycle Management Foundation and removes a documented project limitation.</x:v>
      </x:c>
      <x:c r="F23" s="411" t="str">
        <x:v>Critical</x:v>
      </x:c>
      <x:c r="G23" s="411" t="str">
        <x:v>Test</x:v>
      </x:c>
      <x:c r="H23" s="411" t="str">
        <x:v>Acceptance test passes; failure path is verified; regression suite remains green.</x:v>
      </x:c>
      <x:c r="I23" s="411" t="str">
        <x:v>Draft</x:v>
      </x:c>
      <x:c r="J23" s="411" t="str">
        <x:v>F-LIFE-009</x:v>
      </x:c>
      <x:c r="K23" s="464" t="n">
        <x:f>COUNTIF(Test_Cases!$E$5:$E$1000,A23)</x:f>
        <x:v>2</x:v>
      </x:c>
      <x:c r="L23" s="464" t="n">
        <x:f>COUNTIFS(Test_Cases!$E$5:$E$1000,A23,Test_Cases!$L$5:$L$1000,"Passed")</x:f>
        <x:v>0</x:v>
      </x:c>
      <x:c r="M23" s="414" t="n">
        <x:f>IF(K23=0,0,L23/K23)</x:f>
        <x:v>0</x:v>
      </x:c>
      <x:c r="N23" s="411" t="str"/>
      <x:c r="O23" s="411" t="str">
        <x:v>Devansh</x:v>
      </x:c>
      <x:c r="P23" s="411" t="str"/>
      <x:c r="Q23" s="411" t="str">
        <x:v>req_019</x:v>
      </x:c>
      <x:c r="R23" s="373"/>
      <x:c r="S23" s="373"/>
      <x:c r="T23" s="373"/>
      <x:c r="U23" s="373"/>
      <x:c r="V23" s="373"/>
      <x:c r="W23" s="373"/>
      <x:c r="X23" s="373"/>
      <x:c r="Y23" s="373"/>
      <x:c r="Z23" s="373"/>
    </x:row>
    <x:row r="24">
      <x:c r="A24" s="411" t="str">
        <x:v>REQ-020</x:v>
      </x:c>
      <x:c r="B24" s="411" t="str">
        <x:v>v0.1.2</x:v>
      </x:c>
      <x:c r="C24" s="411" t="str">
        <x:v>Observability</x:v>
      </x:c>
      <x:c r="D24" s="411" t="str">
        <x:v>The platform shall publish machine-readable lifecycle state and transition events.</x:v>
      </x:c>
      <x:c r="E24" s="411" t="str">
        <x:v>Supports Lifecycle Management Foundation and removes a documented project limitation.</x:v>
      </x:c>
      <x:c r="F24" s="411" t="str">
        <x:v>Medium</x:v>
      </x:c>
      <x:c r="G24" s="411" t="str">
        <x:v>Test</x:v>
      </x:c>
      <x:c r="H24" s="411" t="str">
        <x:v>Capability is usable, documented, and covered by at least one verification test.</x:v>
      </x:c>
      <x:c r="I24" s="411" t="str">
        <x:v>Draft</x:v>
      </x:c>
      <x:c r="J24" s="411" t="str">
        <x:v>F-LIFE-010</x:v>
      </x:c>
      <x:c r="K24" s="464" t="n">
        <x:f>COUNTIF(Test_Cases!$E$5:$E$1000,A24)</x:f>
        <x:v>1</x:v>
      </x:c>
      <x:c r="L24" s="464" t="n">
        <x:f>COUNTIFS(Test_Cases!$E$5:$E$1000,A24,Test_Cases!$L$5:$L$1000,"Passed")</x:f>
        <x:v>0</x:v>
      </x:c>
      <x:c r="M24" s="414" t="n">
        <x:f>IF(K24=0,0,L24/K24)</x:f>
        <x:v>0</x:v>
      </x:c>
      <x:c r="N24" s="411" t="str"/>
      <x:c r="O24" s="411" t="str">
        <x:v>Devansh</x:v>
      </x:c>
      <x:c r="P24" s="411" t="str"/>
      <x:c r="Q24" s="411" t="str">
        <x:v>req_020</x:v>
      </x:c>
      <x:c r="R24" s="373"/>
      <x:c r="S24" s="373"/>
      <x:c r="T24" s="373"/>
      <x:c r="U24" s="373"/>
      <x:c r="V24" s="373"/>
      <x:c r="W24" s="373"/>
      <x:c r="X24" s="373"/>
      <x:c r="Y24" s="373"/>
      <x:c r="Z24" s="373"/>
    </x:row>
    <x:row r="25">
      <x:c r="A25" s="411" t="str">
        <x:v>REQ-021</x:v>
      </x:c>
      <x:c r="B25" s="411" t="str">
        <x:v>v0.1.3</x:v>
      </x:c>
      <x:c r="C25" s="411" t="str">
        <x:v>Readiness</x:v>
      </x:c>
      <x:c r="D25" s="411" t="str">
        <x:v>The platform shall provide a common contract for readiness checks and structured results.</x:v>
      </x:c>
      <x:c r="E25" s="411" t="str">
        <x:v>Supports Readiness Contracts and removes a documented project limitation.</x:v>
      </x:c>
      <x:c r="F25" s="411" t="str">
        <x:v>Critical</x:v>
      </x:c>
      <x:c r="G25" s="411" t="str">
        <x:v>Test</x:v>
      </x:c>
      <x:c r="H25" s="411" t="str">
        <x:v>Acceptance test passes; failure path is verified; regression suite remains green.</x:v>
      </x:c>
      <x:c r="I25" s="411" t="str">
        <x:v>Draft</x:v>
      </x:c>
      <x:c r="J25" s="411" t="str">
        <x:v>F-READY-001</x:v>
      </x:c>
      <x:c r="K25" s="464" t="n">
        <x:f>COUNTIF(Test_Cases!$E$5:$E$1000,A25)</x:f>
        <x:v>2</x:v>
      </x:c>
      <x:c r="L25" s="464" t="n">
        <x:f>COUNTIFS(Test_Cases!$E$5:$E$1000,A25,Test_Cases!$L$5:$L$1000,"Passed")</x:f>
        <x:v>0</x:v>
      </x:c>
      <x:c r="M25" s="414" t="n">
        <x:f>IF(K25=0,0,L25/K25)</x:f>
        <x:v>0</x:v>
      </x:c>
      <x:c r="N25" s="411" t="str"/>
      <x:c r="O25" s="411" t="str">
        <x:v>Devansh</x:v>
      </x:c>
      <x:c r="P25" s="411" t="str"/>
      <x:c r="Q25" s="411" t="str">
        <x:v>req_021</x:v>
      </x:c>
      <x:c r="R25" s="373"/>
      <x:c r="S25" s="373"/>
      <x:c r="T25" s="373"/>
      <x:c r="U25" s="373"/>
      <x:c r="V25" s="373"/>
      <x:c r="W25" s="373"/>
      <x:c r="X25" s="373"/>
      <x:c r="Y25" s="373"/>
      <x:c r="Z25" s="373"/>
    </x:row>
    <x:row r="26">
      <x:c r="A26" s="411" t="str">
        <x:v>REQ-022</x:v>
      </x:c>
      <x:c r="B26" s="411" t="str">
        <x:v>v0.1.3</x:v>
      </x:c>
      <x:c r="C26" s="411" t="str">
        <x:v>Readiness</x:v>
      </x:c>
      <x:c r="D26" s="411" t="str">
        <x:v>The platform shall verify /clock exists, advances, and uses simulation time.</x:v>
      </x:c>
      <x:c r="E26" s="411" t="str">
        <x:v>Supports Readiness Contracts and removes a documented project limitation.</x:v>
      </x:c>
      <x:c r="F26" s="411" t="str">
        <x:v>Critical</x:v>
      </x:c>
      <x:c r="G26" s="411" t="str">
        <x:v>Test</x:v>
      </x:c>
      <x:c r="H26" s="411" t="str">
        <x:v>Acceptance test passes; failure path is verified; regression suite remains green.</x:v>
      </x:c>
      <x:c r="I26" s="411" t="str">
        <x:v>Draft</x:v>
      </x:c>
      <x:c r="J26" s="411" t="str">
        <x:v>F-READY-002</x:v>
      </x:c>
      <x:c r="K26" s="464" t="n">
        <x:f>COUNTIF(Test_Cases!$E$5:$E$1000,A26)</x:f>
        <x:v>2</x:v>
      </x:c>
      <x:c r="L26" s="464" t="n">
        <x:f>COUNTIFS(Test_Cases!$E$5:$E$1000,A26,Test_Cases!$L$5:$L$1000,"Passed")</x:f>
        <x:v>0</x:v>
      </x:c>
      <x:c r="M26" s="414" t="n">
        <x:f>IF(K26=0,0,L26/K26)</x:f>
        <x:v>0</x:v>
      </x:c>
      <x:c r="N26" s="411" t="str"/>
      <x:c r="O26" s="411" t="str">
        <x:v>Devansh</x:v>
      </x:c>
      <x:c r="P26" s="411" t="str"/>
      <x:c r="Q26" s="411" t="str">
        <x:v>req_022</x:v>
      </x:c>
      <x:c r="R26" s="373"/>
      <x:c r="S26" s="373"/>
      <x:c r="T26" s="373"/>
      <x:c r="U26" s="373"/>
      <x:c r="V26" s="373"/>
      <x:c r="W26" s="373"/>
      <x:c r="X26" s="373"/>
      <x:c r="Y26" s="373"/>
      <x:c r="Z26" s="373"/>
    </x:row>
    <x:row r="27">
      <x:c r="A27" s="411" t="str">
        <x:v>REQ-023</x:v>
      </x:c>
      <x:c r="B27" s="411" t="str">
        <x:v>v0.1.3</x:v>
      </x:c>
      <x:c r="C27" s="411" t="str">
        <x:v>Readiness</x:v>
      </x:c>
      <x:c r="D27" s="411" t="str">
        <x:v>The platform shall verify required topics publish recent messages at acceptable rates.</x:v>
      </x:c>
      <x:c r="E27" s="411" t="str">
        <x:v>Supports Readiness Contracts and removes a documented project limitation.</x:v>
      </x:c>
      <x:c r="F27" s="411" t="str">
        <x:v>Critical</x:v>
      </x:c>
      <x:c r="G27" s="411" t="str">
        <x:v>Test</x:v>
      </x:c>
      <x:c r="H27" s="411" t="str">
        <x:v>Acceptance test passes; failure path is verified; regression suite remains green.</x:v>
      </x:c>
      <x:c r="I27" s="411" t="str">
        <x:v>Draft</x:v>
      </x:c>
      <x:c r="J27" s="411" t="str">
        <x:v>F-READY-003</x:v>
      </x:c>
      <x:c r="K27" s="464" t="n">
        <x:f>COUNTIF(Test_Cases!$E$5:$E$1000,A27)</x:f>
        <x:v>2</x:v>
      </x:c>
      <x:c r="L27" s="464" t="n">
        <x:f>COUNTIFS(Test_Cases!$E$5:$E$1000,A27,Test_Cases!$L$5:$L$1000,"Passed")</x:f>
        <x:v>0</x:v>
      </x:c>
      <x:c r="M27" s="414" t="n">
        <x:f>IF(K27=0,0,L27/K27)</x:f>
        <x:v>0</x:v>
      </x:c>
      <x:c r="N27" s="411" t="str"/>
      <x:c r="O27" s="411" t="str">
        <x:v>Devansh</x:v>
      </x:c>
      <x:c r="P27" s="411" t="str"/>
      <x:c r="Q27" s="411" t="str">
        <x:v>req_023</x:v>
      </x:c>
      <x:c r="R27" s="373"/>
      <x:c r="S27" s="373"/>
      <x:c r="T27" s="373"/>
      <x:c r="U27" s="373"/>
      <x:c r="V27" s="373"/>
      <x:c r="W27" s="373"/>
      <x:c r="X27" s="373"/>
      <x:c r="Y27" s="373"/>
      <x:c r="Z27" s="373"/>
    </x:row>
    <x:row r="28">
      <x:c r="A28" s="411" t="str">
        <x:v>REQ-024</x:v>
      </x:c>
      <x:c r="B28" s="411" t="str">
        <x:v>v0.1.3</x:v>
      </x:c>
      <x:c r="C28" s="411" t="str">
        <x:v>Readiness</x:v>
      </x:c>
      <x:c r="D28" s="411" t="str">
        <x:v>The platform shall verify required transforms exist, are fresh, and resolve within timeout.</x:v>
      </x:c>
      <x:c r="E28" s="411" t="str">
        <x:v>Supports Readiness Contracts and removes a documented project limitation.</x:v>
      </x:c>
      <x:c r="F28" s="411" t="str">
        <x:v>Critical</x:v>
      </x:c>
      <x:c r="G28" s="411" t="str">
        <x:v>Test</x:v>
      </x:c>
      <x:c r="H28" s="411" t="str">
        <x:v>Acceptance test passes; failure path is verified; regression suite remains green.</x:v>
      </x:c>
      <x:c r="I28" s="411" t="str">
        <x:v>Draft</x:v>
      </x:c>
      <x:c r="J28" s="411" t="str">
        <x:v>F-READY-004</x:v>
      </x:c>
      <x:c r="K28" s="464" t="n">
        <x:f>COUNTIF(Test_Cases!$E$5:$E$1000,A28)</x:f>
        <x:v>2</x:v>
      </x:c>
      <x:c r="L28" s="464" t="n">
        <x:f>COUNTIFS(Test_Cases!$E$5:$E$1000,A28,Test_Cases!$L$5:$L$1000,"Passed")</x:f>
        <x:v>0</x:v>
      </x:c>
      <x:c r="M28" s="414" t="n">
        <x:f>IF(K28=0,0,L28/K28)</x:f>
        <x:v>0</x:v>
      </x:c>
      <x:c r="N28" s="411" t="str"/>
      <x:c r="O28" s="411" t="str">
        <x:v>Devansh</x:v>
      </x:c>
      <x:c r="P28" s="411" t="str"/>
      <x:c r="Q28" s="411" t="str">
        <x:v>req_024</x:v>
      </x:c>
      <x:c r="R28" s="373"/>
      <x:c r="S28" s="373"/>
      <x:c r="T28" s="373"/>
      <x:c r="U28" s="373"/>
      <x:c r="V28" s="373"/>
      <x:c r="W28" s="373"/>
      <x:c r="X28" s="373"/>
      <x:c r="Y28" s="373"/>
      <x:c r="Z28" s="373"/>
    </x:row>
    <x:row r="29">
      <x:c r="A29" s="411" t="str">
        <x:v>REQ-025</x:v>
      </x:c>
      <x:c r="B29" s="411" t="str">
        <x:v>v0.1.3</x:v>
      </x:c>
      <x:c r="C29" s="411" t="str">
        <x:v>Readiness</x:v>
      </x:c>
      <x:c r="D29" s="411" t="str">
        <x:v>The platform shall verify required services are discoverable and responsive.</x:v>
      </x:c>
      <x:c r="E29" s="411" t="str">
        <x:v>Supports Readiness Contracts and removes a documented project limitation.</x:v>
      </x:c>
      <x:c r="F29" s="411" t="str">
        <x:v>High</x:v>
      </x:c>
      <x:c r="G29" s="411" t="str">
        <x:v>Test</x:v>
      </x:c>
      <x:c r="H29" s="411" t="str">
        <x:v>Nominal and negative tests pass; behavior is documented and reproducible.</x:v>
      </x:c>
      <x:c r="I29" s="411" t="str">
        <x:v>Draft</x:v>
      </x:c>
      <x:c r="J29" s="411" t="str">
        <x:v>F-READY-005</x:v>
      </x:c>
      <x:c r="K29" s="464" t="n">
        <x:f>COUNTIF(Test_Cases!$E$5:$E$1000,A29)</x:f>
        <x:v>1</x:v>
      </x:c>
      <x:c r="L29" s="464" t="n">
        <x:f>COUNTIFS(Test_Cases!$E$5:$E$1000,A29,Test_Cases!$L$5:$L$1000,"Passed")</x:f>
        <x:v>0</x:v>
      </x:c>
      <x:c r="M29" s="414" t="n">
        <x:f>IF(K29=0,0,L29/K29)</x:f>
        <x:v>0</x:v>
      </x:c>
      <x:c r="N29" s="411" t="str"/>
      <x:c r="O29" s="411" t="str">
        <x:v>Devansh</x:v>
      </x:c>
      <x:c r="P29" s="411" t="str"/>
      <x:c r="Q29" s="411" t="str">
        <x:v>req_025</x:v>
      </x:c>
      <x:c r="R29" s="373"/>
      <x:c r="S29" s="373"/>
      <x:c r="T29" s="373"/>
      <x:c r="U29" s="373"/>
      <x:c r="V29" s="373"/>
      <x:c r="W29" s="373"/>
      <x:c r="X29" s="373"/>
      <x:c r="Y29" s="373"/>
      <x:c r="Z29" s="373"/>
    </x:row>
    <x:row r="30">
      <x:c r="A30" s="411" t="str">
        <x:v>REQ-026</x:v>
      </x:c>
      <x:c r="B30" s="411" t="str">
        <x:v>v0.1.3</x:v>
      </x:c>
      <x:c r="C30" s="411" t="str">
        <x:v>Readiness</x:v>
      </x:c>
      <x:c r="D30" s="411" t="str">
        <x:v>The platform shall verify required action servers are available before activation.</x:v>
      </x:c>
      <x:c r="E30" s="411" t="str">
        <x:v>Supports Readiness Contracts and removes a documented project limitation.</x:v>
      </x:c>
      <x:c r="F30" s="411" t="str">
        <x:v>High</x:v>
      </x:c>
      <x:c r="G30" s="411" t="str">
        <x:v>Test</x:v>
      </x:c>
      <x:c r="H30" s="411" t="str">
        <x:v>Nominal and negative tests pass; behavior is documented and reproducible.</x:v>
      </x:c>
      <x:c r="I30" s="411" t="str">
        <x:v>Draft</x:v>
      </x:c>
      <x:c r="J30" s="411" t="str">
        <x:v>F-READY-006</x:v>
      </x:c>
      <x:c r="K30" s="464" t="n">
        <x:f>COUNTIF(Test_Cases!$E$5:$E$1000,A30)</x:f>
        <x:v>1</x:v>
      </x:c>
      <x:c r="L30" s="464" t="n">
        <x:f>COUNTIFS(Test_Cases!$E$5:$E$1000,A30,Test_Cases!$L$5:$L$1000,"Passed")</x:f>
        <x:v>0</x:v>
      </x:c>
      <x:c r="M30" s="414" t="n">
        <x:f>IF(K30=0,0,L30/K30)</x:f>
        <x:v>0</x:v>
      </x:c>
      <x:c r="N30" s="411" t="str"/>
      <x:c r="O30" s="411" t="str">
        <x:v>Devansh</x:v>
      </x:c>
      <x:c r="P30" s="411" t="str"/>
      <x:c r="Q30" s="411" t="str">
        <x:v>req_026</x:v>
      </x:c>
      <x:c r="R30" s="373"/>
      <x:c r="S30" s="373"/>
      <x:c r="T30" s="373"/>
      <x:c r="U30" s="373"/>
      <x:c r="V30" s="373"/>
      <x:c r="W30" s="373"/>
      <x:c r="X30" s="373"/>
      <x:c r="Y30" s="373"/>
      <x:c r="Z30" s="373"/>
    </x:row>
    <x:row r="31">
      <x:c r="A31" s="411" t="str">
        <x:v>REQ-027</x:v>
      </x:c>
      <x:c r="B31" s="411" t="str">
        <x:v>v0.1.3</x:v>
      </x:c>
      <x:c r="C31" s="411" t="str">
        <x:v>Readiness</x:v>
      </x:c>
      <x:c r="D31" s="411" t="str">
        <x:v>The platform shall verify required controllers are active.</x:v>
      </x:c>
      <x:c r="E31" s="411" t="str">
        <x:v>Supports Readiness Contracts and removes a documented project limitation.</x:v>
      </x:c>
      <x:c r="F31" s="411" t="str">
        <x:v>Critical</x:v>
      </x:c>
      <x:c r="G31" s="411" t="str">
        <x:v>Test</x:v>
      </x:c>
      <x:c r="H31" s="411" t="str">
        <x:v>Acceptance test passes; failure path is verified; regression suite remains green.</x:v>
      </x:c>
      <x:c r="I31" s="411" t="str">
        <x:v>Draft</x:v>
      </x:c>
      <x:c r="J31" s="411" t="str">
        <x:v>F-READY-007</x:v>
      </x:c>
      <x:c r="K31" s="464" t="n">
        <x:f>COUNTIF(Test_Cases!$E$5:$E$1000,A31)</x:f>
        <x:v>2</x:v>
      </x:c>
      <x:c r="L31" s="464" t="n">
        <x:f>COUNTIFS(Test_Cases!$E$5:$E$1000,A31,Test_Cases!$L$5:$L$1000,"Passed")</x:f>
        <x:v>0</x:v>
      </x:c>
      <x:c r="M31" s="414" t="n">
        <x:f>IF(K31=0,0,L31/K31)</x:f>
        <x:v>0</x:v>
      </x:c>
      <x:c r="N31" s="411" t="str"/>
      <x:c r="O31" s="411" t="str">
        <x:v>Devansh</x:v>
      </x:c>
      <x:c r="P31" s="411" t="str"/>
      <x:c r="Q31" s="411" t="str">
        <x:v>req_027</x:v>
      </x:c>
      <x:c r="R31" s="373"/>
      <x:c r="S31" s="373"/>
      <x:c r="T31" s="373"/>
      <x:c r="U31" s="373"/>
      <x:c r="V31" s="373"/>
      <x:c r="W31" s="373"/>
      <x:c r="X31" s="373"/>
      <x:c r="Y31" s="373"/>
      <x:c r="Z31" s="373"/>
    </x:row>
    <x:row r="32">
      <x:c r="A32" s="411" t="str">
        <x:v>REQ-028</x:v>
      </x:c>
      <x:c r="B32" s="411" t="str">
        <x:v>v0.1.3</x:v>
      </x:c>
      <x:c r="C32" s="411" t="str">
        <x:v>Readiness</x:v>
      </x:c>
      <x:c r="D32" s="411" t="str">
        <x:v>The platform shall verify map availability and localization estimate validity.</x:v>
      </x:c>
      <x:c r="E32" s="411" t="str">
        <x:v>Supports Readiness Contracts and removes a documented project limitation.</x:v>
      </x:c>
      <x:c r="F32" s="411" t="str">
        <x:v>High</x:v>
      </x:c>
      <x:c r="G32" s="411" t="str">
        <x:v>Test</x:v>
      </x:c>
      <x:c r="H32" s="411" t="str">
        <x:v>Nominal and negative tests pass; behavior is documented and reproducible.</x:v>
      </x:c>
      <x:c r="I32" s="411" t="str">
        <x:v>Draft</x:v>
      </x:c>
      <x:c r="J32" s="411" t="str">
        <x:v>F-READY-008</x:v>
      </x:c>
      <x:c r="K32" s="464" t="n">
        <x:f>COUNTIF(Test_Cases!$E$5:$E$1000,A32)</x:f>
        <x:v>1</x:v>
      </x:c>
      <x:c r="L32" s="464" t="n">
        <x:f>COUNTIFS(Test_Cases!$E$5:$E$1000,A32,Test_Cases!$L$5:$L$1000,"Passed")</x:f>
        <x:v>0</x:v>
      </x:c>
      <x:c r="M32" s="414" t="n">
        <x:f>IF(K32=0,0,L32/K32)</x:f>
        <x:v>0</x:v>
      </x:c>
      <x:c r="N32" s="411" t="str"/>
      <x:c r="O32" s="411" t="str">
        <x:v>Devansh</x:v>
      </x:c>
      <x:c r="P32" s="411" t="str"/>
      <x:c r="Q32" s="411" t="str">
        <x:v>req_028</x:v>
      </x:c>
      <x:c r="R32" s="373"/>
      <x:c r="S32" s="373"/>
      <x:c r="T32" s="373"/>
      <x:c r="U32" s="373"/>
      <x:c r="V32" s="373"/>
      <x:c r="W32" s="373"/>
      <x:c r="X32" s="373"/>
      <x:c r="Y32" s="373"/>
      <x:c r="Z32" s="373"/>
    </x:row>
    <x:row r="33">
      <x:c r="A33" s="411" t="str">
        <x:v>REQ-029</x:v>
      </x:c>
      <x:c r="B33" s="411" t="str">
        <x:v>v0.1.3</x:v>
      </x:c>
      <x:c r="C33" s="411" t="str">
        <x:v>Readiness</x:v>
      </x:c>
      <x:c r="D33" s="411" t="str">
        <x:v>The platform shall aggregate all checks without hiding simultaneous failures.</x:v>
      </x:c>
      <x:c r="E33" s="411" t="str">
        <x:v>Supports Readiness Contracts and removes a documented project limitation.</x:v>
      </x:c>
      <x:c r="F33" s="411" t="str">
        <x:v>Critical</x:v>
      </x:c>
      <x:c r="G33" s="411" t="str">
        <x:v>Test</x:v>
      </x:c>
      <x:c r="H33" s="411" t="str">
        <x:v>Acceptance test passes; failure path is verified; regression suite remains green.</x:v>
      </x:c>
      <x:c r="I33" s="411" t="str">
        <x:v>Draft</x:v>
      </x:c>
      <x:c r="J33" s="411" t="str">
        <x:v>F-READY-009</x:v>
      </x:c>
      <x:c r="K33" s="464" t="n">
        <x:f>COUNTIF(Test_Cases!$E$5:$E$1000,A33)</x:f>
        <x:v>2</x:v>
      </x:c>
      <x:c r="L33" s="464" t="n">
        <x:f>COUNTIFS(Test_Cases!$E$5:$E$1000,A33,Test_Cases!$L$5:$L$1000,"Passed")</x:f>
        <x:v>0</x:v>
      </x:c>
      <x:c r="M33" s="414" t="n">
        <x:f>IF(K33=0,0,L33/K33)</x:f>
        <x:v>0</x:v>
      </x:c>
      <x:c r="N33" s="411" t="str"/>
      <x:c r="O33" s="411" t="str">
        <x:v>Devansh</x:v>
      </x:c>
      <x:c r="P33" s="411" t="str"/>
      <x:c r="Q33" s="411" t="str">
        <x:v>req_029</x:v>
      </x:c>
      <x:c r="R33" s="373"/>
      <x:c r="S33" s="373"/>
      <x:c r="T33" s="373"/>
      <x:c r="U33" s="373"/>
      <x:c r="V33" s="373"/>
      <x:c r="W33" s="373"/>
      <x:c r="X33" s="373"/>
      <x:c r="Y33" s="373"/>
      <x:c r="Z33" s="373"/>
    </x:row>
    <x:row r="34">
      <x:c r="A34" s="411" t="str">
        <x:v>REQ-030</x:v>
      </x:c>
      <x:c r="B34" s="411" t="str">
        <x:v>v0.1.3</x:v>
      </x:c>
      <x:c r="C34" s="411" t="str">
        <x:v>Refactor</x:v>
      </x:c>
      <x:c r="D34" s="411" t="str">
        <x:v>The platform shall replace fixed-delay sequencing with transitions and readiness conditions.</x:v>
      </x:c>
      <x:c r="E34" s="411" t="str">
        <x:v>Supports Readiness Contracts and removes a documented project limitation.</x:v>
      </x:c>
      <x:c r="F34" s="411" t="str">
        <x:v>Critical</x:v>
      </x:c>
      <x:c r="G34" s="411" t="str">
        <x:v>Test</x:v>
      </x:c>
      <x:c r="H34" s="411" t="str">
        <x:v>Acceptance test passes; failure path is verified; regression suite remains green.</x:v>
      </x:c>
      <x:c r="I34" s="411" t="str">
        <x:v>Draft</x:v>
      </x:c>
      <x:c r="J34" s="411" t="str">
        <x:v>F-READY-010</x:v>
      </x:c>
      <x:c r="K34" s="464" t="n">
        <x:f>COUNTIF(Test_Cases!$E$5:$E$1000,A34)</x:f>
        <x:v>2</x:v>
      </x:c>
      <x:c r="L34" s="464" t="n">
        <x:f>COUNTIFS(Test_Cases!$E$5:$E$1000,A34,Test_Cases!$L$5:$L$1000,"Passed")</x:f>
        <x:v>0</x:v>
      </x:c>
      <x:c r="M34" s="414" t="n">
        <x:f>IF(K34=0,0,L34/K34)</x:f>
        <x:v>0</x:v>
      </x:c>
      <x:c r="N34" s="411" t="str"/>
      <x:c r="O34" s="411" t="str">
        <x:v>Devansh</x:v>
      </x:c>
      <x:c r="P34" s="411" t="str"/>
      <x:c r="Q34" s="411" t="str">
        <x:v>req_030</x:v>
      </x:c>
      <x:c r="R34" s="373"/>
      <x:c r="S34" s="373"/>
      <x:c r="T34" s="373"/>
      <x:c r="U34" s="373"/>
      <x:c r="V34" s="373"/>
      <x:c r="W34" s="373"/>
      <x:c r="X34" s="373"/>
      <x:c r="Y34" s="373"/>
      <x:c r="Z34" s="373"/>
    </x:row>
    <x:row r="35">
      <x:c r="A35" s="411" t="str">
        <x:v>REQ-031</x:v>
      </x:c>
      <x:c r="B35" s="411" t="str">
        <x:v>v0.1.4</x:v>
      </x:c>
      <x:c r="C35" s="411" t="str">
        <x:v>State Machine</x:v>
      </x:c>
      <x:c r="D35" s="411" t="str">
        <x:v>The platform shall formalize dependencies among simulation, sensors, estimation, mapping, localization, and navigation.</x:v>
      </x:c>
      <x:c r="E35" s="411" t="str">
        <x:v>Supports Mode State Machine &amp; Dependency Enforcement and removes a documented project limitation.</x:v>
      </x:c>
      <x:c r="F35" s="411" t="str">
        <x:v>Critical</x:v>
      </x:c>
      <x:c r="G35" s="411" t="str">
        <x:v>Test</x:v>
      </x:c>
      <x:c r="H35" s="411" t="str">
        <x:v>Acceptance test passes; failure path is verified; regression suite remains green.</x:v>
      </x:c>
      <x:c r="I35" s="411" t="str">
        <x:v>Draft</x:v>
      </x:c>
      <x:c r="J35" s="411" t="str">
        <x:v>F-MODE-001</x:v>
      </x:c>
      <x:c r="K35" s="464" t="n">
        <x:f>COUNTIF(Test_Cases!$E$5:$E$1000,A35)</x:f>
        <x:v>2</x:v>
      </x:c>
      <x:c r="L35" s="464" t="n">
        <x:f>COUNTIFS(Test_Cases!$E$5:$E$1000,A35,Test_Cases!$L$5:$L$1000,"Passed")</x:f>
        <x:v>0</x:v>
      </x:c>
      <x:c r="M35" s="414" t="n">
        <x:f>IF(K35=0,0,L35/K35)</x:f>
        <x:v>0</x:v>
      </x:c>
      <x:c r="N35" s="411" t="str"/>
      <x:c r="O35" s="411" t="str">
        <x:v>Devansh</x:v>
      </x:c>
      <x:c r="P35" s="411" t="str"/>
      <x:c r="Q35" s="411" t="str">
        <x:v>req_031</x:v>
      </x:c>
      <x:c r="R35" s="373"/>
      <x:c r="S35" s="373"/>
      <x:c r="T35" s="373"/>
      <x:c r="U35" s="373"/>
      <x:c r="V35" s="373"/>
      <x:c r="W35" s="373"/>
      <x:c r="X35" s="373"/>
      <x:c r="Y35" s="373"/>
      <x:c r="Z35" s="373"/>
    </x:row>
    <x:row r="36">
      <x:c r="A36" s="411" t="str">
        <x:v>REQ-032</x:v>
      </x:c>
      <x:c r="B36" s="411" t="str">
        <x:v>v0.1.4</x:v>
      </x:c>
      <x:c r="C36" s="411" t="str">
        <x:v>Mode</x:v>
      </x:c>
      <x:c r="D36" s="411" t="str">
        <x:v>The platform shall require healthy simulation, LiDAR, and odometry before mapping.</x:v>
      </x:c>
      <x:c r="E36" s="411" t="str">
        <x:v>Supports Mode State Machine &amp; Dependency Enforcement and removes a documented project limitation.</x:v>
      </x:c>
      <x:c r="F36" s="411" t="str">
        <x:v>High</x:v>
      </x:c>
      <x:c r="G36" s="411" t="str">
        <x:v>Test</x:v>
      </x:c>
      <x:c r="H36" s="411" t="str">
        <x:v>Nominal and negative tests pass; behavior is documented and reproducible.</x:v>
      </x:c>
      <x:c r="I36" s="411" t="str">
        <x:v>Draft</x:v>
      </x:c>
      <x:c r="J36" s="411" t="str">
        <x:v>F-MODE-002</x:v>
      </x:c>
      <x:c r="K36" s="464" t="n">
        <x:f>COUNTIF(Test_Cases!$E$5:$E$1000,A36)</x:f>
        <x:v>1</x:v>
      </x:c>
      <x:c r="L36" s="464" t="n">
        <x:f>COUNTIFS(Test_Cases!$E$5:$E$1000,A36,Test_Cases!$L$5:$L$1000,"Passed")</x:f>
        <x:v>0</x:v>
      </x:c>
      <x:c r="M36" s="414" t="n">
        <x:f>IF(K36=0,0,L36/K36)</x:f>
        <x:v>0</x:v>
      </x:c>
      <x:c r="N36" s="411" t="str"/>
      <x:c r="O36" s="411" t="str">
        <x:v>Devansh</x:v>
      </x:c>
      <x:c r="P36" s="411" t="str"/>
      <x:c r="Q36" s="411" t="str">
        <x:v>req_032</x:v>
      </x:c>
      <x:c r="R36" s="373"/>
      <x:c r="S36" s="373"/>
      <x:c r="T36" s="373"/>
      <x:c r="U36" s="373"/>
      <x:c r="V36" s="373"/>
      <x:c r="W36" s="373"/>
      <x:c r="X36" s="373"/>
      <x:c r="Y36" s="373"/>
      <x:c r="Z36" s="373"/>
    </x:row>
    <x:row r="37">
      <x:c r="A37" s="411" t="str">
        <x:v>REQ-033</x:v>
      </x:c>
      <x:c r="B37" s="411" t="str">
        <x:v>v0.1.4</x:v>
      </x:c>
      <x:c r="C37" s="411" t="str">
        <x:v>Mode</x:v>
      </x:c>
      <x:c r="D37" s="411" t="str">
        <x:v>The platform shall require valid map, sensors, TF, and AMCL readiness.</x:v>
      </x:c>
      <x:c r="E37" s="411" t="str">
        <x:v>Supports Mode State Machine &amp; Dependency Enforcement and removes a documented project limitation.</x:v>
      </x:c>
      <x:c r="F37" s="411" t="str">
        <x:v>Critical</x:v>
      </x:c>
      <x:c r="G37" s="411" t="str">
        <x:v>Test</x:v>
      </x:c>
      <x:c r="H37" s="411" t="str">
        <x:v>Acceptance test passes; failure path is verified; regression suite remains green.</x:v>
      </x:c>
      <x:c r="I37" s="411" t="str">
        <x:v>Draft</x:v>
      </x:c>
      <x:c r="J37" s="411" t="str">
        <x:v>F-MODE-003</x:v>
      </x:c>
      <x:c r="K37" s="464" t="n">
        <x:f>COUNTIF(Test_Cases!$E$5:$E$1000,A37)</x:f>
        <x:v>2</x:v>
      </x:c>
      <x:c r="L37" s="464" t="n">
        <x:f>COUNTIFS(Test_Cases!$E$5:$E$1000,A37,Test_Cases!$L$5:$L$1000,"Passed")</x:f>
        <x:v>0</x:v>
      </x:c>
      <x:c r="M37" s="414" t="n">
        <x:f>IF(K37=0,0,L37/K37)</x:f>
        <x:v>0</x:v>
      </x:c>
      <x:c r="N37" s="411" t="str"/>
      <x:c r="O37" s="411" t="str">
        <x:v>Devansh</x:v>
      </x:c>
      <x:c r="P37" s="411" t="str"/>
      <x:c r="Q37" s="411" t="str">
        <x:v>req_033</x:v>
      </x:c>
      <x:c r="R37" s="373"/>
      <x:c r="S37" s="373"/>
      <x:c r="T37" s="373"/>
      <x:c r="U37" s="373"/>
      <x:c r="V37" s="373"/>
      <x:c r="W37" s="373"/>
      <x:c r="X37" s="373"/>
      <x:c r="Y37" s="373"/>
      <x:c r="Z37" s="373"/>
    </x:row>
    <x:row r="38">
      <x:c r="A38" s="411" t="str">
        <x:v>REQ-034</x:v>
      </x:c>
      <x:c r="B38" s="411" t="str">
        <x:v>v0.1.4</x:v>
      </x:c>
      <x:c r="C38" s="411" t="str">
        <x:v>Mode</x:v>
      </x:c>
      <x:c r="D38" s="411" t="str">
        <x:v>The platform shall require healthy localization, costmaps, servers, and safety path.</x:v>
      </x:c>
      <x:c r="E38" s="411" t="str">
        <x:v>Supports Mode State Machine &amp; Dependency Enforcement and removes a documented project limitation.</x:v>
      </x:c>
      <x:c r="F38" s="411" t="str">
        <x:v>Critical</x:v>
      </x:c>
      <x:c r="G38" s="411" t="str">
        <x:v>Test</x:v>
      </x:c>
      <x:c r="H38" s="411" t="str">
        <x:v>Acceptance test passes; failure path is verified; regression suite remains green.</x:v>
      </x:c>
      <x:c r="I38" s="411" t="str">
        <x:v>Draft</x:v>
      </x:c>
      <x:c r="J38" s="411" t="str">
        <x:v>F-MODE-004</x:v>
      </x:c>
      <x:c r="K38" s="464" t="n">
        <x:f>COUNTIF(Test_Cases!$E$5:$E$1000,A38)</x:f>
        <x:v>2</x:v>
      </x:c>
      <x:c r="L38" s="464" t="n">
        <x:f>COUNTIFS(Test_Cases!$E$5:$E$1000,A38,Test_Cases!$L$5:$L$1000,"Passed")</x:f>
        <x:v>0</x:v>
      </x:c>
      <x:c r="M38" s="414" t="n">
        <x:f>IF(K38=0,0,L38/K38)</x:f>
        <x:v>0</x:v>
      </x:c>
      <x:c r="N38" s="411" t="str"/>
      <x:c r="O38" s="411" t="str">
        <x:v>Devansh</x:v>
      </x:c>
      <x:c r="P38" s="411" t="str"/>
      <x:c r="Q38" s="411" t="str">
        <x:v>req_034</x:v>
      </x:c>
      <x:c r="R38" s="373"/>
      <x:c r="S38" s="373"/>
      <x:c r="T38" s="373"/>
      <x:c r="U38" s="373"/>
      <x:c r="V38" s="373"/>
      <x:c r="W38" s="373"/>
      <x:c r="X38" s="373"/>
      <x:c r="Y38" s="373"/>
      <x:c r="Z38" s="373"/>
    </x:row>
    <x:row r="39">
      <x:c r="A39" s="411" t="str">
        <x:v>REQ-035</x:v>
      </x:c>
      <x:c r="B39" s="411" t="str">
        <x:v>v0.1.4</x:v>
      </x:c>
      <x:c r="C39" s="411" t="str">
        <x:v>Recovery</x:v>
      </x:c>
      <x:c r="D39" s="411" t="str">
        <x:v>The platform shall rollback partially activated components after failure.</x:v>
      </x:c>
      <x:c r="E39" s="411" t="str">
        <x:v>Supports Mode State Machine &amp; Dependency Enforcement and removes a documented project limitation.</x:v>
      </x:c>
      <x:c r="F39" s="411" t="str">
        <x:v>Critical</x:v>
      </x:c>
      <x:c r="G39" s="411" t="str">
        <x:v>Test</x:v>
      </x:c>
      <x:c r="H39" s="411" t="str">
        <x:v>Acceptance test passes; failure path is verified; regression suite remains green.</x:v>
      </x:c>
      <x:c r="I39" s="411" t="str">
        <x:v>Draft</x:v>
      </x:c>
      <x:c r="J39" s="411" t="str">
        <x:v>F-MODE-005</x:v>
      </x:c>
      <x:c r="K39" s="464" t="n">
        <x:f>COUNTIF(Test_Cases!$E$5:$E$1000,A39)</x:f>
        <x:v>2</x:v>
      </x:c>
      <x:c r="L39" s="464" t="n">
        <x:f>COUNTIFS(Test_Cases!$E$5:$E$1000,A39,Test_Cases!$L$5:$L$1000,"Passed")</x:f>
        <x:v>0</x:v>
      </x:c>
      <x:c r="M39" s="414" t="n">
        <x:f>IF(K39=0,0,L39/K39)</x:f>
        <x:v>0</x:v>
      </x:c>
      <x:c r="N39" s="411" t="str"/>
      <x:c r="O39" s="411" t="str">
        <x:v>Devansh</x:v>
      </x:c>
      <x:c r="P39" s="411" t="str"/>
      <x:c r="Q39" s="411" t="str">
        <x:v>req_035</x:v>
      </x:c>
      <x:c r="R39" s="373"/>
      <x:c r="S39" s="373"/>
      <x:c r="T39" s="373"/>
      <x:c r="U39" s="373"/>
      <x:c r="V39" s="373"/>
      <x:c r="W39" s="373"/>
      <x:c r="X39" s="373"/>
      <x:c r="Y39" s="373"/>
      <x:c r="Z39" s="373"/>
    </x:row>
    <x:row r="40">
      <x:c r="A40" s="411" t="str">
        <x:v>REQ-036</x:v>
      </x:c>
      <x:c r="B40" s="411" t="str">
        <x:v>v0.1.4</x:v>
      </x:c>
      <x:c r="C40" s="411" t="str">
        <x:v>Navigation</x:v>
      </x:c>
      <x:c r="D40" s="411" t="str">
        <x:v>The platform shall cancel or reject mode changes while a navigation goal is active.</x:v>
      </x:c>
      <x:c r="E40" s="411" t="str">
        <x:v>Supports Mode State Machine &amp; Dependency Enforcement and removes a documented project limitation.</x:v>
      </x:c>
      <x:c r="F40" s="411" t="str">
        <x:v>High</x:v>
      </x:c>
      <x:c r="G40" s="411" t="str">
        <x:v>Test</x:v>
      </x:c>
      <x:c r="H40" s="411" t="str">
        <x:v>Nominal and negative tests pass; behavior is documented and reproducible.</x:v>
      </x:c>
      <x:c r="I40" s="411" t="str">
        <x:v>Draft</x:v>
      </x:c>
      <x:c r="J40" s="411" t="str">
        <x:v>F-MODE-006</x:v>
      </x:c>
      <x:c r="K40" s="464" t="n">
        <x:f>COUNTIF(Test_Cases!$E$5:$E$1000,A40)</x:f>
        <x:v>1</x:v>
      </x:c>
      <x:c r="L40" s="464" t="n">
        <x:f>COUNTIFS(Test_Cases!$E$5:$E$1000,A40,Test_Cases!$L$5:$L$1000,"Passed")</x:f>
        <x:v>0</x:v>
      </x:c>
      <x:c r="M40" s="414" t="n">
        <x:f>IF(K40=0,0,L40/K40)</x:f>
        <x:v>0</x:v>
      </x:c>
      <x:c r="N40" s="411" t="str"/>
      <x:c r="O40" s="411" t="str">
        <x:v>Devansh</x:v>
      </x:c>
      <x:c r="P40" s="411" t="str"/>
      <x:c r="Q40" s="411" t="str">
        <x:v>req_036</x:v>
      </x:c>
      <x:c r="R40" s="373"/>
      <x:c r="S40" s="373"/>
      <x:c r="T40" s="373"/>
      <x:c r="U40" s="373"/>
      <x:c r="V40" s="373"/>
      <x:c r="W40" s="373"/>
      <x:c r="X40" s="373"/>
      <x:c r="Y40" s="373"/>
      <x:c r="Z40" s="373"/>
    </x:row>
    <x:row r="41">
      <x:c r="A41" s="411" t="str">
        <x:v>REQ-037</x:v>
      </x:c>
      <x:c r="B41" s="411" t="str">
        <x:v>v0.1.4</x:v>
      </x:c>
      <x:c r="C41" s="411" t="str">
        <x:v>Health</x:v>
      </x:c>
      <x:c r="D41" s="411" t="str">
        <x:v>The platform shall move active modes to DEGRADED/ERROR when dependencies disappear.</x:v>
      </x:c>
      <x:c r="E41" s="411" t="str">
        <x:v>Supports Mode State Machine &amp; Dependency Enforcement and removes a documented project limitation.</x:v>
      </x:c>
      <x:c r="F41" s="411" t="str">
        <x:v>Critical</x:v>
      </x:c>
      <x:c r="G41" s="411" t="str">
        <x:v>Test</x:v>
      </x:c>
      <x:c r="H41" s="411" t="str">
        <x:v>Acceptance test passes; failure path is verified; regression suite remains green.</x:v>
      </x:c>
      <x:c r="I41" s="411" t="str">
        <x:v>Draft</x:v>
      </x:c>
      <x:c r="J41" s="411" t="str">
        <x:v>F-MODE-007</x:v>
      </x:c>
      <x:c r="K41" s="464" t="n">
        <x:f>COUNTIF(Test_Cases!$E$5:$E$1000,A41)</x:f>
        <x:v>2</x:v>
      </x:c>
      <x:c r="L41" s="464" t="n">
        <x:f>COUNTIFS(Test_Cases!$E$5:$E$1000,A41,Test_Cases!$L$5:$L$1000,"Passed")</x:f>
        <x:v>0</x:v>
      </x:c>
      <x:c r="M41" s="414" t="n">
        <x:f>IF(K41=0,0,L41/K41)</x:f>
        <x:v>0</x:v>
      </x:c>
      <x:c r="N41" s="411" t="str"/>
      <x:c r="O41" s="411" t="str">
        <x:v>Devansh</x:v>
      </x:c>
      <x:c r="P41" s="411" t="str"/>
      <x:c r="Q41" s="411" t="str">
        <x:v>req_037</x:v>
      </x:c>
      <x:c r="R41" s="373"/>
      <x:c r="S41" s="373"/>
      <x:c r="T41" s="373"/>
      <x:c r="U41" s="373"/>
      <x:c r="V41" s="373"/>
      <x:c r="W41" s="373"/>
      <x:c r="X41" s="373"/>
      <x:c r="Y41" s="373"/>
      <x:c r="Z41" s="373"/>
    </x:row>
    <x:row r="42">
      <x:c r="A42" s="411" t="str">
        <x:v>REQ-038</x:v>
      </x:c>
      <x:c r="B42" s="411" t="str">
        <x:v>v0.1.4</x:v>
      </x:c>
      <x:c r="C42" s="411" t="str">
        <x:v>Safety</x:v>
      </x:c>
      <x:c r="D42" s="411" t="str">
        <x:v>The platform shall preserve manual priority and safe goal cancellation during transitions.</x:v>
      </x:c>
      <x:c r="E42" s="411" t="str">
        <x:v>Supports Mode State Machine &amp; Dependency Enforcement and removes a documented project limitation.</x:v>
      </x:c>
      <x:c r="F42" s="411" t="str">
        <x:v>Critical</x:v>
      </x:c>
      <x:c r="G42" s="411" t="str">
        <x:v>Test</x:v>
      </x:c>
      <x:c r="H42" s="411" t="str">
        <x:v>Acceptance test passes; failure path is verified; regression suite remains green.</x:v>
      </x:c>
      <x:c r="I42" s="411" t="str">
        <x:v>Draft</x:v>
      </x:c>
      <x:c r="J42" s="411" t="str">
        <x:v>F-MODE-008</x:v>
      </x:c>
      <x:c r="K42" s="464" t="n">
        <x:f>COUNTIF(Test_Cases!$E$5:$E$1000,A42)</x:f>
        <x:v>2</x:v>
      </x:c>
      <x:c r="L42" s="464" t="n">
        <x:f>COUNTIFS(Test_Cases!$E$5:$E$1000,A42,Test_Cases!$L$5:$L$1000,"Passed")</x:f>
        <x:v>0</x:v>
      </x:c>
      <x:c r="M42" s="414" t="n">
        <x:f>IF(K42=0,0,L42/K42)</x:f>
        <x:v>0</x:v>
      </x:c>
      <x:c r="N42" s="411" t="str"/>
      <x:c r="O42" s="411" t="str">
        <x:v>Devansh</x:v>
      </x:c>
      <x:c r="P42" s="411" t="str"/>
      <x:c r="Q42" s="411" t="str">
        <x:v>req_038</x:v>
      </x:c>
      <x:c r="R42" s="373"/>
      <x:c r="S42" s="373"/>
      <x:c r="T42" s="373"/>
      <x:c r="U42" s="373"/>
      <x:c r="V42" s="373"/>
      <x:c r="W42" s="373"/>
      <x:c r="X42" s="373"/>
      <x:c r="Y42" s="373"/>
      <x:c r="Z42" s="373"/>
    </x:row>
    <x:row r="43">
      <x:c r="A43" s="411" t="str">
        <x:v>REQ-039</x:v>
      </x:c>
      <x:c r="B43" s="411" t="str">
        <x:v>v0.1.5</x:v>
      </x:c>
      <x:c r="C43" s="411" t="str">
        <x:v>IMU</x:v>
      </x:c>
      <x:c r="D43" s="411" t="str">
        <x:v>The platform shall add a configured IMU sensor and publish validated data.</x:v>
      </x:c>
      <x:c r="E43" s="411" t="str">
        <x:v>Supports Sensor Health &amp; TF Ownership and removes a documented project limitation.</x:v>
      </x:c>
      <x:c r="F43" s="411" t="str">
        <x:v>Critical</x:v>
      </x:c>
      <x:c r="G43" s="411" t="str">
        <x:v>Test</x:v>
      </x:c>
      <x:c r="H43" s="411" t="str">
        <x:v>Acceptance test passes; failure path is verified; regression suite remains green.</x:v>
      </x:c>
      <x:c r="I43" s="411" t="str">
        <x:v>Draft</x:v>
      </x:c>
      <x:c r="J43" s="411" t="str">
        <x:v>F-SENS-001</x:v>
      </x:c>
      <x:c r="K43" s="464" t="n">
        <x:f>COUNTIF(Test_Cases!$E$5:$E$1000,A43)</x:f>
        <x:v>2</x:v>
      </x:c>
      <x:c r="L43" s="464" t="n">
        <x:f>COUNTIFS(Test_Cases!$E$5:$E$1000,A43,Test_Cases!$L$5:$L$1000,"Passed")</x:f>
        <x:v>0</x:v>
      </x:c>
      <x:c r="M43" s="414" t="n">
        <x:f>IF(K43=0,0,L43/K43)</x:f>
        <x:v>0</x:v>
      </x:c>
      <x:c r="N43" s="411" t="str"/>
      <x:c r="O43" s="411" t="str">
        <x:v>Devansh</x:v>
      </x:c>
      <x:c r="P43" s="411" t="str"/>
      <x:c r="Q43" s="411" t="str">
        <x:v>req_039</x:v>
      </x:c>
      <x:c r="R43" s="373"/>
      <x:c r="S43" s="373"/>
      <x:c r="T43" s="373"/>
      <x:c r="U43" s="373"/>
      <x:c r="V43" s="373"/>
      <x:c r="W43" s="373"/>
      <x:c r="X43" s="373"/>
      <x:c r="Y43" s="373"/>
      <x:c r="Z43" s="373"/>
    </x:row>
    <x:row r="44">
      <x:c r="A44" s="411" t="str">
        <x:v>REQ-040</x:v>
      </x:c>
      <x:c r="B44" s="411" t="str">
        <x:v>v0.1.5</x:v>
      </x:c>
      <x:c r="C44" s="411" t="str">
        <x:v>Sensor Health</x:v>
      </x:c>
      <x:c r="D44" s="411" t="str">
        <x:v>The platform shall validate frame, timestamps, frequency, covariance, and freshness.</x:v>
      </x:c>
      <x:c r="E44" s="411" t="str">
        <x:v>Supports Sensor Health &amp; TF Ownership and removes a documented project limitation.</x:v>
      </x:c>
      <x:c r="F44" s="411" t="str">
        <x:v>High</x:v>
      </x:c>
      <x:c r="G44" s="411" t="str">
        <x:v>Test</x:v>
      </x:c>
      <x:c r="H44" s="411" t="str">
        <x:v>Nominal and negative tests pass; behavior is documented and reproducible.</x:v>
      </x:c>
      <x:c r="I44" s="411" t="str">
        <x:v>Draft</x:v>
      </x:c>
      <x:c r="J44" s="411" t="str">
        <x:v>F-SENS-002</x:v>
      </x:c>
      <x:c r="K44" s="464" t="n">
        <x:f>COUNTIF(Test_Cases!$E$5:$E$1000,A44)</x:f>
        <x:v>1</x:v>
      </x:c>
      <x:c r="L44" s="464" t="n">
        <x:f>COUNTIFS(Test_Cases!$E$5:$E$1000,A44,Test_Cases!$L$5:$L$1000,"Passed")</x:f>
        <x:v>0</x:v>
      </x:c>
      <x:c r="M44" s="414" t="n">
        <x:f>IF(K44=0,0,L44/K44)</x:f>
        <x:v>0</x:v>
      </x:c>
      <x:c r="N44" s="411" t="str"/>
      <x:c r="O44" s="411" t="str">
        <x:v>Devansh</x:v>
      </x:c>
      <x:c r="P44" s="411" t="str"/>
      <x:c r="Q44" s="411" t="str">
        <x:v>req_040</x:v>
      </x:c>
      <x:c r="R44" s="373"/>
      <x:c r="S44" s="373"/>
      <x:c r="T44" s="373"/>
      <x:c r="U44" s="373"/>
      <x:c r="V44" s="373"/>
      <x:c r="W44" s="373"/>
      <x:c r="X44" s="373"/>
      <x:c r="Y44" s="373"/>
      <x:c r="Z44" s="373"/>
    </x:row>
    <x:row r="45">
      <x:c r="A45" s="411" t="str">
        <x:v>REQ-041</x:v>
      </x:c>
      <x:c r="B45" s="411" t="str">
        <x:v>v0.1.5</x:v>
      </x:c>
      <x:c r="C45" s="411" t="str">
        <x:v>Sensor Health</x:v>
      </x:c>
      <x:c r="D45" s="411" t="str">
        <x:v>The platform shall validate scan frame, rate, range, timestamps, and freshness.</x:v>
      </x:c>
      <x:c r="E45" s="411" t="str">
        <x:v>Supports Sensor Health &amp; TF Ownership and removes a documented project limitation.</x:v>
      </x:c>
      <x:c r="F45" s="411" t="str">
        <x:v>Critical</x:v>
      </x:c>
      <x:c r="G45" s="411" t="str">
        <x:v>Test</x:v>
      </x:c>
      <x:c r="H45" s="411" t="str">
        <x:v>Acceptance test passes; failure path is verified; regression suite remains green.</x:v>
      </x:c>
      <x:c r="I45" s="411" t="str">
        <x:v>Draft</x:v>
      </x:c>
      <x:c r="J45" s="411" t="str">
        <x:v>F-SENS-003</x:v>
      </x:c>
      <x:c r="K45" s="464" t="n">
        <x:f>COUNTIF(Test_Cases!$E$5:$E$1000,A45)</x:f>
        <x:v>2</x:v>
      </x:c>
      <x:c r="L45" s="464" t="n">
        <x:f>COUNTIFS(Test_Cases!$E$5:$E$1000,A45,Test_Cases!$L$5:$L$1000,"Passed")</x:f>
        <x:v>0</x:v>
      </x:c>
      <x:c r="M45" s="414" t="n">
        <x:f>IF(K45=0,0,L45/K45)</x:f>
        <x:v>0</x:v>
      </x:c>
      <x:c r="N45" s="411" t="str"/>
      <x:c r="O45" s="411" t="str">
        <x:v>Devansh</x:v>
      </x:c>
      <x:c r="P45" s="411" t="str"/>
      <x:c r="Q45" s="411" t="str">
        <x:v>req_041</x:v>
      </x:c>
      <x:c r="R45" s="373"/>
      <x:c r="S45" s="373"/>
      <x:c r="T45" s="373"/>
      <x:c r="U45" s="373"/>
      <x:c r="V45" s="373"/>
      <x:c r="W45" s="373"/>
      <x:c r="X45" s="373"/>
      <x:c r="Y45" s="373"/>
      <x:c r="Z45" s="373"/>
    </x:row>
    <x:row r="46">
      <x:c r="A46" s="411" t="str">
        <x:v>REQ-042</x:v>
      </x:c>
      <x:c r="B46" s="411" t="str">
        <x:v>v0.1.5</x:v>
      </x:c>
      <x:c r="C46" s="411" t="str">
        <x:v>Sensor Health</x:v>
      </x:c>
      <x:c r="D46" s="411" t="str">
        <x:v>The platform shall validate odometry frame, freshness, continuity, and covariance.</x:v>
      </x:c>
      <x:c r="E46" s="411" t="str">
        <x:v>Supports Sensor Health &amp; TF Ownership and removes a documented project limitation.</x:v>
      </x:c>
      <x:c r="F46" s="411" t="str">
        <x:v>High</x:v>
      </x:c>
      <x:c r="G46" s="411" t="str">
        <x:v>Test</x:v>
      </x:c>
      <x:c r="H46" s="411" t="str">
        <x:v>Nominal and negative tests pass; behavior is documented and reproducible.</x:v>
      </x:c>
      <x:c r="I46" s="411" t="str">
        <x:v>Draft</x:v>
      </x:c>
      <x:c r="J46" s="411" t="str">
        <x:v>F-SENS-004</x:v>
      </x:c>
      <x:c r="K46" s="464" t="n">
        <x:f>COUNTIF(Test_Cases!$E$5:$E$1000,A46)</x:f>
        <x:v>1</x:v>
      </x:c>
      <x:c r="L46" s="464" t="n">
        <x:f>COUNTIFS(Test_Cases!$E$5:$E$1000,A46,Test_Cases!$L$5:$L$1000,"Passed")</x:f>
        <x:v>0</x:v>
      </x:c>
      <x:c r="M46" s="414" t="n">
        <x:f>IF(K46=0,0,L46/K46)</x:f>
        <x:v>0</x:v>
      </x:c>
      <x:c r="N46" s="411" t="str"/>
      <x:c r="O46" s="411" t="str">
        <x:v>Devansh</x:v>
      </x:c>
      <x:c r="P46" s="411" t="str"/>
      <x:c r="Q46" s="411" t="str">
        <x:v>req_042</x:v>
      </x:c>
      <x:c r="R46" s="373"/>
      <x:c r="S46" s="373"/>
      <x:c r="T46" s="373"/>
      <x:c r="U46" s="373"/>
      <x:c r="V46" s="373"/>
      <x:c r="W46" s="373"/>
      <x:c r="X46" s="373"/>
      <x:c r="Y46" s="373"/>
      <x:c r="Z46" s="373"/>
    </x:row>
    <x:row r="47">
      <x:c r="A47" s="411" t="str">
        <x:v>REQ-043</x:v>
      </x:c>
      <x:c r="B47" s="411" t="str">
        <x:v>v0.1.5</x:v>
      </x:c>
      <x:c r="C47" s="411" t="str">
        <x:v>TF</x:v>
      </x:c>
      <x:c r="D47" s="411" t="str">
        <x:v>The platform shall document every TF edge and its single publisher.</x:v>
      </x:c>
      <x:c r="E47" s="411" t="str">
        <x:v>Supports Sensor Health &amp; TF Ownership and removes a documented project limitation.</x:v>
      </x:c>
      <x:c r="F47" s="411" t="str">
        <x:v>Critical</x:v>
      </x:c>
      <x:c r="G47" s="411" t="str">
        <x:v>Test</x:v>
      </x:c>
      <x:c r="H47" s="411" t="str">
        <x:v>Acceptance test passes; failure path is verified; regression suite remains green.</x:v>
      </x:c>
      <x:c r="I47" s="411" t="str">
        <x:v>Draft</x:v>
      </x:c>
      <x:c r="J47" s="411" t="str">
        <x:v>F-TF-001</x:v>
      </x:c>
      <x:c r="K47" s="464" t="n">
        <x:f>COUNTIF(Test_Cases!$E$5:$E$1000,A47)</x:f>
        <x:v>2</x:v>
      </x:c>
      <x:c r="L47" s="464" t="n">
        <x:f>COUNTIFS(Test_Cases!$E$5:$E$1000,A47,Test_Cases!$L$5:$L$1000,"Passed")</x:f>
        <x:v>0</x:v>
      </x:c>
      <x:c r="M47" s="414" t="n">
        <x:f>IF(K47=0,0,L47/K47)</x:f>
        <x:v>0</x:v>
      </x:c>
      <x:c r="N47" s="411" t="str"/>
      <x:c r="O47" s="411" t="str">
        <x:v>Devansh</x:v>
      </x:c>
      <x:c r="P47" s="411" t="str"/>
      <x:c r="Q47" s="411" t="str">
        <x:v>req_043</x:v>
      </x:c>
      <x:c r="R47" s="373"/>
      <x:c r="S47" s="373"/>
      <x:c r="T47" s="373"/>
      <x:c r="U47" s="373"/>
      <x:c r="V47" s="373"/>
      <x:c r="W47" s="373"/>
      <x:c r="X47" s="373"/>
      <x:c r="Y47" s="373"/>
      <x:c r="Z47" s="373"/>
    </x:row>
    <x:row r="48">
      <x:c r="A48" s="411" t="str">
        <x:v>REQ-044</x:v>
      </x:c>
      <x:c r="B48" s="411" t="str">
        <x:v>v0.1.5</x:v>
      </x:c>
      <x:c r="C48" s="411" t="str">
        <x:v>TF</x:v>
      </x:c>
      <x:c r="D48" s="411" t="str">
        <x:v>The platform shall detect duplicate publishers for dynamic transform edges.</x:v>
      </x:c>
      <x:c r="E48" s="411" t="str">
        <x:v>Supports Sensor Health &amp; TF Ownership and removes a documented project limitation.</x:v>
      </x:c>
      <x:c r="F48" s="411" t="str">
        <x:v>Critical</x:v>
      </x:c>
      <x:c r="G48" s="411" t="str">
        <x:v>Test</x:v>
      </x:c>
      <x:c r="H48" s="411" t="str">
        <x:v>Acceptance test passes; failure path is verified; regression suite remains green.</x:v>
      </x:c>
      <x:c r="I48" s="411" t="str">
        <x:v>Draft</x:v>
      </x:c>
      <x:c r="J48" s="411" t="str">
        <x:v>F-TF-002</x:v>
      </x:c>
      <x:c r="K48" s="464" t="n">
        <x:f>COUNTIF(Test_Cases!$E$5:$E$1000,A48)</x:f>
        <x:v>2</x:v>
      </x:c>
      <x:c r="L48" s="464" t="n">
        <x:f>COUNTIFS(Test_Cases!$E$5:$E$1000,A48,Test_Cases!$L$5:$L$1000,"Passed")</x:f>
        <x:v>0</x:v>
      </x:c>
      <x:c r="M48" s="414" t="n">
        <x:f>IF(K48=0,0,L48/K48)</x:f>
        <x:v>0</x:v>
      </x:c>
      <x:c r="N48" s="411" t="str"/>
      <x:c r="O48" s="411" t="str">
        <x:v>Devansh</x:v>
      </x:c>
      <x:c r="P48" s="411" t="str"/>
      <x:c r="Q48" s="411" t="str">
        <x:v>req_044</x:v>
      </x:c>
      <x:c r="R48" s="373"/>
      <x:c r="S48" s="373"/>
      <x:c r="T48" s="373"/>
      <x:c r="U48" s="373"/>
      <x:c r="V48" s="373"/>
      <x:c r="W48" s="373"/>
      <x:c r="X48" s="373"/>
      <x:c r="Y48" s="373"/>
      <x:c r="Z48" s="373"/>
    </x:row>
    <x:row r="49">
      <x:c r="A49" s="411" t="str">
        <x:v>REQ-045</x:v>
      </x:c>
      <x:c r="B49" s="411" t="str">
        <x:v>v0.1.5</x:v>
      </x:c>
      <x:c r="C49" s="411" t="str">
        <x:v>TF</x:v>
      </x:c>
      <x:c r="D49" s="411" t="str">
        <x:v>The platform shall detect missing, stale, jumping, or inconsistent transforms.</x:v>
      </x:c>
      <x:c r="E49" s="411" t="str">
        <x:v>Supports Sensor Health &amp; TF Ownership and removes a documented project limitation.</x:v>
      </x:c>
      <x:c r="F49" s="411" t="str">
        <x:v>High</x:v>
      </x:c>
      <x:c r="G49" s="411" t="str">
        <x:v>Test</x:v>
      </x:c>
      <x:c r="H49" s="411" t="str">
        <x:v>Nominal and negative tests pass; behavior is documented and reproducible.</x:v>
      </x:c>
      <x:c r="I49" s="411" t="str">
        <x:v>Draft</x:v>
      </x:c>
      <x:c r="J49" s="411" t="str">
        <x:v>F-TF-003</x:v>
      </x:c>
      <x:c r="K49" s="464" t="n">
        <x:f>COUNTIF(Test_Cases!$E$5:$E$1000,A49)</x:f>
        <x:v>1</x:v>
      </x:c>
      <x:c r="L49" s="464" t="n">
        <x:f>COUNTIFS(Test_Cases!$E$5:$E$1000,A49,Test_Cases!$L$5:$L$1000,"Passed")</x:f>
        <x:v>0</x:v>
      </x:c>
      <x:c r="M49" s="414" t="n">
        <x:f>IF(K49=0,0,L49/K49)</x:f>
        <x:v>0</x:v>
      </x:c>
      <x:c r="N49" s="411" t="str"/>
      <x:c r="O49" s="411" t="str">
        <x:v>Devansh</x:v>
      </x:c>
      <x:c r="P49" s="411" t="str"/>
      <x:c r="Q49" s="411" t="str">
        <x:v>req_045</x:v>
      </x:c>
      <x:c r="R49" s="373"/>
      <x:c r="S49" s="373"/>
      <x:c r="T49" s="373"/>
      <x:c r="U49" s="373"/>
      <x:c r="V49" s="373"/>
      <x:c r="W49" s="373"/>
      <x:c r="X49" s="373"/>
      <x:c r="Y49" s="373"/>
      <x:c r="Z49" s="373"/>
    </x:row>
    <x:row r="50">
      <x:c r="A50" s="411" t="str">
        <x:v>REQ-046</x:v>
      </x:c>
      <x:c r="B50" s="411" t="str">
        <x:v>v0.1.5</x:v>
      </x:c>
      <x:c r="C50" s="411" t="str">
        <x:v>Evidence</x:v>
      </x:c>
      <x:c r="D50" s="411" t="str">
        <x:v>The platform shall generate frequency, jitter, bias, and turn-response plots.</x:v>
      </x:c>
      <x:c r="E50" s="411" t="str">
        <x:v>Supports Sensor Health &amp; TF Ownership and removes a documented project limitation.</x:v>
      </x:c>
      <x:c r="F50" s="411" t="str">
        <x:v>Medium</x:v>
      </x:c>
      <x:c r="G50" s="411" t="str">
        <x:v>Test</x:v>
      </x:c>
      <x:c r="H50" s="411" t="str">
        <x:v>Capability is usable, documented, and covered by at least one verification test.</x:v>
      </x:c>
      <x:c r="I50" s="411" t="str">
        <x:v>Draft</x:v>
      </x:c>
      <x:c r="J50" s="411" t="str">
        <x:v>F-SENS-005</x:v>
      </x:c>
      <x:c r="K50" s="464" t="n">
        <x:f>COUNTIF(Test_Cases!$E$5:$E$1000,A50)</x:f>
        <x:v>1</x:v>
      </x:c>
      <x:c r="L50" s="464" t="n">
        <x:f>COUNTIFS(Test_Cases!$E$5:$E$1000,A50,Test_Cases!$L$5:$L$1000,"Passed")</x:f>
        <x:v>0</x:v>
      </x:c>
      <x:c r="M50" s="414" t="n">
        <x:f>IF(K50=0,0,L50/K50)</x:f>
        <x:v>0</x:v>
      </x:c>
      <x:c r="N50" s="411" t="str"/>
      <x:c r="O50" s="411" t="str">
        <x:v>Devansh</x:v>
      </x:c>
      <x:c r="P50" s="411" t="str"/>
      <x:c r="Q50" s="411" t="str">
        <x:v>req_046</x:v>
      </x:c>
      <x:c r="R50" s="373"/>
      <x:c r="S50" s="373"/>
      <x:c r="T50" s="373"/>
      <x:c r="U50" s="373"/>
      <x:c r="V50" s="373"/>
      <x:c r="W50" s="373"/>
      <x:c r="X50" s="373"/>
      <x:c r="Y50" s="373"/>
      <x:c r="Z50" s="373"/>
    </x:row>
    <x:row r="51">
      <x:c r="A51" s="411" t="str">
        <x:v>REQ-047</x:v>
      </x:c>
      <x:c r="B51" s="411" t="str">
        <x:v>v0.1.6</x:v>
      </x:c>
      <x:c r="C51" s="411" t="str">
        <x:v>Estimation</x:v>
      </x:c>
      <x:c r="D51" s="411" t="str">
        <x:v>The platform shall configure a 2D EKF for wheel odometry and IMU.</x:v>
      </x:c>
      <x:c r="E51" s="411" t="str">
        <x:v>Supports EKF Sensor Fusion and removes a documented project limitation.</x:v>
      </x:c>
      <x:c r="F51" s="411" t="str">
        <x:v>Critical</x:v>
      </x:c>
      <x:c r="G51" s="411" t="str">
        <x:v>Test</x:v>
      </x:c>
      <x:c r="H51" s="411" t="str">
        <x:v>Acceptance test passes; failure path is verified; regression suite remains green.</x:v>
      </x:c>
      <x:c r="I51" s="411" t="str">
        <x:v>Draft</x:v>
      </x:c>
      <x:c r="J51" s="411" t="str">
        <x:v>F-EKF-001</x:v>
      </x:c>
      <x:c r="K51" s="464" t="n">
        <x:f>COUNTIF(Test_Cases!$E$5:$E$1000,A51)</x:f>
        <x:v>2</x:v>
      </x:c>
      <x:c r="L51" s="464" t="n">
        <x:f>COUNTIFS(Test_Cases!$E$5:$E$1000,A51,Test_Cases!$L$5:$L$1000,"Passed")</x:f>
        <x:v>0</x:v>
      </x:c>
      <x:c r="M51" s="414" t="n">
        <x:f>IF(K51=0,0,L51/K51)</x:f>
        <x:v>0</x:v>
      </x:c>
      <x:c r="N51" s="411" t="str"/>
      <x:c r="O51" s="411" t="str">
        <x:v>Devansh</x:v>
      </x:c>
      <x:c r="P51" s="411" t="str"/>
      <x:c r="Q51" s="411" t="str">
        <x:v>req_047</x:v>
      </x:c>
      <x:c r="R51" s="373"/>
      <x:c r="S51" s="373"/>
      <x:c r="T51" s="373"/>
      <x:c r="U51" s="373"/>
      <x:c r="V51" s="373"/>
      <x:c r="W51" s="373"/>
      <x:c r="X51" s="373"/>
      <x:c r="Y51" s="373"/>
      <x:c r="Z51" s="373"/>
    </x:row>
    <x:row r="52">
      <x:c r="A52" s="411" t="str">
        <x:v>REQ-048</x:v>
      </x:c>
      <x:c r="B52" s="411" t="str">
        <x:v>v0.1.6</x:v>
      </x:c>
      <x:c r="C52" s="411" t="str">
        <x:v>Estimation</x:v>
      </x:c>
      <x:c r="D52" s="411" t="str">
        <x:v>The platform shall select fused states and differential/relative settings deliberately.</x:v>
      </x:c>
      <x:c r="E52" s="411" t="str">
        <x:v>Supports EKF Sensor Fusion and removes a documented project limitation.</x:v>
      </x:c>
      <x:c r="F52" s="411" t="str">
        <x:v>Critical</x:v>
      </x:c>
      <x:c r="G52" s="411" t="str">
        <x:v>Test</x:v>
      </x:c>
      <x:c r="H52" s="411" t="str">
        <x:v>Acceptance test passes; failure path is verified; regression suite remains green.</x:v>
      </x:c>
      <x:c r="I52" s="411" t="str">
        <x:v>Draft</x:v>
      </x:c>
      <x:c r="J52" s="411" t="str">
        <x:v>F-EKF-002</x:v>
      </x:c>
      <x:c r="K52" s="464" t="n">
        <x:f>COUNTIF(Test_Cases!$E$5:$E$1000,A52)</x:f>
        <x:v>2</x:v>
      </x:c>
      <x:c r="L52" s="464" t="n">
        <x:f>COUNTIFS(Test_Cases!$E$5:$E$1000,A52,Test_Cases!$L$5:$L$1000,"Passed")</x:f>
        <x:v>0</x:v>
      </x:c>
      <x:c r="M52" s="414" t="n">
        <x:f>IF(K52=0,0,L52/K52)</x:f>
        <x:v>0</x:v>
      </x:c>
      <x:c r="N52" s="411" t="str"/>
      <x:c r="O52" s="411" t="str">
        <x:v>Devansh</x:v>
      </x:c>
      <x:c r="P52" s="411" t="str"/>
      <x:c r="Q52" s="411" t="str">
        <x:v>req_048</x:v>
      </x:c>
      <x:c r="R52" s="373"/>
      <x:c r="S52" s="373"/>
      <x:c r="T52" s="373"/>
      <x:c r="U52" s="373"/>
      <x:c r="V52" s="373"/>
      <x:c r="W52" s="373"/>
      <x:c r="X52" s="373"/>
      <x:c r="Y52" s="373"/>
      <x:c r="Z52" s="373"/>
    </x:row>
    <x:row r="53">
      <x:c r="A53" s="411" t="str">
        <x:v>REQ-049</x:v>
      </x:c>
      <x:c r="B53" s="411" t="str">
        <x:v>v0.1.6</x:v>
      </x:c>
      <x:c r="C53" s="411" t="str">
        <x:v>Estimation</x:v>
      </x:c>
      <x:c r="D53" s="411" t="str">
        <x:v>The platform shall set process, measurement, and rejection thresholds with rationale.</x:v>
      </x:c>
      <x:c r="E53" s="411" t="str">
        <x:v>Supports EKF Sensor Fusion and removes a documented project limitation.</x:v>
      </x:c>
      <x:c r="F53" s="411" t="str">
        <x:v>High</x:v>
      </x:c>
      <x:c r="G53" s="411" t="str">
        <x:v>Test</x:v>
      </x:c>
      <x:c r="H53" s="411" t="str">
        <x:v>Nominal and negative tests pass; behavior is documented and reproducible.</x:v>
      </x:c>
      <x:c r="I53" s="411" t="str">
        <x:v>Draft</x:v>
      </x:c>
      <x:c r="J53" s="411" t="str">
        <x:v>F-EKF-003</x:v>
      </x:c>
      <x:c r="K53" s="464" t="n">
        <x:f>COUNTIF(Test_Cases!$E$5:$E$1000,A53)</x:f>
        <x:v>1</x:v>
      </x:c>
      <x:c r="L53" s="464" t="n">
        <x:f>COUNTIFS(Test_Cases!$E$5:$E$1000,A53,Test_Cases!$L$5:$L$1000,"Passed")</x:f>
        <x:v>0</x:v>
      </x:c>
      <x:c r="M53" s="414" t="n">
        <x:f>IF(K53=0,0,L53/K53)</x:f>
        <x:v>0</x:v>
      </x:c>
      <x:c r="N53" s="411" t="str"/>
      <x:c r="O53" s="411" t="str">
        <x:v>Devansh</x:v>
      </x:c>
      <x:c r="P53" s="411" t="str"/>
      <x:c r="Q53" s="411" t="str">
        <x:v>req_049</x:v>
      </x:c>
      <x:c r="R53" s="373"/>
      <x:c r="S53" s="373"/>
      <x:c r="T53" s="373"/>
      <x:c r="U53" s="373"/>
      <x:c r="V53" s="373"/>
      <x:c r="W53" s="373"/>
      <x:c r="X53" s="373"/>
      <x:c r="Y53" s="373"/>
      <x:c r="Z53" s="373"/>
    </x:row>
    <x:row r="54">
      <x:c r="A54" s="411" t="str">
        <x:v>REQ-050</x:v>
      </x:c>
      <x:c r="B54" s="411" t="str">
        <x:v>v0.1.6</x:v>
      </x:c>
      <x:c r="C54" s="411" t="str">
        <x:v>TF</x:v>
      </x:c>
      <x:c r="D54" s="411" t="str">
        <x:v>The platform shall give EKF ownership of odom to base_link and disable duplicates.</x:v>
      </x:c>
      <x:c r="E54" s="411" t="str">
        <x:v>Supports EKF Sensor Fusion and removes a documented project limitation.</x:v>
      </x:c>
      <x:c r="F54" s="411" t="str">
        <x:v>Critical</x:v>
      </x:c>
      <x:c r="G54" s="411" t="str">
        <x:v>Test</x:v>
      </x:c>
      <x:c r="H54" s="411" t="str">
        <x:v>Acceptance test passes; failure path is verified; regression suite remains green.</x:v>
      </x:c>
      <x:c r="I54" s="411" t="str">
        <x:v>Draft</x:v>
      </x:c>
      <x:c r="J54" s="411" t="str">
        <x:v>F-EKF-004</x:v>
      </x:c>
      <x:c r="K54" s="464" t="n">
        <x:f>COUNTIF(Test_Cases!$E$5:$E$1000,A54)</x:f>
        <x:v>2</x:v>
      </x:c>
      <x:c r="L54" s="464" t="n">
        <x:f>COUNTIFS(Test_Cases!$E$5:$E$1000,A54,Test_Cases!$L$5:$L$1000,"Passed")</x:f>
        <x:v>0</x:v>
      </x:c>
      <x:c r="M54" s="414" t="n">
        <x:f>IF(K54=0,0,L54/K54)</x:f>
        <x:v>0</x:v>
      </x:c>
      <x:c r="N54" s="411" t="str"/>
      <x:c r="O54" s="411" t="str">
        <x:v>Devansh</x:v>
      </x:c>
      <x:c r="P54" s="411" t="str"/>
      <x:c r="Q54" s="411" t="str">
        <x:v>req_050</x:v>
      </x:c>
      <x:c r="R54" s="373"/>
      <x:c r="S54" s="373"/>
      <x:c r="T54" s="373"/>
      <x:c r="U54" s="373"/>
      <x:c r="V54" s="373"/>
      <x:c r="W54" s="373"/>
      <x:c r="X54" s="373"/>
      <x:c r="Y54" s="373"/>
      <x:c r="Z54" s="373"/>
    </x:row>
    <x:row r="55">
      <x:c r="A55" s="411" t="str">
        <x:v>REQ-051</x:v>
      </x:c>
      <x:c r="B55" s="411" t="str">
        <x:v>v0.1.6</x:v>
      </x:c>
      <x:c r="C55" s="411" t="str">
        <x:v>Logging</x:v>
      </x:c>
      <x:c r="D55" s="411" t="str">
        <x:v>The platform shall log wheel odometry, EKF odometry, IMU, and ground truth.</x:v>
      </x:c>
      <x:c r="E55" s="411" t="str">
        <x:v>Supports EKF Sensor Fusion and removes a documented project limitation.</x:v>
      </x:c>
      <x:c r="F55" s="411" t="str">
        <x:v>High</x:v>
      </x:c>
      <x:c r="G55" s="411" t="str">
        <x:v>Test</x:v>
      </x:c>
      <x:c r="H55" s="411" t="str">
        <x:v>Nominal and negative tests pass; behavior is documented and reproducible.</x:v>
      </x:c>
      <x:c r="I55" s="411" t="str">
        <x:v>Draft</x:v>
      </x:c>
      <x:c r="J55" s="411" t="str">
        <x:v>F-EKF-005</x:v>
      </x:c>
      <x:c r="K55" s="464" t="n">
        <x:f>COUNTIF(Test_Cases!$E$5:$E$1000,A55)</x:f>
        <x:v>1</x:v>
      </x:c>
      <x:c r="L55" s="464" t="n">
        <x:f>COUNTIFS(Test_Cases!$E$5:$E$1000,A55,Test_Cases!$L$5:$L$1000,"Passed")</x:f>
        <x:v>0</x:v>
      </x:c>
      <x:c r="M55" s="414" t="n">
        <x:f>IF(K55=0,0,L55/K55)</x:f>
        <x:v>0</x:v>
      </x:c>
      <x:c r="N55" s="411" t="str"/>
      <x:c r="O55" s="411" t="str">
        <x:v>Devansh</x:v>
      </x:c>
      <x:c r="P55" s="411" t="str"/>
      <x:c r="Q55" s="411" t="str">
        <x:v>req_051</x:v>
      </x:c>
      <x:c r="R55" s="373"/>
      <x:c r="S55" s="373"/>
      <x:c r="T55" s="373"/>
      <x:c r="U55" s="373"/>
      <x:c r="V55" s="373"/>
      <x:c r="W55" s="373"/>
      <x:c r="X55" s="373"/>
      <x:c r="Y55" s="373"/>
      <x:c r="Z55" s="373"/>
    </x:row>
    <x:row r="56">
      <x:c r="A56" s="411" t="str">
        <x:v>REQ-052</x:v>
      </x:c>
      <x:c r="B56" s="411" t="str">
        <x:v>v0.1.6</x:v>
      </x:c>
      <x:c r="C56" s="411" t="str">
        <x:v>Verification</x:v>
      </x:c>
      <x:c r="D56" s="411" t="str">
        <x:v>The platform shall test stationary, straight, rotational, and curved motion.</x:v>
      </x:c>
      <x:c r="E56" s="411" t="str">
        <x:v>Supports EKF Sensor Fusion and removes a documented project limitation.</x:v>
      </x:c>
      <x:c r="F56" s="411" t="str">
        <x:v>Critical</x:v>
      </x:c>
      <x:c r="G56" s="411" t="str">
        <x:v>Test</x:v>
      </x:c>
      <x:c r="H56" s="411" t="str">
        <x:v>Acceptance test passes; failure path is verified; regression suite remains green.</x:v>
      </x:c>
      <x:c r="I56" s="411" t="str">
        <x:v>Draft</x:v>
      </x:c>
      <x:c r="J56" s="411" t="str">
        <x:v>F-EKF-006</x:v>
      </x:c>
      <x:c r="K56" s="464" t="n">
        <x:f>COUNTIF(Test_Cases!$E$5:$E$1000,A56)</x:f>
        <x:v>2</x:v>
      </x:c>
      <x:c r="L56" s="464" t="n">
        <x:f>COUNTIFS(Test_Cases!$E$5:$E$1000,A56,Test_Cases!$L$5:$L$1000,"Passed")</x:f>
        <x:v>0</x:v>
      </x:c>
      <x:c r="M56" s="414" t="n">
        <x:f>IF(K56=0,0,L56/K56)</x:f>
        <x:v>0</x:v>
      </x:c>
      <x:c r="N56" s="411" t="str"/>
      <x:c r="O56" s="411" t="str">
        <x:v>Devansh</x:v>
      </x:c>
      <x:c r="P56" s="411" t="str"/>
      <x:c r="Q56" s="411" t="str">
        <x:v>req_052</x:v>
      </x:c>
      <x:c r="R56" s="373"/>
      <x:c r="S56" s="373"/>
      <x:c r="T56" s="373"/>
      <x:c r="U56" s="373"/>
      <x:c r="V56" s="373"/>
      <x:c r="W56" s="373"/>
      <x:c r="X56" s="373"/>
      <x:c r="Y56" s="373"/>
      <x:c r="Z56" s="373"/>
    </x:row>
    <x:row r="57">
      <x:c r="A57" s="411" t="str">
        <x:v>REQ-053</x:v>
      </x:c>
      <x:c r="B57" s="411" t="str">
        <x:v>v0.1.6</x:v>
      </x:c>
      <x:c r="C57" s="411" t="str">
        <x:v>Fault</x:v>
      </x:c>
      <x:c r="D57" s="411" t="str">
        <x:v>The platform shall test stale, missing, invalid, and future-dated measurements.</x:v>
      </x:c>
      <x:c r="E57" s="411" t="str">
        <x:v>Supports EKF Sensor Fusion and removes a documented project limitation.</x:v>
      </x:c>
      <x:c r="F57" s="411" t="str">
        <x:v>High</x:v>
      </x:c>
      <x:c r="G57" s="411" t="str">
        <x:v>Test</x:v>
      </x:c>
      <x:c r="H57" s="411" t="str">
        <x:v>Nominal and negative tests pass; behavior is documented and reproducible.</x:v>
      </x:c>
      <x:c r="I57" s="411" t="str">
        <x:v>Draft</x:v>
      </x:c>
      <x:c r="J57" s="411" t="str">
        <x:v>F-EKF-007</x:v>
      </x:c>
      <x:c r="K57" s="464" t="n">
        <x:f>COUNTIF(Test_Cases!$E$5:$E$1000,A57)</x:f>
        <x:v>1</x:v>
      </x:c>
      <x:c r="L57" s="464" t="n">
        <x:f>COUNTIFS(Test_Cases!$E$5:$E$1000,A57,Test_Cases!$L$5:$L$1000,"Passed")</x:f>
        <x:v>0</x:v>
      </x:c>
      <x:c r="M57" s="414" t="n">
        <x:f>IF(K57=0,0,L57/K57)</x:f>
        <x:v>0</x:v>
      </x:c>
      <x:c r="N57" s="411" t="str"/>
      <x:c r="O57" s="411" t="str">
        <x:v>Devansh</x:v>
      </x:c>
      <x:c r="P57" s="411" t="str"/>
      <x:c r="Q57" s="411" t="str">
        <x:v>req_053</x:v>
      </x:c>
      <x:c r="R57" s="373"/>
      <x:c r="S57" s="373"/>
      <x:c r="T57" s="373"/>
      <x:c r="U57" s="373"/>
      <x:c r="V57" s="373"/>
      <x:c r="W57" s="373"/>
      <x:c r="X57" s="373"/>
      <x:c r="Y57" s="373"/>
      <x:c r="Z57" s="373"/>
    </x:row>
    <x:row r="58">
      <x:c r="A58" s="411" t="str">
        <x:v>REQ-054</x:v>
      </x:c>
      <x:c r="B58" s="411" t="str">
        <x:v>v0.1.6</x:v>
      </x:c>
      <x:c r="C58" s="411" t="str">
        <x:v>Metrics</x:v>
      </x:c>
      <x:c r="D58" s="411" t="str">
        <x:v>The platform shall compare raw and fused position/yaw error and smoothness.</x:v>
      </x:c>
      <x:c r="E58" s="411" t="str">
        <x:v>Supports EKF Sensor Fusion and removes a documented project limitation.</x:v>
      </x:c>
      <x:c r="F58" s="411" t="str">
        <x:v>High</x:v>
      </x:c>
      <x:c r="G58" s="411" t="str">
        <x:v>Test</x:v>
      </x:c>
      <x:c r="H58" s="411" t="str">
        <x:v>Nominal and negative tests pass; behavior is documented and reproducible.</x:v>
      </x:c>
      <x:c r="I58" s="411" t="str">
        <x:v>Draft</x:v>
      </x:c>
      <x:c r="J58" s="411" t="str">
        <x:v>F-EKF-008</x:v>
      </x:c>
      <x:c r="K58" s="464" t="n">
        <x:f>COUNTIF(Test_Cases!$E$5:$E$1000,A58)</x:f>
        <x:v>1</x:v>
      </x:c>
      <x:c r="L58" s="464" t="n">
        <x:f>COUNTIFS(Test_Cases!$E$5:$E$1000,A58,Test_Cases!$L$5:$L$1000,"Passed")</x:f>
        <x:v>0</x:v>
      </x:c>
      <x:c r="M58" s="414" t="n">
        <x:f>IF(K58=0,0,L58/K58)</x:f>
        <x:v>0</x:v>
      </x:c>
      <x:c r="N58" s="411" t="str"/>
      <x:c r="O58" s="411" t="str">
        <x:v>Devansh</x:v>
      </x:c>
      <x:c r="P58" s="411" t="str"/>
      <x:c r="Q58" s="411" t="str">
        <x:v>req_054</x:v>
      </x:c>
      <x:c r="R58" s="373"/>
      <x:c r="S58" s="373"/>
      <x:c r="T58" s="373"/>
      <x:c r="U58" s="373"/>
      <x:c r="V58" s="373"/>
      <x:c r="W58" s="373"/>
      <x:c r="X58" s="373"/>
      <x:c r="Y58" s="373"/>
      <x:c r="Z58" s="373"/>
    </x:row>
    <x:row r="59">
      <x:c r="A59" s="411" t="str">
        <x:v>REQ-055</x:v>
      </x:c>
      <x:c r="B59" s="411" t="str">
        <x:v>v0.1.7</x:v>
      </x:c>
      <x:c r="C59" s="411" t="str">
        <x:v>RViz</x:v>
      </x:c>
      <x:c r="D59" s="411" t="str">
        <x:v>The platform shall create a saved RViz configuration for mapping and sensor inspection.</x:v>
      </x:c>
      <x:c r="E59" s="411" t="str">
        <x:v>Supports RViz Observability and removes a documented project limitation.</x:v>
      </x:c>
      <x:c r="F59" s="411" t="str">
        <x:v>High</x:v>
      </x:c>
      <x:c r="G59" s="411" t="str">
        <x:v>Test</x:v>
      </x:c>
      <x:c r="H59" s="411" t="str">
        <x:v>Nominal and negative tests pass; behavior is documented and reproducible.</x:v>
      </x:c>
      <x:c r="I59" s="411" t="str">
        <x:v>Draft</x:v>
      </x:c>
      <x:c r="J59" s="411" t="str">
        <x:v>F-RVIZ-001</x:v>
      </x:c>
      <x:c r="K59" s="464" t="n">
        <x:f>COUNTIF(Test_Cases!$E$5:$E$1000,A59)</x:f>
        <x:v>1</x:v>
      </x:c>
      <x:c r="L59" s="464" t="n">
        <x:f>COUNTIFS(Test_Cases!$E$5:$E$1000,A59,Test_Cases!$L$5:$L$1000,"Passed")</x:f>
        <x:v>0</x:v>
      </x:c>
      <x:c r="M59" s="414" t="n">
        <x:f>IF(K59=0,0,L59/K59)</x:f>
        <x:v>0</x:v>
      </x:c>
      <x:c r="N59" s="411" t="str"/>
      <x:c r="O59" s="411" t="str">
        <x:v>Devansh</x:v>
      </x:c>
      <x:c r="P59" s="411" t="str"/>
      <x:c r="Q59" s="411" t="str">
        <x:v>req_055</x:v>
      </x:c>
      <x:c r="R59" s="373"/>
      <x:c r="S59" s="373"/>
      <x:c r="T59" s="373"/>
      <x:c r="U59" s="373"/>
      <x:c r="V59" s="373"/>
      <x:c r="W59" s="373"/>
      <x:c r="X59" s="373"/>
      <x:c r="Y59" s="373"/>
      <x:c r="Z59" s="373"/>
    </x:row>
    <x:row r="60">
      <x:c r="A60" s="411" t="str">
        <x:v>REQ-056</x:v>
      </x:c>
      <x:c r="B60" s="411" t="str">
        <x:v>v0.1.7</x:v>
      </x:c>
      <x:c r="C60" s="411" t="str">
        <x:v>RViz</x:v>
      </x:c>
      <x:c r="D60" s="411" t="str">
        <x:v>The platform shall create a saved RViz configuration for AMCL, covariance, and ground truth.</x:v>
      </x:c>
      <x:c r="E60" s="411" t="str">
        <x:v>Supports RViz Observability and removes a documented project limitation.</x:v>
      </x:c>
      <x:c r="F60" s="411" t="str">
        <x:v>High</x:v>
      </x:c>
      <x:c r="G60" s="411" t="str">
        <x:v>Test</x:v>
      </x:c>
      <x:c r="H60" s="411" t="str">
        <x:v>Nominal and negative tests pass; behavior is documented and reproducible.</x:v>
      </x:c>
      <x:c r="I60" s="411" t="str">
        <x:v>Draft</x:v>
      </x:c>
      <x:c r="J60" s="411" t="str">
        <x:v>F-RVIZ-002</x:v>
      </x:c>
      <x:c r="K60" s="464" t="n">
        <x:f>COUNTIF(Test_Cases!$E$5:$E$1000,A60)</x:f>
        <x:v>1</x:v>
      </x:c>
      <x:c r="L60" s="464" t="n">
        <x:f>COUNTIFS(Test_Cases!$E$5:$E$1000,A60,Test_Cases!$L$5:$L$1000,"Passed")</x:f>
        <x:v>0</x:v>
      </x:c>
      <x:c r="M60" s="414" t="n">
        <x:f>IF(K60=0,0,L60/K60)</x:f>
        <x:v>0</x:v>
      </x:c>
      <x:c r="N60" s="411" t="str"/>
      <x:c r="O60" s="411" t="str">
        <x:v>Devansh</x:v>
      </x:c>
      <x:c r="P60" s="411" t="str"/>
      <x:c r="Q60" s="411" t="str">
        <x:v>req_056</x:v>
      </x:c>
      <x:c r="R60" s="373"/>
      <x:c r="S60" s="373"/>
      <x:c r="T60" s="373"/>
      <x:c r="U60" s="373"/>
      <x:c r="V60" s="373"/>
      <x:c r="W60" s="373"/>
      <x:c r="X60" s="373"/>
      <x:c r="Y60" s="373"/>
      <x:c r="Z60" s="373"/>
    </x:row>
    <x:row r="61">
      <x:c r="A61" s="411" t="str">
        <x:v>REQ-057</x:v>
      </x:c>
      <x:c r="B61" s="411" t="str">
        <x:v>v0.1.7</x:v>
      </x:c>
      <x:c r="C61" s="411" t="str">
        <x:v>RViz</x:v>
      </x:c>
      <x:c r="D61" s="411" t="str">
        <x:v>The platform shall create a saved RViz configuration for costmaps, plans, trajectories, and goals.</x:v>
      </x:c>
      <x:c r="E61" s="411" t="str">
        <x:v>Supports RViz Observability and removes a documented project limitation.</x:v>
      </x:c>
      <x:c r="F61" s="411" t="str">
        <x:v>High</x:v>
      </x:c>
      <x:c r="G61" s="411" t="str">
        <x:v>Test</x:v>
      </x:c>
      <x:c r="H61" s="411" t="str">
        <x:v>Nominal and negative tests pass; behavior is documented and reproducible.</x:v>
      </x:c>
      <x:c r="I61" s="411" t="str">
        <x:v>Draft</x:v>
      </x:c>
      <x:c r="J61" s="411" t="str">
        <x:v>F-RVIZ-003</x:v>
      </x:c>
      <x:c r="K61" s="464" t="n">
        <x:f>COUNTIF(Test_Cases!$E$5:$E$1000,A61)</x:f>
        <x:v>1</x:v>
      </x:c>
      <x:c r="L61" s="464" t="n">
        <x:f>COUNTIFS(Test_Cases!$E$5:$E$1000,A61,Test_Cases!$L$5:$L$1000,"Passed")</x:f>
        <x:v>0</x:v>
      </x:c>
      <x:c r="M61" s="414" t="n">
        <x:f>IF(K61=0,0,L61/K61)</x:f>
        <x:v>0</x:v>
      </x:c>
      <x:c r="N61" s="411" t="str"/>
      <x:c r="O61" s="411" t="str">
        <x:v>Devansh</x:v>
      </x:c>
      <x:c r="P61" s="411" t="str"/>
      <x:c r="Q61" s="411" t="str">
        <x:v>req_057</x:v>
      </x:c>
      <x:c r="R61" s="373"/>
      <x:c r="S61" s="373"/>
      <x:c r="T61" s="373"/>
      <x:c r="U61" s="373"/>
      <x:c r="V61" s="373"/>
      <x:c r="W61" s="373"/>
      <x:c r="X61" s="373"/>
      <x:c r="Y61" s="373"/>
      <x:c r="Z61" s="373"/>
    </x:row>
    <x:row r="62">
      <x:c r="A62" s="411" t="str">
        <x:v>REQ-058</x:v>
      </x:c>
      <x:c r="B62" s="411" t="str">
        <x:v>v0.1.7</x:v>
      </x:c>
      <x:c r="C62" s="411" t="str">
        <x:v>RViz</x:v>
      </x:c>
      <x:c r="D62" s="411" t="str">
        <x:v>The platform shall show raw odometry, fused odometry, AMCL, and ground-truth paths.</x:v>
      </x:c>
      <x:c r="E62" s="411" t="str">
        <x:v>Supports RViz Observability and removes a documented project limitation.</x:v>
      </x:c>
      <x:c r="F62" s="411" t="str">
        <x:v>Medium</x:v>
      </x:c>
      <x:c r="G62" s="411" t="str">
        <x:v>Test</x:v>
      </x:c>
      <x:c r="H62" s="411" t="str">
        <x:v>Capability is usable, documented, and covered by at least one verification test.</x:v>
      </x:c>
      <x:c r="I62" s="411" t="str">
        <x:v>Draft</x:v>
      </x:c>
      <x:c r="J62" s="411" t="str">
        <x:v>F-RVIZ-004</x:v>
      </x:c>
      <x:c r="K62" s="464" t="n">
        <x:f>COUNTIF(Test_Cases!$E$5:$E$1000,A62)</x:f>
        <x:v>1</x:v>
      </x:c>
      <x:c r="L62" s="464" t="n">
        <x:f>COUNTIFS(Test_Cases!$E$5:$E$1000,A62,Test_Cases!$L$5:$L$1000,"Passed")</x:f>
        <x:v>0</x:v>
      </x:c>
      <x:c r="M62" s="414" t="n">
        <x:f>IF(K62=0,0,L62/K62)</x:f>
        <x:v>0</x:v>
      </x:c>
      <x:c r="N62" s="411" t="str"/>
      <x:c r="O62" s="411" t="str">
        <x:v>Devansh</x:v>
      </x:c>
      <x:c r="P62" s="411" t="str"/>
      <x:c r="Q62" s="411" t="str">
        <x:v>req_058</x:v>
      </x:c>
      <x:c r="R62" s="373"/>
      <x:c r="S62" s="373"/>
      <x:c r="T62" s="373"/>
      <x:c r="U62" s="373"/>
      <x:c r="V62" s="373"/>
      <x:c r="W62" s="373"/>
      <x:c r="X62" s="373"/>
      <x:c r="Y62" s="373"/>
      <x:c r="Z62" s="373"/>
    </x:row>
    <x:row r="63">
      <x:c r="A63" s="411" t="str">
        <x:v>REQ-059</x:v>
      </x:c>
      <x:c r="B63" s="411" t="str">
        <x:v>v0.1.7</x:v>
      </x:c>
      <x:c r="C63" s="411" t="str">
        <x:v>Documentation</x:v>
      </x:c>
      <x:c r="D63" s="411" t="str">
        <x:v>The platform shall document frames, topics, expected displays, and common failure signatures.</x:v>
      </x:c>
      <x:c r="E63" s="411" t="str">
        <x:v>Supports RViz Observability and removes a documented project limitation.</x:v>
      </x:c>
      <x:c r="F63" s="411" t="str">
        <x:v>Medium</x:v>
      </x:c>
      <x:c r="G63" s="411" t="str">
        <x:v>Test</x:v>
      </x:c>
      <x:c r="H63" s="411" t="str">
        <x:v>Capability is usable, documented, and covered by at least one verification test.</x:v>
      </x:c>
      <x:c r="I63" s="411" t="str">
        <x:v>Draft</x:v>
      </x:c>
      <x:c r="J63" s="411" t="str">
        <x:v>F-RVIZ-005</x:v>
      </x:c>
      <x:c r="K63" s="464" t="n">
        <x:f>COUNTIF(Test_Cases!$E$5:$E$1000,A63)</x:f>
        <x:v>1</x:v>
      </x:c>
      <x:c r="L63" s="464" t="n">
        <x:f>COUNTIFS(Test_Cases!$E$5:$E$1000,A63,Test_Cases!$L$5:$L$1000,"Passed")</x:f>
        <x:v>0</x:v>
      </x:c>
      <x:c r="M63" s="414" t="n">
        <x:f>IF(K63=0,0,L63/K63)</x:f>
        <x:v>0</x:v>
      </x:c>
      <x:c r="N63" s="411" t="str"/>
      <x:c r="O63" s="411" t="str">
        <x:v>Devansh</x:v>
      </x:c>
      <x:c r="P63" s="411" t="str"/>
      <x:c r="Q63" s="411" t="str">
        <x:v>req_059</x:v>
      </x:c>
      <x:c r="R63" s="373"/>
      <x:c r="S63" s="373"/>
      <x:c r="T63" s="373"/>
      <x:c r="U63" s="373"/>
      <x:c r="V63" s="373"/>
      <x:c r="W63" s="373"/>
      <x:c r="X63" s="373"/>
      <x:c r="Y63" s="373"/>
      <x:c r="Z63" s="373"/>
    </x:row>
    <x:row r="64">
      <x:c r="A64" s="411" t="str">
        <x:v>REQ-060</x:v>
      </x:c>
      <x:c r="B64" s="411" t="str">
        <x:v>v0.1.8</x:v>
      </x:c>
      <x:c r="C64" s="411" t="str">
        <x:v>SLAM</x:v>
      </x:c>
      <x:c r="D64" s="411" t="str">
        <x:v>The platform shall create fixed world, start pose, trajectory, seed, and run procedure.</x:v>
      </x:c>
      <x:c r="E64" s="411" t="str">
        <x:v>Supports SLAM Reliability Baseline and removes a documented project limitation.</x:v>
      </x:c>
      <x:c r="F64" s="411" t="str">
        <x:v>Critical</x:v>
      </x:c>
      <x:c r="G64" s="411" t="str">
        <x:v>Test</x:v>
      </x:c>
      <x:c r="H64" s="411" t="str">
        <x:v>Acceptance test passes; failure path is verified; regression suite remains green.</x:v>
      </x:c>
      <x:c r="I64" s="411" t="str">
        <x:v>Draft</x:v>
      </x:c>
      <x:c r="J64" s="411" t="str">
        <x:v>F-SLAM-001</x:v>
      </x:c>
      <x:c r="K64" s="464" t="n">
        <x:f>COUNTIF(Test_Cases!$E$5:$E$1000,A64)</x:f>
        <x:v>2</x:v>
      </x:c>
      <x:c r="L64" s="464" t="n">
        <x:f>COUNTIFS(Test_Cases!$E$5:$E$1000,A64,Test_Cases!$L$5:$L$1000,"Passed")</x:f>
        <x:v>0</x:v>
      </x:c>
      <x:c r="M64" s="414" t="n">
        <x:f>IF(K64=0,0,L64/K64)</x:f>
        <x:v>0</x:v>
      </x:c>
      <x:c r="N64" s="411" t="str"/>
      <x:c r="O64" s="411" t="str">
        <x:v>Devansh</x:v>
      </x:c>
      <x:c r="P64" s="411" t="str"/>
      <x:c r="Q64" s="411" t="str">
        <x:v>req_060</x:v>
      </x:c>
      <x:c r="R64" s="373"/>
      <x:c r="S64" s="373"/>
      <x:c r="T64" s="373"/>
      <x:c r="U64" s="373"/>
      <x:c r="V64" s="373"/>
      <x:c r="W64" s="373"/>
      <x:c r="X64" s="373"/>
      <x:c r="Y64" s="373"/>
      <x:c r="Z64" s="373"/>
    </x:row>
    <x:row r="65">
      <x:c r="A65" s="411" t="str">
        <x:v>REQ-061</x:v>
      </x:c>
      <x:c r="B65" s="411" t="str">
        <x:v>v0.1.8</x:v>
      </x:c>
      <x:c r="C65" s="411" t="str">
        <x:v>SLAM</x:v>
      </x:c>
      <x:c r="D65" s="411" t="str">
        <x:v>The platform shall track hypothesis, baseline, candidate, result, and decision.</x:v>
      </x:c>
      <x:c r="E65" s="411" t="str">
        <x:v>Supports SLAM Reliability Baseline and removes a documented project limitation.</x:v>
      </x:c>
      <x:c r="F65" s="411" t="str">
        <x:v>High</x:v>
      </x:c>
      <x:c r="G65" s="411" t="str">
        <x:v>Test</x:v>
      </x:c>
      <x:c r="H65" s="411" t="str">
        <x:v>Nominal and negative tests pass; behavior is documented and reproducible.</x:v>
      </x:c>
      <x:c r="I65" s="411" t="str">
        <x:v>Draft</x:v>
      </x:c>
      <x:c r="J65" s="411" t="str">
        <x:v>F-SLAM-002</x:v>
      </x:c>
      <x:c r="K65" s="464" t="n">
        <x:f>COUNTIF(Test_Cases!$E$5:$E$1000,A65)</x:f>
        <x:v>1</x:v>
      </x:c>
      <x:c r="L65" s="464" t="n">
        <x:f>COUNTIFS(Test_Cases!$E$5:$E$1000,A65,Test_Cases!$L$5:$L$1000,"Passed")</x:f>
        <x:v>0</x:v>
      </x:c>
      <x:c r="M65" s="414" t="n">
        <x:f>IF(K65=0,0,L65/K65)</x:f>
        <x:v>0</x:v>
      </x:c>
      <x:c r="N65" s="411" t="str"/>
      <x:c r="O65" s="411" t="str">
        <x:v>Devansh</x:v>
      </x:c>
      <x:c r="P65" s="411" t="str"/>
      <x:c r="Q65" s="411" t="str">
        <x:v>req_061</x:v>
      </x:c>
      <x:c r="R65" s="373"/>
      <x:c r="S65" s="373"/>
      <x:c r="T65" s="373"/>
      <x:c r="U65" s="373"/>
      <x:c r="V65" s="373"/>
      <x:c r="W65" s="373"/>
      <x:c r="X65" s="373"/>
      <x:c r="Y65" s="373"/>
      <x:c r="Z65" s="373"/>
    </x:row>
    <x:row r="66">
      <x:c r="A66" s="411" t="str">
        <x:v>REQ-062</x:v>
      </x:c>
      <x:c r="B66" s="411" t="str">
        <x:v>v0.1.8</x:v>
      </x:c>
      <x:c r="C66" s="411" t="str">
        <x:v>Metrics</x:v>
      </x:c>
      <x:c r="D66" s="411" t="str">
        <x:v>The platform shall measure completeness, duplicate walls, drift, loop closure, and consistency.</x:v>
      </x:c>
      <x:c r="E66" s="411" t="str">
        <x:v>Supports SLAM Reliability Baseline and removes a documented project limitation.</x:v>
      </x:c>
      <x:c r="F66" s="411" t="str">
        <x:v>Critical</x:v>
      </x:c>
      <x:c r="G66" s="411" t="str">
        <x:v>Test</x:v>
      </x:c>
      <x:c r="H66" s="411" t="str">
        <x:v>Acceptance test passes; failure path is verified; regression suite remains green.</x:v>
      </x:c>
      <x:c r="I66" s="411" t="str">
        <x:v>Draft</x:v>
      </x:c>
      <x:c r="J66" s="411" t="str">
        <x:v>F-SLAM-003</x:v>
      </x:c>
      <x:c r="K66" s="464" t="n">
        <x:f>COUNTIF(Test_Cases!$E$5:$E$1000,A66)</x:f>
        <x:v>2</x:v>
      </x:c>
      <x:c r="L66" s="464" t="n">
        <x:f>COUNTIFS(Test_Cases!$E$5:$E$1000,A66,Test_Cases!$L$5:$L$1000,"Passed")</x:f>
        <x:v>0</x:v>
      </x:c>
      <x:c r="M66" s="414" t="n">
        <x:f>IF(K66=0,0,L66/K66)</x:f>
        <x:v>0</x:v>
      </x:c>
      <x:c r="N66" s="411" t="str"/>
      <x:c r="O66" s="411" t="str">
        <x:v>Devansh</x:v>
      </x:c>
      <x:c r="P66" s="411" t="str"/>
      <x:c r="Q66" s="411" t="str">
        <x:v>req_062</x:v>
      </x:c>
      <x:c r="R66" s="373"/>
      <x:c r="S66" s="373"/>
      <x:c r="T66" s="373"/>
      <x:c r="U66" s="373"/>
      <x:c r="V66" s="373"/>
      <x:c r="W66" s="373"/>
      <x:c r="X66" s="373"/>
      <x:c r="Y66" s="373"/>
      <x:c r="Z66" s="373"/>
    </x:row>
    <x:row r="67">
      <x:c r="A67" s="411" t="str">
        <x:v>REQ-063</x:v>
      </x:c>
      <x:c r="B67" s="411" t="str">
        <x:v>v0.1.8</x:v>
      </x:c>
      <x:c r="C67" s="411" t="str">
        <x:v>SLAM</x:v>
      </x:c>
      <x:c r="D67" s="411" t="str">
        <x:v>The platform shall tune scan ranges, throttling, intervals, and transform timing.</x:v>
      </x:c>
      <x:c r="E67" s="411" t="str">
        <x:v>Supports SLAM Reliability Baseline and removes a documented project limitation.</x:v>
      </x:c>
      <x:c r="F67" s="411" t="str">
        <x:v>High</x:v>
      </x:c>
      <x:c r="G67" s="411" t="str">
        <x:v>Test</x:v>
      </x:c>
      <x:c r="H67" s="411" t="str">
        <x:v>Nominal and negative tests pass; behavior is documented and reproducible.</x:v>
      </x:c>
      <x:c r="I67" s="411" t="str">
        <x:v>Draft</x:v>
      </x:c>
      <x:c r="J67" s="411" t="str">
        <x:v>F-SLAM-004</x:v>
      </x:c>
      <x:c r="K67" s="464" t="n">
        <x:f>COUNTIF(Test_Cases!$E$5:$E$1000,A67)</x:f>
        <x:v>1</x:v>
      </x:c>
      <x:c r="L67" s="464" t="n">
        <x:f>COUNTIFS(Test_Cases!$E$5:$E$1000,A67,Test_Cases!$L$5:$L$1000,"Passed")</x:f>
        <x:v>0</x:v>
      </x:c>
      <x:c r="M67" s="414" t="n">
        <x:f>IF(K67=0,0,L67/K67)</x:f>
        <x:v>0</x:v>
      </x:c>
      <x:c r="N67" s="411" t="str"/>
      <x:c r="O67" s="411" t="str">
        <x:v>Devansh</x:v>
      </x:c>
      <x:c r="P67" s="411" t="str"/>
      <x:c r="Q67" s="411" t="str">
        <x:v>req_063</x:v>
      </x:c>
      <x:c r="R67" s="373"/>
      <x:c r="S67" s="373"/>
      <x:c r="T67" s="373"/>
      <x:c r="U67" s="373"/>
      <x:c r="V67" s="373"/>
      <x:c r="W67" s="373"/>
      <x:c r="X67" s="373"/>
      <x:c r="Y67" s="373"/>
      <x:c r="Z67" s="373"/>
    </x:row>
    <x:row r="68">
      <x:c r="A68" s="411" t="str">
        <x:v>REQ-064</x:v>
      </x:c>
      <x:c r="B68" s="411" t="str">
        <x:v>v0.1.8</x:v>
      </x:c>
      <x:c r="C68" s="411" t="str">
        <x:v>SLAM</x:v>
      </x:c>
      <x:c r="D68" s="411" t="str">
        <x:v>The platform shall tune travel-distance, heading, and update thresholds.</x:v>
      </x:c>
      <x:c r="E68" s="411" t="str">
        <x:v>Supports SLAM Reliability Baseline and removes a documented project limitation.</x:v>
      </x:c>
      <x:c r="F68" s="411" t="str">
        <x:v>High</x:v>
      </x:c>
      <x:c r="G68" s="411" t="str">
        <x:v>Test</x:v>
      </x:c>
      <x:c r="H68" s="411" t="str">
        <x:v>Nominal and negative tests pass; behavior is documented and reproducible.</x:v>
      </x:c>
      <x:c r="I68" s="411" t="str">
        <x:v>Draft</x:v>
      </x:c>
      <x:c r="J68" s="411" t="str">
        <x:v>F-SLAM-005</x:v>
      </x:c>
      <x:c r="K68" s="464" t="n">
        <x:f>COUNTIF(Test_Cases!$E$5:$E$1000,A68)</x:f>
        <x:v>1</x:v>
      </x:c>
      <x:c r="L68" s="464" t="n">
        <x:f>COUNTIFS(Test_Cases!$E$5:$E$1000,A68,Test_Cases!$L$5:$L$1000,"Passed")</x:f>
        <x:v>0</x:v>
      </x:c>
      <x:c r="M68" s="414" t="n">
        <x:f>IF(K68=0,0,L68/K68)</x:f>
        <x:v>0</x:v>
      </x:c>
      <x:c r="N68" s="411" t="str"/>
      <x:c r="O68" s="411" t="str">
        <x:v>Devansh</x:v>
      </x:c>
      <x:c r="P68" s="411" t="str"/>
      <x:c r="Q68" s="411" t="str">
        <x:v>req_064</x:v>
      </x:c>
      <x:c r="R68" s="373"/>
      <x:c r="S68" s="373"/>
      <x:c r="T68" s="373"/>
      <x:c r="U68" s="373"/>
      <x:c r="V68" s="373"/>
      <x:c r="W68" s="373"/>
      <x:c r="X68" s="373"/>
      <x:c r="Y68" s="373"/>
      <x:c r="Z68" s="373"/>
    </x:row>
    <x:row r="69">
      <x:c r="A69" s="411" t="str">
        <x:v>REQ-065</x:v>
      </x:c>
      <x:c r="B69" s="411" t="str">
        <x:v>v0.1.8</x:v>
      </x:c>
      <x:c r="C69" s="411" t="str">
        <x:v>SLAM</x:v>
      </x:c>
      <x:c r="D69" s="411" t="str">
        <x:v>The platform shall tune correlation, penalties, and acceptance thresholds.</x:v>
      </x:c>
      <x:c r="E69" s="411" t="str">
        <x:v>Supports SLAM Reliability Baseline and removes a documented project limitation.</x:v>
      </x:c>
      <x:c r="F69" s="411" t="str">
        <x:v>High</x:v>
      </x:c>
      <x:c r="G69" s="411" t="str">
        <x:v>Test</x:v>
      </x:c>
      <x:c r="H69" s="411" t="str">
        <x:v>Nominal and negative tests pass; behavior is documented and reproducible.</x:v>
      </x:c>
      <x:c r="I69" s="411" t="str">
        <x:v>Draft</x:v>
      </x:c>
      <x:c r="J69" s="411" t="str">
        <x:v>F-SLAM-006</x:v>
      </x:c>
      <x:c r="K69" s="464" t="n">
        <x:f>COUNTIF(Test_Cases!$E$5:$E$1000,A69)</x:f>
        <x:v>1</x:v>
      </x:c>
      <x:c r="L69" s="464" t="n">
        <x:f>COUNTIFS(Test_Cases!$E$5:$E$1000,A69,Test_Cases!$L$5:$L$1000,"Passed")</x:f>
        <x:v>0</x:v>
      </x:c>
      <x:c r="M69" s="414" t="n">
        <x:f>IF(K69=0,0,L69/K69)</x:f>
        <x:v>0</x:v>
      </x:c>
      <x:c r="N69" s="411" t="str"/>
      <x:c r="O69" s="411" t="str">
        <x:v>Devansh</x:v>
      </x:c>
      <x:c r="P69" s="411" t="str"/>
      <x:c r="Q69" s="411" t="str">
        <x:v>req_065</x:v>
      </x:c>
      <x:c r="R69" s="373"/>
      <x:c r="S69" s="373"/>
      <x:c r="T69" s="373"/>
      <x:c r="U69" s="373"/>
      <x:c r="V69" s="373"/>
      <x:c r="W69" s="373"/>
      <x:c r="X69" s="373"/>
      <x:c r="Y69" s="373"/>
      <x:c r="Z69" s="373"/>
    </x:row>
    <x:row r="70">
      <x:c r="A70" s="411" t="str">
        <x:v>REQ-066</x:v>
      </x:c>
      <x:c r="B70" s="411" t="str">
        <x:v>v0.1.8</x:v>
      </x:c>
      <x:c r="C70" s="411" t="str">
        <x:v>Fault</x:v>
      </x:c>
      <x:c r="D70" s="411" t="str">
        <x:v>The platform shall test dropout, noise, wheel slip, fast rotation, and corridor ambiguity.</x:v>
      </x:c>
      <x:c r="E70" s="411" t="str">
        <x:v>Supports SLAM Reliability Baseline and removes a documented project limitation.</x:v>
      </x:c>
      <x:c r="F70" s="411" t="str">
        <x:v>Critical</x:v>
      </x:c>
      <x:c r="G70" s="411" t="str">
        <x:v>Test</x:v>
      </x:c>
      <x:c r="H70" s="411" t="str">
        <x:v>Acceptance test passes; failure path is verified; regression suite remains green.</x:v>
      </x:c>
      <x:c r="I70" s="411" t="str">
        <x:v>Draft</x:v>
      </x:c>
      <x:c r="J70" s="411" t="str">
        <x:v>F-SLAM-007</x:v>
      </x:c>
      <x:c r="K70" s="464" t="n">
        <x:f>COUNTIF(Test_Cases!$E$5:$E$1000,A70)</x:f>
        <x:v>2</x:v>
      </x:c>
      <x:c r="L70" s="464" t="n">
        <x:f>COUNTIFS(Test_Cases!$E$5:$E$1000,A70,Test_Cases!$L$5:$L$1000,"Passed")</x:f>
        <x:v>0</x:v>
      </x:c>
      <x:c r="M70" s="414" t="n">
        <x:f>IF(K70=0,0,L70/K70)</x:f>
        <x:v>0</x:v>
      </x:c>
      <x:c r="N70" s="411" t="str"/>
      <x:c r="O70" s="411" t="str">
        <x:v>Devansh</x:v>
      </x:c>
      <x:c r="P70" s="411" t="str"/>
      <x:c r="Q70" s="411" t="str">
        <x:v>req_066</x:v>
      </x:c>
      <x:c r="R70" s="373"/>
      <x:c r="S70" s="373"/>
      <x:c r="T70" s="373"/>
      <x:c r="U70" s="373"/>
      <x:c r="V70" s="373"/>
      <x:c r="W70" s="373"/>
      <x:c r="X70" s="373"/>
      <x:c r="Y70" s="373"/>
      <x:c r="Z70" s="373"/>
    </x:row>
    <x:row r="71">
      <x:c r="A71" s="411" t="str">
        <x:v>REQ-067</x:v>
      </x:c>
      <x:c r="B71" s="411" t="str">
        <x:v>v0.1.8</x:v>
      </x:c>
      <x:c r="C71" s="411" t="str">
        <x:v>Release</x:v>
      </x:c>
      <x:c r="D71" s="411" t="str">
        <x:v>The platform shall lock and document the best evidence-backed mapping profile.</x:v>
      </x:c>
      <x:c r="E71" s="411" t="str">
        <x:v>Supports SLAM Reliability Baseline and removes a documented project limitation.</x:v>
      </x:c>
      <x:c r="F71" s="411" t="str">
        <x:v>Critical</x:v>
      </x:c>
      <x:c r="G71" s="411" t="str">
        <x:v>Test</x:v>
      </x:c>
      <x:c r="H71" s="411" t="str">
        <x:v>Acceptance test passes; failure path is verified; regression suite remains green.</x:v>
      </x:c>
      <x:c r="I71" s="411" t="str">
        <x:v>Draft</x:v>
      </x:c>
      <x:c r="J71" s="411" t="str">
        <x:v>F-SLAM-008</x:v>
      </x:c>
      <x:c r="K71" s="464" t="n">
        <x:f>COUNTIF(Test_Cases!$E$5:$E$1000,A71)</x:f>
        <x:v>2</x:v>
      </x:c>
      <x:c r="L71" s="464" t="n">
        <x:f>COUNTIFS(Test_Cases!$E$5:$E$1000,A71,Test_Cases!$L$5:$L$1000,"Passed")</x:f>
        <x:v>0</x:v>
      </x:c>
      <x:c r="M71" s="414" t="n">
        <x:f>IF(K71=0,0,L71/K71)</x:f>
        <x:v>0</x:v>
      </x:c>
      <x:c r="N71" s="411" t="str"/>
      <x:c r="O71" s="411" t="str">
        <x:v>Devansh</x:v>
      </x:c>
      <x:c r="P71" s="411" t="str"/>
      <x:c r="Q71" s="411" t="str">
        <x:v>req_067</x:v>
      </x:c>
      <x:c r="R71" s="373"/>
      <x:c r="S71" s="373"/>
      <x:c r="T71" s="373"/>
      <x:c r="U71" s="373"/>
      <x:c r="V71" s="373"/>
      <x:c r="W71" s="373"/>
      <x:c r="X71" s="373"/>
      <x:c r="Y71" s="373"/>
      <x:c r="Z71" s="373"/>
    </x:row>
    <x:row r="72">
      <x:c r="A72" s="411" t="str">
        <x:v>REQ-068</x:v>
      </x:c>
      <x:c r="B72" s="411" t="str">
        <x:v>v0.1.9</x:v>
      </x:c>
      <x:c r="C72" s="411" t="str">
        <x:v>Localization</x:v>
      </x:c>
      <x:c r="D72" s="411" t="str">
        <x:v>The platform shall compare AMCL pose and covariance against simulator ground truth.</x:v>
      </x:c>
      <x:c r="E72" s="411" t="str">
        <x:v>Supports AMCL Reliability Baseline and removes a documented project limitation.</x:v>
      </x:c>
      <x:c r="F72" s="411" t="str">
        <x:v>Critical</x:v>
      </x:c>
      <x:c r="G72" s="411" t="str">
        <x:v>Test</x:v>
      </x:c>
      <x:c r="H72" s="411" t="str">
        <x:v>Acceptance test passes; failure path is verified; regression suite remains green.</x:v>
      </x:c>
      <x:c r="I72" s="411" t="str">
        <x:v>Draft</x:v>
      </x:c>
      <x:c r="J72" s="411" t="str">
        <x:v>F-AMCL-001</x:v>
      </x:c>
      <x:c r="K72" s="464" t="n">
        <x:f>COUNTIF(Test_Cases!$E$5:$E$1000,A72)</x:f>
        <x:v>2</x:v>
      </x:c>
      <x:c r="L72" s="464" t="n">
        <x:f>COUNTIFS(Test_Cases!$E$5:$E$1000,A72,Test_Cases!$L$5:$L$1000,"Passed")</x:f>
        <x:v>0</x:v>
      </x:c>
      <x:c r="M72" s="414" t="n">
        <x:f>IF(K72=0,0,L72/K72)</x:f>
        <x:v>0</x:v>
      </x:c>
      <x:c r="N72" s="411" t="str"/>
      <x:c r="O72" s="411" t="str">
        <x:v>Devansh</x:v>
      </x:c>
      <x:c r="P72" s="411" t="str"/>
      <x:c r="Q72" s="411" t="str">
        <x:v>req_068</x:v>
      </x:c>
      <x:c r="R72" s="373"/>
      <x:c r="S72" s="373"/>
      <x:c r="T72" s="373"/>
      <x:c r="U72" s="373"/>
      <x:c r="V72" s="373"/>
      <x:c r="W72" s="373"/>
      <x:c r="X72" s="373"/>
      <x:c r="Y72" s="373"/>
      <x:c r="Z72" s="373"/>
    </x:row>
    <x:row r="73">
      <x:c r="A73" s="411" t="str">
        <x:v>REQ-069</x:v>
      </x:c>
      <x:c r="B73" s="411" t="str">
        <x:v>v0.1.9</x:v>
      </x:c>
      <x:c r="C73" s="411" t="str">
        <x:v>Localization</x:v>
      </x:c>
      <x:c r="D73" s="411" t="str">
        <x:v>The platform shall validate pose frame, map bounds, covariance, timing, and robot motion state.</x:v>
      </x:c>
      <x:c r="E73" s="411" t="str">
        <x:v>Supports AMCL Reliability Baseline and removes a documented project limitation.</x:v>
      </x:c>
      <x:c r="F73" s="411" t="str">
        <x:v>High</x:v>
      </x:c>
      <x:c r="G73" s="411" t="str">
        <x:v>Test</x:v>
      </x:c>
      <x:c r="H73" s="411" t="str">
        <x:v>Nominal and negative tests pass; behavior is documented and reproducible.</x:v>
      </x:c>
      <x:c r="I73" s="411" t="str">
        <x:v>Draft</x:v>
      </x:c>
      <x:c r="J73" s="411" t="str">
        <x:v>F-AMCL-002</x:v>
      </x:c>
      <x:c r="K73" s="464" t="n">
        <x:f>COUNTIF(Test_Cases!$E$5:$E$1000,A73)</x:f>
        <x:v>1</x:v>
      </x:c>
      <x:c r="L73" s="464" t="n">
        <x:f>COUNTIFS(Test_Cases!$E$5:$E$1000,A73,Test_Cases!$L$5:$L$1000,"Passed")</x:f>
        <x:v>0</x:v>
      </x:c>
      <x:c r="M73" s="414" t="n">
        <x:f>IF(K73=0,0,L73/K73)</x:f>
        <x:v>0</x:v>
      </x:c>
      <x:c r="N73" s="411" t="str"/>
      <x:c r="O73" s="411" t="str">
        <x:v>Devansh</x:v>
      </x:c>
      <x:c r="P73" s="411" t="str"/>
      <x:c r="Q73" s="411" t="str">
        <x:v>req_069</x:v>
      </x:c>
      <x:c r="R73" s="373"/>
      <x:c r="S73" s="373"/>
      <x:c r="T73" s="373"/>
      <x:c r="U73" s="373"/>
      <x:c r="V73" s="373"/>
      <x:c r="W73" s="373"/>
      <x:c r="X73" s="373"/>
      <x:c r="Y73" s="373"/>
      <x:c r="Z73" s="373"/>
    </x:row>
    <x:row r="74">
      <x:c r="A74" s="411" t="str">
        <x:v>REQ-070</x:v>
      </x:c>
      <x:c r="B74" s="411" t="str">
        <x:v>v0.1.9</x:v>
      </x:c>
      <x:c r="C74" s="411" t="str">
        <x:v>Metrics</x:v>
      </x:c>
      <x:c r="D74" s="411" t="str">
        <x:v>The platform shall measure convergence time, recovery time, RMSE, and transient error.</x:v>
      </x:c>
      <x:c r="E74" s="411" t="str">
        <x:v>Supports AMCL Reliability Baseline and removes a documented project limitation.</x:v>
      </x:c>
      <x:c r="F74" s="411" t="str">
        <x:v>Critical</x:v>
      </x:c>
      <x:c r="G74" s="411" t="str">
        <x:v>Test</x:v>
      </x:c>
      <x:c r="H74" s="411" t="str">
        <x:v>Acceptance test passes; failure path is verified; regression suite remains green.</x:v>
      </x:c>
      <x:c r="I74" s="411" t="str">
        <x:v>Draft</x:v>
      </x:c>
      <x:c r="J74" s="411" t="str">
        <x:v>F-AMCL-003</x:v>
      </x:c>
      <x:c r="K74" s="464" t="n">
        <x:f>COUNTIF(Test_Cases!$E$5:$E$1000,A74)</x:f>
        <x:v>2</x:v>
      </x:c>
      <x:c r="L74" s="464" t="n">
        <x:f>COUNTIFS(Test_Cases!$E$5:$E$1000,A74,Test_Cases!$L$5:$L$1000,"Passed")</x:f>
        <x:v>0</x:v>
      </x:c>
      <x:c r="M74" s="414" t="n">
        <x:f>IF(K74=0,0,L74/K74)</x:f>
        <x:v>0</x:v>
      </x:c>
      <x:c r="N74" s="411" t="str"/>
      <x:c r="O74" s="411" t="str">
        <x:v>Devansh</x:v>
      </x:c>
      <x:c r="P74" s="411" t="str"/>
      <x:c r="Q74" s="411" t="str">
        <x:v>req_070</x:v>
      </x:c>
      <x:c r="R74" s="373"/>
      <x:c r="S74" s="373"/>
      <x:c r="T74" s="373"/>
      <x:c r="U74" s="373"/>
      <x:c r="V74" s="373"/>
      <x:c r="W74" s="373"/>
      <x:c r="X74" s="373"/>
      <x:c r="Y74" s="373"/>
      <x:c r="Z74" s="373"/>
    </x:row>
    <x:row r="75">
      <x:c r="A75" s="411" t="str">
        <x:v>REQ-071</x:v>
      </x:c>
      <x:c r="B75" s="411" t="str">
        <x:v>v0.1.9</x:v>
      </x:c>
      <x:c r="C75" s="411" t="str">
        <x:v>Health</x:v>
      </x:c>
      <x:c r="D75" s="411" t="str">
        <x:v>The platform shall base readiness on pose freshness, covariance, transform, and error thresholds.</x:v>
      </x:c>
      <x:c r="E75" s="411" t="str">
        <x:v>Supports AMCL Reliability Baseline and removes a documented project limitation.</x:v>
      </x:c>
      <x:c r="F75" s="411" t="str">
        <x:v>Critical</x:v>
      </x:c>
      <x:c r="G75" s="411" t="str">
        <x:v>Test</x:v>
      </x:c>
      <x:c r="H75" s="411" t="str">
        <x:v>Acceptance test passes; failure path is verified; regression suite remains green.</x:v>
      </x:c>
      <x:c r="I75" s="411" t="str">
        <x:v>Draft</x:v>
      </x:c>
      <x:c r="J75" s="411" t="str">
        <x:v>F-AMCL-004</x:v>
      </x:c>
      <x:c r="K75" s="464" t="n">
        <x:f>COUNTIF(Test_Cases!$E$5:$E$1000,A75)</x:f>
        <x:v>2</x:v>
      </x:c>
      <x:c r="L75" s="464" t="n">
        <x:f>COUNTIFS(Test_Cases!$E$5:$E$1000,A75,Test_Cases!$L$5:$L$1000,"Passed")</x:f>
        <x:v>0</x:v>
      </x:c>
      <x:c r="M75" s="414" t="n">
        <x:f>IF(K75=0,0,L75/K75)</x:f>
        <x:v>0</x:v>
      </x:c>
      <x:c r="N75" s="411" t="str"/>
      <x:c r="O75" s="411" t="str">
        <x:v>Devansh</x:v>
      </x:c>
      <x:c r="P75" s="411" t="str"/>
      <x:c r="Q75" s="411" t="str">
        <x:v>req_071</x:v>
      </x:c>
      <x:c r="R75" s="373"/>
      <x:c r="S75" s="373"/>
      <x:c r="T75" s="373"/>
      <x:c r="U75" s="373"/>
      <x:c r="V75" s="373"/>
      <x:c r="W75" s="373"/>
      <x:c r="X75" s="373"/>
      <x:c r="Y75" s="373"/>
      <x:c r="Z75" s="373"/>
    </x:row>
    <x:row r="76">
      <x:c r="A76" s="411" t="str">
        <x:v>REQ-072</x:v>
      </x:c>
      <x:c r="B76" s="411" t="str">
        <x:v>v0.1.9</x:v>
      </x:c>
      <x:c r="C76" s="411" t="str">
        <x:v>Localization</x:v>
      </x:c>
      <x:c r="D76" s="411" t="str">
        <x:v>The platform shall tune particles, beams, KLD, motion alphas, likelihood, and beam skipping.</x:v>
      </x:c>
      <x:c r="E76" s="411" t="str">
        <x:v>Supports AMCL Reliability Baseline and removes a documented project limitation.</x:v>
      </x:c>
      <x:c r="F76" s="411" t="str">
        <x:v>High</x:v>
      </x:c>
      <x:c r="G76" s="411" t="str">
        <x:v>Test</x:v>
      </x:c>
      <x:c r="H76" s="411" t="str">
        <x:v>Nominal and negative tests pass; behavior is documented and reproducible.</x:v>
      </x:c>
      <x:c r="I76" s="411" t="str">
        <x:v>Draft</x:v>
      </x:c>
      <x:c r="J76" s="411" t="str">
        <x:v>F-AMCL-005</x:v>
      </x:c>
      <x:c r="K76" s="464" t="n">
        <x:f>COUNTIF(Test_Cases!$E$5:$E$1000,A76)</x:f>
        <x:v>1</x:v>
      </x:c>
      <x:c r="L76" s="464" t="n">
        <x:f>COUNTIFS(Test_Cases!$E$5:$E$1000,A76,Test_Cases!$L$5:$L$1000,"Passed")</x:f>
        <x:v>0</x:v>
      </x:c>
      <x:c r="M76" s="414" t="n">
        <x:f>IF(K76=0,0,L76/K76)</x:f>
        <x:v>0</x:v>
      </x:c>
      <x:c r="N76" s="411" t="str"/>
      <x:c r="O76" s="411" t="str">
        <x:v>Devansh</x:v>
      </x:c>
      <x:c r="P76" s="411" t="str"/>
      <x:c r="Q76" s="411" t="str">
        <x:v>req_072</x:v>
      </x:c>
      <x:c r="R76" s="373"/>
      <x:c r="S76" s="373"/>
      <x:c r="T76" s="373"/>
      <x:c r="U76" s="373"/>
      <x:c r="V76" s="373"/>
      <x:c r="W76" s="373"/>
      <x:c r="X76" s="373"/>
      <x:c r="Y76" s="373"/>
      <x:c r="Z76" s="373"/>
    </x:row>
    <x:row r="77">
      <x:c r="A77" s="411" t="str">
        <x:v>REQ-073</x:v>
      </x:c>
      <x:c r="B77" s="411" t="str">
        <x:v>v0.1.9</x:v>
      </x:c>
      <x:c r="C77" s="411" t="str">
        <x:v>Fault</x:v>
      </x:c>
      <x:c r="D77" s="411" t="str">
        <x:v>The platform shall test offsets, wrong yaw, LiDAR dropout, wheel slip, and kidnapped robot.</x:v>
      </x:c>
      <x:c r="E77" s="411" t="str">
        <x:v>Supports AMCL Reliability Baseline and removes a documented project limitation.</x:v>
      </x:c>
      <x:c r="F77" s="411" t="str">
        <x:v>Critical</x:v>
      </x:c>
      <x:c r="G77" s="411" t="str">
        <x:v>Test</x:v>
      </x:c>
      <x:c r="H77" s="411" t="str">
        <x:v>Acceptance test passes; failure path is verified; regression suite remains green.</x:v>
      </x:c>
      <x:c r="I77" s="411" t="str">
        <x:v>Draft</x:v>
      </x:c>
      <x:c r="J77" s="411" t="str">
        <x:v>F-AMCL-006</x:v>
      </x:c>
      <x:c r="K77" s="464" t="n">
        <x:f>COUNTIF(Test_Cases!$E$5:$E$1000,A77)</x:f>
        <x:v>2</x:v>
      </x:c>
      <x:c r="L77" s="464" t="n">
        <x:f>COUNTIFS(Test_Cases!$E$5:$E$1000,A77,Test_Cases!$L$5:$L$1000,"Passed")</x:f>
        <x:v>0</x:v>
      </x:c>
      <x:c r="M77" s="414" t="n">
        <x:f>IF(K77=0,0,L77/K77)</x:f>
        <x:v>0</x:v>
      </x:c>
      <x:c r="N77" s="411" t="str"/>
      <x:c r="O77" s="411" t="str">
        <x:v>Devansh</x:v>
      </x:c>
      <x:c r="P77" s="411" t="str"/>
      <x:c r="Q77" s="411" t="str">
        <x:v>req_073</x:v>
      </x:c>
      <x:c r="R77" s="373"/>
      <x:c r="S77" s="373"/>
      <x:c r="T77" s="373"/>
      <x:c r="U77" s="373"/>
      <x:c r="V77" s="373"/>
      <x:c r="W77" s="373"/>
      <x:c r="X77" s="373"/>
      <x:c r="Y77" s="373"/>
      <x:c r="Z77" s="373"/>
    </x:row>
    <x:row r="78">
      <x:c r="A78" s="411" t="str">
        <x:v>REQ-074</x:v>
      </x:c>
      <x:c r="B78" s="411" t="str">
        <x:v>v0.1.9</x:v>
      </x:c>
      <x:c r="C78" s="411" t="str">
        <x:v>Release</x:v>
      </x:c>
      <x:c r="D78" s="411" t="str">
        <x:v>The platform shall lock and document an evidence-backed localization configuration.</x:v>
      </x:c>
      <x:c r="E78" s="411" t="str">
        <x:v>Supports AMCL Reliability Baseline and removes a documented project limitation.</x:v>
      </x:c>
      <x:c r="F78" s="411" t="str">
        <x:v>Critical</x:v>
      </x:c>
      <x:c r="G78" s="411" t="str">
        <x:v>Test</x:v>
      </x:c>
      <x:c r="H78" s="411" t="str">
        <x:v>Acceptance test passes; failure path is verified; regression suite remains green.</x:v>
      </x:c>
      <x:c r="I78" s="411" t="str">
        <x:v>Draft</x:v>
      </x:c>
      <x:c r="J78" s="411" t="str">
        <x:v>F-AMCL-007</x:v>
      </x:c>
      <x:c r="K78" s="464" t="n">
        <x:f>COUNTIF(Test_Cases!$E$5:$E$1000,A78)</x:f>
        <x:v>2</x:v>
      </x:c>
      <x:c r="L78" s="464" t="n">
        <x:f>COUNTIFS(Test_Cases!$E$5:$E$1000,A78,Test_Cases!$L$5:$L$1000,"Passed")</x:f>
        <x:v>0</x:v>
      </x:c>
      <x:c r="M78" s="414" t="n">
        <x:f>IF(K78=0,0,L78/K78)</x:f>
        <x:v>0</x:v>
      </x:c>
      <x:c r="N78" s="411" t="str"/>
      <x:c r="O78" s="411" t="str">
        <x:v>Devansh</x:v>
      </x:c>
      <x:c r="P78" s="411" t="str"/>
      <x:c r="Q78" s="411" t="str">
        <x:v>req_074</x:v>
      </x:c>
      <x:c r="R78" s="373"/>
      <x:c r="S78" s="373"/>
      <x:c r="T78" s="373"/>
      <x:c r="U78" s="373"/>
      <x:c r="V78" s="373"/>
      <x:c r="W78" s="373"/>
      <x:c r="X78" s="373"/>
      <x:c r="Y78" s="373"/>
      <x:c r="Z78" s="373"/>
    </x:row>
    <x:row r="79">
      <x:c r="A79" s="411" t="str">
        <x:v>REQ-075</x:v>
      </x:c>
      <x:c r="B79" s="411" t="str">
        <x:v>v0.1.10</x:v>
      </x:c>
      <x:c r="C79" s="411" t="str">
        <x:v>Navigation</x:v>
      </x:c>
      <x:c r="D79" s="411" t="str">
        <x:v>The platform shall check planner, controller, behavior server, BT navigator, and action server.</x:v>
      </x:c>
      <x:c r="E79" s="411" t="str">
        <x:v>Supports Nav2 Hardening and removes a documented project limitation.</x:v>
      </x:c>
      <x:c r="F79" s="411" t="str">
        <x:v>Critical</x:v>
      </x:c>
      <x:c r="G79" s="411" t="str">
        <x:v>Test</x:v>
      </x:c>
      <x:c r="H79" s="411" t="str">
        <x:v>Acceptance test passes; failure path is verified; regression suite remains green.</x:v>
      </x:c>
      <x:c r="I79" s="411" t="str">
        <x:v>Draft</x:v>
      </x:c>
      <x:c r="J79" s="411" t="str">
        <x:v>F-NAV-001</x:v>
      </x:c>
      <x:c r="K79" s="464" t="n">
        <x:f>COUNTIF(Test_Cases!$E$5:$E$1000,A79)</x:f>
        <x:v>2</x:v>
      </x:c>
      <x:c r="L79" s="464" t="n">
        <x:f>COUNTIFS(Test_Cases!$E$5:$E$1000,A79,Test_Cases!$L$5:$L$1000,"Passed")</x:f>
        <x:v>0</x:v>
      </x:c>
      <x:c r="M79" s="414" t="n">
        <x:f>IF(K79=0,0,L79/K79)</x:f>
        <x:v>0</x:v>
      </x:c>
      <x:c r="N79" s="411" t="str"/>
      <x:c r="O79" s="411" t="str">
        <x:v>Devansh</x:v>
      </x:c>
      <x:c r="P79" s="411" t="str"/>
      <x:c r="Q79" s="411" t="str">
        <x:v>req_075</x:v>
      </x:c>
      <x:c r="R79" s="373"/>
      <x:c r="S79" s="373"/>
      <x:c r="T79" s="373"/>
      <x:c r="U79" s="373"/>
      <x:c r="V79" s="373"/>
      <x:c r="W79" s="373"/>
      <x:c r="X79" s="373"/>
      <x:c r="Y79" s="373"/>
      <x:c r="Z79" s="373"/>
    </x:row>
    <x:row r="80">
      <x:c r="A80" s="411" t="str">
        <x:v>REQ-076</x:v>
      </x:c>
      <x:c r="B80" s="411" t="str">
        <x:v>v0.1.10</x:v>
      </x:c>
      <x:c r="C80" s="411" t="str">
        <x:v>Navigation</x:v>
      </x:c>
      <x:c r="D80" s="411" t="str">
        <x:v>The platform shall validate global/local costmap frames, freshness, update rates, and layers.</x:v>
      </x:c>
      <x:c r="E80" s="411" t="str">
        <x:v>Supports Nav2 Hardening and removes a documented project limitation.</x:v>
      </x:c>
      <x:c r="F80" s="411" t="str">
        <x:v>Critical</x:v>
      </x:c>
      <x:c r="G80" s="411" t="str">
        <x:v>Test</x:v>
      </x:c>
      <x:c r="H80" s="411" t="str">
        <x:v>Acceptance test passes; failure path is verified; regression suite remains green.</x:v>
      </x:c>
      <x:c r="I80" s="411" t="str">
        <x:v>Draft</x:v>
      </x:c>
      <x:c r="J80" s="411" t="str">
        <x:v>F-NAV-002</x:v>
      </x:c>
      <x:c r="K80" s="464" t="n">
        <x:f>COUNTIF(Test_Cases!$E$5:$E$1000,A80)</x:f>
        <x:v>2</x:v>
      </x:c>
      <x:c r="L80" s="464" t="n">
        <x:f>COUNTIFS(Test_Cases!$E$5:$E$1000,A80,Test_Cases!$L$5:$L$1000,"Passed")</x:f>
        <x:v>0</x:v>
      </x:c>
      <x:c r="M80" s="414" t="n">
        <x:f>IF(K80=0,0,L80/K80)</x:f>
        <x:v>0</x:v>
      </x:c>
      <x:c r="N80" s="411" t="str"/>
      <x:c r="O80" s="411" t="str">
        <x:v>Devansh</x:v>
      </x:c>
      <x:c r="P80" s="411" t="str"/>
      <x:c r="Q80" s="411" t="str">
        <x:v>req_076</x:v>
      </x:c>
      <x:c r="R80" s="373"/>
      <x:c r="S80" s="373"/>
      <x:c r="T80" s="373"/>
      <x:c r="U80" s="373"/>
      <x:c r="V80" s="373"/>
      <x:c r="W80" s="373"/>
      <x:c r="X80" s="373"/>
      <x:c r="Y80" s="373"/>
      <x:c r="Z80" s="373"/>
    </x:row>
    <x:row r="81">
      <x:c r="A81" s="411" t="str">
        <x:v>REQ-077</x:v>
      </x:c>
      <x:c r="B81" s="411" t="str">
        <x:v>v0.1.10</x:v>
      </x:c>
      <x:c r="C81" s="411" t="str">
        <x:v>Navigation</x:v>
      </x:c>
      <x:c r="D81" s="411" t="str">
        <x:v>The platform shall define clean timeout, cancellation, preemption, and result handling.</x:v>
      </x:c>
      <x:c r="E81" s="411" t="str">
        <x:v>Supports Nav2 Hardening and removes a documented project limitation.</x:v>
      </x:c>
      <x:c r="F81" s="411" t="str">
        <x:v>Critical</x:v>
      </x:c>
      <x:c r="G81" s="411" t="str">
        <x:v>Test</x:v>
      </x:c>
      <x:c r="H81" s="411" t="str">
        <x:v>Acceptance test passes; failure path is verified; regression suite remains green.</x:v>
      </x:c>
      <x:c r="I81" s="411" t="str">
        <x:v>Draft</x:v>
      </x:c>
      <x:c r="J81" s="411" t="str">
        <x:v>F-NAV-003</x:v>
      </x:c>
      <x:c r="K81" s="464" t="n">
        <x:f>COUNTIF(Test_Cases!$E$5:$E$1000,A81)</x:f>
        <x:v>2</x:v>
      </x:c>
      <x:c r="L81" s="464" t="n">
        <x:f>COUNTIFS(Test_Cases!$E$5:$E$1000,A81,Test_Cases!$L$5:$L$1000,"Passed")</x:f>
        <x:v>0</x:v>
      </x:c>
      <x:c r="M81" s="414" t="n">
        <x:f>IF(K81=0,0,L81/K81)</x:f>
        <x:v>0</x:v>
      </x:c>
      <x:c r="N81" s="411" t="str"/>
      <x:c r="O81" s="411" t="str">
        <x:v>Devansh</x:v>
      </x:c>
      <x:c r="P81" s="411" t="str"/>
      <x:c r="Q81" s="411" t="str">
        <x:v>req_077</x:v>
      </x:c>
      <x:c r="R81" s="373"/>
      <x:c r="S81" s="373"/>
      <x:c r="T81" s="373"/>
      <x:c r="U81" s="373"/>
      <x:c r="V81" s="373"/>
      <x:c r="W81" s="373"/>
      <x:c r="X81" s="373"/>
      <x:c r="Y81" s="373"/>
      <x:c r="Z81" s="373"/>
    </x:row>
    <x:row r="82">
      <x:c r="A82" s="411" t="str">
        <x:v>REQ-078</x:v>
      </x:c>
      <x:c r="B82" s="411" t="str">
        <x:v>v0.1.10</x:v>
      </x:c>
      <x:c r="C82" s="411" t="str">
        <x:v>Navigation</x:v>
      </x:c>
      <x:c r="D82" s="411" t="str">
        <x:v>The platform shall tune planner, controller, progress checker, goal checker, and limits.</x:v>
      </x:c>
      <x:c r="E82" s="411" t="str">
        <x:v>Supports Nav2 Hardening and removes a documented project limitation.</x:v>
      </x:c>
      <x:c r="F82" s="411" t="str">
        <x:v>High</x:v>
      </x:c>
      <x:c r="G82" s="411" t="str">
        <x:v>Test</x:v>
      </x:c>
      <x:c r="H82" s="411" t="str">
        <x:v>Nominal and negative tests pass; behavior is documented and reproducible.</x:v>
      </x:c>
      <x:c r="I82" s="411" t="str">
        <x:v>Draft</x:v>
      </x:c>
      <x:c r="J82" s="411" t="str">
        <x:v>F-NAV-004</x:v>
      </x:c>
      <x:c r="K82" s="464" t="n">
        <x:f>COUNTIF(Test_Cases!$E$5:$E$1000,A82)</x:f>
        <x:v>1</x:v>
      </x:c>
      <x:c r="L82" s="464" t="n">
        <x:f>COUNTIFS(Test_Cases!$E$5:$E$1000,A82,Test_Cases!$L$5:$L$1000,"Passed")</x:f>
        <x:v>0</x:v>
      </x:c>
      <x:c r="M82" s="414" t="n">
        <x:f>IF(K82=0,0,L82/K82)</x:f>
        <x:v>0</x:v>
      </x:c>
      <x:c r="N82" s="411" t="str"/>
      <x:c r="O82" s="411" t="str">
        <x:v>Devansh</x:v>
      </x:c>
      <x:c r="P82" s="411" t="str"/>
      <x:c r="Q82" s="411" t="str">
        <x:v>req_078</x:v>
      </x:c>
      <x:c r="R82" s="373"/>
      <x:c r="S82" s="373"/>
      <x:c r="T82" s="373"/>
      <x:c r="U82" s="373"/>
      <x:c r="V82" s="373"/>
      <x:c r="W82" s="373"/>
      <x:c r="X82" s="373"/>
      <x:c r="Y82" s="373"/>
      <x:c r="Z82" s="373"/>
    </x:row>
    <x:row r="83">
      <x:c r="A83" s="411" t="str">
        <x:v>REQ-079</x:v>
      </x:c>
      <x:c r="B83" s="411" t="str">
        <x:v>v0.1.10</x:v>
      </x:c>
      <x:c r="C83" s="411" t="str">
        <x:v>Navigation</x:v>
      </x:c>
      <x:c r="D83" s="411" t="str">
        <x:v>The platform shall tune footprint, inflation, obstacle ranges, and cost scaling.</x:v>
      </x:c>
      <x:c r="E83" s="411" t="str">
        <x:v>Supports Nav2 Hardening and removes a documented project limitation.</x:v>
      </x:c>
      <x:c r="F83" s="411" t="str">
        <x:v>High</x:v>
      </x:c>
      <x:c r="G83" s="411" t="str">
        <x:v>Test</x:v>
      </x:c>
      <x:c r="H83" s="411" t="str">
        <x:v>Nominal and negative tests pass; behavior is documented and reproducible.</x:v>
      </x:c>
      <x:c r="I83" s="411" t="str">
        <x:v>Draft</x:v>
      </x:c>
      <x:c r="J83" s="411" t="str">
        <x:v>F-NAV-005</x:v>
      </x:c>
      <x:c r="K83" s="464" t="n">
        <x:f>COUNTIF(Test_Cases!$E$5:$E$1000,A83)</x:f>
        <x:v>1</x:v>
      </x:c>
      <x:c r="L83" s="464" t="n">
        <x:f>COUNTIFS(Test_Cases!$E$5:$E$1000,A83,Test_Cases!$L$5:$L$1000,"Passed")</x:f>
        <x:v>0</x:v>
      </x:c>
      <x:c r="M83" s="414" t="n">
        <x:f>IF(K83=0,0,L83/K83)</x:f>
        <x:v>0</x:v>
      </x:c>
      <x:c r="N83" s="411" t="str"/>
      <x:c r="O83" s="411" t="str">
        <x:v>Devansh</x:v>
      </x:c>
      <x:c r="P83" s="411" t="str"/>
      <x:c r="Q83" s="411" t="str">
        <x:v>req_079</x:v>
      </x:c>
      <x:c r="R83" s="373"/>
      <x:c r="S83" s="373"/>
      <x:c r="T83" s="373"/>
      <x:c r="U83" s="373"/>
      <x:c r="V83" s="373"/>
      <x:c r="W83" s="373"/>
      <x:c r="X83" s="373"/>
      <x:c r="Y83" s="373"/>
      <x:c r="Z83" s="373"/>
    </x:row>
    <x:row r="84">
      <x:c r="A84" s="411" t="str">
        <x:v>REQ-080</x:v>
      </x:c>
      <x:c r="B84" s="411" t="str">
        <x:v>v0.1.10</x:v>
      </x:c>
      <x:c r="C84" s="411" t="str">
        <x:v>Scenarios</x:v>
      </x:c>
      <x:c r="D84" s="411" t="str">
        <x:v>The platform shall test open, corridor, tight-turn, blocked, invalid, and dynamic conditions.</x:v>
      </x:c>
      <x:c r="E84" s="411" t="str">
        <x:v>Supports Nav2 Hardening and removes a documented project limitation.</x:v>
      </x:c>
      <x:c r="F84" s="411" t="str">
        <x:v>Critical</x:v>
      </x:c>
      <x:c r="G84" s="411" t="str">
        <x:v>Test</x:v>
      </x:c>
      <x:c r="H84" s="411" t="str">
        <x:v>Acceptance test passes; failure path is verified; regression suite remains green.</x:v>
      </x:c>
      <x:c r="I84" s="411" t="str">
        <x:v>Draft</x:v>
      </x:c>
      <x:c r="J84" s="411" t="str">
        <x:v>F-NAV-006</x:v>
      </x:c>
      <x:c r="K84" s="464" t="n">
        <x:f>COUNTIF(Test_Cases!$E$5:$E$1000,A84)</x:f>
        <x:v>2</x:v>
      </x:c>
      <x:c r="L84" s="464" t="n">
        <x:f>COUNTIFS(Test_Cases!$E$5:$E$1000,A84,Test_Cases!$L$5:$L$1000,"Passed")</x:f>
        <x:v>0</x:v>
      </x:c>
      <x:c r="M84" s="414" t="n">
        <x:f>IF(K84=0,0,L84/K84)</x:f>
        <x:v>0</x:v>
      </x:c>
      <x:c r="N84" s="411" t="str"/>
      <x:c r="O84" s="411" t="str">
        <x:v>Devansh</x:v>
      </x:c>
      <x:c r="P84" s="411" t="str"/>
      <x:c r="Q84" s="411" t="str">
        <x:v>req_080</x:v>
      </x:c>
      <x:c r="R84" s="373"/>
      <x:c r="S84" s="373"/>
      <x:c r="T84" s="373"/>
      <x:c r="U84" s="373"/>
      <x:c r="V84" s="373"/>
      <x:c r="W84" s="373"/>
      <x:c r="X84" s="373"/>
      <x:c r="Y84" s="373"/>
      <x:c r="Z84" s="373"/>
    </x:row>
    <x:row r="85">
      <x:c r="A85" s="411" t="str">
        <x:v>REQ-081</x:v>
      </x:c>
      <x:c r="B85" s="411" t="str">
        <x:v>v0.1.10</x:v>
      </x:c>
      <x:c r="C85" s="411" t="str">
        <x:v>Metrics</x:v>
      </x:c>
      <x:c r="D85" s="411" t="str">
        <x:v>The platform shall measure success, time, path efficiency, clearance, replans, oscillation, and error.</x:v>
      </x:c>
      <x:c r="E85" s="411" t="str">
        <x:v>Supports Nav2 Hardening and removes a documented project limitation.</x:v>
      </x:c>
      <x:c r="F85" s="411" t="str">
        <x:v>Critical</x:v>
      </x:c>
      <x:c r="G85" s="411" t="str">
        <x:v>Test</x:v>
      </x:c>
      <x:c r="H85" s="411" t="str">
        <x:v>Acceptance test passes; failure path is verified; regression suite remains green.</x:v>
      </x:c>
      <x:c r="I85" s="411" t="str">
        <x:v>Draft</x:v>
      </x:c>
      <x:c r="J85" s="411" t="str">
        <x:v>F-NAV-007</x:v>
      </x:c>
      <x:c r="K85" s="464" t="n">
        <x:f>COUNTIF(Test_Cases!$E$5:$E$1000,A85)</x:f>
        <x:v>2</x:v>
      </x:c>
      <x:c r="L85" s="464" t="n">
        <x:f>COUNTIFS(Test_Cases!$E$5:$E$1000,A85,Test_Cases!$L$5:$L$1000,"Passed")</x:f>
        <x:v>0</x:v>
      </x:c>
      <x:c r="M85" s="414" t="n">
        <x:f>IF(K85=0,0,L85/K85)</x:f>
        <x:v>0</x:v>
      </x:c>
      <x:c r="N85" s="411" t="str"/>
      <x:c r="O85" s="411" t="str">
        <x:v>Devansh</x:v>
      </x:c>
      <x:c r="P85" s="411" t="str"/>
      <x:c r="Q85" s="411" t="str">
        <x:v>req_081</x:v>
      </x:c>
      <x:c r="R85" s="373"/>
      <x:c r="S85" s="373"/>
      <x:c r="T85" s="373"/>
      <x:c r="U85" s="373"/>
      <x:c r="V85" s="373"/>
      <x:c r="W85" s="373"/>
      <x:c r="X85" s="373"/>
      <x:c r="Y85" s="373"/>
      <x:c r="Z85" s="373"/>
    </x:row>
    <x:row r="86">
      <x:c r="A86" s="411" t="str">
        <x:v>REQ-082</x:v>
      </x:c>
      <x:c r="B86" s="411" t="str">
        <x:v>v0.1.10</x:v>
      </x:c>
      <x:c r="C86" s="411" t="str">
        <x:v>Recovery</x:v>
      </x:c>
      <x:c r="D86" s="411" t="str">
        <x:v>The platform shall verify recovery actions and restart after failures.</x:v>
      </x:c>
      <x:c r="E86" s="411" t="str">
        <x:v>Supports Nav2 Hardening and removes a documented project limitation.</x:v>
      </x:c>
      <x:c r="F86" s="411" t="str">
        <x:v>High</x:v>
      </x:c>
      <x:c r="G86" s="411" t="str">
        <x:v>Test</x:v>
      </x:c>
      <x:c r="H86" s="411" t="str">
        <x:v>Nominal and negative tests pass; behavior is documented and reproducible.</x:v>
      </x:c>
      <x:c r="I86" s="411" t="str">
        <x:v>Draft</x:v>
      </x:c>
      <x:c r="J86" s="411" t="str">
        <x:v>F-NAV-008</x:v>
      </x:c>
      <x:c r="K86" s="464" t="n">
        <x:f>COUNTIF(Test_Cases!$E$5:$E$1000,A86)</x:f>
        <x:v>1</x:v>
      </x:c>
      <x:c r="L86" s="464" t="n">
        <x:f>COUNTIFS(Test_Cases!$E$5:$E$1000,A86,Test_Cases!$L$5:$L$1000,"Passed")</x:f>
        <x:v>0</x:v>
      </x:c>
      <x:c r="M86" s="414" t="n">
        <x:f>IF(K86=0,0,L86/K86)</x:f>
        <x:v>0</x:v>
      </x:c>
      <x:c r="N86" s="411" t="str"/>
      <x:c r="O86" s="411" t="str">
        <x:v>Devansh</x:v>
      </x:c>
      <x:c r="P86" s="411" t="str"/>
      <x:c r="Q86" s="411" t="str">
        <x:v>req_082</x:v>
      </x:c>
      <x:c r="R86" s="373"/>
      <x:c r="S86" s="373"/>
      <x:c r="T86" s="373"/>
      <x:c r="U86" s="373"/>
      <x:c r="V86" s="373"/>
      <x:c r="W86" s="373"/>
      <x:c r="X86" s="373"/>
      <x:c r="Y86" s="373"/>
      <x:c r="Z86" s="373"/>
    </x:row>
    <x:row r="87">
      <x:c r="A87" s="411" t="str">
        <x:v>REQ-083</x:v>
      </x:c>
      <x:c r="B87" s="411" t="str">
        <x:v>v0.1.11</x:v>
      </x:c>
      <x:c r="C87" s="411" t="str">
        <x:v>Fault Injection</x:v>
      </x:c>
      <x:c r="D87" s="411" t="str">
        <x:v>The platform shall inject faults through reusable, parameterized controls.</x:v>
      </x:c>
      <x:c r="E87" s="411" t="str">
        <x:v>Supports Fault Injection &amp; E2E Verification and removes a documented project limitation.</x:v>
      </x:c>
      <x:c r="F87" s="411" t="str">
        <x:v>Critical</x:v>
      </x:c>
      <x:c r="G87" s="411" t="str">
        <x:v>Test</x:v>
      </x:c>
      <x:c r="H87" s="411" t="str">
        <x:v>Acceptance test passes; failure path is verified; regression suite remains green.</x:v>
      </x:c>
      <x:c r="I87" s="411" t="str">
        <x:v>Draft</x:v>
      </x:c>
      <x:c r="J87" s="411" t="str">
        <x:v>F-FAULT-001</x:v>
      </x:c>
      <x:c r="K87" s="464" t="n">
        <x:f>COUNTIF(Test_Cases!$E$5:$E$1000,A87)</x:f>
        <x:v>2</x:v>
      </x:c>
      <x:c r="L87" s="464" t="n">
        <x:f>COUNTIFS(Test_Cases!$E$5:$E$1000,A87,Test_Cases!$L$5:$L$1000,"Passed")</x:f>
        <x:v>0</x:v>
      </x:c>
      <x:c r="M87" s="414" t="n">
        <x:f>IF(K87=0,0,L87/K87)</x:f>
        <x:v>0</x:v>
      </x:c>
      <x:c r="N87" s="411" t="str"/>
      <x:c r="O87" s="411" t="str">
        <x:v>Devansh</x:v>
      </x:c>
      <x:c r="P87" s="411" t="str"/>
      <x:c r="Q87" s="411" t="str">
        <x:v>req_083</x:v>
      </x:c>
      <x:c r="R87" s="373"/>
      <x:c r="S87" s="373"/>
      <x:c r="T87" s="373"/>
      <x:c r="U87" s="373"/>
      <x:c r="V87" s="373"/>
      <x:c r="W87" s="373"/>
      <x:c r="X87" s="373"/>
      <x:c r="Y87" s="373"/>
      <x:c r="Z87" s="373"/>
    </x:row>
    <x:row r="88">
      <x:c r="A88" s="411" t="str">
        <x:v>REQ-084</x:v>
      </x:c>
      <x:c r="B88" s="411" t="str">
        <x:v>v0.1.11</x:v>
      </x:c>
      <x:c r="C88" s="411" t="str">
        <x:v>Fault Injection</x:v>
      </x:c>
      <x:c r="D88" s="411" t="str">
        <x:v>The platform shall support LiDAR/IMU dropout, delay, stale data, noise, and bias.</x:v>
      </x:c>
      <x:c r="E88" s="411" t="str">
        <x:v>Supports Fault Injection &amp; E2E Verification and removes a documented project limitation.</x:v>
      </x:c>
      <x:c r="F88" s="411" t="str">
        <x:v>Critical</x:v>
      </x:c>
      <x:c r="G88" s="411" t="str">
        <x:v>Test</x:v>
      </x:c>
      <x:c r="H88" s="411" t="str">
        <x:v>Acceptance test passes; failure path is verified; regression suite remains green.</x:v>
      </x:c>
      <x:c r="I88" s="411" t="str">
        <x:v>Draft</x:v>
      </x:c>
      <x:c r="J88" s="411" t="str">
        <x:v>F-FAULT-002</x:v>
      </x:c>
      <x:c r="K88" s="464" t="n">
        <x:f>COUNTIF(Test_Cases!$E$5:$E$1000,A88)</x:f>
        <x:v>2</x:v>
      </x:c>
      <x:c r="L88" s="464" t="n">
        <x:f>COUNTIFS(Test_Cases!$E$5:$E$1000,A88,Test_Cases!$L$5:$L$1000,"Passed")</x:f>
        <x:v>0</x:v>
      </x:c>
      <x:c r="M88" s="414" t="n">
        <x:f>IF(K88=0,0,L88/K88)</x:f>
        <x:v>0</x:v>
      </x:c>
      <x:c r="N88" s="411" t="str"/>
      <x:c r="O88" s="411" t="str">
        <x:v>Devansh</x:v>
      </x:c>
      <x:c r="P88" s="411" t="str"/>
      <x:c r="Q88" s="411" t="str">
        <x:v>req_084</x:v>
      </x:c>
      <x:c r="R88" s="373"/>
      <x:c r="S88" s="373"/>
      <x:c r="T88" s="373"/>
      <x:c r="U88" s="373"/>
      <x:c r="V88" s="373"/>
      <x:c r="W88" s="373"/>
      <x:c r="X88" s="373"/>
      <x:c r="Y88" s="373"/>
      <x:c r="Z88" s="373"/>
    </x:row>
    <x:row r="89">
      <x:c r="A89" s="411" t="str">
        <x:v>REQ-085</x:v>
      </x:c>
      <x:c r="B89" s="411" t="str">
        <x:v>v0.1.11</x:v>
      </x:c>
      <x:c r="C89" s="411" t="str">
        <x:v>Fault Injection</x:v>
      </x:c>
      <x:c r="D89" s="411" t="str">
        <x:v>The platform shall support missing TF, controller loss, server loss, map failure, and crashes.</x:v>
      </x:c>
      <x:c r="E89" s="411" t="str">
        <x:v>Supports Fault Injection &amp; E2E Verification and removes a documented project limitation.</x:v>
      </x:c>
      <x:c r="F89" s="411" t="str">
        <x:v>Critical</x:v>
      </x:c>
      <x:c r="G89" s="411" t="str">
        <x:v>Test</x:v>
      </x:c>
      <x:c r="H89" s="411" t="str">
        <x:v>Acceptance test passes; failure path is verified; regression suite remains green.</x:v>
      </x:c>
      <x:c r="I89" s="411" t="str">
        <x:v>Draft</x:v>
      </x:c>
      <x:c r="J89" s="411" t="str">
        <x:v>F-FAULT-003</x:v>
      </x:c>
      <x:c r="K89" s="464" t="n">
        <x:f>COUNTIF(Test_Cases!$E$5:$E$1000,A89)</x:f>
        <x:v>2</x:v>
      </x:c>
      <x:c r="L89" s="464" t="n">
        <x:f>COUNTIFS(Test_Cases!$E$5:$E$1000,A89,Test_Cases!$L$5:$L$1000,"Passed")</x:f>
        <x:v>0</x:v>
      </x:c>
      <x:c r="M89" s="414" t="n">
        <x:f>IF(K89=0,0,L89/K89)</x:f>
        <x:v>0</x:v>
      </x:c>
      <x:c r="N89" s="411" t="str"/>
      <x:c r="O89" s="411" t="str">
        <x:v>Devansh</x:v>
      </x:c>
      <x:c r="P89" s="411" t="str"/>
      <x:c r="Q89" s="411" t="str">
        <x:v>req_085</x:v>
      </x:c>
      <x:c r="R89" s="373"/>
      <x:c r="S89" s="373"/>
      <x:c r="T89" s="373"/>
      <x:c r="U89" s="373"/>
      <x:c r="V89" s="373"/>
      <x:c r="W89" s="373"/>
      <x:c r="X89" s="373"/>
      <x:c r="Y89" s="373"/>
      <x:c r="Z89" s="373"/>
    </x:row>
    <x:row r="90">
      <x:c r="A90" s="411" t="str">
        <x:v>REQ-086</x:v>
      </x:c>
      <x:c r="B90" s="411" t="str">
        <x:v>v0.1.11</x:v>
      </x:c>
      <x:c r="C90" s="411" t="str">
        <x:v>E2E</x:v>
      </x:c>
      <x:c r="D90" s="411" t="str">
        <x:v>The platform shall execute launch, readiness, behavior, fault, evaluation, report, and shutdown.</x:v>
      </x:c>
      <x:c r="E90" s="411" t="str">
        <x:v>Supports Fault Injection &amp; E2E Verification and removes a documented project limitation.</x:v>
      </x:c>
      <x:c r="F90" s="411" t="str">
        <x:v>Critical</x:v>
      </x:c>
      <x:c r="G90" s="411" t="str">
        <x:v>Test</x:v>
      </x:c>
      <x:c r="H90" s="411" t="str">
        <x:v>Acceptance test passes; failure path is verified; regression suite remains green.</x:v>
      </x:c>
      <x:c r="I90" s="411" t="str">
        <x:v>Draft</x:v>
      </x:c>
      <x:c r="J90" s="411" t="str">
        <x:v>F-E2E-001</x:v>
      </x:c>
      <x:c r="K90" s="464" t="n">
        <x:f>COUNTIF(Test_Cases!$E$5:$E$1000,A90)</x:f>
        <x:v>2</x:v>
      </x:c>
      <x:c r="L90" s="464" t="n">
        <x:f>COUNTIFS(Test_Cases!$E$5:$E$1000,A90,Test_Cases!$L$5:$L$1000,"Passed")</x:f>
        <x:v>0</x:v>
      </x:c>
      <x:c r="M90" s="414" t="n">
        <x:f>IF(K90=0,0,L90/K90)</x:f>
        <x:v>0</x:v>
      </x:c>
      <x:c r="N90" s="411" t="str"/>
      <x:c r="O90" s="411" t="str">
        <x:v>Devansh</x:v>
      </x:c>
      <x:c r="P90" s="411" t="str"/>
      <x:c r="Q90" s="411" t="str">
        <x:v>req_086</x:v>
      </x:c>
      <x:c r="R90" s="373"/>
      <x:c r="S90" s="373"/>
      <x:c r="T90" s="373"/>
      <x:c r="U90" s="373"/>
      <x:c r="V90" s="373"/>
      <x:c r="W90" s="373"/>
      <x:c r="X90" s="373"/>
      <x:c r="Y90" s="373"/>
      <x:c r="Z90" s="373"/>
    </x:row>
    <x:row r="91">
      <x:c r="A91" s="411" t="str">
        <x:v>REQ-087</x:v>
      </x:c>
      <x:c r="B91" s="411" t="str">
        <x:v>v0.1.11</x:v>
      </x:c>
      <x:c r="C91" s="411" t="str">
        <x:v>Safety</x:v>
      </x:c>
      <x:c r="D91" s="411" t="str">
        <x:v>The platform shall automate manual override, speed clamp, timeout, timestamp, and cancellation tests.</x:v>
      </x:c>
      <x:c r="E91" s="411" t="str">
        <x:v>Supports Fault Injection &amp; E2E Verification and removes a documented project limitation.</x:v>
      </x:c>
      <x:c r="F91" s="411" t="str">
        <x:v>Critical</x:v>
      </x:c>
      <x:c r="G91" s="411" t="str">
        <x:v>Test</x:v>
      </x:c>
      <x:c r="H91" s="411" t="str">
        <x:v>Acceptance test passes; failure path is verified; regression suite remains green.</x:v>
      </x:c>
      <x:c r="I91" s="411" t="str">
        <x:v>Draft</x:v>
      </x:c>
      <x:c r="J91" s="411" t="str">
        <x:v>F-SAFE-001</x:v>
      </x:c>
      <x:c r="K91" s="464" t="n">
        <x:f>COUNTIF(Test_Cases!$E$5:$E$1000,A91)</x:f>
        <x:v>2</x:v>
      </x:c>
      <x:c r="L91" s="464" t="n">
        <x:f>COUNTIFS(Test_Cases!$E$5:$E$1000,A91,Test_Cases!$L$5:$L$1000,"Passed")</x:f>
        <x:v>0</x:v>
      </x:c>
      <x:c r="M91" s="414" t="n">
        <x:f>IF(K91=0,0,L91/K91)</x:f>
        <x:v>0</x:v>
      </x:c>
      <x:c r="N91" s="411" t="str"/>
      <x:c r="O91" s="411" t="str">
        <x:v>Devansh</x:v>
      </x:c>
      <x:c r="P91" s="411" t="str"/>
      <x:c r="Q91" s="411" t="str">
        <x:v>req_087</x:v>
      </x:c>
      <x:c r="R91" s="373"/>
      <x:c r="S91" s="373"/>
      <x:c r="T91" s="373"/>
      <x:c r="U91" s="373"/>
      <x:c r="V91" s="373"/>
      <x:c r="W91" s="373"/>
      <x:c r="X91" s="373"/>
      <x:c r="Y91" s="373"/>
      <x:c r="Z91" s="373"/>
    </x:row>
    <x:row r="92">
      <x:c r="A92" s="411" t="str">
        <x:v>REQ-088</x:v>
      </x:c>
      <x:c r="B92" s="411" t="str">
        <x:v>v0.1.11</x:v>
      </x:c>
      <x:c r="C92" s="411" t="str">
        <x:v>Recovery</x:v>
      </x:c>
      <x:c r="D92" s="411" t="str">
        <x:v>The platform shall require valid readiness restoration before reactivation.</x:v>
      </x:c>
      <x:c r="E92" s="411" t="str">
        <x:v>Supports Fault Injection &amp; E2E Verification and removes a documented project limitation.</x:v>
      </x:c>
      <x:c r="F92" s="411" t="str">
        <x:v>High</x:v>
      </x:c>
      <x:c r="G92" s="411" t="str">
        <x:v>Test</x:v>
      </x:c>
      <x:c r="H92" s="411" t="str">
        <x:v>Nominal and negative tests pass; behavior is documented and reproducible.</x:v>
      </x:c>
      <x:c r="I92" s="411" t="str">
        <x:v>Draft</x:v>
      </x:c>
      <x:c r="J92" s="411" t="str">
        <x:v>F-REC-001</x:v>
      </x:c>
      <x:c r="K92" s="464" t="n">
        <x:f>COUNTIF(Test_Cases!$E$5:$E$1000,A92)</x:f>
        <x:v>1</x:v>
      </x:c>
      <x:c r="L92" s="464" t="n">
        <x:f>COUNTIFS(Test_Cases!$E$5:$E$1000,A92,Test_Cases!$L$5:$L$1000,"Passed")</x:f>
        <x:v>0</x:v>
      </x:c>
      <x:c r="M92" s="414" t="n">
        <x:f>IF(K92=0,0,L92/K92)</x:f>
        <x:v>0</x:v>
      </x:c>
      <x:c r="N92" s="411" t="str"/>
      <x:c r="O92" s="411" t="str">
        <x:v>Devansh</x:v>
      </x:c>
      <x:c r="P92" s="411" t="str"/>
      <x:c r="Q92" s="411" t="str">
        <x:v>req_088</x:v>
      </x:c>
      <x:c r="R92" s="373"/>
      <x:c r="S92" s="373"/>
      <x:c r="T92" s="373"/>
      <x:c r="U92" s="373"/>
      <x:c r="V92" s="373"/>
      <x:c r="W92" s="373"/>
      <x:c r="X92" s="373"/>
      <x:c r="Y92" s="373"/>
      <x:c r="Z92" s="373"/>
    </x:row>
    <x:row r="93">
      <x:c r="A93" s="411" t="str">
        <x:v>REQ-089</x:v>
      </x:c>
      <x:c r="B93" s="411" t="str">
        <x:v>v0.1.11</x:v>
      </x:c>
      <x:c r="C93" s="411" t="str">
        <x:v>Evidence</x:v>
      </x:c>
      <x:c r="D93" s="411" t="str">
        <x:v>The platform shall generate logs, metrics, plots, traceability, and pass/fail artifacts.</x:v>
      </x:c>
      <x:c r="E93" s="411" t="str">
        <x:v>Supports Fault Injection &amp; E2E Verification and removes a documented project limitation.</x:v>
      </x:c>
      <x:c r="F93" s="411" t="str">
        <x:v>High</x:v>
      </x:c>
      <x:c r="G93" s="411" t="str">
        <x:v>Test</x:v>
      </x:c>
      <x:c r="H93" s="411" t="str">
        <x:v>Nominal and negative tests pass; behavior is documented and reproducible.</x:v>
      </x:c>
      <x:c r="I93" s="411" t="str">
        <x:v>Draft</x:v>
      </x:c>
      <x:c r="J93" s="411" t="str">
        <x:v>F-EVID-001</x:v>
      </x:c>
      <x:c r="K93" s="464" t="n">
        <x:f>COUNTIF(Test_Cases!$E$5:$E$1000,A93)</x:f>
        <x:v>1</x:v>
      </x:c>
      <x:c r="L93" s="464" t="n">
        <x:f>COUNTIFS(Test_Cases!$E$5:$E$1000,A93,Test_Cases!$L$5:$L$1000,"Passed")</x:f>
        <x:v>0</x:v>
      </x:c>
      <x:c r="M93" s="414" t="n">
        <x:f>IF(K93=0,0,L93/K93)</x:f>
        <x:v>0</x:v>
      </x:c>
      <x:c r="N93" s="411" t="str"/>
      <x:c r="O93" s="411" t="str">
        <x:v>Devansh</x:v>
      </x:c>
      <x:c r="P93" s="411" t="str"/>
      <x:c r="Q93" s="411" t="str">
        <x:v>req_089</x:v>
      </x:c>
      <x:c r="R93" s="373"/>
      <x:c r="S93" s="373"/>
      <x:c r="T93" s="373"/>
      <x:c r="U93" s="373"/>
      <x:c r="V93" s="373"/>
      <x:c r="W93" s="373"/>
      <x:c r="X93" s="373"/>
      <x:c r="Y93" s="373"/>
      <x:c r="Z93" s="373"/>
    </x:row>
    <x:row r="94">
      <x:c r="A94" s="411" t="str">
        <x:v>REQ-090</x:v>
      </x:c>
      <x:c r="B94" s="411" t="str">
        <x:v>v0.1.12</x:v>
      </x:c>
      <x:c r="C94" s="411" t="str">
        <x:v>CI</x:v>
      </x:c>
      <x:c r="D94" s="411" t="str">
        <x:v>The platform shall run formatting, linting, config validation, unit, lifecycle, and readiness tests.</x:v>
      </x:c>
      <x:c r="E94" s="411" t="str">
        <x:v>Supports CI, Documentation &amp; Release Hardening and removes a documented project limitation.</x:v>
      </x:c>
      <x:c r="F94" s="411" t="str">
        <x:v>Critical</x:v>
      </x:c>
      <x:c r="G94" s="411" t="str">
        <x:v>Test</x:v>
      </x:c>
      <x:c r="H94" s="411" t="str">
        <x:v>Acceptance test passes; failure path is verified; regression suite remains green.</x:v>
      </x:c>
      <x:c r="I94" s="411" t="str">
        <x:v>Draft</x:v>
      </x:c>
      <x:c r="J94" s="411" t="str">
        <x:v>F-CI-001</x:v>
      </x:c>
      <x:c r="K94" s="464" t="n">
        <x:f>COUNTIF(Test_Cases!$E$5:$E$1000,A94)</x:f>
        <x:v>2</x:v>
      </x:c>
      <x:c r="L94" s="464" t="n">
        <x:f>COUNTIFS(Test_Cases!$E$5:$E$1000,A94,Test_Cases!$L$5:$L$1000,"Passed")</x:f>
        <x:v>0</x:v>
      </x:c>
      <x:c r="M94" s="414" t="n">
        <x:f>IF(K94=0,0,L94/K94)</x:f>
        <x:v>0</x:v>
      </x:c>
      <x:c r="N94" s="411" t="str"/>
      <x:c r="O94" s="411" t="str">
        <x:v>Devansh</x:v>
      </x:c>
      <x:c r="P94" s="411" t="str"/>
      <x:c r="Q94" s="411" t="str">
        <x:v>req_090</x:v>
      </x:c>
      <x:c r="R94" s="373"/>
      <x:c r="S94" s="373"/>
      <x:c r="T94" s="373"/>
      <x:c r="U94" s="373"/>
      <x:c r="V94" s="373"/>
      <x:c r="W94" s="373"/>
      <x:c r="X94" s="373"/>
      <x:c r="Y94" s="373"/>
      <x:c r="Z94" s="373"/>
    </x:row>
    <x:row r="95">
      <x:c r="A95" s="411" t="str">
        <x:v>REQ-091</x:v>
      </x:c>
      <x:c r="B95" s="411" t="str">
        <x:v>v0.1.12</x:v>
      </x:c>
      <x:c r="C95" s="411" t="str">
        <x:v>CI</x:v>
      </x:c>
      <x:c r="D95" s="411" t="str">
        <x:v>The platform shall launch clock, controllers, sensors, TF, lifecycle, and shutdown smoke checks.</x:v>
      </x:c>
      <x:c r="E95" s="411" t="str">
        <x:v>Supports CI, Documentation &amp; Release Hardening and removes a documented project limitation.</x:v>
      </x:c>
      <x:c r="F95" s="411" t="str">
        <x:v>Critical</x:v>
      </x:c>
      <x:c r="G95" s="411" t="str">
        <x:v>Test</x:v>
      </x:c>
      <x:c r="H95" s="411" t="str">
        <x:v>Acceptance test passes; failure path is verified; regression suite remains green.</x:v>
      </x:c>
      <x:c r="I95" s="411" t="str">
        <x:v>Draft</x:v>
      </x:c>
      <x:c r="J95" s="411" t="str">
        <x:v>F-CI-002</x:v>
      </x:c>
      <x:c r="K95" s="464" t="n">
        <x:f>COUNTIF(Test_Cases!$E$5:$E$1000,A95)</x:f>
        <x:v>2</x:v>
      </x:c>
      <x:c r="L95" s="464" t="n">
        <x:f>COUNTIFS(Test_Cases!$E$5:$E$1000,A95,Test_Cases!$L$5:$L$1000,"Passed")</x:f>
        <x:v>0</x:v>
      </x:c>
      <x:c r="M95" s="414" t="n">
        <x:f>IF(K95=0,0,L95/K95)</x:f>
        <x:v>0</x:v>
      </x:c>
      <x:c r="N95" s="411" t="str"/>
      <x:c r="O95" s="411" t="str">
        <x:v>Devansh</x:v>
      </x:c>
      <x:c r="P95" s="411" t="str"/>
      <x:c r="Q95" s="411" t="str">
        <x:v>req_091</x:v>
      </x:c>
      <x:c r="R95" s="373"/>
      <x:c r="S95" s="373"/>
      <x:c r="T95" s="373"/>
      <x:c r="U95" s="373"/>
      <x:c r="V95" s="373"/>
      <x:c r="W95" s="373"/>
      <x:c r="X95" s="373"/>
      <x:c r="Y95" s="373"/>
      <x:c r="Z95" s="373"/>
    </x:row>
    <x:row r="96">
      <x:c r="A96" s="411" t="str">
        <x:v>REQ-092</x:v>
      </x:c>
      <x:c r="B96" s="411" t="str">
        <x:v>v0.1.12</x:v>
      </x:c>
      <x:c r="C96" s="411" t="str">
        <x:v>CI</x:v>
      </x:c>
      <x:c r="D96" s="411" t="str">
        <x:v>The platform shall run mapping, localization, navigation, safety, and fault smoke scenarios.</x:v>
      </x:c>
      <x:c r="E96" s="411" t="str">
        <x:v>Supports CI, Documentation &amp; Release Hardening and removes a documented project limitation.</x:v>
      </x:c>
      <x:c r="F96" s="411" t="str">
        <x:v>High</x:v>
      </x:c>
      <x:c r="G96" s="411" t="str">
        <x:v>Test</x:v>
      </x:c>
      <x:c r="H96" s="411" t="str">
        <x:v>Nominal and negative tests pass; behavior is documented and reproducible.</x:v>
      </x:c>
      <x:c r="I96" s="411" t="str">
        <x:v>Draft</x:v>
      </x:c>
      <x:c r="J96" s="411" t="str">
        <x:v>F-CI-003</x:v>
      </x:c>
      <x:c r="K96" s="464" t="n">
        <x:f>COUNTIF(Test_Cases!$E$5:$E$1000,A96)</x:f>
        <x:v>1</x:v>
      </x:c>
      <x:c r="L96" s="464" t="n">
        <x:f>COUNTIFS(Test_Cases!$E$5:$E$1000,A96,Test_Cases!$L$5:$L$1000,"Passed")</x:f>
        <x:v>0</x:v>
      </x:c>
      <x:c r="M96" s="414" t="n">
        <x:f>IF(K96=0,0,L96/K96)</x:f>
        <x:v>0</x:v>
      </x:c>
      <x:c r="N96" s="411" t="str"/>
      <x:c r="O96" s="411" t="str">
        <x:v>Devansh</x:v>
      </x:c>
      <x:c r="P96" s="411" t="str"/>
      <x:c r="Q96" s="411" t="str">
        <x:v>req_092</x:v>
      </x:c>
      <x:c r="R96" s="373"/>
      <x:c r="S96" s="373"/>
      <x:c r="T96" s="373"/>
      <x:c r="U96" s="373"/>
      <x:c r="V96" s="373"/>
      <x:c r="W96" s="373"/>
      <x:c r="X96" s="373"/>
      <x:c r="Y96" s="373"/>
      <x:c r="Z96" s="373"/>
    </x:row>
    <x:row r="97">
      <x:c r="A97" s="411" t="str">
        <x:v>REQ-093</x:v>
      </x:c>
      <x:c r="B97" s="411" t="str">
        <x:v>v0.1.12</x:v>
      </x:c>
      <x:c r="C97" s="411" t="str">
        <x:v>Documentation</x:v>
      </x:c>
      <x:c r="D97" s="411" t="str">
        <x:v>The platform shall complete architecture, lifecycle, readiness, fusion, tuning, and test reports.</x:v>
      </x:c>
      <x:c r="E97" s="411" t="str">
        <x:v>Supports CI, Documentation &amp; Release Hardening and removes a documented project limitation.</x:v>
      </x:c>
      <x:c r="F97" s="411" t="str">
        <x:v>High</x:v>
      </x:c>
      <x:c r="G97" s="411" t="str">
        <x:v>Test</x:v>
      </x:c>
      <x:c r="H97" s="411" t="str">
        <x:v>Nominal and negative tests pass; behavior is documented and reproducible.</x:v>
      </x:c>
      <x:c r="I97" s="411" t="str">
        <x:v>Draft</x:v>
      </x:c>
      <x:c r="J97" s="411" t="str">
        <x:v>F-DOC-001</x:v>
      </x:c>
      <x:c r="K97" s="464" t="n">
        <x:f>COUNTIF(Test_Cases!$E$5:$E$1000,A97)</x:f>
        <x:v>1</x:v>
      </x:c>
      <x:c r="L97" s="464" t="n">
        <x:f>COUNTIFS(Test_Cases!$E$5:$E$1000,A97,Test_Cases!$L$5:$L$1000,"Passed")</x:f>
        <x:v>0</x:v>
      </x:c>
      <x:c r="M97" s="414" t="n">
        <x:f>IF(K97=0,0,L97/K97)</x:f>
        <x:v>0</x:v>
      </x:c>
      <x:c r="N97" s="411" t="str"/>
      <x:c r="O97" s="411" t="str">
        <x:v>Devansh</x:v>
      </x:c>
      <x:c r="P97" s="411" t="str"/>
      <x:c r="Q97" s="411" t="str">
        <x:v>req_093</x:v>
      </x:c>
      <x:c r="R97" s="373"/>
      <x:c r="S97" s="373"/>
      <x:c r="T97" s="373"/>
      <x:c r="U97" s="373"/>
      <x:c r="V97" s="373"/>
      <x:c r="W97" s="373"/>
      <x:c r="X97" s="373"/>
      <x:c r="Y97" s="373"/>
      <x:c r="Z97" s="373"/>
    </x:row>
    <x:row r="98">
      <x:c r="A98" s="411" t="str">
        <x:v>REQ-094</x:v>
      </x:c>
      <x:c r="B98" s="411" t="str">
        <x:v>v0.1.12</x:v>
      </x:c>
      <x:c r="C98" s="411" t="str">
        <x:v>Traceability</x:v>
      </x:c>
      <x:c r="D98" s="411" t="str">
        <x:v>The platform shall link every release requirement to tests, results, and evidence.</x:v>
      </x:c>
      <x:c r="E98" s="411" t="str">
        <x:v>Supports CI, Documentation &amp; Release Hardening and removes a documented project limitation.</x:v>
      </x:c>
      <x:c r="F98" s="411" t="str">
        <x:v>Critical</x:v>
      </x:c>
      <x:c r="G98" s="411" t="str">
        <x:v>Test</x:v>
      </x:c>
      <x:c r="H98" s="411" t="str">
        <x:v>Acceptance test passes; failure path is verified; regression suite remains green.</x:v>
      </x:c>
      <x:c r="I98" s="411" t="str">
        <x:v>Draft</x:v>
      </x:c>
      <x:c r="J98" s="411" t="str">
        <x:v>F-TRACE-001</x:v>
      </x:c>
      <x:c r="K98" s="464" t="n">
        <x:f>COUNTIF(Test_Cases!$E$5:$E$1000,A98)</x:f>
        <x:v>2</x:v>
      </x:c>
      <x:c r="L98" s="464" t="n">
        <x:f>COUNTIFS(Test_Cases!$E$5:$E$1000,A98,Test_Cases!$L$5:$L$1000,"Passed")</x:f>
        <x:v>0</x:v>
      </x:c>
      <x:c r="M98" s="414" t="n">
        <x:f>IF(K98=0,0,L98/K98)</x:f>
        <x:v>0</x:v>
      </x:c>
      <x:c r="N98" s="411" t="str"/>
      <x:c r="O98" s="411" t="str">
        <x:v>Devansh</x:v>
      </x:c>
      <x:c r="P98" s="411" t="str"/>
      <x:c r="Q98" s="411" t="str">
        <x:v>req_094</x:v>
      </x:c>
      <x:c r="R98" s="373"/>
      <x:c r="S98" s="373"/>
      <x:c r="T98" s="373"/>
      <x:c r="U98" s="373"/>
      <x:c r="V98" s="373"/>
      <x:c r="W98" s="373"/>
      <x:c r="X98" s="373"/>
      <x:c r="Y98" s="373"/>
      <x:c r="Z98" s="373"/>
    </x:row>
    <x:row r="99">
      <x:c r="A99" s="411" t="str">
        <x:v>REQ-095</x:v>
      </x:c>
      <x:c r="B99" s="411" t="str">
        <x:v>v0.1.12</x:v>
      </x:c>
      <x:c r="C99" s="411" t="str">
        <x:v>Reproducibility</x:v>
      </x:c>
      <x:c r="D99" s="411" t="str">
        <x:v>The platform shall verify clean build, install, launch, test, and docs outside current workspace.</x:v>
      </x:c>
      <x:c r="E99" s="411" t="str">
        <x:v>Supports CI, Documentation &amp; Release Hardening and removes a documented project limitation.</x:v>
      </x:c>
      <x:c r="F99" s="411" t="str">
        <x:v>Critical</x:v>
      </x:c>
      <x:c r="G99" s="411" t="str">
        <x:v>Test</x:v>
      </x:c>
      <x:c r="H99" s="411" t="str">
        <x:v>Acceptance test passes; failure path is verified; regression suite remains green.</x:v>
      </x:c>
      <x:c r="I99" s="411" t="str">
        <x:v>Draft</x:v>
      </x:c>
      <x:c r="J99" s="411" t="str">
        <x:v>F-REPRO-001</x:v>
      </x:c>
      <x:c r="K99" s="464" t="n">
        <x:f>COUNTIF(Test_Cases!$E$5:$E$1000,A99)</x:f>
        <x:v>2</x:v>
      </x:c>
      <x:c r="L99" s="464" t="n">
        <x:f>COUNTIFS(Test_Cases!$E$5:$E$1000,A99,Test_Cases!$L$5:$L$1000,"Passed")</x:f>
        <x:v>0</x:v>
      </x:c>
      <x:c r="M99" s="414" t="n">
        <x:f>IF(K99=0,0,L99/K99)</x:f>
        <x:v>0</x:v>
      </x:c>
      <x:c r="N99" s="411" t="str"/>
      <x:c r="O99" s="411" t="str">
        <x:v>Devansh</x:v>
      </x:c>
      <x:c r="P99" s="411" t="str"/>
      <x:c r="Q99" s="411" t="str">
        <x:v>req_095</x:v>
      </x:c>
      <x:c r="R99" s="373"/>
      <x:c r="S99" s="373"/>
      <x:c r="T99" s="373"/>
      <x:c r="U99" s="373"/>
      <x:c r="V99" s="373"/>
      <x:c r="W99" s="373"/>
      <x:c r="X99" s="373"/>
      <x:c r="Y99" s="373"/>
      <x:c r="Z99" s="373"/>
    </x:row>
    <x:row r="100">
      <x:c r="A100" s="411" t="str">
        <x:v>REQ-096</x:v>
      </x:c>
      <x:c r="B100" s="411" t="str">
        <x:v>v0.1.12</x:v>
      </x:c>
      <x:c r="C100" s="411" t="str">
        <x:v>Performance</x:v>
      </x:c>
      <x:c r="D100" s="411" t="str">
        <x:v>The platform shall record CPU, memory, real-time factor, startup, transitions, and test duration.</x:v>
      </x:c>
      <x:c r="E100" s="411" t="str">
        <x:v>Supports CI, Documentation &amp; Release Hardening and removes a documented project limitation.</x:v>
      </x:c>
      <x:c r="F100" s="411" t="str">
        <x:v>High</x:v>
      </x:c>
      <x:c r="G100" s="411" t="str">
        <x:v>Test</x:v>
      </x:c>
      <x:c r="H100" s="411" t="str">
        <x:v>Nominal and negative tests pass; behavior is documented and reproducible.</x:v>
      </x:c>
      <x:c r="I100" s="411" t="str">
        <x:v>Draft</x:v>
      </x:c>
      <x:c r="J100" s="411" t="str">
        <x:v>F-PERF-001</x:v>
      </x:c>
      <x:c r="K100" s="464" t="n">
        <x:f>COUNTIF(Test_Cases!$E$5:$E$1000,A100)</x:f>
        <x:v>1</x:v>
      </x:c>
      <x:c r="L100" s="464" t="n">
        <x:f>COUNTIFS(Test_Cases!$E$5:$E$1000,A100,Test_Cases!$L$5:$L$1000,"Passed")</x:f>
        <x:v>0</x:v>
      </x:c>
      <x:c r="M100" s="414" t="n">
        <x:f>IF(K100=0,0,L100/K100)</x:f>
        <x:v>0</x:v>
      </x:c>
      <x:c r="N100" s="411" t="str"/>
      <x:c r="O100" s="411" t="str">
        <x:v>Devansh</x:v>
      </x:c>
      <x:c r="P100" s="411" t="str"/>
      <x:c r="Q100" s="411" t="str">
        <x:v>req_096</x:v>
      </x:c>
      <x:c r="R100" s="373"/>
      <x:c r="S100" s="373"/>
      <x:c r="T100" s="373"/>
      <x:c r="U100" s="373"/>
      <x:c r="V100" s="373"/>
      <x:c r="W100" s="373"/>
      <x:c r="X100" s="373"/>
      <x:c r="Y100" s="373"/>
      <x:c r="Z100" s="373"/>
    </x:row>
    <x:row r="101">
      <x:c r="A101" s="411" t="str">
        <x:v>REQ-097</x:v>
      </x:c>
      <x:c r="B101" s="411" t="str">
        <x:v>v0.1.12</x:v>
      </x:c>
      <x:c r="C101" s="411" t="str">
        <x:v>Release</x:v>
      </x:c>
      <x:c r="D101" s="411" t="str">
        <x:v>The platform shall run final gates, known-limitations review, tag, and publish.</x:v>
      </x:c>
      <x:c r="E101" s="411" t="str">
        <x:v>Supports CI, Documentation &amp; Release Hardening and removes a documented project limitation.</x:v>
      </x:c>
      <x:c r="F101" s="411" t="str">
        <x:v>Critical</x:v>
      </x:c>
      <x:c r="G101" s="411" t="str">
        <x:v>Test</x:v>
      </x:c>
      <x:c r="H101" s="411" t="str">
        <x:v>Acceptance test passes; failure path is verified; regression suite remains green.</x:v>
      </x:c>
      <x:c r="I101" s="411" t="str">
        <x:v>Draft</x:v>
      </x:c>
      <x:c r="J101" s="411" t="str">
        <x:v>F-REL-001</x:v>
      </x:c>
      <x:c r="K101" s="464" t="n">
        <x:f>COUNTIF(Test_Cases!$E$5:$E$1000,A101)</x:f>
        <x:v>2</x:v>
      </x:c>
      <x:c r="L101" s="464" t="n">
        <x:f>COUNTIFS(Test_Cases!$E$5:$E$1000,A101,Test_Cases!$L$5:$L$1000,"Passed")</x:f>
        <x:v>0</x:v>
      </x:c>
      <x:c r="M101" s="414" t="n">
        <x:f>IF(K101=0,0,L101/K101)</x:f>
        <x:v>0</x:v>
      </x:c>
      <x:c r="N101" s="411" t="str"/>
      <x:c r="O101" s="411" t="str">
        <x:v>Devansh</x:v>
      </x:c>
      <x:c r="P101" s="411" t="str"/>
      <x:c r="Q101" s="411" t="str">
        <x:v>req_097</x:v>
      </x:c>
      <x:c r="R101" s="373"/>
      <x:c r="S101" s="373"/>
      <x:c r="T101" s="373"/>
      <x:c r="U101" s="373"/>
      <x:c r="V101" s="373"/>
      <x:c r="W101" s="373"/>
      <x:c r="X101" s="373"/>
      <x:c r="Y101" s="373"/>
      <x:c r="Z101" s="373"/>
    </x:row>
    <x:row r="102">
      <x:c r="A102" s="411" t="str">
        <x:v>REQ-098</x:v>
      </x:c>
      <x:c r="B102" s="411" t="str">
        <x:v>v0.2.0</x:v>
      </x:c>
      <x:c r="C102" s="411" t="str">
        <x:v>Release</x:v>
      </x:c>
      <x:c r="D102" s="411" t="str">
        <x:v>The platform shall publish the complete lifecycle/readiness/fusion/hardening foundation.</x:v>
      </x:c>
      <x:c r="E102" s="411" t="str">
        <x:v>Supports Reliable Autonomy Integration Platform and removes a documented project limitation.</x:v>
      </x:c>
      <x:c r="F102" s="411" t="str">
        <x:v>Critical</x:v>
      </x:c>
      <x:c r="G102" s="411" t="str">
        <x:v>Test</x:v>
      </x:c>
      <x:c r="H102" s="411" t="str">
        <x:v>Acceptance test passes; failure path is verified; regression suite remains green.</x:v>
      </x:c>
      <x:c r="I102" s="411" t="str">
        <x:v>Draft</x:v>
      </x:c>
      <x:c r="J102" s="411" t="str">
        <x:v>F-REL-200</x:v>
      </x:c>
      <x:c r="K102" s="464" t="n">
        <x:f>COUNTIF(Test_Cases!$E$5:$E$1000,A102)</x:f>
        <x:v>2</x:v>
      </x:c>
      <x:c r="L102" s="464" t="n">
        <x:f>COUNTIFS(Test_Cases!$E$5:$E$1000,A102,Test_Cases!$L$5:$L$1000,"Passed")</x:f>
        <x:v>0</x:v>
      </x:c>
      <x:c r="M102" s="414" t="n">
        <x:f>IF(K102=0,0,L102/K102)</x:f>
        <x:v>0</x:v>
      </x:c>
      <x:c r="N102" s="411" t="str"/>
      <x:c r="O102" s="411" t="str">
        <x:v>Devansh</x:v>
      </x:c>
      <x:c r="P102" s="411" t="str"/>
      <x:c r="Q102" s="411" t="str">
        <x:v>req_098</x:v>
      </x:c>
      <x:c r="R102" s="373"/>
      <x:c r="S102" s="373"/>
      <x:c r="T102" s="373"/>
      <x:c r="U102" s="373"/>
      <x:c r="V102" s="373"/>
      <x:c r="W102" s="373"/>
      <x:c r="X102" s="373"/>
      <x:c r="Y102" s="373"/>
      <x:c r="Z102" s="373"/>
    </x:row>
    <x:row r="103">
      <x:c r="A103" s="411" t="str">
        <x:v>REQ-099</x:v>
      </x:c>
      <x:c r="B103" s="411" t="str">
        <x:v>v0.2.1</x:v>
      </x:c>
      <x:c r="C103" s="411" t="str">
        <x:v>Data</x:v>
      </x:c>
      <x:c r="D103" s="411" t="str">
        <x:v>The platform shall standardize IDs, timestamps, commits, config hashes, seeds, metrics, and evidence.</x:v>
      </x:c>
      <x:c r="E103" s="411" t="str">
        <x:v>Supports Ground Truth &amp; Logging Schema and removes a documented project limitation.</x:v>
      </x:c>
      <x:c r="F103" s="411" t="str">
        <x:v>Critical</x:v>
      </x:c>
      <x:c r="G103" s="411" t="str">
        <x:v>Test</x:v>
      </x:c>
      <x:c r="H103" s="411" t="str">
        <x:v>Acceptance test passes; failure path is verified; regression suite remains green.</x:v>
      </x:c>
      <x:c r="I103" s="411" t="str">
        <x:v>Draft</x:v>
      </x:c>
      <x:c r="J103" s="411" t="str">
        <x:v>F-LOG-001</x:v>
      </x:c>
      <x:c r="K103" s="464" t="n">
        <x:f>COUNTIF(Test_Cases!$E$5:$E$1000,A103)</x:f>
        <x:v>2</x:v>
      </x:c>
      <x:c r="L103" s="464" t="n">
        <x:f>COUNTIFS(Test_Cases!$E$5:$E$1000,A103,Test_Cases!$L$5:$L$1000,"Passed")</x:f>
        <x:v>0</x:v>
      </x:c>
      <x:c r="M103" s="414" t="n">
        <x:f>IF(K103=0,0,L103/K103)</x:f>
        <x:v>0</x:v>
      </x:c>
      <x:c r="N103" s="411" t="str"/>
      <x:c r="O103" s="411" t="str">
        <x:v>Devansh</x:v>
      </x:c>
      <x:c r="P103" s="411" t="str"/>
      <x:c r="Q103" s="411" t="str">
        <x:v>req_099</x:v>
      </x:c>
      <x:c r="R103" s="373"/>
      <x:c r="S103" s="373"/>
      <x:c r="T103" s="373"/>
      <x:c r="U103" s="373"/>
      <x:c r="V103" s="373"/>
      <x:c r="W103" s="373"/>
      <x:c r="X103" s="373"/>
      <x:c r="Y103" s="373"/>
      <x:c r="Z103" s="373"/>
    </x:row>
    <x:row r="104">
      <x:c r="A104" s="411" t="str">
        <x:v>REQ-100</x:v>
      </x:c>
      <x:c r="B104" s="411" t="str">
        <x:v>v0.2.1</x:v>
      </x:c>
      <x:c r="C104" s="411" t="str">
        <x:v>Data</x:v>
      </x:c>
      <x:c r="D104" s="411" t="str">
        <x:v>The platform shall emit machine-readable lifecycle, readiness, fault, metric, and requirement events.</x:v>
      </x:c>
      <x:c r="E104" s="411" t="str">
        <x:v>Supports Ground Truth &amp; Logging Schema and removes a documented project limitation.</x:v>
      </x:c>
      <x:c r="F104" s="411" t="str">
        <x:v>High</x:v>
      </x:c>
      <x:c r="G104" s="411" t="str">
        <x:v>Test</x:v>
      </x:c>
      <x:c r="H104" s="411" t="str">
        <x:v>Nominal and negative tests pass; behavior is documented and reproducible.</x:v>
      </x:c>
      <x:c r="I104" s="411" t="str">
        <x:v>Draft</x:v>
      </x:c>
      <x:c r="J104" s="411" t="str">
        <x:v>F-LOG-002</x:v>
      </x:c>
      <x:c r="K104" s="464" t="n">
        <x:f>COUNTIF(Test_Cases!$E$5:$E$1000,A104)</x:f>
        <x:v>1</x:v>
      </x:c>
      <x:c r="L104" s="464" t="n">
        <x:f>COUNTIFS(Test_Cases!$E$5:$E$1000,A104,Test_Cases!$L$5:$L$1000,"Passed")</x:f>
        <x:v>0</x:v>
      </x:c>
      <x:c r="M104" s="414" t="n">
        <x:f>IF(K104=0,0,L104/K104)</x:f>
        <x:v>0</x:v>
      </x:c>
      <x:c r="N104" s="411" t="str"/>
      <x:c r="O104" s="411" t="str">
        <x:v>Devansh</x:v>
      </x:c>
      <x:c r="P104" s="411" t="str"/>
      <x:c r="Q104" s="411" t="str">
        <x:v>req_100</x:v>
      </x:c>
      <x:c r="R104" s="373"/>
      <x:c r="S104" s="373"/>
      <x:c r="T104" s="373"/>
      <x:c r="U104" s="373"/>
      <x:c r="V104" s="373"/>
      <x:c r="W104" s="373"/>
      <x:c r="X104" s="373"/>
      <x:c r="Y104" s="373"/>
      <x:c r="Z104" s="373"/>
    </x:row>
    <x:row r="105">
      <x:c r="A105" s="411" t="str">
        <x:v>REQ-101</x:v>
      </x:c>
      <x:c r="B105" s="411" t="str">
        <x:v>v0.2.1</x:v>
      </x:c>
      <x:c r="C105" s="411" t="str">
        <x:v>Data</x:v>
      </x:c>
      <x:c r="D105" s="411" t="str">
        <x:v>The platform shall validate records before storage or dashboard ingestion.</x:v>
      </x:c>
      <x:c r="E105" s="411" t="str">
        <x:v>Supports Ground Truth &amp; Logging Schema and removes a documented project limitation.</x:v>
      </x:c>
      <x:c r="F105" s="411" t="str">
        <x:v>High</x:v>
      </x:c>
      <x:c r="G105" s="411" t="str">
        <x:v>Test</x:v>
      </x:c>
      <x:c r="H105" s="411" t="str">
        <x:v>Nominal and negative tests pass; behavior is documented and reproducible.</x:v>
      </x:c>
      <x:c r="I105" s="411" t="str">
        <x:v>Draft</x:v>
      </x:c>
      <x:c r="J105" s="411" t="str">
        <x:v>F-LOG-003</x:v>
      </x:c>
      <x:c r="K105" s="464" t="n">
        <x:f>COUNTIF(Test_Cases!$E$5:$E$1000,A105)</x:f>
        <x:v>1</x:v>
      </x:c>
      <x:c r="L105" s="464" t="n">
        <x:f>COUNTIFS(Test_Cases!$E$5:$E$1000,A105,Test_Cases!$L$5:$L$1000,"Passed")</x:f>
        <x:v>0</x:v>
      </x:c>
      <x:c r="M105" s="414" t="n">
        <x:f>IF(K105=0,0,L105/K105)</x:f>
        <x:v>0</x:v>
      </x:c>
      <x:c r="N105" s="411" t="str"/>
      <x:c r="O105" s="411" t="str">
        <x:v>Devansh</x:v>
      </x:c>
      <x:c r="P105" s="411" t="str"/>
      <x:c r="Q105" s="411" t="str">
        <x:v>req_101</x:v>
      </x:c>
      <x:c r="R105" s="373"/>
      <x:c r="S105" s="373"/>
      <x:c r="T105" s="373"/>
      <x:c r="U105" s="373"/>
      <x:c r="V105" s="373"/>
      <x:c r="W105" s="373"/>
      <x:c r="X105" s="373"/>
      <x:c r="Y105" s="373"/>
      <x:c r="Z105" s="373"/>
    </x:row>
    <x:row r="106">
      <x:c r="A106" s="411" t="str">
        <x:v>REQ-102</x:v>
      </x:c>
      <x:c r="B106" s="411" t="str">
        <x:v>v0.2.2</x:v>
      </x:c>
      <x:c r="C106" s="411" t="str">
        <x:v>Scenario</x:v>
      </x:c>
      <x:c r="D106" s="411" t="str">
        <x:v>The platform shall define world, start, goal, mode, profile, faults, metrics, and acceptance criteria.</x:v>
      </x:c>
      <x:c r="E106" s="411" t="str">
        <x:v>Supports Scenario Runner and removes a documented project limitation.</x:v>
      </x:c>
      <x:c r="F106" s="411" t="str">
        <x:v>Critical</x:v>
      </x:c>
      <x:c r="G106" s="411" t="str">
        <x:v>Test</x:v>
      </x:c>
      <x:c r="H106" s="411" t="str">
        <x:v>Acceptance test passes; failure path is verified; regression suite remains green.</x:v>
      </x:c>
      <x:c r="I106" s="411" t="str">
        <x:v>Draft</x:v>
      </x:c>
      <x:c r="J106" s="411" t="str">
        <x:v>F-SCEN-001</x:v>
      </x:c>
      <x:c r="K106" s="464" t="n">
        <x:f>COUNTIF(Test_Cases!$E$5:$E$1000,A106)</x:f>
        <x:v>2</x:v>
      </x:c>
      <x:c r="L106" s="464" t="n">
        <x:f>COUNTIFS(Test_Cases!$E$5:$E$1000,A106,Test_Cases!$L$5:$L$1000,"Passed")</x:f>
        <x:v>0</x:v>
      </x:c>
      <x:c r="M106" s="414" t="n">
        <x:f>IF(K106=0,0,L106/K106)</x:f>
        <x:v>0</x:v>
      </x:c>
      <x:c r="N106" s="411" t="str"/>
      <x:c r="O106" s="411" t="str">
        <x:v>Devansh</x:v>
      </x:c>
      <x:c r="P106" s="411" t="str"/>
      <x:c r="Q106" s="411" t="str">
        <x:v>req_102</x:v>
      </x:c>
      <x:c r="R106" s="373"/>
      <x:c r="S106" s="373"/>
      <x:c r="T106" s="373"/>
      <x:c r="U106" s="373"/>
      <x:c r="V106" s="373"/>
      <x:c r="W106" s="373"/>
      <x:c r="X106" s="373"/>
      <x:c r="Y106" s="373"/>
      <x:c r="Z106" s="373"/>
    </x:row>
    <x:row r="107">
      <x:c r="A107" s="411" t="str">
        <x:v>REQ-103</x:v>
      </x:c>
      <x:c r="B107" s="411" t="str">
        <x:v>v0.2.2</x:v>
      </x:c>
      <x:c r="C107" s="411" t="str">
        <x:v>Scenario</x:v>
      </x:c>
      <x:c r="D107" s="411" t="str">
        <x:v>The platform shall provide one-command scenario execution.</x:v>
      </x:c>
      <x:c r="E107" s="411" t="str">
        <x:v>Supports Scenario Runner and removes a documented project limitation.</x:v>
      </x:c>
      <x:c r="F107" s="411" t="str">
        <x:v>Critical</x:v>
      </x:c>
      <x:c r="G107" s="411" t="str">
        <x:v>Test</x:v>
      </x:c>
      <x:c r="H107" s="411" t="str">
        <x:v>Acceptance test passes; failure path is verified; regression suite remains green.</x:v>
      </x:c>
      <x:c r="I107" s="411" t="str">
        <x:v>Draft</x:v>
      </x:c>
      <x:c r="J107" s="411" t="str">
        <x:v>F-SCEN-002</x:v>
      </x:c>
      <x:c r="K107" s="464" t="n">
        <x:f>COUNTIF(Test_Cases!$E$5:$E$1000,A107)</x:f>
        <x:v>2</x:v>
      </x:c>
      <x:c r="L107" s="464" t="n">
        <x:f>COUNTIFS(Test_Cases!$E$5:$E$1000,A107,Test_Cases!$L$5:$L$1000,"Passed")</x:f>
        <x:v>0</x:v>
      </x:c>
      <x:c r="M107" s="414" t="n">
        <x:f>IF(K107=0,0,L107/K107)</x:f>
        <x:v>0</x:v>
      </x:c>
      <x:c r="N107" s="411" t="str"/>
      <x:c r="O107" s="411" t="str">
        <x:v>Devansh</x:v>
      </x:c>
      <x:c r="P107" s="411" t="str"/>
      <x:c r="Q107" s="411" t="str">
        <x:v>req_103</x:v>
      </x:c>
      <x:c r="R107" s="373"/>
      <x:c r="S107" s="373"/>
      <x:c r="T107" s="373"/>
      <x:c r="U107" s="373"/>
      <x:c r="V107" s="373"/>
      <x:c r="W107" s="373"/>
      <x:c r="X107" s="373"/>
      <x:c r="Y107" s="373"/>
      <x:c r="Z107" s="373"/>
    </x:row>
    <x:row r="108">
      <x:c r="A108" s="411" t="str">
        <x:v>REQ-104</x:v>
      </x:c>
      <x:c r="B108" s="411" t="str">
        <x:v>v0.2.2</x:v>
      </x:c>
      <x:c r="C108" s="411" t="str">
        <x:v>Scenario</x:v>
      </x:c>
      <x:c r="D108" s="411" t="str">
        <x:v>The platform shall expose the same runner contract to the future JS interface.</x:v>
      </x:c>
      <x:c r="E108" s="411" t="str">
        <x:v>Supports Scenario Runner and removes a documented project limitation.</x:v>
      </x:c>
      <x:c r="F108" s="411" t="str">
        <x:v>High</x:v>
      </x:c>
      <x:c r="G108" s="411" t="str">
        <x:v>Test</x:v>
      </x:c>
      <x:c r="H108" s="411" t="str">
        <x:v>Nominal and negative tests pass; behavior is documented and reproducible.</x:v>
      </x:c>
      <x:c r="I108" s="411" t="str">
        <x:v>Draft</x:v>
      </x:c>
      <x:c r="J108" s="411" t="str">
        <x:v>F-SCEN-003</x:v>
      </x:c>
      <x:c r="K108" s="464" t="n">
        <x:f>COUNTIF(Test_Cases!$E$5:$E$1000,A108)</x:f>
        <x:v>1</x:v>
      </x:c>
      <x:c r="L108" s="464" t="n">
        <x:f>COUNTIFS(Test_Cases!$E$5:$E$1000,A108,Test_Cases!$L$5:$L$1000,"Passed")</x:f>
        <x:v>0</x:v>
      </x:c>
      <x:c r="M108" s="414" t="n">
        <x:f>IF(K108=0,0,L108/K108)</x:f>
        <x:v>0</x:v>
      </x:c>
      <x:c r="N108" s="411" t="str"/>
      <x:c r="O108" s="411" t="str">
        <x:v>Devansh</x:v>
      </x:c>
      <x:c r="P108" s="411" t="str"/>
      <x:c r="Q108" s="411" t="str">
        <x:v>req_104</x:v>
      </x:c>
      <x:c r="R108" s="373"/>
      <x:c r="S108" s="373"/>
      <x:c r="T108" s="373"/>
      <x:c r="U108" s="373"/>
      <x:c r="V108" s="373"/>
      <x:c r="W108" s="373"/>
      <x:c r="X108" s="373"/>
      <x:c r="Y108" s="373"/>
      <x:c r="Z108" s="373"/>
    </x:row>
    <x:row r="109">
      <x:c r="A109" s="411" t="str">
        <x:v>REQ-105</x:v>
      </x:c>
      <x:c r="B109" s="411" t="str">
        <x:v>v0.2.2</x:v>
      </x:c>
      <x:c r="C109" s="411" t="str">
        <x:v>Scenario</x:v>
      </x:c>
      <x:c r="D109" s="411" t="str">
        <x:v>The platform shall guarantee evidence flush and process cleanup after every run.</x:v>
      </x:c>
      <x:c r="E109" s="411" t="str">
        <x:v>Supports Scenario Runner and removes a documented project limitation.</x:v>
      </x:c>
      <x:c r="F109" s="411" t="str">
        <x:v>Critical</x:v>
      </x:c>
      <x:c r="G109" s="411" t="str">
        <x:v>Test</x:v>
      </x:c>
      <x:c r="H109" s="411" t="str">
        <x:v>Acceptance test passes; failure path is verified; regression suite remains green.</x:v>
      </x:c>
      <x:c r="I109" s="411" t="str">
        <x:v>Draft</x:v>
      </x:c>
      <x:c r="J109" s="411" t="str">
        <x:v>F-SCEN-004</x:v>
      </x:c>
      <x:c r="K109" s="464" t="n">
        <x:f>COUNTIF(Test_Cases!$E$5:$E$1000,A109)</x:f>
        <x:v>2</x:v>
      </x:c>
      <x:c r="L109" s="464" t="n">
        <x:f>COUNTIFS(Test_Cases!$E$5:$E$1000,A109,Test_Cases!$L$5:$L$1000,"Passed")</x:f>
        <x:v>0</x:v>
      </x:c>
      <x:c r="M109" s="414" t="n">
        <x:f>IF(K109=0,0,L109/K109)</x:f>
        <x:v>0</x:v>
      </x:c>
      <x:c r="N109" s="411" t="str"/>
      <x:c r="O109" s="411" t="str">
        <x:v>Devansh</x:v>
      </x:c>
      <x:c r="P109" s="411" t="str"/>
      <x:c r="Q109" s="411" t="str">
        <x:v>req_105</x:v>
      </x:c>
      <x:c r="R109" s="373"/>
      <x:c r="S109" s="373"/>
      <x:c r="T109" s="373"/>
      <x:c r="U109" s="373"/>
      <x:c r="V109" s="373"/>
      <x:c r="W109" s="373"/>
      <x:c r="X109" s="373"/>
      <x:c r="Y109" s="373"/>
      <x:c r="Z109" s="373"/>
    </x:row>
    <x:row r="110">
      <x:c r="A110" s="411" t="str">
        <x:v>REQ-106</x:v>
      </x:c>
      <x:c r="B110" s="411" t="str">
        <x:v>v0.2.3</x:v>
      </x:c>
      <x:c r="C110" s="411" t="str">
        <x:v>Metrics</x:v>
      </x:c>
      <x:c r="D110" s="411" t="str">
        <x:v>The platform shall compute position/yaw error, RMSE, convergence, and recovery.</x:v>
      </x:c>
      <x:c r="E110" s="411" t="str">
        <x:v>Supports Metrics Engine and removes a documented project limitation.</x:v>
      </x:c>
      <x:c r="F110" s="411" t="str">
        <x:v>Critical</x:v>
      </x:c>
      <x:c r="G110" s="411" t="str">
        <x:v>Test</x:v>
      </x:c>
      <x:c r="H110" s="411" t="str">
        <x:v>Acceptance test passes; failure path is verified; regression suite remains green.</x:v>
      </x:c>
      <x:c r="I110" s="411" t="str">
        <x:v>Draft</x:v>
      </x:c>
      <x:c r="J110" s="411" t="str">
        <x:v>F-MET-001</x:v>
      </x:c>
      <x:c r="K110" s="464" t="n">
        <x:f>COUNTIF(Test_Cases!$E$5:$E$1000,A110)</x:f>
        <x:v>2</x:v>
      </x:c>
      <x:c r="L110" s="464" t="n">
        <x:f>COUNTIFS(Test_Cases!$E$5:$E$1000,A110,Test_Cases!$L$5:$L$1000,"Passed")</x:f>
        <x:v>0</x:v>
      </x:c>
      <x:c r="M110" s="414" t="n">
        <x:f>IF(K110=0,0,L110/K110)</x:f>
        <x:v>0</x:v>
      </x:c>
      <x:c r="N110" s="411" t="str"/>
      <x:c r="O110" s="411" t="str">
        <x:v>Devansh</x:v>
      </x:c>
      <x:c r="P110" s="411" t="str"/>
      <x:c r="Q110" s="411" t="str">
        <x:v>req_106</x:v>
      </x:c>
      <x:c r="R110" s="373"/>
      <x:c r="S110" s="373"/>
      <x:c r="T110" s="373"/>
      <x:c r="U110" s="373"/>
      <x:c r="V110" s="373"/>
      <x:c r="W110" s="373"/>
      <x:c r="X110" s="373"/>
      <x:c r="Y110" s="373"/>
      <x:c r="Z110" s="373"/>
    </x:row>
    <x:row r="111">
      <x:c r="A111" s="411" t="str">
        <x:v>REQ-107</x:v>
      </x:c>
      <x:c r="B111" s="411" t="str">
        <x:v>v0.2.3</x:v>
      </x:c>
      <x:c r="C111" s="411" t="str">
        <x:v>Metrics</x:v>
      </x:c>
      <x:c r="D111" s="411" t="str">
        <x:v>The platform shall compute success, time, path, clearance, replans, oscillation, and final error.</x:v>
      </x:c>
      <x:c r="E111" s="411" t="str">
        <x:v>Supports Metrics Engine and removes a documented project limitation.</x:v>
      </x:c>
      <x:c r="F111" s="411" t="str">
        <x:v>Critical</x:v>
      </x:c>
      <x:c r="G111" s="411" t="str">
        <x:v>Test</x:v>
      </x:c>
      <x:c r="H111" s="411" t="str">
        <x:v>Acceptance test passes; failure path is verified; regression suite remains green.</x:v>
      </x:c>
      <x:c r="I111" s="411" t="str">
        <x:v>Draft</x:v>
      </x:c>
      <x:c r="J111" s="411" t="str">
        <x:v>F-MET-002</x:v>
      </x:c>
      <x:c r="K111" s="464" t="n">
        <x:f>COUNTIF(Test_Cases!$E$5:$E$1000,A111)</x:f>
        <x:v>2</x:v>
      </x:c>
      <x:c r="L111" s="464" t="n">
        <x:f>COUNTIFS(Test_Cases!$E$5:$E$1000,A111,Test_Cases!$L$5:$L$1000,"Passed")</x:f>
        <x:v>0</x:v>
      </x:c>
      <x:c r="M111" s="414" t="n">
        <x:f>IF(K111=0,0,L111/K111)</x:f>
        <x:v>0</x:v>
      </x:c>
      <x:c r="N111" s="411" t="str"/>
      <x:c r="O111" s="411" t="str">
        <x:v>Devansh</x:v>
      </x:c>
      <x:c r="P111" s="411" t="str"/>
      <x:c r="Q111" s="411" t="str">
        <x:v>req_107</x:v>
      </x:c>
      <x:c r="R111" s="373"/>
      <x:c r="S111" s="373"/>
      <x:c r="T111" s="373"/>
      <x:c r="U111" s="373"/>
      <x:c r="V111" s="373"/>
      <x:c r="W111" s="373"/>
      <x:c r="X111" s="373"/>
      <x:c r="Y111" s="373"/>
      <x:c r="Z111" s="373"/>
    </x:row>
    <x:row r="112">
      <x:c r="A112" s="411" t="str">
        <x:v>REQ-108</x:v>
      </x:c>
      <x:c r="B112" s="411" t="str">
        <x:v>v0.2.3</x:v>
      </x:c>
      <x:c r="C112" s="411" t="str">
        <x:v>Metrics</x:v>
      </x:c>
      <x:c r="D112" s="411" t="str">
        <x:v>The platform shall compute response latency, speed violations, CPU, memory, and real-time factor.</x:v>
      </x:c>
      <x:c r="E112" s="411" t="str">
        <x:v>Supports Metrics Engine and removes a documented project limitation.</x:v>
      </x:c>
      <x:c r="F112" s="411" t="str">
        <x:v>High</x:v>
      </x:c>
      <x:c r="G112" s="411" t="str">
        <x:v>Test</x:v>
      </x:c>
      <x:c r="H112" s="411" t="str">
        <x:v>Nominal and negative tests pass; behavior is documented and reproducible.</x:v>
      </x:c>
      <x:c r="I112" s="411" t="str">
        <x:v>Draft</x:v>
      </x:c>
      <x:c r="J112" s="411" t="str">
        <x:v>F-MET-003</x:v>
      </x:c>
      <x:c r="K112" s="464" t="n">
        <x:f>COUNTIF(Test_Cases!$E$5:$E$1000,A112)</x:f>
        <x:v>1</x:v>
      </x:c>
      <x:c r="L112" s="464" t="n">
        <x:f>COUNTIFS(Test_Cases!$E$5:$E$1000,A112,Test_Cases!$L$5:$L$1000,"Passed")</x:f>
        <x:v>0</x:v>
      </x:c>
      <x:c r="M112" s="414" t="n">
        <x:f>IF(K112=0,0,L112/K112)</x:f>
        <x:v>0</x:v>
      </x:c>
      <x:c r="N112" s="411" t="str"/>
      <x:c r="O112" s="411" t="str">
        <x:v>Devansh</x:v>
      </x:c>
      <x:c r="P112" s="411" t="str"/>
      <x:c r="Q112" s="411" t="str">
        <x:v>req_108</x:v>
      </x:c>
      <x:c r="R112" s="373"/>
      <x:c r="S112" s="373"/>
      <x:c r="T112" s="373"/>
      <x:c r="U112" s="373"/>
      <x:c r="V112" s="373"/>
      <x:c r="W112" s="373"/>
      <x:c r="X112" s="373"/>
      <x:c r="Y112" s="373"/>
      <x:c r="Z112" s="373"/>
    </x:row>
    <x:row r="113">
      <x:c r="A113" s="411" t="str">
        <x:v>REQ-109</x:v>
      </x:c>
      <x:c r="B113" s="411" t="str">
        <x:v>v0.2.3</x:v>
      </x:c>
      <x:c r="C113" s="411" t="str">
        <x:v>Verification</x:v>
      </x:c>
      <x:c r="D113" s="411" t="str">
        <x:v>The platform shall validate metric calculations against known datasets.</x:v>
      </x:c>
      <x:c r="E113" s="411" t="str">
        <x:v>Supports Metrics Engine and removes a documented project limitation.</x:v>
      </x:c>
      <x:c r="F113" s="411" t="str">
        <x:v>Critical</x:v>
      </x:c>
      <x:c r="G113" s="411" t="str">
        <x:v>Test</x:v>
      </x:c>
      <x:c r="H113" s="411" t="str">
        <x:v>Acceptance test passes; failure path is verified; regression suite remains green.</x:v>
      </x:c>
      <x:c r="I113" s="411" t="str">
        <x:v>Draft</x:v>
      </x:c>
      <x:c r="J113" s="411" t="str">
        <x:v>F-MET-004</x:v>
      </x:c>
      <x:c r="K113" s="464" t="n">
        <x:f>COUNTIF(Test_Cases!$E$5:$E$1000,A113)</x:f>
        <x:v>2</x:v>
      </x:c>
      <x:c r="L113" s="464" t="n">
        <x:f>COUNTIFS(Test_Cases!$E$5:$E$1000,A113,Test_Cases!$L$5:$L$1000,"Passed")</x:f>
        <x:v>0</x:v>
      </x:c>
      <x:c r="M113" s="414" t="n">
        <x:f>IF(K113=0,0,L113/K113)</x:f>
        <x:v>0</x:v>
      </x:c>
      <x:c r="N113" s="411" t="str"/>
      <x:c r="O113" s="411" t="str">
        <x:v>Devansh</x:v>
      </x:c>
      <x:c r="P113" s="411" t="str"/>
      <x:c r="Q113" s="411" t="str">
        <x:v>req_109</x:v>
      </x:c>
      <x:c r="R113" s="373"/>
      <x:c r="S113" s="373"/>
      <x:c r="T113" s="373"/>
      <x:c r="U113" s="373"/>
      <x:c r="V113" s="373"/>
      <x:c r="W113" s="373"/>
      <x:c r="X113" s="373"/>
      <x:c r="Y113" s="373"/>
      <x:c r="Z113" s="373"/>
    </x:row>
    <x:row r="114">
      <x:c r="A114" s="411" t="str">
        <x:v>REQ-110</x:v>
      </x:c>
      <x:c r="B114" s="411" t="str">
        <x:v>v0.2.4</x:v>
      </x:c>
      <x:c r="C114" s="411" t="str">
        <x:v>Experimentation</x:v>
      </x:c>
      <x:c r="D114" s="411" t="str">
        <x:v>The platform shall execute repeated runs using controlled random seeds.</x:v>
      </x:c>
      <x:c r="E114" s="411" t="str">
        <x:v>Supports Batch Experimentation and removes a documented project limitation.</x:v>
      </x:c>
      <x:c r="F114" s="411" t="str">
        <x:v>Critical</x:v>
      </x:c>
      <x:c r="G114" s="411" t="str">
        <x:v>Test</x:v>
      </x:c>
      <x:c r="H114" s="411" t="str">
        <x:v>Acceptance test passes; failure path is verified; regression suite remains green.</x:v>
      </x:c>
      <x:c r="I114" s="411" t="str">
        <x:v>Draft</x:v>
      </x:c>
      <x:c r="J114" s="411" t="str">
        <x:v>F-BATCH-001</x:v>
      </x:c>
      <x:c r="K114" s="464" t="n">
        <x:f>COUNTIF(Test_Cases!$E$5:$E$1000,A114)</x:f>
        <x:v>2</x:v>
      </x:c>
      <x:c r="L114" s="464" t="n">
        <x:f>COUNTIFS(Test_Cases!$E$5:$E$1000,A114,Test_Cases!$L$5:$L$1000,"Passed")</x:f>
        <x:v>0</x:v>
      </x:c>
      <x:c r="M114" s="414" t="n">
        <x:f>IF(K114=0,0,L114/K114)</x:f>
        <x:v>0</x:v>
      </x:c>
      <x:c r="N114" s="411" t="str"/>
      <x:c r="O114" s="411" t="str">
        <x:v>Devansh</x:v>
      </x:c>
      <x:c r="P114" s="411" t="str"/>
      <x:c r="Q114" s="411" t="str">
        <x:v>req_110</x:v>
      </x:c>
      <x:c r="R114" s="373"/>
      <x:c r="S114" s="373"/>
      <x:c r="T114" s="373"/>
      <x:c r="U114" s="373"/>
      <x:c r="V114" s="373"/>
      <x:c r="W114" s="373"/>
      <x:c r="X114" s="373"/>
      <x:c r="Y114" s="373"/>
      <x:c r="Z114" s="373"/>
    </x:row>
    <x:row r="115">
      <x:c r="A115" s="411" t="str">
        <x:v>REQ-111</x:v>
      </x:c>
      <x:c r="B115" s="411" t="str">
        <x:v>v0.2.4</x:v>
      </x:c>
      <x:c r="C115" s="411" t="str">
        <x:v>Experimentation</x:v>
      </x:c>
      <x:c r="D115" s="411" t="str">
        <x:v>The platform shall sweep profiles and parameters while preserving traceability.</x:v>
      </x:c>
      <x:c r="E115" s="411" t="str">
        <x:v>Supports Batch Experimentation and removes a documented project limitation.</x:v>
      </x:c>
      <x:c r="F115" s="411" t="str">
        <x:v>High</x:v>
      </x:c>
      <x:c r="G115" s="411" t="str">
        <x:v>Test</x:v>
      </x:c>
      <x:c r="H115" s="411" t="str">
        <x:v>Nominal and negative tests pass; behavior is documented and reproducible.</x:v>
      </x:c>
      <x:c r="I115" s="411" t="str">
        <x:v>Draft</x:v>
      </x:c>
      <x:c r="J115" s="411" t="str">
        <x:v>F-BATCH-002</x:v>
      </x:c>
      <x:c r="K115" s="464" t="n">
        <x:f>COUNTIF(Test_Cases!$E$5:$E$1000,A115)</x:f>
        <x:v>1</x:v>
      </x:c>
      <x:c r="L115" s="464" t="n">
        <x:f>COUNTIFS(Test_Cases!$E$5:$E$1000,A115,Test_Cases!$L$5:$L$1000,"Passed")</x:f>
        <x:v>0</x:v>
      </x:c>
      <x:c r="M115" s="414" t="n">
        <x:f>IF(K115=0,0,L115/K115)</x:f>
        <x:v>0</x:v>
      </x:c>
      <x:c r="N115" s="411" t="str"/>
      <x:c r="O115" s="411" t="str">
        <x:v>Devansh</x:v>
      </x:c>
      <x:c r="P115" s="411" t="str"/>
      <x:c r="Q115" s="411" t="str">
        <x:v>req_111</x:v>
      </x:c>
      <x:c r="R115" s="373"/>
      <x:c r="S115" s="373"/>
      <x:c r="T115" s="373"/>
      <x:c r="U115" s="373"/>
      <x:c r="V115" s="373"/>
      <x:c r="W115" s="373"/>
      <x:c r="X115" s="373"/>
      <x:c r="Y115" s="373"/>
      <x:c r="Z115" s="373"/>
    </x:row>
    <x:row r="116">
      <x:c r="A116" s="411" t="str">
        <x:v>REQ-112</x:v>
      </x:c>
      <x:c r="B116" s="411" t="str">
        <x:v>v0.2.4</x:v>
      </x:c>
      <x:c r="C116" s="411" t="str">
        <x:v>Experimentation</x:v>
      </x:c>
      <x:c r="D116" s="411" t="str">
        <x:v>The platform shall sweep sensor noise, delays, and fault intensities.</x:v>
      </x:c>
      <x:c r="E116" s="411" t="str">
        <x:v>Supports Batch Experimentation and removes a documented project limitation.</x:v>
      </x:c>
      <x:c r="F116" s="411" t="str">
        <x:v>High</x:v>
      </x:c>
      <x:c r="G116" s="411" t="str">
        <x:v>Test</x:v>
      </x:c>
      <x:c r="H116" s="411" t="str">
        <x:v>Nominal and negative tests pass; behavior is documented and reproducible.</x:v>
      </x:c>
      <x:c r="I116" s="411" t="str">
        <x:v>Draft</x:v>
      </x:c>
      <x:c r="J116" s="411" t="str">
        <x:v>F-BATCH-003</x:v>
      </x:c>
      <x:c r="K116" s="464" t="n">
        <x:f>COUNTIF(Test_Cases!$E$5:$E$1000,A116)</x:f>
        <x:v>1</x:v>
      </x:c>
      <x:c r="L116" s="464" t="n">
        <x:f>COUNTIFS(Test_Cases!$E$5:$E$1000,A116,Test_Cases!$L$5:$L$1000,"Passed")</x:f>
        <x:v>0</x:v>
      </x:c>
      <x:c r="M116" s="414" t="n">
        <x:f>IF(K116=0,0,L116/K116)</x:f>
        <x:v>0</x:v>
      </x:c>
      <x:c r="N116" s="411" t="str"/>
      <x:c r="O116" s="411" t="str">
        <x:v>Devansh</x:v>
      </x:c>
      <x:c r="P116" s="411" t="str"/>
      <x:c r="Q116" s="411" t="str">
        <x:v>req_112</x:v>
      </x:c>
      <x:c r="R116" s="373"/>
      <x:c r="S116" s="373"/>
      <x:c r="T116" s="373"/>
      <x:c r="U116" s="373"/>
      <x:c r="V116" s="373"/>
      <x:c r="W116" s="373"/>
      <x:c r="X116" s="373"/>
      <x:c r="Y116" s="373"/>
      <x:c r="Z116" s="373"/>
    </x:row>
    <x:row r="117">
      <x:c r="A117" s="411" t="str">
        <x:v>REQ-113</x:v>
      </x:c>
      <x:c r="B117" s="411" t="str">
        <x:v>v0.2.4</x:v>
      </x:c>
      <x:c r="C117" s="411" t="str">
        <x:v>Statistics</x:v>
      </x:c>
      <x:c r="D117" s="411" t="str">
        <x:v>The platform shall calculate distributions, percentiles, success rates, and outliers.</x:v>
      </x:c>
      <x:c r="E117" s="411" t="str">
        <x:v>Supports Batch Experimentation and removes a documented project limitation.</x:v>
      </x:c>
      <x:c r="F117" s="411" t="str">
        <x:v>Critical</x:v>
      </x:c>
      <x:c r="G117" s="411" t="str">
        <x:v>Test</x:v>
      </x:c>
      <x:c r="H117" s="411" t="str">
        <x:v>Acceptance test passes; failure path is verified; regression suite remains green.</x:v>
      </x:c>
      <x:c r="I117" s="411" t="str">
        <x:v>Draft</x:v>
      </x:c>
      <x:c r="J117" s="411" t="str">
        <x:v>F-BATCH-004</x:v>
      </x:c>
      <x:c r="K117" s="464" t="n">
        <x:f>COUNTIF(Test_Cases!$E$5:$E$1000,A117)</x:f>
        <x:v>2</x:v>
      </x:c>
      <x:c r="L117" s="464" t="n">
        <x:f>COUNTIFS(Test_Cases!$E$5:$E$1000,A117,Test_Cases!$L$5:$L$1000,"Passed")</x:f>
        <x:v>0</x:v>
      </x:c>
      <x:c r="M117" s="414" t="n">
        <x:f>IF(K117=0,0,L117/K117)</x:f>
        <x:v>0</x:v>
      </x:c>
      <x:c r="N117" s="411" t="str"/>
      <x:c r="O117" s="411" t="str">
        <x:v>Devansh</x:v>
      </x:c>
      <x:c r="P117" s="411" t="str"/>
      <x:c r="Q117" s="411" t="str">
        <x:v>req_113</x:v>
      </x:c>
      <x:c r="R117" s="373"/>
      <x:c r="S117" s="373"/>
      <x:c r="T117" s="373"/>
      <x:c r="U117" s="373"/>
      <x:c r="V117" s="373"/>
      <x:c r="W117" s="373"/>
      <x:c r="X117" s="373"/>
      <x:c r="Y117" s="373"/>
      <x:c r="Z117" s="373"/>
    </x:row>
    <x:row r="118">
      <x:c r="A118" s="411" t="str">
        <x:v>REQ-114</x:v>
      </x:c>
      <x:c r="B118" s="411" t="str">
        <x:v>v0.2.5</x:v>
      </x:c>
      <x:c r="C118" s="411" t="str">
        <x:v>Reporting</x:v>
      </x:c>
      <x:c r="D118" s="411" t="str">
        <x:v>The platform shall generate machine-readable run and release summaries.</x:v>
      </x:c>
      <x:c r="E118" s="411" t="str">
        <x:v>Supports Analytics Reports and removes a documented project limitation.</x:v>
      </x:c>
      <x:c r="F118" s="411" t="str">
        <x:v>High</x:v>
      </x:c>
      <x:c r="G118" s="411" t="str">
        <x:v>Test</x:v>
      </x:c>
      <x:c r="H118" s="411" t="str">
        <x:v>Nominal and negative tests pass; behavior is documented and reproducible.</x:v>
      </x:c>
      <x:c r="I118" s="411" t="str">
        <x:v>Draft</x:v>
      </x:c>
      <x:c r="J118" s="411" t="str">
        <x:v>F-REPORT-001</x:v>
      </x:c>
      <x:c r="K118" s="464" t="n">
        <x:f>COUNTIF(Test_Cases!$E$5:$E$1000,A118)</x:f>
        <x:v>1</x:v>
      </x:c>
      <x:c r="L118" s="464" t="n">
        <x:f>COUNTIFS(Test_Cases!$E$5:$E$1000,A118,Test_Cases!$L$5:$L$1000,"Passed")</x:f>
        <x:v>0</x:v>
      </x:c>
      <x:c r="M118" s="414" t="n">
        <x:f>IF(K118=0,0,L118/K118)</x:f>
        <x:v>0</x:v>
      </x:c>
      <x:c r="N118" s="411" t="str"/>
      <x:c r="O118" s="411" t="str">
        <x:v>Devansh</x:v>
      </x:c>
      <x:c r="P118" s="411" t="str"/>
      <x:c r="Q118" s="411" t="str">
        <x:v>req_114</x:v>
      </x:c>
      <x:c r="R118" s="373"/>
      <x:c r="S118" s="373"/>
      <x:c r="T118" s="373"/>
      <x:c r="U118" s="373"/>
      <x:c r="V118" s="373"/>
      <x:c r="W118" s="373"/>
      <x:c r="X118" s="373"/>
      <x:c r="Y118" s="373"/>
      <x:c r="Z118" s="373"/>
    </x:row>
    <x:row r="119">
      <x:c r="A119" s="411" t="str">
        <x:v>REQ-115</x:v>
      </x:c>
      <x:c r="B119" s="411" t="str">
        <x:v>v0.2.5</x:v>
      </x:c>
      <x:c r="C119" s="411" t="str">
        <x:v>Reporting</x:v>
      </x:c>
      <x:c r="D119" s="411" t="str">
        <x:v>The platform shall generate human-readable evidence packages.</x:v>
      </x:c>
      <x:c r="E119" s="411" t="str">
        <x:v>Supports Analytics Reports and removes a documented project limitation.</x:v>
      </x:c>
      <x:c r="F119" s="411" t="str">
        <x:v>Critical</x:v>
      </x:c>
      <x:c r="G119" s="411" t="str">
        <x:v>Test</x:v>
      </x:c>
      <x:c r="H119" s="411" t="str">
        <x:v>Acceptance test passes; failure path is verified; regression suite remains green.</x:v>
      </x:c>
      <x:c r="I119" s="411" t="str">
        <x:v>Draft</x:v>
      </x:c>
      <x:c r="J119" s="411" t="str">
        <x:v>F-REPORT-002</x:v>
      </x:c>
      <x:c r="K119" s="464" t="n">
        <x:f>COUNTIF(Test_Cases!$E$5:$E$1000,A119)</x:f>
        <x:v>2</x:v>
      </x:c>
      <x:c r="L119" s="464" t="n">
        <x:f>COUNTIFS(Test_Cases!$E$5:$E$1000,A119,Test_Cases!$L$5:$L$1000,"Passed")</x:f>
        <x:v>0</x:v>
      </x:c>
      <x:c r="M119" s="414" t="n">
        <x:f>IF(K119=0,0,L119/K119)</x:f>
        <x:v>0</x:v>
      </x:c>
      <x:c r="N119" s="411" t="str"/>
      <x:c r="O119" s="411" t="str">
        <x:v>Devansh</x:v>
      </x:c>
      <x:c r="P119" s="411" t="str"/>
      <x:c r="Q119" s="411" t="str">
        <x:v>req_115</x:v>
      </x:c>
      <x:c r="R119" s="373"/>
      <x:c r="S119" s="373"/>
      <x:c r="T119" s="373"/>
      <x:c r="U119" s="373"/>
      <x:c r="V119" s="373"/>
      <x:c r="W119" s="373"/>
      <x:c r="X119" s="373"/>
      <x:c r="Y119" s="373"/>
      <x:c r="Z119" s="373"/>
    </x:row>
    <x:row r="120">
      <x:c r="A120" s="411" t="str">
        <x:v>REQ-116</x:v>
      </x:c>
      <x:c r="B120" s="411" t="str">
        <x:v>v0.2.5</x:v>
      </x:c>
      <x:c r="C120" s="411" t="str">
        <x:v>Visualization</x:v>
      </x:c>
      <x:c r="D120" s="411" t="str">
        <x:v>The platform shall generate time series, error distributions, trends, and Pareto charts.</x:v>
      </x:c>
      <x:c r="E120" s="411" t="str">
        <x:v>Supports Analytics Reports and removes a documented project limitation.</x:v>
      </x:c>
      <x:c r="F120" s="411" t="str">
        <x:v>High</x:v>
      </x:c>
      <x:c r="G120" s="411" t="str">
        <x:v>Test</x:v>
      </x:c>
      <x:c r="H120" s="411" t="str">
        <x:v>Nominal and negative tests pass; behavior is documented and reproducible.</x:v>
      </x:c>
      <x:c r="I120" s="411" t="str">
        <x:v>Draft</x:v>
      </x:c>
      <x:c r="J120" s="411" t="str">
        <x:v>F-REPORT-003</x:v>
      </x:c>
      <x:c r="K120" s="464" t="n">
        <x:f>COUNTIF(Test_Cases!$E$5:$E$1000,A120)</x:f>
        <x:v>1</x:v>
      </x:c>
      <x:c r="L120" s="464" t="n">
        <x:f>COUNTIFS(Test_Cases!$E$5:$E$1000,A120,Test_Cases!$L$5:$L$1000,"Passed")</x:f>
        <x:v>0</x:v>
      </x:c>
      <x:c r="M120" s="414" t="n">
        <x:f>IF(K120=0,0,L120/K120)</x:f>
        <x:v>0</x:v>
      </x:c>
      <x:c r="N120" s="411" t="str"/>
      <x:c r="O120" s="411" t="str">
        <x:v>Devansh</x:v>
      </x:c>
      <x:c r="P120" s="411" t="str"/>
      <x:c r="Q120" s="411" t="str">
        <x:v>req_116</x:v>
      </x:c>
      <x:c r="R120" s="373"/>
      <x:c r="S120" s="373"/>
      <x:c r="T120" s="373"/>
      <x:c r="U120" s="373"/>
      <x:c r="V120" s="373"/>
      <x:c r="W120" s="373"/>
      <x:c r="X120" s="373"/>
      <x:c r="Y120" s="373"/>
      <x:c r="Z120" s="373"/>
    </x:row>
    <x:row r="121">
      <x:c r="A121" s="411" t="str">
        <x:v>REQ-117</x:v>
      </x:c>
      <x:c r="B121" s="411" t="str">
        <x:v>v0.2.5</x:v>
      </x:c>
      <x:c r="C121" s="411" t="str">
        <x:v>Regression</x:v>
      </x:c>
      <x:c r="D121" s="411" t="str">
        <x:v>The platform shall identify statistically and operationally significant regressions.</x:v>
      </x:c>
      <x:c r="E121" s="411" t="str">
        <x:v>Supports Analytics Reports and removes a documented project limitation.</x:v>
      </x:c>
      <x:c r="F121" s="411" t="str">
        <x:v>Critical</x:v>
      </x:c>
      <x:c r="G121" s="411" t="str">
        <x:v>Test</x:v>
      </x:c>
      <x:c r="H121" s="411" t="str">
        <x:v>Acceptance test passes; failure path is verified; regression suite remains green.</x:v>
      </x:c>
      <x:c r="I121" s="411" t="str">
        <x:v>Draft</x:v>
      </x:c>
      <x:c r="J121" s="411" t="str">
        <x:v>F-REPORT-004</x:v>
      </x:c>
      <x:c r="K121" s="464" t="n">
        <x:f>COUNTIF(Test_Cases!$E$5:$E$1000,A121)</x:f>
        <x:v>2</x:v>
      </x:c>
      <x:c r="L121" s="464" t="n">
        <x:f>COUNTIFS(Test_Cases!$E$5:$E$1000,A121,Test_Cases!$L$5:$L$1000,"Passed")</x:f>
        <x:v>0</x:v>
      </x:c>
      <x:c r="M121" s="414" t="n">
        <x:f>IF(K121=0,0,L121/K121)</x:f>
        <x:v>0</x:v>
      </x:c>
      <x:c r="N121" s="411" t="str"/>
      <x:c r="O121" s="411" t="str">
        <x:v>Devansh</x:v>
      </x:c>
      <x:c r="P121" s="411" t="str"/>
      <x:c r="Q121" s="411" t="str">
        <x:v>req_117</x:v>
      </x:c>
      <x:c r="R121" s="373"/>
      <x:c r="S121" s="373"/>
      <x:c r="T121" s="373"/>
      <x:c r="U121" s="373"/>
      <x:c r="V121" s="373"/>
      <x:c r="W121" s="373"/>
      <x:c r="X121" s="373"/>
      <x:c r="Y121" s="373"/>
      <x:c r="Z121" s="373"/>
    </x:row>
    <x:row r="122">
      <x:c r="A122" s="411" t="str">
        <x:v>REQ-118</x:v>
      </x:c>
      <x:c r="B122" s="411" t="str">
        <x:v>v0.2.6</x:v>
      </x:c>
      <x:c r="C122" s="411" t="str">
        <x:v>Web</x:v>
      </x:c>
      <x:c r="D122" s="411" t="str">
        <x:v>The platform shall read standardized backend records using stable keys and types.</x:v>
      </x:c>
      <x:c r="E122" s="411" t="str">
        <x:v>Supports Mode Explorer Interface and removes a documented project limitation.</x:v>
      </x:c>
      <x:c r="F122" s="411" t="str">
        <x:v>Critical</x:v>
      </x:c>
      <x:c r="G122" s="411" t="str">
        <x:v>Test</x:v>
      </x:c>
      <x:c r="H122" s="411" t="str">
        <x:v>Acceptance test passes; failure path is verified; regression suite remains green.</x:v>
      </x:c>
      <x:c r="I122" s="411" t="str">
        <x:v>Draft</x:v>
      </x:c>
      <x:c r="J122" s="411" t="str">
        <x:v>F-WEB-001</x:v>
      </x:c>
      <x:c r="K122" s="464" t="n">
        <x:f>COUNTIF(Test_Cases!$E$5:$E$1000,A122)</x:f>
        <x:v>2</x:v>
      </x:c>
      <x:c r="L122" s="464" t="n">
        <x:f>COUNTIFS(Test_Cases!$E$5:$E$1000,A122,Test_Cases!$L$5:$L$1000,"Passed")</x:f>
        <x:v>0</x:v>
      </x:c>
      <x:c r="M122" s="414" t="n">
        <x:f>IF(K122=0,0,L122/K122)</x:f>
        <x:v>0</x:v>
      </x:c>
      <x:c r="N122" s="411" t="str"/>
      <x:c r="O122" s="411" t="str">
        <x:v>Devansh</x:v>
      </x:c>
      <x:c r="P122" s="411" t="str"/>
      <x:c r="Q122" s="411" t="str">
        <x:v>req_118</x:v>
      </x:c>
      <x:c r="R122" s="373"/>
      <x:c r="S122" s="373"/>
      <x:c r="T122" s="373"/>
      <x:c r="U122" s="373"/>
      <x:c r="V122" s="373"/>
      <x:c r="W122" s="373"/>
      <x:c r="X122" s="373"/>
      <x:c r="Y122" s="373"/>
      <x:c r="Z122" s="373"/>
    </x:row>
    <x:row r="123">
      <x:c r="A123" s="411" t="str">
        <x:v>REQ-119</x:v>
      </x:c>
      <x:c r="B123" s="411" t="str">
        <x:v>v0.2.6</x:v>
      </x:c>
      <x:c r="C123" s="411" t="str">
        <x:v>Web</x:v>
      </x:c>
      <x:c r="D123" s="411" t="str">
        <x:v>The platform shall choose mode, scenario, world, and parameter profile.</x:v>
      </x:c>
      <x:c r="E123" s="411" t="str">
        <x:v>Supports Mode Explorer Interface and removes a documented project limitation.</x:v>
      </x:c>
      <x:c r="F123" s="411" t="str">
        <x:v>High</x:v>
      </x:c>
      <x:c r="G123" s="411" t="str">
        <x:v>Test</x:v>
      </x:c>
      <x:c r="H123" s="411" t="str">
        <x:v>Nominal and negative tests pass; behavior is documented and reproducible.</x:v>
      </x:c>
      <x:c r="I123" s="411" t="str">
        <x:v>Draft</x:v>
      </x:c>
      <x:c r="J123" s="411" t="str">
        <x:v>F-WEB-002</x:v>
      </x:c>
      <x:c r="K123" s="464" t="n">
        <x:f>COUNTIF(Test_Cases!$E$5:$E$1000,A123)</x:f>
        <x:v>1</x:v>
      </x:c>
      <x:c r="L123" s="464" t="n">
        <x:f>COUNTIFS(Test_Cases!$E$5:$E$1000,A123,Test_Cases!$L$5:$L$1000,"Passed")</x:f>
        <x:v>0</x:v>
      </x:c>
      <x:c r="M123" s="414" t="n">
        <x:f>IF(K123=0,0,L123/K123)</x:f>
        <x:v>0</x:v>
      </x:c>
      <x:c r="N123" s="411" t="str"/>
      <x:c r="O123" s="411" t="str">
        <x:v>Devansh</x:v>
      </x:c>
      <x:c r="P123" s="411" t="str"/>
      <x:c r="Q123" s="411" t="str">
        <x:v>req_119</x:v>
      </x:c>
      <x:c r="R123" s="373"/>
      <x:c r="S123" s="373"/>
      <x:c r="T123" s="373"/>
      <x:c r="U123" s="373"/>
      <x:c r="V123" s="373"/>
      <x:c r="W123" s="373"/>
      <x:c r="X123" s="373"/>
      <x:c r="Y123" s="373"/>
      <x:c r="Z123" s="373"/>
    </x:row>
    <x:row r="124">
      <x:c r="A124" s="411" t="str">
        <x:v>REQ-120</x:v>
      </x:c>
      <x:c r="B124" s="411" t="str">
        <x:v>v0.2.6</x:v>
      </x:c>
      <x:c r="C124" s="411" t="str">
        <x:v>Web</x:v>
      </x:c>
      <x:c r="D124" s="411" t="str">
        <x:v>The platform shall select faults, start/cancel runs, and display lifecycle/readiness state.</x:v>
      </x:c>
      <x:c r="E124" s="411" t="str">
        <x:v>Supports Mode Explorer Interface and removes a documented project limitation.</x:v>
      </x:c>
      <x:c r="F124" s="411" t="str">
        <x:v>High</x:v>
      </x:c>
      <x:c r="G124" s="411" t="str">
        <x:v>Test</x:v>
      </x:c>
      <x:c r="H124" s="411" t="str">
        <x:v>Nominal and negative tests pass; behavior is documented and reproducible.</x:v>
      </x:c>
      <x:c r="I124" s="411" t="str">
        <x:v>Draft</x:v>
      </x:c>
      <x:c r="J124" s="411" t="str">
        <x:v>F-WEB-003</x:v>
      </x:c>
      <x:c r="K124" s="464" t="n">
        <x:f>COUNTIF(Test_Cases!$E$5:$E$1000,A124)</x:f>
        <x:v>1</x:v>
      </x:c>
      <x:c r="L124" s="464" t="n">
        <x:f>COUNTIFS(Test_Cases!$E$5:$E$1000,A124,Test_Cases!$L$5:$L$1000,"Passed")</x:f>
        <x:v>0</x:v>
      </x:c>
      <x:c r="M124" s="414" t="n">
        <x:f>IF(K124=0,0,L124/K124)</x:f>
        <x:v>0</x:v>
      </x:c>
      <x:c r="N124" s="411" t="str"/>
      <x:c r="O124" s="411" t="str">
        <x:v>Devansh</x:v>
      </x:c>
      <x:c r="P124" s="411" t="str"/>
      <x:c r="Q124" s="411" t="str">
        <x:v>req_120</x:v>
      </x:c>
      <x:c r="R124" s="373"/>
      <x:c r="S124" s="373"/>
      <x:c r="T124" s="373"/>
      <x:c r="U124" s="373"/>
      <x:c r="V124" s="373"/>
      <x:c r="W124" s="373"/>
      <x:c r="X124" s="373"/>
      <x:c r="Y124" s="373"/>
      <x:c r="Z124" s="373"/>
    </x:row>
    <x:row r="125">
      <x:c r="A125" s="411" t="str">
        <x:v>REQ-121</x:v>
      </x:c>
      <x:c r="B125" s="411" t="str">
        <x:v>v0.2.6</x:v>
      </x:c>
      <x:c r="C125" s="411" t="str">
        <x:v>Web</x:v>
      </x:c>
      <x:c r="D125" s="411" t="str">
        <x:v>The platform shall link dashboard records to logs, plots, tests, commits, and defects.</x:v>
      </x:c>
      <x:c r="E125" s="411" t="str">
        <x:v>Supports Mode Explorer Interface and removes a documented project limitation.</x:v>
      </x:c>
      <x:c r="F125" s="411" t="str">
        <x:v>High</x:v>
      </x:c>
      <x:c r="G125" s="411" t="str">
        <x:v>Test</x:v>
      </x:c>
      <x:c r="H125" s="411" t="str">
        <x:v>Nominal and negative tests pass; behavior is documented and reproducible.</x:v>
      </x:c>
      <x:c r="I125" s="411" t="str">
        <x:v>Draft</x:v>
      </x:c>
      <x:c r="J125" s="411" t="str">
        <x:v>F-WEB-004</x:v>
      </x:c>
      <x:c r="K125" s="464" t="n">
        <x:f>COUNTIF(Test_Cases!$E$5:$E$1000,A125)</x:f>
        <x:v>1</x:v>
      </x:c>
      <x:c r="L125" s="464" t="n">
        <x:f>COUNTIFS(Test_Cases!$E$5:$E$1000,A125,Test_Cases!$L$5:$L$1000,"Passed")</x:f>
        <x:v>0</x:v>
      </x:c>
      <x:c r="M125" s="414" t="n">
        <x:f>IF(K125=0,0,L125/K125)</x:f>
        <x:v>0</x:v>
      </x:c>
      <x:c r="N125" s="411" t="str"/>
      <x:c r="O125" s="411" t="str">
        <x:v>Devansh</x:v>
      </x:c>
      <x:c r="P125" s="411" t="str"/>
      <x:c r="Q125" s="411" t="str">
        <x:v>req_121</x:v>
      </x:c>
      <x:c r="R125" s="373"/>
      <x:c r="S125" s="373"/>
      <x:c r="T125" s="373"/>
      <x:c r="U125" s="373"/>
      <x:c r="V125" s="373"/>
      <x:c r="W125" s="373"/>
      <x:c r="X125" s="373"/>
      <x:c r="Y125" s="373"/>
      <x:c r="Z125" s="373"/>
    </x:row>
    <x:row r="126">
      <x:c r="A126" s="411" t="str">
        <x:v>REQ-122</x:v>
      </x:c>
      <x:c r="B126" s="411" t="str">
        <x:v>v0.2.7</x:v>
      </x:c>
      <x:c r="C126" s="411" t="str">
        <x:v>Dashboard</x:v>
      </x:c>
      <x:c r="D126" s="411" t="str">
        <x:v>The platform shall show release readiness, features, gates, tests, defects, and risks.</x:v>
      </x:c>
      <x:c r="E126" s="411" t="str">
        <x:v>Supports Verification Dashboard and removes a documented project limitation.</x:v>
      </x:c>
      <x:c r="F126" s="411" t="str">
        <x:v>Critical</x:v>
      </x:c>
      <x:c r="G126" s="411" t="str">
        <x:v>Test</x:v>
      </x:c>
      <x:c r="H126" s="411" t="str">
        <x:v>Acceptance test passes; failure path is verified; regression suite remains green.</x:v>
      </x:c>
      <x:c r="I126" s="411" t="str">
        <x:v>Draft</x:v>
      </x:c>
      <x:c r="J126" s="411" t="str">
        <x:v>F-DASH-001</x:v>
      </x:c>
      <x:c r="K126" s="464" t="n">
        <x:f>COUNTIF(Test_Cases!$E$5:$E$1000,A126)</x:f>
        <x:v>2</x:v>
      </x:c>
      <x:c r="L126" s="464" t="n">
        <x:f>COUNTIFS(Test_Cases!$E$5:$E$1000,A126,Test_Cases!$L$5:$L$1000,"Passed")</x:f>
        <x:v>0</x:v>
      </x:c>
      <x:c r="M126" s="414" t="n">
        <x:f>IF(K126=0,0,L126/K126)</x:f>
        <x:v>0</x:v>
      </x:c>
      <x:c r="N126" s="411" t="str"/>
      <x:c r="O126" s="411" t="str">
        <x:v>Devansh</x:v>
      </x:c>
      <x:c r="P126" s="411" t="str"/>
      <x:c r="Q126" s="411" t="str">
        <x:v>req_122</x:v>
      </x:c>
      <x:c r="R126" s="373"/>
      <x:c r="S126" s="373"/>
      <x:c r="T126" s="373"/>
      <x:c r="U126" s="373"/>
      <x:c r="V126" s="373"/>
      <x:c r="W126" s="373"/>
      <x:c r="X126" s="373"/>
      <x:c r="Y126" s="373"/>
      <x:c r="Z126" s="373"/>
    </x:row>
    <x:row r="127">
      <x:c r="A127" s="411" t="str">
        <x:v>REQ-123</x:v>
      </x:c>
      <x:c r="B127" s="411" t="str">
        <x:v>v0.2.7</x:v>
      </x:c>
      <x:c r="C127" s="411" t="str">
        <x:v>Dashboard</x:v>
      </x:c>
      <x:c r="D127" s="411" t="str">
        <x:v>The platform shall show scenario success rates, failures, metrics, and seed variation.</x:v>
      </x:c>
      <x:c r="E127" s="411" t="str">
        <x:v>Supports Verification Dashboard and removes a documented project limitation.</x:v>
      </x:c>
      <x:c r="F127" s="411" t="str">
        <x:v>Critical</x:v>
      </x:c>
      <x:c r="G127" s="411" t="str">
        <x:v>Test</x:v>
      </x:c>
      <x:c r="H127" s="411" t="str">
        <x:v>Acceptance test passes; failure path is verified; regression suite remains green.</x:v>
      </x:c>
      <x:c r="I127" s="411" t="str">
        <x:v>Draft</x:v>
      </x:c>
      <x:c r="J127" s="411" t="str">
        <x:v>F-DASH-002</x:v>
      </x:c>
      <x:c r="K127" s="464" t="n">
        <x:f>COUNTIF(Test_Cases!$E$5:$E$1000,A127)</x:f>
        <x:v>2</x:v>
      </x:c>
      <x:c r="L127" s="464" t="n">
        <x:f>COUNTIFS(Test_Cases!$E$5:$E$1000,A127,Test_Cases!$L$5:$L$1000,"Passed")</x:f>
        <x:v>0</x:v>
      </x:c>
      <x:c r="M127" s="414" t="n">
        <x:f>IF(K127=0,0,L127/K127)</x:f>
        <x:v>0</x:v>
      </x:c>
      <x:c r="N127" s="411" t="str"/>
      <x:c r="O127" s="411" t="str">
        <x:v>Devansh</x:v>
      </x:c>
      <x:c r="P127" s="411" t="str"/>
      <x:c r="Q127" s="411" t="str">
        <x:v>req_123</x:v>
      </x:c>
      <x:c r="R127" s="373"/>
      <x:c r="S127" s="373"/>
      <x:c r="T127" s="373"/>
      <x:c r="U127" s="373"/>
      <x:c r="V127" s="373"/>
      <x:c r="W127" s="373"/>
      <x:c r="X127" s="373"/>
      <x:c r="Y127" s="373"/>
      <x:c r="Z127" s="373"/>
    </x:row>
    <x:row r="128">
      <x:c r="A128" s="411" t="str">
        <x:v>REQ-124</x:v>
      </x:c>
      <x:c r="B128" s="411" t="str">
        <x:v>v0.2.7</x:v>
      </x:c>
      <x:c r="C128" s="411" t="str">
        <x:v>Dashboard</x:v>
      </x:c>
      <x:c r="D128" s="411" t="str">
        <x:v>The platform shall show requirement coverage, pass/fail, and evidence.</x:v>
      </x:c>
      <x:c r="E128" s="411" t="str">
        <x:v>Supports Verification Dashboard and removes a documented project limitation.</x:v>
      </x:c>
      <x:c r="F128" s="411" t="str">
        <x:v>High</x:v>
      </x:c>
      <x:c r="G128" s="411" t="str">
        <x:v>Test</x:v>
      </x:c>
      <x:c r="H128" s="411" t="str">
        <x:v>Nominal and negative tests pass; behavior is documented and reproducible.</x:v>
      </x:c>
      <x:c r="I128" s="411" t="str">
        <x:v>Draft</x:v>
      </x:c>
      <x:c r="J128" s="411" t="str">
        <x:v>F-DASH-003</x:v>
      </x:c>
      <x:c r="K128" s="464" t="n">
        <x:f>COUNTIF(Test_Cases!$E$5:$E$1000,A128)</x:f>
        <x:v>1</x:v>
      </x:c>
      <x:c r="L128" s="464" t="n">
        <x:f>COUNTIFS(Test_Cases!$E$5:$E$1000,A128,Test_Cases!$L$5:$L$1000,"Passed")</x:f>
        <x:v>0</x:v>
      </x:c>
      <x:c r="M128" s="414" t="n">
        <x:f>IF(K128=0,0,L128/K128)</x:f>
        <x:v>0</x:v>
      </x:c>
      <x:c r="N128" s="411" t="str"/>
      <x:c r="O128" s="411" t="str">
        <x:v>Devansh</x:v>
      </x:c>
      <x:c r="P128" s="411" t="str"/>
      <x:c r="Q128" s="411" t="str">
        <x:v>req_124</x:v>
      </x:c>
      <x:c r="R128" s="373"/>
      <x:c r="S128" s="373"/>
      <x:c r="T128" s="373"/>
      <x:c r="U128" s="373"/>
      <x:c r="V128" s="373"/>
      <x:c r="W128" s="373"/>
      <x:c r="X128" s="373"/>
      <x:c r="Y128" s="373"/>
      <x:c r="Z128" s="373"/>
    </x:row>
    <x:row r="129">
      <x:c r="A129" s="411" t="str">
        <x:v>REQ-125</x:v>
      </x:c>
      <x:c r="B129" s="411" t="str">
        <x:v>v0.2.7</x:v>
      </x:c>
      <x:c r="C129" s="411" t="str">
        <x:v>Dashboard</x:v>
      </x:c>
      <x:c r="D129" s="411" t="str">
        <x:v>The platform shall compare versions, profiles, and performance baselines.</x:v>
      </x:c>
      <x:c r="E129" s="411" t="str">
        <x:v>Supports Verification Dashboard and removes a documented project limitation.</x:v>
      </x:c>
      <x:c r="F129" s="411" t="str">
        <x:v>Critical</x:v>
      </x:c>
      <x:c r="G129" s="411" t="str">
        <x:v>Test</x:v>
      </x:c>
      <x:c r="H129" s="411" t="str">
        <x:v>Acceptance test passes; failure path is verified; regression suite remains green.</x:v>
      </x:c>
      <x:c r="I129" s="411" t="str">
        <x:v>Draft</x:v>
      </x:c>
      <x:c r="J129" s="411" t="str">
        <x:v>F-DASH-004</x:v>
      </x:c>
      <x:c r="K129" s="464" t="n">
        <x:f>COUNTIF(Test_Cases!$E$5:$E$1000,A129)</x:f>
        <x:v>2</x:v>
      </x:c>
      <x:c r="L129" s="464" t="n">
        <x:f>COUNTIFS(Test_Cases!$E$5:$E$1000,A129,Test_Cases!$L$5:$L$1000,"Passed")</x:f>
        <x:v>0</x:v>
      </x:c>
      <x:c r="M129" s="414" t="n">
        <x:f>IF(K129=0,0,L129/K129)</x:f>
        <x:v>0</x:v>
      </x:c>
      <x:c r="N129" s="411" t="str"/>
      <x:c r="O129" s="411" t="str">
        <x:v>Devansh</x:v>
      </x:c>
      <x:c r="P129" s="411" t="str"/>
      <x:c r="Q129" s="411" t="str">
        <x:v>req_125</x:v>
      </x:c>
      <x:c r="R129" s="373"/>
      <x:c r="S129" s="373"/>
      <x:c r="T129" s="373"/>
      <x:c r="U129" s="373"/>
      <x:c r="V129" s="373"/>
      <x:c r="W129" s="373"/>
      <x:c r="X129" s="373"/>
      <x:c r="Y129" s="373"/>
      <x:c r="Z129" s="373"/>
    </x:row>
    <x:row r="130">
      <x:c r="A130" s="412" t="str">
        <x:v>REQ-126</x:v>
      </x:c>
      <x:c r="B130" s="412" t="str">
        <x:v>v0.3.0</x:v>
      </x:c>
      <x:c r="C130" s="412" t="str">
        <x:v>Release</x:v>
      </x:c>
      <x:c r="D130" s="412" t="str">
        <x:v>The platform shall publish the usable web-driven simulation and verification platform.</x:v>
      </x:c>
      <x:c r="E130" s="412" t="str">
        <x:v>Supports Mode Exploration &amp; Analytics Platform and removes a documented project limitation.</x:v>
      </x:c>
      <x:c r="F130" s="412" t="str">
        <x:v>Critical</x:v>
      </x:c>
      <x:c r="G130" s="412" t="str">
        <x:v>Test</x:v>
      </x:c>
      <x:c r="H130" s="412" t="str">
        <x:v>Acceptance test passes; failure path is verified; regression suite remains green.</x:v>
      </x:c>
      <x:c r="I130" s="412" t="str">
        <x:v>Draft</x:v>
      </x:c>
      <x:c r="J130" s="412" t="str">
        <x:v>F-REL-300</x:v>
      </x:c>
      <x:c r="K130" s="465" t="n">
        <x:f>COUNTIF(Test_Cases!$E$5:$E$1000,A130)</x:f>
        <x:v>2</x:v>
      </x:c>
      <x:c r="L130" s="465" t="n">
        <x:f>COUNTIFS(Test_Cases!$E$5:$E$1000,A130,Test_Cases!$L$5:$L$1000,"Passed")</x:f>
        <x:v>0</x:v>
      </x:c>
      <x:c r="M130" s="415" t="n">
        <x:f>IF(K130=0,0,L130/K130)</x:f>
        <x:v>0</x:v>
      </x:c>
      <x:c r="N130" s="412" t="str"/>
      <x:c r="O130" s="412" t="str">
        <x:v>Devansh</x:v>
      </x:c>
      <x:c r="P130" s="412" t="str"/>
      <x:c r="Q130" s="412" t="str">
        <x:v>req_126</x:v>
      </x:c>
      <x:c r="R130" s="373"/>
      <x:c r="S130" s="373"/>
      <x:c r="T130" s="373"/>
      <x:c r="U130" s="373"/>
      <x:c r="V130" s="373"/>
      <x:c r="W130" s="373"/>
      <x:c r="X130" s="373"/>
      <x:c r="Y130" s="373"/>
      <x:c r="Z130" s="373"/>
    </x:row>
    <x:row r="131">
      <x:c r="A131" s="373"/>
      <x:c r="B131" s="373"/>
      <x:c r="C131" s="373"/>
      <x:c r="D131" s="373"/>
      <x:c r="E131" s="373"/>
      <x:c r="F131" s="373"/>
      <x:c r="G131" s="373"/>
      <x:c r="H131" s="373"/>
      <x:c r="I131" s="373"/>
      <x:c r="J131" s="373"/>
      <x:c r="K131" s="373"/>
      <x:c r="L131" s="373"/>
      <x:c r="M131" s="373"/>
      <x:c r="N131" s="373"/>
      <x:c r="O131" s="373"/>
      <x:c r="P131" s="373"/>
      <x:c r="Q131" s="373"/>
      <x:c r="R131" s="373"/>
      <x:c r="S131" s="373"/>
      <x:c r="T131" s="373"/>
      <x:c r="U131" s="373"/>
      <x:c r="V131" s="373"/>
      <x:c r="W131" s="373"/>
      <x:c r="X131" s="373"/>
      <x:c r="Y131" s="373"/>
      <x:c r="Z131" s="373"/>
    </x:row>
    <x:row r="132">
      <x:c r="A132" s="373"/>
      <x:c r="B132" s="373"/>
      <x:c r="C132" s="373"/>
      <x:c r="D132" s="373"/>
      <x:c r="E132" s="373"/>
      <x:c r="F132" s="373"/>
      <x:c r="G132" s="373"/>
      <x:c r="H132" s="373"/>
      <x:c r="I132" s="373"/>
      <x:c r="J132" s="373"/>
      <x:c r="K132" s="373"/>
      <x:c r="L132" s="373"/>
      <x:c r="M132" s="373"/>
      <x:c r="N132" s="373"/>
      <x:c r="O132" s="373"/>
      <x:c r="P132" s="373"/>
      <x:c r="Q132" s="373"/>
      <x:c r="R132" s="373"/>
      <x:c r="S132" s="373"/>
      <x:c r="T132" s="373"/>
      <x:c r="U132" s="373"/>
      <x:c r="V132" s="373"/>
      <x:c r="W132" s="373"/>
      <x:c r="X132" s="373"/>
      <x:c r="Y132" s="373"/>
      <x:c r="Z132" s="373"/>
    </x:row>
    <x:row r="133">
      <x:c r="A133" s="373"/>
      <x:c r="B133" s="373"/>
      <x:c r="C133" s="373"/>
      <x:c r="D133" s="373"/>
      <x:c r="E133" s="373"/>
      <x:c r="F133" s="373"/>
      <x:c r="G133" s="373"/>
      <x:c r="H133" s="373"/>
      <x:c r="I133" s="373"/>
      <x:c r="J133" s="373"/>
      <x:c r="K133" s="373"/>
      <x:c r="L133" s="373"/>
      <x:c r="M133" s="373"/>
      <x:c r="N133" s="373"/>
      <x:c r="O133" s="373"/>
      <x:c r="P133" s="373"/>
      <x:c r="Q133" s="373"/>
      <x:c r="R133" s="373"/>
      <x:c r="S133" s="373"/>
      <x:c r="T133" s="373"/>
      <x:c r="U133" s="373"/>
      <x:c r="V133" s="373"/>
      <x:c r="W133" s="373"/>
      <x:c r="X133" s="373"/>
      <x:c r="Y133" s="373"/>
      <x:c r="Z133" s="373"/>
    </x:row>
    <x:row r="134">
      <x:c r="A134" s="373"/>
      <x:c r="B134" s="373"/>
      <x:c r="C134" s="373"/>
      <x:c r="D134" s="373"/>
      <x:c r="E134" s="373"/>
      <x:c r="F134" s="373"/>
      <x:c r="G134" s="373"/>
      <x:c r="H134" s="373"/>
      <x:c r="I134" s="373"/>
      <x:c r="J134" s="373"/>
      <x:c r="K134" s="373"/>
      <x:c r="L134" s="373"/>
      <x:c r="M134" s="373"/>
      <x:c r="N134" s="373"/>
      <x:c r="O134" s="373"/>
      <x:c r="P134" s="373"/>
      <x:c r="Q134" s="373"/>
      <x:c r="R134" s="373"/>
      <x:c r="S134" s="373"/>
      <x:c r="T134" s="373"/>
      <x:c r="U134" s="373"/>
      <x:c r="V134" s="373"/>
      <x:c r="W134" s="373"/>
      <x:c r="X134" s="373"/>
      <x:c r="Y134" s="373"/>
      <x:c r="Z134" s="373"/>
    </x:row>
    <x:row r="135">
      <x:c r="A135" s="373"/>
      <x:c r="B135" s="373"/>
      <x:c r="C135" s="373"/>
      <x:c r="D135" s="373"/>
      <x:c r="E135" s="373"/>
      <x:c r="F135" s="373"/>
      <x:c r="G135" s="373"/>
      <x:c r="H135" s="373"/>
      <x:c r="I135" s="373"/>
      <x:c r="J135" s="373"/>
      <x:c r="K135" s="373"/>
      <x:c r="L135" s="373"/>
      <x:c r="M135" s="373"/>
      <x:c r="N135" s="373"/>
      <x:c r="O135" s="373"/>
      <x:c r="P135" s="373"/>
      <x:c r="Q135" s="373"/>
      <x:c r="R135" s="373"/>
      <x:c r="S135" s="373"/>
      <x:c r="T135" s="373"/>
      <x:c r="U135" s="373"/>
      <x:c r="V135" s="373"/>
      <x:c r="W135" s="373"/>
      <x:c r="X135" s="373"/>
      <x:c r="Y135" s="373"/>
      <x:c r="Z135" s="373"/>
    </x:row>
    <x:row r="136">
      <x:c r="A136" s="373"/>
      <x:c r="B136" s="373"/>
      <x:c r="C136" s="373"/>
      <x:c r="D136" s="373"/>
      <x:c r="E136" s="373"/>
      <x:c r="F136" s="373"/>
      <x:c r="G136" s="373"/>
      <x:c r="H136" s="373"/>
      <x:c r="I136" s="373"/>
      <x:c r="J136" s="373"/>
      <x:c r="K136" s="373"/>
      <x:c r="L136" s="373"/>
      <x:c r="M136" s="373"/>
      <x:c r="N136" s="373"/>
      <x:c r="O136" s="373"/>
      <x:c r="P136" s="373"/>
      <x:c r="Q136" s="373"/>
      <x:c r="R136" s="373"/>
      <x:c r="S136" s="373"/>
      <x:c r="T136" s="373"/>
      <x:c r="U136" s="373"/>
      <x:c r="V136" s="373"/>
      <x:c r="W136" s="373"/>
      <x:c r="X136" s="373"/>
      <x:c r="Y136" s="373"/>
      <x:c r="Z136" s="373"/>
    </x:row>
    <x:row r="137">
      <x:c r="A137" s="373"/>
      <x:c r="B137" s="373"/>
      <x:c r="C137" s="373"/>
      <x:c r="D137" s="373"/>
      <x:c r="E137" s="373"/>
      <x:c r="F137" s="373"/>
      <x:c r="G137" s="373"/>
      <x:c r="H137" s="373"/>
      <x:c r="I137" s="373"/>
      <x:c r="J137" s="373"/>
      <x:c r="K137" s="373"/>
      <x:c r="L137" s="373"/>
      <x:c r="M137" s="373"/>
      <x:c r="N137" s="373"/>
      <x:c r="O137" s="373"/>
      <x:c r="P137" s="373"/>
      <x:c r="Q137" s="373"/>
      <x:c r="R137" s="373"/>
      <x:c r="S137" s="373"/>
      <x:c r="T137" s="373"/>
      <x:c r="U137" s="373"/>
      <x:c r="V137" s="373"/>
      <x:c r="W137" s="373"/>
      <x:c r="X137" s="373"/>
      <x:c r="Y137" s="373"/>
      <x:c r="Z137" s="373"/>
    </x:row>
    <x:row r="138">
      <x:c r="A138" s="373"/>
      <x:c r="B138" s="373"/>
      <x:c r="C138" s="373"/>
      <x:c r="D138" s="373"/>
      <x:c r="E138" s="373"/>
      <x:c r="F138" s="373"/>
      <x:c r="G138" s="373"/>
      <x:c r="H138" s="373"/>
      <x:c r="I138" s="373"/>
      <x:c r="J138" s="373"/>
      <x:c r="K138" s="373"/>
      <x:c r="L138" s="373"/>
      <x:c r="M138" s="373"/>
      <x:c r="N138" s="373"/>
      <x:c r="O138" s="373"/>
      <x:c r="P138" s="373"/>
      <x:c r="Q138" s="373"/>
      <x:c r="R138" s="373"/>
      <x:c r="S138" s="373"/>
      <x:c r="T138" s="373"/>
      <x:c r="U138" s="373"/>
      <x:c r="V138" s="373"/>
      <x:c r="W138" s="373"/>
      <x:c r="X138" s="373"/>
      <x:c r="Y138" s="373"/>
      <x:c r="Z138" s="373"/>
    </x:row>
    <x:row r="139">
      <x:c r="A139" s="373"/>
      <x:c r="B139" s="373"/>
      <x:c r="C139" s="373"/>
      <x:c r="D139" s="373"/>
      <x:c r="E139" s="373"/>
      <x:c r="F139" s="373"/>
      <x:c r="G139" s="373"/>
      <x:c r="H139" s="373"/>
      <x:c r="I139" s="373"/>
      <x:c r="J139" s="373"/>
      <x:c r="K139" s="373"/>
      <x:c r="L139" s="373"/>
      <x:c r="M139" s="373"/>
      <x:c r="N139" s="373"/>
      <x:c r="O139" s="373"/>
      <x:c r="P139" s="373"/>
      <x:c r="Q139" s="373"/>
      <x:c r="R139" s="373"/>
      <x:c r="S139" s="373"/>
      <x:c r="T139" s="373"/>
      <x:c r="U139" s="373"/>
      <x:c r="V139" s="373"/>
      <x:c r="W139" s="373"/>
      <x:c r="X139" s="373"/>
      <x:c r="Y139" s="373"/>
      <x:c r="Z139" s="373"/>
    </x:row>
    <x:row r="140">
      <x:c r="A140" s="373"/>
      <x:c r="B140" s="373"/>
      <x:c r="C140" s="373"/>
      <x:c r="D140" s="373"/>
      <x:c r="E140" s="373"/>
      <x:c r="F140" s="373"/>
      <x:c r="G140" s="373"/>
      <x:c r="H140" s="373"/>
      <x:c r="I140" s="373"/>
      <x:c r="J140" s="373"/>
      <x:c r="K140" s="373"/>
      <x:c r="L140" s="373"/>
      <x:c r="M140" s="373"/>
      <x:c r="N140" s="373"/>
      <x:c r="O140" s="373"/>
      <x:c r="P140" s="373"/>
      <x:c r="Q140" s="373"/>
      <x:c r="R140" s="373"/>
      <x:c r="S140" s="373"/>
      <x:c r="T140" s="373"/>
      <x:c r="U140" s="373"/>
      <x:c r="V140" s="373"/>
      <x:c r="W140" s="373"/>
      <x:c r="X140" s="373"/>
      <x:c r="Y140" s="373"/>
      <x:c r="Z140" s="373"/>
    </x:row>
    <x:row r="141">
      <x:c r="A141" s="373"/>
      <x:c r="B141" s="373"/>
      <x:c r="C141" s="373"/>
      <x:c r="D141" s="373"/>
      <x:c r="E141" s="373"/>
      <x:c r="F141" s="373"/>
      <x:c r="G141" s="373"/>
      <x:c r="H141" s="373"/>
      <x:c r="I141" s="373"/>
      <x:c r="J141" s="373"/>
      <x:c r="K141" s="373"/>
      <x:c r="L141" s="373"/>
      <x:c r="M141" s="373"/>
      <x:c r="N141" s="373"/>
      <x:c r="O141" s="373"/>
      <x:c r="P141" s="373"/>
      <x:c r="Q141" s="373"/>
      <x:c r="R141" s="373"/>
      <x:c r="S141" s="373"/>
      <x:c r="T141" s="373"/>
      <x:c r="U141" s="373"/>
      <x:c r="V141" s="373"/>
      <x:c r="W141" s="373"/>
      <x:c r="X141" s="373"/>
      <x:c r="Y141" s="373"/>
      <x:c r="Z141" s="373"/>
    </x:row>
    <x:row r="142">
      <x:c r="A142" s="373"/>
      <x:c r="B142" s="373"/>
      <x:c r="C142" s="373"/>
      <x:c r="D142" s="373"/>
      <x:c r="E142" s="373"/>
      <x:c r="F142" s="373"/>
      <x:c r="G142" s="373"/>
      <x:c r="H142" s="373"/>
      <x:c r="I142" s="373"/>
      <x:c r="J142" s="373"/>
      <x:c r="K142" s="373"/>
      <x:c r="L142" s="373"/>
      <x:c r="M142" s="373"/>
      <x:c r="N142" s="373"/>
      <x:c r="O142" s="373"/>
      <x:c r="P142" s="373"/>
      <x:c r="Q142" s="373"/>
      <x:c r="R142" s="373"/>
      <x:c r="S142" s="373"/>
      <x:c r="T142" s="373"/>
      <x:c r="U142" s="373"/>
      <x:c r="V142" s="373"/>
      <x:c r="W142" s="373"/>
      <x:c r="X142" s="373"/>
      <x:c r="Y142" s="373"/>
      <x:c r="Z142" s="373"/>
    </x:row>
    <x:row r="143">
      <x:c r="A143" s="373"/>
      <x:c r="B143" s="373"/>
      <x:c r="C143" s="373"/>
      <x:c r="D143" s="373"/>
      <x:c r="E143" s="373"/>
      <x:c r="F143" s="373"/>
      <x:c r="G143" s="373"/>
      <x:c r="H143" s="373"/>
      <x:c r="I143" s="373"/>
      <x:c r="J143" s="373"/>
      <x:c r="K143" s="373"/>
      <x:c r="L143" s="373"/>
      <x:c r="M143" s="373"/>
      <x:c r="N143" s="373"/>
      <x:c r="O143" s="373"/>
      <x:c r="P143" s="373"/>
      <x:c r="Q143" s="373"/>
      <x:c r="R143" s="373"/>
      <x:c r="S143" s="373"/>
      <x:c r="T143" s="373"/>
      <x:c r="U143" s="373"/>
      <x:c r="V143" s="373"/>
      <x:c r="W143" s="373"/>
      <x:c r="X143" s="373"/>
      <x:c r="Y143" s="373"/>
      <x:c r="Z143" s="373"/>
    </x:row>
    <x:row r="144">
      <x:c r="A144" s="373"/>
      <x:c r="B144" s="373"/>
      <x:c r="C144" s="373"/>
      <x:c r="D144" s="373"/>
      <x:c r="E144" s="373"/>
      <x:c r="F144" s="373"/>
      <x:c r="G144" s="373"/>
      <x:c r="H144" s="373"/>
      <x:c r="I144" s="373"/>
      <x:c r="J144" s="373"/>
      <x:c r="K144" s="373"/>
      <x:c r="L144" s="373"/>
      <x:c r="M144" s="373"/>
      <x:c r="N144" s="373"/>
      <x:c r="O144" s="373"/>
      <x:c r="P144" s="373"/>
      <x:c r="Q144" s="373"/>
      <x:c r="R144" s="373"/>
      <x:c r="S144" s="373"/>
      <x:c r="T144" s="373"/>
      <x:c r="U144" s="373"/>
      <x:c r="V144" s="373"/>
      <x:c r="W144" s="373"/>
      <x:c r="X144" s="373"/>
      <x:c r="Y144" s="373"/>
      <x:c r="Z144" s="373"/>
    </x:row>
    <x:row r="145">
      <x:c r="A145" s="373"/>
      <x:c r="B145" s="373"/>
      <x:c r="C145" s="373"/>
      <x:c r="D145" s="373"/>
      <x:c r="E145" s="373"/>
      <x:c r="F145" s="373"/>
      <x:c r="G145" s="373"/>
      <x:c r="H145" s="373"/>
      <x:c r="I145" s="373"/>
      <x:c r="J145" s="373"/>
      <x:c r="K145" s="373"/>
      <x:c r="L145" s="373"/>
      <x:c r="M145" s="373"/>
      <x:c r="N145" s="373"/>
      <x:c r="O145" s="373"/>
      <x:c r="P145" s="373"/>
      <x:c r="Q145" s="373"/>
      <x:c r="R145" s="373"/>
      <x:c r="S145" s="373"/>
      <x:c r="T145" s="373"/>
      <x:c r="U145" s="373"/>
      <x:c r="V145" s="373"/>
      <x:c r="W145" s="373"/>
      <x:c r="X145" s="373"/>
      <x:c r="Y145" s="373"/>
      <x:c r="Z145" s="373"/>
    </x:row>
    <x:row r="146">
      <x:c r="A146" s="373"/>
      <x:c r="B146" s="373"/>
      <x:c r="C146" s="373"/>
      <x:c r="D146" s="373"/>
      <x:c r="E146" s="373"/>
      <x:c r="F146" s="373"/>
      <x:c r="G146" s="373"/>
      <x:c r="H146" s="373"/>
      <x:c r="I146" s="373"/>
      <x:c r="J146" s="373"/>
      <x:c r="K146" s="373"/>
      <x:c r="L146" s="373"/>
      <x:c r="M146" s="373"/>
      <x:c r="N146" s="373"/>
      <x:c r="O146" s="373"/>
      <x:c r="P146" s="373"/>
      <x:c r="Q146" s="373"/>
      <x:c r="R146" s="373"/>
      <x:c r="S146" s="373"/>
      <x:c r="T146" s="373"/>
      <x:c r="U146" s="373"/>
      <x:c r="V146" s="373"/>
      <x:c r="W146" s="373"/>
      <x:c r="X146" s="373"/>
      <x:c r="Y146" s="373"/>
      <x:c r="Z146" s="373"/>
    </x:row>
    <x:row r="147">
      <x:c r="A147" s="373"/>
      <x:c r="B147" s="373"/>
      <x:c r="C147" s="373"/>
      <x:c r="D147" s="373"/>
      <x:c r="E147" s="373"/>
      <x:c r="F147" s="373"/>
      <x:c r="G147" s="373"/>
      <x:c r="H147" s="373"/>
      <x:c r="I147" s="373"/>
      <x:c r="J147" s="373"/>
      <x:c r="K147" s="373"/>
      <x:c r="L147" s="373"/>
      <x:c r="M147" s="373"/>
      <x:c r="N147" s="373"/>
      <x:c r="O147" s="373"/>
      <x:c r="P147" s="373"/>
      <x:c r="Q147" s="373"/>
      <x:c r="R147" s="373"/>
      <x:c r="S147" s="373"/>
      <x:c r="T147" s="373"/>
      <x:c r="U147" s="373"/>
      <x:c r="V147" s="373"/>
      <x:c r="W147" s="373"/>
      <x:c r="X147" s="373"/>
      <x:c r="Y147" s="373"/>
      <x:c r="Z147" s="373"/>
    </x:row>
    <x:row r="148">
      <x:c r="A148" s="373"/>
      <x:c r="B148" s="373"/>
      <x:c r="C148" s="373"/>
      <x:c r="D148" s="373"/>
      <x:c r="E148" s="373"/>
      <x:c r="F148" s="373"/>
      <x:c r="G148" s="373"/>
      <x:c r="H148" s="373"/>
      <x:c r="I148" s="373"/>
      <x:c r="J148" s="373"/>
      <x:c r="K148" s="373"/>
      <x:c r="L148" s="373"/>
      <x:c r="M148" s="373"/>
      <x:c r="N148" s="373"/>
      <x:c r="O148" s="373"/>
      <x:c r="P148" s="373"/>
      <x:c r="Q148" s="373"/>
      <x:c r="R148" s="373"/>
      <x:c r="S148" s="373"/>
      <x:c r="T148" s="373"/>
      <x:c r="U148" s="373"/>
      <x:c r="V148" s="373"/>
      <x:c r="W148" s="373"/>
      <x:c r="X148" s="373"/>
      <x:c r="Y148" s="373"/>
      <x:c r="Z148" s="373"/>
    </x:row>
    <x:row r="149">
      <x:c r="A149" s="373"/>
      <x:c r="B149" s="373"/>
      <x:c r="C149" s="373"/>
      <x:c r="D149" s="373"/>
      <x:c r="E149" s="373"/>
      <x:c r="F149" s="373"/>
      <x:c r="G149" s="373"/>
      <x:c r="H149" s="373"/>
      <x:c r="I149" s="373"/>
      <x:c r="J149" s="373"/>
      <x:c r="K149" s="373"/>
      <x:c r="L149" s="373"/>
      <x:c r="M149" s="373"/>
      <x:c r="N149" s="373"/>
      <x:c r="O149" s="373"/>
      <x:c r="P149" s="373"/>
      <x:c r="Q149" s="373"/>
      <x:c r="R149" s="373"/>
      <x:c r="S149" s="373"/>
      <x:c r="T149" s="373"/>
      <x:c r="U149" s="373"/>
      <x:c r="V149" s="373"/>
      <x:c r="W149" s="373"/>
      <x:c r="X149" s="373"/>
      <x:c r="Y149" s="373"/>
      <x:c r="Z149" s="373"/>
    </x:row>
    <x:row r="150">
      <x:c r="A150" s="373"/>
      <x:c r="B150" s="373"/>
      <x:c r="C150" s="373"/>
      <x:c r="D150" s="373"/>
      <x:c r="E150" s="373"/>
      <x:c r="F150" s="373"/>
      <x:c r="G150" s="373"/>
      <x:c r="H150" s="373"/>
      <x:c r="I150" s="373"/>
      <x:c r="J150" s="373"/>
      <x:c r="K150" s="373"/>
      <x:c r="L150" s="373"/>
      <x:c r="M150" s="373"/>
      <x:c r="N150" s="373"/>
      <x:c r="O150" s="373"/>
      <x:c r="P150" s="373"/>
      <x:c r="Q150" s="373"/>
      <x:c r="R150" s="373"/>
      <x:c r="S150" s="373"/>
      <x:c r="T150" s="373"/>
      <x:c r="U150" s="373"/>
      <x:c r="V150" s="373"/>
      <x:c r="W150" s="373"/>
      <x:c r="X150" s="373"/>
      <x:c r="Y150" s="373"/>
      <x:c r="Z150" s="373"/>
    </x:row>
    <x:row r="151">
      <x:c r="A151" s="373"/>
      <x:c r="B151" s="373"/>
      <x:c r="C151" s="373"/>
      <x:c r="D151" s="373"/>
      <x:c r="E151" s="373"/>
      <x:c r="F151" s="373"/>
      <x:c r="G151" s="373"/>
      <x:c r="H151" s="373"/>
      <x:c r="I151" s="373"/>
      <x:c r="J151" s="373"/>
      <x:c r="K151" s="373"/>
      <x:c r="L151" s="373"/>
      <x:c r="M151" s="373"/>
      <x:c r="N151" s="373"/>
      <x:c r="O151" s="373"/>
      <x:c r="P151" s="373"/>
      <x:c r="Q151" s="373"/>
      <x:c r="R151" s="373"/>
      <x:c r="S151" s="373"/>
      <x:c r="T151" s="373"/>
      <x:c r="U151" s="373"/>
      <x:c r="V151" s="373"/>
      <x:c r="W151" s="373"/>
      <x:c r="X151" s="373"/>
      <x:c r="Y151" s="373"/>
      <x:c r="Z151" s="373"/>
    </x:row>
    <x:row r="152">
      <x:c r="A152" s="373"/>
      <x:c r="B152" s="373"/>
      <x:c r="C152" s="373"/>
      <x:c r="D152" s="373"/>
      <x:c r="E152" s="373"/>
      <x:c r="F152" s="373"/>
      <x:c r="G152" s="373"/>
      <x:c r="H152" s="373"/>
      <x:c r="I152" s="373"/>
      <x:c r="J152" s="373"/>
      <x:c r="K152" s="373"/>
      <x:c r="L152" s="373"/>
      <x:c r="M152" s="373"/>
      <x:c r="N152" s="373"/>
      <x:c r="O152" s="373"/>
      <x:c r="P152" s="373"/>
      <x:c r="Q152" s="373"/>
      <x:c r="R152" s="373"/>
      <x:c r="S152" s="373"/>
      <x:c r="T152" s="373"/>
      <x:c r="U152" s="373"/>
      <x:c r="V152" s="373"/>
      <x:c r="W152" s="373"/>
      <x:c r="X152" s="373"/>
      <x:c r="Y152" s="373"/>
      <x:c r="Z152" s="373"/>
    </x:row>
    <x:row r="153">
      <x:c r="A153" s="373"/>
      <x:c r="B153" s="373"/>
      <x:c r="C153" s="373"/>
      <x:c r="D153" s="373"/>
      <x:c r="E153" s="373"/>
      <x:c r="F153" s="373"/>
      <x:c r="G153" s="373"/>
      <x:c r="H153" s="373"/>
      <x:c r="I153" s="373"/>
      <x:c r="J153" s="373"/>
      <x:c r="K153" s="373"/>
      <x:c r="L153" s="373"/>
      <x:c r="M153" s="373"/>
      <x:c r="N153" s="373"/>
      <x:c r="O153" s="373"/>
      <x:c r="P153" s="373"/>
      <x:c r="Q153" s="373"/>
      <x:c r="R153" s="373"/>
      <x:c r="S153" s="373"/>
      <x:c r="T153" s="373"/>
      <x:c r="U153" s="373"/>
      <x:c r="V153" s="373"/>
      <x:c r="W153" s="373"/>
      <x:c r="X153" s="373"/>
      <x:c r="Y153" s="373"/>
      <x:c r="Z153" s="373"/>
    </x:row>
    <x:row r="154">
      <x:c r="A154" s="373"/>
      <x:c r="B154" s="373"/>
      <x:c r="C154" s="373"/>
      <x:c r="D154" s="373"/>
      <x:c r="E154" s="373"/>
      <x:c r="F154" s="373"/>
      <x:c r="G154" s="373"/>
      <x:c r="H154" s="373"/>
      <x:c r="I154" s="373"/>
      <x:c r="J154" s="373"/>
      <x:c r="K154" s="373"/>
      <x:c r="L154" s="373"/>
      <x:c r="M154" s="373"/>
      <x:c r="N154" s="373"/>
      <x:c r="O154" s="373"/>
      <x:c r="P154" s="373"/>
      <x:c r="Q154" s="373"/>
      <x:c r="R154" s="373"/>
      <x:c r="S154" s="373"/>
      <x:c r="T154" s="373"/>
      <x:c r="U154" s="373"/>
      <x:c r="V154" s="373"/>
      <x:c r="W154" s="373"/>
      <x:c r="X154" s="373"/>
      <x:c r="Y154" s="373"/>
      <x:c r="Z154" s="373"/>
    </x:row>
    <x:row r="155">
      <x:c r="A155" s="373"/>
      <x:c r="B155" s="373"/>
      <x:c r="C155" s="373"/>
      <x:c r="D155" s="373"/>
      <x:c r="E155" s="373"/>
      <x:c r="F155" s="373"/>
      <x:c r="G155" s="373"/>
      <x:c r="H155" s="373"/>
      <x:c r="I155" s="373"/>
      <x:c r="J155" s="373"/>
      <x:c r="K155" s="373"/>
      <x:c r="L155" s="373"/>
      <x:c r="M155" s="373"/>
      <x:c r="N155" s="373"/>
      <x:c r="O155" s="373"/>
      <x:c r="P155" s="373"/>
      <x:c r="Q155" s="373"/>
      <x:c r="R155" s="373"/>
      <x:c r="S155" s="373"/>
      <x:c r="T155" s="373"/>
      <x:c r="U155" s="373"/>
      <x:c r="V155" s="373"/>
      <x:c r="W155" s="373"/>
      <x:c r="X155" s="373"/>
      <x:c r="Y155" s="373"/>
      <x:c r="Z155" s="373"/>
    </x:row>
    <x:row r="156">
      <x:c r="A156" s="373"/>
      <x:c r="B156" s="373"/>
      <x:c r="C156" s="373"/>
      <x:c r="D156" s="373"/>
      <x:c r="E156" s="373"/>
      <x:c r="F156" s="373"/>
      <x:c r="G156" s="373"/>
      <x:c r="H156" s="373"/>
      <x:c r="I156" s="373"/>
      <x:c r="J156" s="373"/>
      <x:c r="K156" s="373"/>
      <x:c r="L156" s="373"/>
      <x:c r="M156" s="373"/>
      <x:c r="N156" s="373"/>
      <x:c r="O156" s="373"/>
      <x:c r="P156" s="373"/>
      <x:c r="Q156" s="373"/>
      <x:c r="R156" s="373"/>
      <x:c r="S156" s="373"/>
      <x:c r="T156" s="373"/>
      <x:c r="U156" s="373"/>
      <x:c r="V156" s="373"/>
      <x:c r="W156" s="373"/>
      <x:c r="X156" s="373"/>
      <x:c r="Y156" s="373"/>
      <x:c r="Z156" s="373"/>
    </x:row>
    <x:row r="157">
      <x:c r="A157" s="373"/>
      <x:c r="B157" s="373"/>
      <x:c r="C157" s="373"/>
      <x:c r="D157" s="373"/>
      <x:c r="E157" s="373"/>
      <x:c r="F157" s="373"/>
      <x:c r="G157" s="373"/>
      <x:c r="H157" s="373"/>
      <x:c r="I157" s="373"/>
      <x:c r="J157" s="373"/>
      <x:c r="K157" s="373"/>
      <x:c r="L157" s="373"/>
      <x:c r="M157" s="373"/>
      <x:c r="N157" s="373"/>
      <x:c r="O157" s="373"/>
      <x:c r="P157" s="373"/>
      <x:c r="Q157" s="373"/>
      <x:c r="R157" s="373"/>
      <x:c r="S157" s="373"/>
      <x:c r="T157" s="373"/>
      <x:c r="U157" s="373"/>
      <x:c r="V157" s="373"/>
      <x:c r="W157" s="373"/>
      <x:c r="X157" s="373"/>
      <x:c r="Y157" s="373"/>
      <x:c r="Z157" s="373"/>
    </x:row>
    <x:row r="158">
      <x:c r="A158" s="373"/>
      <x:c r="B158" s="373"/>
      <x:c r="C158" s="373"/>
      <x:c r="D158" s="373"/>
      <x:c r="E158" s="373"/>
      <x:c r="F158" s="373"/>
      <x:c r="G158" s="373"/>
      <x:c r="H158" s="373"/>
      <x:c r="I158" s="373"/>
      <x:c r="J158" s="373"/>
      <x:c r="K158" s="373"/>
      <x:c r="L158" s="373"/>
      <x:c r="M158" s="373"/>
      <x:c r="N158" s="373"/>
      <x:c r="O158" s="373"/>
      <x:c r="P158" s="373"/>
      <x:c r="Q158" s="373"/>
      <x:c r="R158" s="373"/>
      <x:c r="S158" s="373"/>
      <x:c r="T158" s="373"/>
      <x:c r="U158" s="373"/>
      <x:c r="V158" s="373"/>
      <x:c r="W158" s="373"/>
      <x:c r="X158" s="373"/>
      <x:c r="Y158" s="373"/>
      <x:c r="Z158" s="373"/>
    </x:row>
    <x:row r="159">
      <x:c r="A159" s="373"/>
      <x:c r="B159" s="373"/>
      <x:c r="C159" s="373"/>
      <x:c r="D159" s="373"/>
      <x:c r="E159" s="373"/>
      <x:c r="F159" s="373"/>
      <x:c r="G159" s="373"/>
      <x:c r="H159" s="373"/>
      <x:c r="I159" s="373"/>
      <x:c r="J159" s="373"/>
      <x:c r="K159" s="373"/>
      <x:c r="L159" s="373"/>
      <x:c r="M159" s="373"/>
      <x:c r="N159" s="373"/>
      <x:c r="O159" s="373"/>
      <x:c r="P159" s="373"/>
      <x:c r="Q159" s="373"/>
      <x:c r="R159" s="373"/>
      <x:c r="S159" s="373"/>
      <x:c r="T159" s="373"/>
      <x:c r="U159" s="373"/>
      <x:c r="V159" s="373"/>
      <x:c r="W159" s="373"/>
      <x:c r="X159" s="373"/>
      <x:c r="Y159" s="373"/>
      <x:c r="Z159" s="373"/>
    </x:row>
    <x:row r="160">
      <x:c r="A160" s="373"/>
      <x:c r="B160" s="373"/>
      <x:c r="C160" s="373"/>
      <x:c r="D160" s="373"/>
      <x:c r="E160" s="373"/>
      <x:c r="F160" s="373"/>
      <x:c r="G160" s="373"/>
      <x:c r="H160" s="373"/>
      <x:c r="I160" s="373"/>
      <x:c r="J160" s="373"/>
      <x:c r="K160" s="373"/>
      <x:c r="L160" s="373"/>
      <x:c r="M160" s="373"/>
      <x:c r="N160" s="373"/>
      <x:c r="O160" s="373"/>
      <x:c r="P160" s="373"/>
      <x:c r="Q160" s="373"/>
      <x:c r="R160" s="373"/>
      <x:c r="S160" s="373"/>
      <x:c r="T160" s="373"/>
      <x:c r="U160" s="373"/>
      <x:c r="V160" s="373"/>
      <x:c r="W160" s="373"/>
      <x:c r="X160" s="373"/>
      <x:c r="Y160" s="373"/>
      <x:c r="Z160" s="373"/>
    </x:row>
    <x:row r="161">
      <x:c r="A161" s="373"/>
      <x:c r="B161" s="373"/>
      <x:c r="C161" s="373"/>
      <x:c r="D161" s="373"/>
      <x:c r="E161" s="373"/>
      <x:c r="F161" s="373"/>
      <x:c r="G161" s="373"/>
      <x:c r="H161" s="373"/>
      <x:c r="I161" s="373"/>
      <x:c r="J161" s="373"/>
      <x:c r="K161" s="373"/>
      <x:c r="L161" s="373"/>
      <x:c r="M161" s="373"/>
      <x:c r="N161" s="373"/>
      <x:c r="O161" s="373"/>
      <x:c r="P161" s="373"/>
      <x:c r="Q161" s="373"/>
      <x:c r="R161" s="373"/>
      <x:c r="S161" s="373"/>
      <x:c r="T161" s="373"/>
      <x:c r="U161" s="373"/>
      <x:c r="V161" s="373"/>
      <x:c r="W161" s="373"/>
      <x:c r="X161" s="373"/>
      <x:c r="Y161" s="373"/>
      <x:c r="Z161" s="373"/>
    </x:row>
    <x:row r="162">
      <x:c r="A162" s="373"/>
      <x:c r="B162" s="373"/>
      <x:c r="C162" s="373"/>
      <x:c r="D162" s="373"/>
      <x:c r="E162" s="373"/>
      <x:c r="F162" s="373"/>
      <x:c r="G162" s="373"/>
      <x:c r="H162" s="373"/>
      <x:c r="I162" s="373"/>
      <x:c r="J162" s="373"/>
      <x:c r="K162" s="373"/>
      <x:c r="L162" s="373"/>
      <x:c r="M162" s="373"/>
      <x:c r="N162" s="373"/>
      <x:c r="O162" s="373"/>
      <x:c r="P162" s="373"/>
      <x:c r="Q162" s="373"/>
      <x:c r="R162" s="373"/>
      <x:c r="S162" s="373"/>
      <x:c r="T162" s="373"/>
      <x:c r="U162" s="373"/>
      <x:c r="V162" s="373"/>
      <x:c r="W162" s="373"/>
      <x:c r="X162" s="373"/>
      <x:c r="Y162" s="373"/>
      <x:c r="Z162" s="373"/>
    </x:row>
    <x:row r="163">
      <x:c r="A163" s="373"/>
      <x:c r="B163" s="373"/>
      <x:c r="C163" s="373"/>
      <x:c r="D163" s="373"/>
      <x:c r="E163" s="373"/>
      <x:c r="F163" s="373"/>
      <x:c r="G163" s="373"/>
      <x:c r="H163" s="373"/>
      <x:c r="I163" s="373"/>
      <x:c r="J163" s="373"/>
      <x:c r="K163" s="373"/>
      <x:c r="L163" s="373"/>
      <x:c r="M163" s="373"/>
      <x:c r="N163" s="373"/>
      <x:c r="O163" s="373"/>
      <x:c r="P163" s="373"/>
      <x:c r="Q163" s="373"/>
      <x:c r="R163" s="373"/>
      <x:c r="S163" s="373"/>
      <x:c r="T163" s="373"/>
      <x:c r="U163" s="373"/>
      <x:c r="V163" s="373"/>
      <x:c r="W163" s="373"/>
      <x:c r="X163" s="373"/>
      <x:c r="Y163" s="373"/>
      <x:c r="Z163" s="373"/>
    </x:row>
    <x:row r="164">
      <x:c r="A164" s="373"/>
      <x:c r="B164" s="373"/>
      <x:c r="C164" s="373"/>
      <x:c r="D164" s="373"/>
      <x:c r="E164" s="373"/>
      <x:c r="F164" s="373"/>
      <x:c r="G164" s="373"/>
      <x:c r="H164" s="373"/>
      <x:c r="I164" s="373"/>
      <x:c r="J164" s="373"/>
      <x:c r="K164" s="373"/>
      <x:c r="L164" s="373"/>
      <x:c r="M164" s="373"/>
      <x:c r="N164" s="373"/>
      <x:c r="O164" s="373"/>
      <x:c r="P164" s="373"/>
      <x:c r="Q164" s="373"/>
      <x:c r="R164" s="373"/>
      <x:c r="S164" s="373"/>
      <x:c r="T164" s="373"/>
      <x:c r="U164" s="373"/>
      <x:c r="V164" s="373"/>
      <x:c r="W164" s="373"/>
      <x:c r="X164" s="373"/>
      <x:c r="Y164" s="373"/>
      <x:c r="Z164" s="373"/>
    </x:row>
    <x:row r="165">
      <x:c r="A165" s="373"/>
      <x:c r="B165" s="373"/>
      <x:c r="C165" s="373"/>
      <x:c r="D165" s="373"/>
      <x:c r="E165" s="373"/>
      <x:c r="F165" s="373"/>
      <x:c r="G165" s="373"/>
      <x:c r="H165" s="373"/>
      <x:c r="I165" s="373"/>
      <x:c r="J165" s="373"/>
      <x:c r="K165" s="373"/>
      <x:c r="L165" s="373"/>
      <x:c r="M165" s="373"/>
      <x:c r="N165" s="373"/>
      <x:c r="O165" s="373"/>
      <x:c r="P165" s="373"/>
      <x:c r="Q165" s="373"/>
      <x:c r="R165" s="373"/>
      <x:c r="S165" s="373"/>
      <x:c r="T165" s="373"/>
      <x:c r="U165" s="373"/>
      <x:c r="V165" s="373"/>
      <x:c r="W165" s="373"/>
      <x:c r="X165" s="373"/>
      <x:c r="Y165" s="373"/>
      <x:c r="Z165" s="373"/>
    </x:row>
    <x:row r="166">
      <x:c r="A166" s="373"/>
      <x:c r="B166" s="373"/>
      <x:c r="C166" s="373"/>
      <x:c r="D166" s="373"/>
      <x:c r="E166" s="373"/>
      <x:c r="F166" s="373"/>
      <x:c r="G166" s="373"/>
      <x:c r="H166" s="373"/>
      <x:c r="I166" s="373"/>
      <x:c r="J166" s="373"/>
      <x:c r="K166" s="373"/>
      <x:c r="L166" s="373"/>
      <x:c r="M166" s="373"/>
      <x:c r="N166" s="373"/>
      <x:c r="O166" s="373"/>
      <x:c r="P166" s="373"/>
      <x:c r="Q166" s="373"/>
      <x:c r="R166" s="373"/>
      <x:c r="S166" s="373"/>
      <x:c r="T166" s="373"/>
      <x:c r="U166" s="373"/>
      <x:c r="V166" s="373"/>
      <x:c r="W166" s="373"/>
      <x:c r="X166" s="373"/>
      <x:c r="Y166" s="373"/>
      <x:c r="Z166" s="373"/>
    </x:row>
    <x:row r="167">
      <x:c r="A167" s="373"/>
      <x:c r="B167" s="373"/>
      <x:c r="C167" s="373"/>
      <x:c r="D167" s="373"/>
      <x:c r="E167" s="373"/>
      <x:c r="F167" s="373"/>
      <x:c r="G167" s="373"/>
      <x:c r="H167" s="373"/>
      <x:c r="I167" s="373"/>
      <x:c r="J167" s="373"/>
      <x:c r="K167" s="373"/>
      <x:c r="L167" s="373"/>
      <x:c r="M167" s="373"/>
      <x:c r="N167" s="373"/>
      <x:c r="O167" s="373"/>
      <x:c r="P167" s="373"/>
      <x:c r="Q167" s="373"/>
      <x:c r="R167" s="373"/>
      <x:c r="S167" s="373"/>
      <x:c r="T167" s="373"/>
      <x:c r="U167" s="373"/>
      <x:c r="V167" s="373"/>
      <x:c r="W167" s="373"/>
      <x:c r="X167" s="373"/>
      <x:c r="Y167" s="373"/>
      <x:c r="Z167" s="373"/>
    </x:row>
    <x:row r="168">
      <x:c r="A168" s="373"/>
      <x:c r="B168" s="373"/>
      <x:c r="C168" s="373"/>
      <x:c r="D168" s="373"/>
      <x:c r="E168" s="373"/>
      <x:c r="F168" s="373"/>
      <x:c r="G168" s="373"/>
      <x:c r="H168" s="373"/>
      <x:c r="I168" s="373"/>
      <x:c r="J168" s="373"/>
      <x:c r="K168" s="373"/>
      <x:c r="L168" s="373"/>
      <x:c r="M168" s="373"/>
      <x:c r="N168" s="373"/>
      <x:c r="O168" s="373"/>
      <x:c r="P168" s="373"/>
      <x:c r="Q168" s="373"/>
      <x:c r="R168" s="373"/>
      <x:c r="S168" s="373"/>
      <x:c r="T168" s="373"/>
      <x:c r="U168" s="373"/>
      <x:c r="V168" s="373"/>
      <x:c r="W168" s="373"/>
      <x:c r="X168" s="373"/>
      <x:c r="Y168" s="373"/>
      <x:c r="Z168" s="373"/>
    </x:row>
    <x:row r="169">
      <x:c r="A169" s="373"/>
      <x:c r="B169" s="373"/>
      <x:c r="C169" s="373"/>
      <x:c r="D169" s="373"/>
      <x:c r="E169" s="373"/>
      <x:c r="F169" s="373"/>
      <x:c r="G169" s="373"/>
      <x:c r="H169" s="373"/>
      <x:c r="I169" s="373"/>
      <x:c r="J169" s="373"/>
      <x:c r="K169" s="373"/>
      <x:c r="L169" s="373"/>
      <x:c r="M169" s="373"/>
      <x:c r="N169" s="373"/>
      <x:c r="O169" s="373"/>
      <x:c r="P169" s="373"/>
      <x:c r="Q169" s="373"/>
      <x:c r="R169" s="373"/>
      <x:c r="S169" s="373"/>
      <x:c r="T169" s="373"/>
      <x:c r="U169" s="373"/>
      <x:c r="V169" s="373"/>
      <x:c r="W169" s="373"/>
      <x:c r="X169" s="373"/>
      <x:c r="Y169" s="373"/>
      <x:c r="Z169" s="373"/>
    </x:row>
    <x:row r="170">
      <x:c r="A170" s="373"/>
      <x:c r="B170" s="373"/>
      <x:c r="C170" s="373"/>
      <x:c r="D170" s="373"/>
      <x:c r="E170" s="373"/>
      <x:c r="F170" s="373"/>
      <x:c r="G170" s="373"/>
      <x:c r="H170" s="373"/>
      <x:c r="I170" s="373"/>
      <x:c r="J170" s="373"/>
      <x:c r="K170" s="373"/>
      <x:c r="L170" s="373"/>
      <x:c r="M170" s="373"/>
      <x:c r="N170" s="373"/>
      <x:c r="O170" s="373"/>
      <x:c r="P170" s="373"/>
      <x:c r="Q170" s="373"/>
      <x:c r="R170" s="373"/>
      <x:c r="S170" s="373"/>
      <x:c r="T170" s="373"/>
      <x:c r="U170" s="373"/>
      <x:c r="V170" s="373"/>
      <x:c r="W170" s="373"/>
      <x:c r="X170" s="373"/>
      <x:c r="Y170" s="373"/>
      <x:c r="Z170" s="373"/>
    </x:row>
    <x:row r="171">
      <x:c r="A171" s="373"/>
      <x:c r="B171" s="373"/>
      <x:c r="C171" s="373"/>
      <x:c r="D171" s="373"/>
      <x:c r="E171" s="373"/>
      <x:c r="F171" s="373"/>
      <x:c r="G171" s="373"/>
      <x:c r="H171" s="373"/>
      <x:c r="I171" s="373"/>
      <x:c r="J171" s="373"/>
      <x:c r="K171" s="373"/>
      <x:c r="L171" s="373"/>
      <x:c r="M171" s="373"/>
      <x:c r="N171" s="373"/>
      <x:c r="O171" s="373"/>
      <x:c r="P171" s="373"/>
      <x:c r="Q171" s="373"/>
      <x:c r="R171" s="373"/>
      <x:c r="S171" s="373"/>
      <x:c r="T171" s="373"/>
      <x:c r="U171" s="373"/>
      <x:c r="V171" s="373"/>
      <x:c r="W171" s="373"/>
      <x:c r="X171" s="373"/>
      <x:c r="Y171" s="373"/>
      <x:c r="Z171" s="373"/>
    </x:row>
    <x:row r="172">
      <x:c r="A172" s="373"/>
      <x:c r="B172" s="373"/>
      <x:c r="C172" s="373"/>
      <x:c r="D172" s="373"/>
      <x:c r="E172" s="373"/>
      <x:c r="F172" s="373"/>
      <x:c r="G172" s="373"/>
      <x:c r="H172" s="373"/>
      <x:c r="I172" s="373"/>
      <x:c r="J172" s="373"/>
      <x:c r="K172" s="373"/>
      <x:c r="L172" s="373"/>
      <x:c r="M172" s="373"/>
      <x:c r="N172" s="373"/>
      <x:c r="O172" s="373"/>
      <x:c r="P172" s="373"/>
      <x:c r="Q172" s="373"/>
      <x:c r="R172" s="373"/>
      <x:c r="S172" s="373"/>
      <x:c r="T172" s="373"/>
      <x:c r="U172" s="373"/>
      <x:c r="V172" s="373"/>
      <x:c r="W172" s="373"/>
      <x:c r="X172" s="373"/>
      <x:c r="Y172" s="373"/>
      <x:c r="Z172" s="373"/>
    </x:row>
    <x:row r="173">
      <x:c r="A173" s="373"/>
      <x:c r="B173" s="373"/>
      <x:c r="C173" s="373"/>
      <x:c r="D173" s="373"/>
      <x:c r="E173" s="373"/>
      <x:c r="F173" s="373"/>
      <x:c r="G173" s="373"/>
      <x:c r="H173" s="373"/>
      <x:c r="I173" s="373"/>
      <x:c r="J173" s="373"/>
      <x:c r="K173" s="373"/>
      <x:c r="L173" s="373"/>
      <x:c r="M173" s="373"/>
      <x:c r="N173" s="373"/>
      <x:c r="O173" s="373"/>
      <x:c r="P173" s="373"/>
      <x:c r="Q173" s="373"/>
      <x:c r="R173" s="373"/>
      <x:c r="S173" s="373"/>
      <x:c r="T173" s="373"/>
      <x:c r="U173" s="373"/>
      <x:c r="V173" s="373"/>
      <x:c r="W173" s="373"/>
      <x:c r="X173" s="373"/>
      <x:c r="Y173" s="373"/>
      <x:c r="Z173" s="373"/>
    </x:row>
    <x:row r="174">
      <x:c r="A174" s="373"/>
      <x:c r="B174" s="373"/>
      <x:c r="C174" s="373"/>
      <x:c r="D174" s="373"/>
      <x:c r="E174" s="373"/>
      <x:c r="F174" s="373"/>
      <x:c r="G174" s="373"/>
      <x:c r="H174" s="373"/>
      <x:c r="I174" s="373"/>
      <x:c r="J174" s="373"/>
      <x:c r="K174" s="373"/>
      <x:c r="L174" s="373"/>
      <x:c r="M174" s="373"/>
      <x:c r="N174" s="373"/>
      <x:c r="O174" s="373"/>
      <x:c r="P174" s="373"/>
      <x:c r="Q174" s="373"/>
      <x:c r="R174" s="373"/>
      <x:c r="S174" s="373"/>
      <x:c r="T174" s="373"/>
      <x:c r="U174" s="373"/>
      <x:c r="V174" s="373"/>
      <x:c r="W174" s="373"/>
      <x:c r="X174" s="373"/>
      <x:c r="Y174" s="373"/>
      <x:c r="Z174" s="373"/>
    </x:row>
    <x:row r="175">
      <x:c r="A175" s="373"/>
      <x:c r="B175" s="373"/>
      <x:c r="C175" s="373"/>
      <x:c r="D175" s="373"/>
      <x:c r="E175" s="373"/>
      <x:c r="F175" s="373"/>
      <x:c r="G175" s="373"/>
      <x:c r="H175" s="373"/>
      <x:c r="I175" s="373"/>
      <x:c r="J175" s="373"/>
      <x:c r="K175" s="373"/>
      <x:c r="L175" s="373"/>
      <x:c r="M175" s="373"/>
      <x:c r="N175" s="373"/>
      <x:c r="O175" s="373"/>
      <x:c r="P175" s="373"/>
      <x:c r="Q175" s="373"/>
      <x:c r="R175" s="373"/>
      <x:c r="S175" s="373"/>
      <x:c r="T175" s="373"/>
      <x:c r="U175" s="373"/>
      <x:c r="V175" s="373"/>
      <x:c r="W175" s="373"/>
      <x:c r="X175" s="373"/>
      <x:c r="Y175" s="373"/>
      <x:c r="Z175" s="373"/>
    </x:row>
    <x:row r="176">
      <x:c r="A176" s="373"/>
      <x:c r="B176" s="373"/>
      <x:c r="C176" s="373"/>
      <x:c r="D176" s="373"/>
      <x:c r="E176" s="373"/>
      <x:c r="F176" s="373"/>
      <x:c r="G176" s="373"/>
      <x:c r="H176" s="373"/>
      <x:c r="I176" s="373"/>
      <x:c r="J176" s="373"/>
      <x:c r="K176" s="373"/>
      <x:c r="L176" s="373"/>
      <x:c r="M176" s="373"/>
      <x:c r="N176" s="373"/>
      <x:c r="O176" s="373"/>
      <x:c r="P176" s="373"/>
      <x:c r="Q176" s="373"/>
      <x:c r="R176" s="373"/>
      <x:c r="S176" s="373"/>
      <x:c r="T176" s="373"/>
      <x:c r="U176" s="373"/>
      <x:c r="V176" s="373"/>
      <x:c r="W176" s="373"/>
      <x:c r="X176" s="373"/>
      <x:c r="Y176" s="373"/>
      <x:c r="Z176" s="373"/>
    </x:row>
    <x:row r="177">
      <x:c r="A177" s="373"/>
      <x:c r="B177" s="373"/>
      <x:c r="C177" s="373"/>
      <x:c r="D177" s="373"/>
      <x:c r="E177" s="373"/>
      <x:c r="F177" s="373"/>
      <x:c r="G177" s="373"/>
      <x:c r="H177" s="373"/>
      <x:c r="I177" s="373"/>
      <x:c r="J177" s="373"/>
      <x:c r="K177" s="373"/>
      <x:c r="L177" s="373"/>
      <x:c r="M177" s="373"/>
      <x:c r="N177" s="373"/>
      <x:c r="O177" s="373"/>
      <x:c r="P177" s="373"/>
      <x:c r="Q177" s="373"/>
      <x:c r="R177" s="373"/>
      <x:c r="S177" s="373"/>
      <x:c r="T177" s="373"/>
      <x:c r="U177" s="373"/>
      <x:c r="V177" s="373"/>
      <x:c r="W177" s="373"/>
      <x:c r="X177" s="373"/>
      <x:c r="Y177" s="373"/>
      <x:c r="Z177" s="373"/>
    </x:row>
    <x:row r="178">
      <x:c r="A178" s="373"/>
      <x:c r="B178" s="373"/>
      <x:c r="C178" s="373"/>
      <x:c r="D178" s="373"/>
      <x:c r="E178" s="373"/>
      <x:c r="F178" s="373"/>
      <x:c r="G178" s="373"/>
      <x:c r="H178" s="373"/>
      <x:c r="I178" s="373"/>
      <x:c r="J178" s="373"/>
      <x:c r="K178" s="373"/>
      <x:c r="L178" s="373"/>
      <x:c r="M178" s="373"/>
      <x:c r="N178" s="373"/>
      <x:c r="O178" s="373"/>
      <x:c r="P178" s="373"/>
      <x:c r="Q178" s="373"/>
      <x:c r="R178" s="373"/>
      <x:c r="S178" s="373"/>
      <x:c r="T178" s="373"/>
      <x:c r="U178" s="373"/>
      <x:c r="V178" s="373"/>
      <x:c r="W178" s="373"/>
      <x:c r="X178" s="373"/>
      <x:c r="Y178" s="373"/>
      <x:c r="Z178" s="373"/>
    </x:row>
    <x:row r="179">
      <x:c r="A179" s="373"/>
      <x:c r="B179" s="373"/>
      <x:c r="C179" s="373"/>
      <x:c r="D179" s="373"/>
      <x:c r="E179" s="373"/>
      <x:c r="F179" s="373"/>
      <x:c r="G179" s="373"/>
      <x:c r="H179" s="373"/>
      <x:c r="I179" s="373"/>
      <x:c r="J179" s="373"/>
      <x:c r="K179" s="373"/>
      <x:c r="L179" s="373"/>
      <x:c r="M179" s="373"/>
      <x:c r="N179" s="373"/>
      <x:c r="O179" s="373"/>
      <x:c r="P179" s="373"/>
      <x:c r="Q179" s="373"/>
      <x:c r="R179" s="373"/>
      <x:c r="S179" s="373"/>
      <x:c r="T179" s="373"/>
      <x:c r="U179" s="373"/>
      <x:c r="V179" s="373"/>
      <x:c r="W179" s="373"/>
      <x:c r="X179" s="373"/>
      <x:c r="Y179" s="373"/>
      <x:c r="Z179" s="373"/>
    </x:row>
    <x:row r="180">
      <x:c r="A180" s="373"/>
      <x:c r="B180" s="373"/>
      <x:c r="C180" s="373"/>
      <x:c r="D180" s="373"/>
      <x:c r="E180" s="373"/>
      <x:c r="F180" s="373"/>
      <x:c r="G180" s="373"/>
      <x:c r="H180" s="373"/>
      <x:c r="I180" s="373"/>
      <x:c r="J180" s="373"/>
      <x:c r="K180" s="373"/>
      <x:c r="L180" s="373"/>
      <x:c r="M180" s="373"/>
      <x:c r="N180" s="373"/>
      <x:c r="O180" s="373"/>
      <x:c r="P180" s="373"/>
      <x:c r="Q180" s="373"/>
      <x:c r="R180" s="373"/>
      <x:c r="S180" s="373"/>
      <x:c r="T180" s="373"/>
      <x:c r="U180" s="373"/>
      <x:c r="V180" s="373"/>
      <x:c r="W180" s="373"/>
      <x:c r="X180" s="373"/>
      <x:c r="Y180" s="373"/>
      <x:c r="Z180" s="373"/>
    </x:row>
    <x:row r="181">
      <x:c r="A181" s="373"/>
      <x:c r="B181" s="373"/>
      <x:c r="C181" s="373"/>
      <x:c r="D181" s="373"/>
      <x:c r="E181" s="373"/>
      <x:c r="F181" s="373"/>
      <x:c r="G181" s="373"/>
      <x:c r="H181" s="373"/>
      <x:c r="I181" s="373"/>
      <x:c r="J181" s="373"/>
      <x:c r="K181" s="373"/>
      <x:c r="L181" s="373"/>
      <x:c r="M181" s="373"/>
      <x:c r="N181" s="373"/>
      <x:c r="O181" s="373"/>
      <x:c r="P181" s="373"/>
      <x:c r="Q181" s="373"/>
      <x:c r="R181" s="373"/>
      <x:c r="S181" s="373"/>
      <x:c r="T181" s="373"/>
      <x:c r="U181" s="373"/>
      <x:c r="V181" s="373"/>
      <x:c r="W181" s="373"/>
      <x:c r="X181" s="373"/>
      <x:c r="Y181" s="373"/>
      <x:c r="Z181" s="373"/>
    </x:row>
    <x:row r="182">
      <x:c r="A182" s="373"/>
      <x:c r="B182" s="373"/>
      <x:c r="C182" s="373"/>
      <x:c r="D182" s="373"/>
      <x:c r="E182" s="373"/>
      <x:c r="F182" s="373"/>
      <x:c r="G182" s="373"/>
      <x:c r="H182" s="373"/>
      <x:c r="I182" s="373"/>
      <x:c r="J182" s="373"/>
      <x:c r="K182" s="373"/>
      <x:c r="L182" s="373"/>
      <x:c r="M182" s="373"/>
      <x:c r="N182" s="373"/>
      <x:c r="O182" s="373"/>
      <x:c r="P182" s="373"/>
      <x:c r="Q182" s="373"/>
      <x:c r="R182" s="373"/>
      <x:c r="S182" s="373"/>
      <x:c r="T182" s="373"/>
      <x:c r="U182" s="373"/>
      <x:c r="V182" s="373"/>
      <x:c r="W182" s="373"/>
      <x:c r="X182" s="373"/>
      <x:c r="Y182" s="373"/>
      <x:c r="Z182" s="373"/>
    </x:row>
    <x:row r="183">
      <x:c r="A183" s="373"/>
      <x:c r="B183" s="373"/>
      <x:c r="C183" s="373"/>
      <x:c r="D183" s="373"/>
      <x:c r="E183" s="373"/>
      <x:c r="F183" s="373"/>
      <x:c r="G183" s="373"/>
      <x:c r="H183" s="373"/>
      <x:c r="I183" s="373"/>
      <x:c r="J183" s="373"/>
      <x:c r="K183" s="373"/>
      <x:c r="L183" s="373"/>
      <x:c r="M183" s="373"/>
      <x:c r="N183" s="373"/>
      <x:c r="O183" s="373"/>
      <x:c r="P183" s="373"/>
      <x:c r="Q183" s="373"/>
      <x:c r="R183" s="373"/>
      <x:c r="S183" s="373"/>
      <x:c r="T183" s="373"/>
      <x:c r="U183" s="373"/>
      <x:c r="V183" s="373"/>
      <x:c r="W183" s="373"/>
      <x:c r="X183" s="373"/>
      <x:c r="Y183" s="373"/>
      <x:c r="Z183" s="373"/>
    </x:row>
    <x:row r="184">
      <x:c r="A184" s="373"/>
      <x:c r="B184" s="373"/>
      <x:c r="C184" s="373"/>
      <x:c r="D184" s="373"/>
      <x:c r="E184" s="373"/>
      <x:c r="F184" s="373"/>
      <x:c r="G184" s="373"/>
      <x:c r="H184" s="373"/>
      <x:c r="I184" s="373"/>
      <x:c r="J184" s="373"/>
      <x:c r="K184" s="373"/>
      <x:c r="L184" s="373"/>
      <x:c r="M184" s="373"/>
      <x:c r="N184" s="373"/>
      <x:c r="O184" s="373"/>
      <x:c r="P184" s="373"/>
      <x:c r="Q184" s="373"/>
      <x:c r="R184" s="373"/>
      <x:c r="S184" s="373"/>
      <x:c r="T184" s="373"/>
      <x:c r="U184" s="373"/>
      <x:c r="V184" s="373"/>
      <x:c r="W184" s="373"/>
      <x:c r="X184" s="373"/>
      <x:c r="Y184" s="373"/>
      <x:c r="Z184" s="373"/>
    </x:row>
    <x:row r="185">
      <x:c r="A185" s="373"/>
      <x:c r="B185" s="373"/>
      <x:c r="C185" s="373"/>
      <x:c r="D185" s="373"/>
      <x:c r="E185" s="373"/>
      <x:c r="F185" s="373"/>
      <x:c r="G185" s="373"/>
      <x:c r="H185" s="373"/>
      <x:c r="I185" s="373"/>
      <x:c r="J185" s="373"/>
      <x:c r="K185" s="373"/>
      <x:c r="L185" s="373"/>
      <x:c r="M185" s="373"/>
      <x:c r="N185" s="373"/>
      <x:c r="O185" s="373"/>
      <x:c r="P185" s="373"/>
      <x:c r="Q185" s="373"/>
      <x:c r="R185" s="373"/>
      <x:c r="S185" s="373"/>
      <x:c r="T185" s="373"/>
      <x:c r="U185" s="373"/>
      <x:c r="V185" s="373"/>
      <x:c r="W185" s="373"/>
      <x:c r="X185" s="373"/>
      <x:c r="Y185" s="373"/>
      <x:c r="Z185" s="373"/>
    </x:row>
    <x:row r="186">
      <x:c r="A186" s="373"/>
      <x:c r="B186" s="373"/>
      <x:c r="C186" s="373"/>
      <x:c r="D186" s="373"/>
      <x:c r="E186" s="373"/>
      <x:c r="F186" s="373"/>
      <x:c r="G186" s="373"/>
      <x:c r="H186" s="373"/>
      <x:c r="I186" s="373"/>
      <x:c r="J186" s="373"/>
      <x:c r="K186" s="373"/>
      <x:c r="L186" s="373"/>
      <x:c r="M186" s="373"/>
      <x:c r="N186" s="373"/>
      <x:c r="O186" s="373"/>
      <x:c r="P186" s="373"/>
      <x:c r="Q186" s="373"/>
      <x:c r="R186" s="373"/>
      <x:c r="S186" s="373"/>
      <x:c r="T186" s="373"/>
      <x:c r="U186" s="373"/>
      <x:c r="V186" s="373"/>
      <x:c r="W186" s="373"/>
      <x:c r="X186" s="373"/>
      <x:c r="Y186" s="373"/>
      <x:c r="Z186" s="373"/>
    </x:row>
    <x:row r="187">
      <x:c r="A187" s="373"/>
      <x:c r="B187" s="373"/>
      <x:c r="C187" s="373"/>
      <x:c r="D187" s="373"/>
      <x:c r="E187" s="373"/>
      <x:c r="F187" s="373"/>
      <x:c r="G187" s="373"/>
      <x:c r="H187" s="373"/>
      <x:c r="I187" s="373"/>
      <x:c r="J187" s="373"/>
      <x:c r="K187" s="373"/>
      <x:c r="L187" s="373"/>
      <x:c r="M187" s="373"/>
      <x:c r="N187" s="373"/>
      <x:c r="O187" s="373"/>
      <x:c r="P187" s="373"/>
      <x:c r="Q187" s="373"/>
      <x:c r="R187" s="373"/>
      <x:c r="S187" s="373"/>
      <x:c r="T187" s="373"/>
      <x:c r="U187" s="373"/>
      <x:c r="V187" s="373"/>
      <x:c r="W187" s="373"/>
      <x:c r="X187" s="373"/>
      <x:c r="Y187" s="373"/>
      <x:c r="Z187" s="373"/>
    </x:row>
    <x:row r="188">
      <x:c r="A188" s="373"/>
      <x:c r="B188" s="373"/>
      <x:c r="C188" s="373"/>
      <x:c r="D188" s="373"/>
      <x:c r="E188" s="373"/>
      <x:c r="F188" s="373"/>
      <x:c r="G188" s="373"/>
      <x:c r="H188" s="373"/>
      <x:c r="I188" s="373"/>
      <x:c r="J188" s="373"/>
      <x:c r="K188" s="373"/>
      <x:c r="L188" s="373"/>
      <x:c r="M188" s="373"/>
      <x:c r="N188" s="373"/>
      <x:c r="O188" s="373"/>
      <x:c r="P188" s="373"/>
      <x:c r="Q188" s="373"/>
      <x:c r="R188" s="373"/>
      <x:c r="S188" s="373"/>
      <x:c r="T188" s="373"/>
      <x:c r="U188" s="373"/>
      <x:c r="V188" s="373"/>
      <x:c r="W188" s="373"/>
      <x:c r="X188" s="373"/>
      <x:c r="Y188" s="373"/>
      <x:c r="Z188" s="373"/>
    </x:row>
    <x:row r="189">
      <x:c r="A189" s="373"/>
      <x:c r="B189" s="373"/>
      <x:c r="C189" s="373"/>
      <x:c r="D189" s="373"/>
      <x:c r="E189" s="373"/>
      <x:c r="F189" s="373"/>
      <x:c r="G189" s="373"/>
      <x:c r="H189" s="373"/>
      <x:c r="I189" s="373"/>
      <x:c r="J189" s="373"/>
      <x:c r="K189" s="373"/>
      <x:c r="L189" s="373"/>
      <x:c r="M189" s="373"/>
      <x:c r="N189" s="373"/>
      <x:c r="O189" s="373"/>
      <x:c r="P189" s="373"/>
      <x:c r="Q189" s="373"/>
      <x:c r="R189" s="373"/>
      <x:c r="S189" s="373"/>
      <x:c r="T189" s="373"/>
      <x:c r="U189" s="373"/>
      <x:c r="V189" s="373"/>
      <x:c r="W189" s="373"/>
      <x:c r="X189" s="373"/>
      <x:c r="Y189" s="373"/>
      <x:c r="Z189" s="373"/>
    </x:row>
    <x:row r="190">
      <x:c r="A190" s="373"/>
      <x:c r="B190" s="373"/>
      <x:c r="C190" s="373"/>
      <x:c r="D190" s="373"/>
      <x:c r="E190" s="373"/>
      <x:c r="F190" s="373"/>
      <x:c r="G190" s="373"/>
      <x:c r="H190" s="373"/>
      <x:c r="I190" s="373"/>
      <x:c r="J190" s="373"/>
      <x:c r="K190" s="373"/>
      <x:c r="L190" s="373"/>
      <x:c r="M190" s="373"/>
      <x:c r="N190" s="373"/>
      <x:c r="O190" s="373"/>
      <x:c r="P190" s="373"/>
      <x:c r="Q190" s="373"/>
      <x:c r="R190" s="373"/>
      <x:c r="S190" s="373"/>
      <x:c r="T190" s="373"/>
      <x:c r="U190" s="373"/>
      <x:c r="V190" s="373"/>
      <x:c r="W190" s="373"/>
      <x:c r="X190" s="373"/>
      <x:c r="Y190" s="373"/>
      <x:c r="Z190" s="373"/>
    </x:row>
    <x:row r="191">
      <x:c r="A191" s="373"/>
      <x:c r="B191" s="373"/>
      <x:c r="C191" s="373"/>
      <x:c r="D191" s="373"/>
      <x:c r="E191" s="373"/>
      <x:c r="F191" s="373"/>
      <x:c r="G191" s="373"/>
      <x:c r="H191" s="373"/>
      <x:c r="I191" s="373"/>
      <x:c r="J191" s="373"/>
      <x:c r="K191" s="373"/>
      <x:c r="L191" s="373"/>
      <x:c r="M191" s="373"/>
      <x:c r="N191" s="373"/>
      <x:c r="O191" s="373"/>
      <x:c r="P191" s="373"/>
      <x:c r="Q191" s="373"/>
      <x:c r="R191" s="373"/>
      <x:c r="S191" s="373"/>
      <x:c r="T191" s="373"/>
      <x:c r="U191" s="373"/>
      <x:c r="V191" s="373"/>
      <x:c r="W191" s="373"/>
      <x:c r="X191" s="373"/>
      <x:c r="Y191" s="373"/>
      <x:c r="Z191" s="373"/>
    </x:row>
    <x:row r="192">
      <x:c r="A192" s="373"/>
      <x:c r="B192" s="373"/>
      <x:c r="C192" s="373"/>
      <x:c r="D192" s="373"/>
      <x:c r="E192" s="373"/>
      <x:c r="F192" s="373"/>
      <x:c r="G192" s="373"/>
      <x:c r="H192" s="373"/>
      <x:c r="I192" s="373"/>
      <x:c r="J192" s="373"/>
      <x:c r="K192" s="373"/>
      <x:c r="L192" s="373"/>
      <x:c r="M192" s="373"/>
      <x:c r="N192" s="373"/>
      <x:c r="O192" s="373"/>
      <x:c r="P192" s="373"/>
      <x:c r="Q192" s="373"/>
      <x:c r="R192" s="373"/>
      <x:c r="S192" s="373"/>
      <x:c r="T192" s="373"/>
      <x:c r="U192" s="373"/>
      <x:c r="V192" s="373"/>
      <x:c r="W192" s="373"/>
      <x:c r="X192" s="373"/>
      <x:c r="Y192" s="373"/>
      <x:c r="Z192" s="373"/>
    </x:row>
    <x:row r="193">
      <x:c r="A193" s="373"/>
      <x:c r="B193" s="373"/>
      <x:c r="C193" s="373"/>
      <x:c r="D193" s="373"/>
      <x:c r="E193" s="373"/>
      <x:c r="F193" s="373"/>
      <x:c r="G193" s="373"/>
      <x:c r="H193" s="373"/>
      <x:c r="I193" s="373"/>
      <x:c r="J193" s="373"/>
      <x:c r="K193" s="373"/>
      <x:c r="L193" s="373"/>
      <x:c r="M193" s="373"/>
      <x:c r="N193" s="373"/>
      <x:c r="O193" s="373"/>
      <x:c r="P193" s="373"/>
      <x:c r="Q193" s="373"/>
      <x:c r="R193" s="373"/>
      <x:c r="S193" s="373"/>
      <x:c r="T193" s="373"/>
      <x:c r="U193" s="373"/>
      <x:c r="V193" s="373"/>
      <x:c r="W193" s="373"/>
      <x:c r="X193" s="373"/>
      <x:c r="Y193" s="373"/>
      <x:c r="Z193" s="373"/>
    </x:row>
    <x:row r="194">
      <x:c r="A194" s="373"/>
      <x:c r="B194" s="373"/>
      <x:c r="C194" s="373"/>
      <x:c r="D194" s="373"/>
      <x:c r="E194" s="373"/>
      <x:c r="F194" s="373"/>
      <x:c r="G194" s="373"/>
      <x:c r="H194" s="373"/>
      <x:c r="I194" s="373"/>
      <x:c r="J194" s="373"/>
      <x:c r="K194" s="373"/>
      <x:c r="L194" s="373"/>
      <x:c r="M194" s="373"/>
      <x:c r="N194" s="373"/>
      <x:c r="O194" s="373"/>
      <x:c r="P194" s="373"/>
      <x:c r="Q194" s="373"/>
      <x:c r="R194" s="373"/>
      <x:c r="S194" s="373"/>
      <x:c r="T194" s="373"/>
      <x:c r="U194" s="373"/>
      <x:c r="V194" s="373"/>
      <x:c r="W194" s="373"/>
      <x:c r="X194" s="373"/>
      <x:c r="Y194" s="373"/>
      <x:c r="Z194" s="373"/>
    </x:row>
    <x:row r="195">
      <x:c r="A195" s="373"/>
      <x:c r="B195" s="373"/>
      <x:c r="C195" s="373"/>
      <x:c r="D195" s="373"/>
      <x:c r="E195" s="373"/>
      <x:c r="F195" s="373"/>
      <x:c r="G195" s="373"/>
      <x:c r="H195" s="373"/>
      <x:c r="I195" s="373"/>
      <x:c r="J195" s="373"/>
      <x:c r="K195" s="373"/>
      <x:c r="L195" s="373"/>
      <x:c r="M195" s="373"/>
      <x:c r="N195" s="373"/>
      <x:c r="O195" s="373"/>
      <x:c r="P195" s="373"/>
      <x:c r="Q195" s="373"/>
      <x:c r="R195" s="373"/>
      <x:c r="S195" s="373"/>
      <x:c r="T195" s="373"/>
      <x:c r="U195" s="373"/>
      <x:c r="V195" s="373"/>
      <x:c r="W195" s="373"/>
      <x:c r="X195" s="373"/>
      <x:c r="Y195" s="373"/>
      <x:c r="Z195" s="373"/>
    </x:row>
    <x:row r="196">
      <x:c r="A196" s="373"/>
      <x:c r="B196" s="373"/>
      <x:c r="C196" s="373"/>
      <x:c r="D196" s="373"/>
      <x:c r="E196" s="373"/>
      <x:c r="F196" s="373"/>
      <x:c r="G196" s="373"/>
      <x:c r="H196" s="373"/>
      <x:c r="I196" s="373"/>
      <x:c r="J196" s="373"/>
      <x:c r="K196" s="373"/>
      <x:c r="L196" s="373"/>
      <x:c r="M196" s="373"/>
      <x:c r="N196" s="373"/>
      <x:c r="O196" s="373"/>
      <x:c r="P196" s="373"/>
      <x:c r="Q196" s="373"/>
      <x:c r="R196" s="373"/>
      <x:c r="S196" s="373"/>
      <x:c r="T196" s="373"/>
      <x:c r="U196" s="373"/>
      <x:c r="V196" s="373"/>
      <x:c r="W196" s="373"/>
      <x:c r="X196" s="373"/>
      <x:c r="Y196" s="373"/>
      <x:c r="Z196" s="373"/>
    </x:row>
    <x:row r="197">
      <x:c r="A197" s="373"/>
      <x:c r="B197" s="373"/>
      <x:c r="C197" s="373"/>
      <x:c r="D197" s="373"/>
      <x:c r="E197" s="373"/>
      <x:c r="F197" s="373"/>
      <x:c r="G197" s="373"/>
      <x:c r="H197" s="373"/>
      <x:c r="I197" s="373"/>
      <x:c r="J197" s="373"/>
      <x:c r="K197" s="373"/>
      <x:c r="L197" s="373"/>
      <x:c r="M197" s="373"/>
      <x:c r="N197" s="373"/>
      <x:c r="O197" s="373"/>
      <x:c r="P197" s="373"/>
      <x:c r="Q197" s="373"/>
      <x:c r="R197" s="373"/>
      <x:c r="S197" s="373"/>
      <x:c r="T197" s="373"/>
      <x:c r="U197" s="373"/>
      <x:c r="V197" s="373"/>
      <x:c r="W197" s="373"/>
      <x:c r="X197" s="373"/>
      <x:c r="Y197" s="373"/>
      <x:c r="Z197" s="373"/>
    </x:row>
    <x:row r="198">
      <x:c r="A198" s="373"/>
      <x:c r="B198" s="373"/>
      <x:c r="C198" s="373"/>
      <x:c r="D198" s="373"/>
      <x:c r="E198" s="373"/>
      <x:c r="F198" s="373"/>
      <x:c r="G198" s="373"/>
      <x:c r="H198" s="373"/>
      <x:c r="I198" s="373"/>
      <x:c r="J198" s="373"/>
      <x:c r="K198" s="373"/>
      <x:c r="L198" s="373"/>
      <x:c r="M198" s="373"/>
      <x:c r="N198" s="373"/>
      <x:c r="O198" s="373"/>
      <x:c r="P198" s="373"/>
      <x:c r="Q198" s="373"/>
      <x:c r="R198" s="373"/>
      <x:c r="S198" s="373"/>
      <x:c r="T198" s="373"/>
      <x:c r="U198" s="373"/>
      <x:c r="V198" s="373"/>
      <x:c r="W198" s="373"/>
      <x:c r="X198" s="373"/>
      <x:c r="Y198" s="373"/>
      <x:c r="Z198" s="373"/>
    </x:row>
    <x:row r="199">
      <x:c r="A199" s="373"/>
      <x:c r="B199" s="373"/>
      <x:c r="C199" s="373"/>
      <x:c r="D199" s="373"/>
      <x:c r="E199" s="373"/>
      <x:c r="F199" s="373"/>
      <x:c r="G199" s="373"/>
      <x:c r="H199" s="373"/>
      <x:c r="I199" s="373"/>
      <x:c r="J199" s="373"/>
      <x:c r="K199" s="373"/>
      <x:c r="L199" s="373"/>
      <x:c r="M199" s="373"/>
      <x:c r="N199" s="373"/>
      <x:c r="O199" s="373"/>
      <x:c r="P199" s="373"/>
      <x:c r="Q199" s="373"/>
      <x:c r="R199" s="373"/>
      <x:c r="S199" s="373"/>
      <x:c r="T199" s="373"/>
      <x:c r="U199" s="373"/>
      <x:c r="V199" s="373"/>
      <x:c r="W199" s="373"/>
      <x:c r="X199" s="373"/>
      <x:c r="Y199" s="373"/>
      <x:c r="Z199" s="373"/>
    </x:row>
    <x:row r="200">
      <x:c r="A200" s="373"/>
      <x:c r="B200" s="373"/>
      <x:c r="C200" s="373"/>
      <x:c r="D200" s="373"/>
      <x:c r="E200" s="373"/>
      <x:c r="F200" s="373"/>
      <x:c r="G200" s="373"/>
      <x:c r="H200" s="373"/>
      <x:c r="I200" s="373"/>
      <x:c r="J200" s="373"/>
      <x:c r="K200" s="373"/>
      <x:c r="L200" s="373"/>
      <x:c r="M200" s="373"/>
      <x:c r="N200" s="373"/>
      <x:c r="O200" s="373"/>
      <x:c r="P200" s="373"/>
      <x:c r="Q200" s="373"/>
      <x:c r="R200" s="373"/>
      <x:c r="S200" s="373"/>
      <x:c r="T200" s="373"/>
      <x:c r="U200" s="373"/>
      <x:c r="V200" s="373"/>
      <x:c r="W200" s="373"/>
      <x:c r="X200" s="373"/>
      <x:c r="Y200" s="373"/>
      <x:c r="Z200" s="373"/>
    </x:row>
    <x:row r="201">
      <x:c r="A201" s="373"/>
      <x:c r="B201" s="373"/>
      <x:c r="C201" s="373"/>
      <x:c r="D201" s="373"/>
      <x:c r="E201" s="373"/>
      <x:c r="F201" s="373"/>
      <x:c r="G201" s="373"/>
      <x:c r="H201" s="373"/>
      <x:c r="I201" s="373"/>
      <x:c r="J201" s="373"/>
      <x:c r="K201" s="373"/>
      <x:c r="L201" s="373"/>
      <x:c r="M201" s="373"/>
      <x:c r="N201" s="373"/>
      <x:c r="O201" s="373"/>
      <x:c r="P201" s="373"/>
      <x:c r="Q201" s="373"/>
      <x:c r="R201" s="373"/>
      <x:c r="S201" s="373"/>
      <x:c r="T201" s="373"/>
      <x:c r="U201" s="373"/>
      <x:c r="V201" s="373"/>
      <x:c r="W201" s="373"/>
      <x:c r="X201" s="373"/>
      <x:c r="Y201" s="373"/>
      <x:c r="Z201" s="373"/>
    </x:row>
    <x:row r="202">
      <x:c r="A202" s="373"/>
      <x:c r="B202" s="373"/>
      <x:c r="C202" s="373"/>
      <x:c r="D202" s="373"/>
      <x:c r="E202" s="373"/>
      <x:c r="F202" s="373"/>
      <x:c r="G202" s="373"/>
      <x:c r="H202" s="373"/>
      <x:c r="I202" s="373"/>
      <x:c r="J202" s="373"/>
      <x:c r="K202" s="373"/>
      <x:c r="L202" s="373"/>
      <x:c r="M202" s="373"/>
      <x:c r="N202" s="373"/>
      <x:c r="O202" s="373"/>
      <x:c r="P202" s="373"/>
      <x:c r="Q202" s="373"/>
      <x:c r="R202" s="373"/>
      <x:c r="S202" s="373"/>
      <x:c r="T202" s="373"/>
      <x:c r="U202" s="373"/>
      <x:c r="V202" s="373"/>
      <x:c r="W202" s="373"/>
      <x:c r="X202" s="373"/>
      <x:c r="Y202" s="373"/>
      <x:c r="Z202" s="373"/>
    </x:row>
    <x:row r="203">
      <x:c r="A203" s="373"/>
      <x:c r="B203" s="373"/>
      <x:c r="C203" s="373"/>
      <x:c r="D203" s="373"/>
      <x:c r="E203" s="373"/>
      <x:c r="F203" s="373"/>
      <x:c r="G203" s="373"/>
      <x:c r="H203" s="373"/>
      <x:c r="I203" s="373"/>
      <x:c r="J203" s="373"/>
      <x:c r="K203" s="373"/>
      <x:c r="L203" s="373"/>
      <x:c r="M203" s="373"/>
      <x:c r="N203" s="373"/>
      <x:c r="O203" s="373"/>
      <x:c r="P203" s="373"/>
      <x:c r="Q203" s="373"/>
      <x:c r="R203" s="373"/>
      <x:c r="S203" s="373"/>
      <x:c r="T203" s="373"/>
      <x:c r="U203" s="373"/>
      <x:c r="V203" s="373"/>
      <x:c r="W203" s="373"/>
      <x:c r="X203" s="373"/>
      <x:c r="Y203" s="373"/>
      <x:c r="Z203" s="373"/>
    </x:row>
    <x:row r="204">
      <x:c r="A204" s="373"/>
      <x:c r="B204" s="373"/>
      <x:c r="C204" s="373"/>
      <x:c r="D204" s="373"/>
      <x:c r="E204" s="373"/>
      <x:c r="F204" s="373"/>
      <x:c r="G204" s="373"/>
      <x:c r="H204" s="373"/>
      <x:c r="I204" s="373"/>
      <x:c r="J204" s="373"/>
      <x:c r="K204" s="373"/>
      <x:c r="L204" s="373"/>
      <x:c r="M204" s="373"/>
      <x:c r="N204" s="373"/>
      <x:c r="O204" s="373"/>
      <x:c r="P204" s="373"/>
      <x:c r="Q204" s="373"/>
      <x:c r="R204" s="373"/>
      <x:c r="S204" s="373"/>
      <x:c r="T204" s="373"/>
      <x:c r="U204" s="373"/>
      <x:c r="V204" s="373"/>
      <x:c r="W204" s="373"/>
      <x:c r="X204" s="373"/>
      <x:c r="Y204" s="373"/>
      <x:c r="Z204" s="373"/>
    </x:row>
    <x:row r="205">
      <x:c r="A205" s="373"/>
      <x:c r="B205" s="373"/>
      <x:c r="C205" s="373"/>
      <x:c r="D205" s="373"/>
      <x:c r="E205" s="373"/>
      <x:c r="F205" s="373"/>
      <x:c r="G205" s="373"/>
      <x:c r="H205" s="373"/>
      <x:c r="I205" s="373"/>
      <x:c r="J205" s="373"/>
      <x:c r="K205" s="373"/>
      <x:c r="L205" s="373"/>
      <x:c r="M205" s="373"/>
      <x:c r="N205" s="373"/>
      <x:c r="O205" s="373"/>
      <x:c r="P205" s="373"/>
      <x:c r="Q205" s="373"/>
      <x:c r="R205" s="373"/>
      <x:c r="S205" s="373"/>
      <x:c r="T205" s="373"/>
      <x:c r="U205" s="373"/>
      <x:c r="V205" s="373"/>
      <x:c r="W205" s="373"/>
      <x:c r="X205" s="373"/>
      <x:c r="Y205" s="373"/>
      <x:c r="Z205" s="373"/>
    </x:row>
    <x:row r="206">
      <x:c r="A206" s="373"/>
      <x:c r="B206" s="373"/>
      <x:c r="C206" s="373"/>
      <x:c r="D206" s="373"/>
      <x:c r="E206" s="373"/>
      <x:c r="F206" s="373"/>
      <x:c r="G206" s="373"/>
      <x:c r="H206" s="373"/>
      <x:c r="I206" s="373"/>
      <x:c r="J206" s="373"/>
      <x:c r="K206" s="373"/>
      <x:c r="L206" s="373"/>
      <x:c r="M206" s="373"/>
      <x:c r="N206" s="373"/>
      <x:c r="O206" s="373"/>
      <x:c r="P206" s="373"/>
      <x:c r="Q206" s="373"/>
      <x:c r="R206" s="373"/>
      <x:c r="S206" s="373"/>
      <x:c r="T206" s="373"/>
      <x:c r="U206" s="373"/>
      <x:c r="V206" s="373"/>
      <x:c r="W206" s="373"/>
      <x:c r="X206" s="373"/>
      <x:c r="Y206" s="373"/>
      <x:c r="Z206" s="373"/>
    </x:row>
    <x:row r="207">
      <x:c r="A207" s="373"/>
      <x:c r="B207" s="373"/>
      <x:c r="C207" s="373"/>
      <x:c r="D207" s="373"/>
      <x:c r="E207" s="373"/>
      <x:c r="F207" s="373"/>
      <x:c r="G207" s="373"/>
      <x:c r="H207" s="373"/>
      <x:c r="I207" s="373"/>
      <x:c r="J207" s="373"/>
      <x:c r="K207" s="373"/>
      <x:c r="L207" s="373"/>
      <x:c r="M207" s="373"/>
      <x:c r="N207" s="373"/>
      <x:c r="O207" s="373"/>
      <x:c r="P207" s="373"/>
      <x:c r="Q207" s="373"/>
      <x:c r="R207" s="373"/>
      <x:c r="S207" s="373"/>
      <x:c r="T207" s="373"/>
      <x:c r="U207" s="373"/>
      <x:c r="V207" s="373"/>
      <x:c r="W207" s="373"/>
      <x:c r="X207" s="373"/>
      <x:c r="Y207" s="373"/>
      <x:c r="Z207" s="373"/>
    </x:row>
    <x:row r="208">
      <x:c r="A208" s="373"/>
      <x:c r="B208" s="373"/>
      <x:c r="C208" s="373"/>
      <x:c r="D208" s="373"/>
      <x:c r="E208" s="373"/>
      <x:c r="F208" s="373"/>
      <x:c r="G208" s="373"/>
      <x:c r="H208" s="373"/>
      <x:c r="I208" s="373"/>
      <x:c r="J208" s="373"/>
      <x:c r="K208" s="373"/>
      <x:c r="L208" s="373"/>
      <x:c r="M208" s="373"/>
      <x:c r="N208" s="373"/>
      <x:c r="O208" s="373"/>
      <x:c r="P208" s="373"/>
      <x:c r="Q208" s="373"/>
      <x:c r="R208" s="373"/>
      <x:c r="S208" s="373"/>
      <x:c r="T208" s="373"/>
      <x:c r="U208" s="373"/>
      <x:c r="V208" s="373"/>
      <x:c r="W208" s="373"/>
      <x:c r="X208" s="373"/>
      <x:c r="Y208" s="373"/>
      <x:c r="Z208" s="373"/>
    </x:row>
    <x:row r="209">
      <x:c r="A209" s="373"/>
      <x:c r="B209" s="373"/>
      <x:c r="C209" s="373"/>
      <x:c r="D209" s="373"/>
      <x:c r="E209" s="373"/>
      <x:c r="F209" s="373"/>
      <x:c r="G209" s="373"/>
      <x:c r="H209" s="373"/>
      <x:c r="I209" s="373"/>
      <x:c r="J209" s="373"/>
      <x:c r="K209" s="373"/>
      <x:c r="L209" s="373"/>
      <x:c r="M209" s="373"/>
      <x:c r="N209" s="373"/>
      <x:c r="O209" s="373"/>
      <x:c r="P209" s="373"/>
      <x:c r="Q209" s="373"/>
      <x:c r="R209" s="373"/>
      <x:c r="S209" s="373"/>
      <x:c r="T209" s="373"/>
      <x:c r="U209" s="373"/>
      <x:c r="V209" s="373"/>
      <x:c r="W209" s="373"/>
      <x:c r="X209" s="373"/>
      <x:c r="Y209" s="373"/>
      <x:c r="Z209" s="373"/>
    </x:row>
    <x:row r="210">
      <x:c r="A210" s="373"/>
      <x:c r="B210" s="373"/>
      <x:c r="C210" s="373"/>
      <x:c r="D210" s="373"/>
      <x:c r="E210" s="373"/>
      <x:c r="F210" s="373"/>
      <x:c r="G210" s="373"/>
      <x:c r="H210" s="373"/>
      <x:c r="I210" s="373"/>
      <x:c r="J210" s="373"/>
      <x:c r="K210" s="373"/>
      <x:c r="L210" s="373"/>
      <x:c r="M210" s="373"/>
      <x:c r="N210" s="373"/>
      <x:c r="O210" s="373"/>
      <x:c r="P210" s="373"/>
      <x:c r="Q210" s="373"/>
      <x:c r="R210" s="373"/>
      <x:c r="S210" s="373"/>
      <x:c r="T210" s="373"/>
      <x:c r="U210" s="373"/>
      <x:c r="V210" s="373"/>
      <x:c r="W210" s="373"/>
      <x:c r="X210" s="373"/>
      <x:c r="Y210" s="373"/>
      <x:c r="Z210" s="373"/>
    </x:row>
    <x:row r="211">
      <x:c r="A211" s="373"/>
      <x:c r="B211" s="373"/>
      <x:c r="C211" s="373"/>
      <x:c r="D211" s="373"/>
      <x:c r="E211" s="373"/>
      <x:c r="F211" s="373"/>
      <x:c r="G211" s="373"/>
      <x:c r="H211" s="373"/>
      <x:c r="I211" s="373"/>
      <x:c r="J211" s="373"/>
      <x:c r="K211" s="373"/>
      <x:c r="L211" s="373"/>
      <x:c r="M211" s="373"/>
      <x:c r="N211" s="373"/>
      <x:c r="O211" s="373"/>
      <x:c r="P211" s="373"/>
      <x:c r="Q211" s="373"/>
      <x:c r="R211" s="373"/>
      <x:c r="S211" s="373"/>
      <x:c r="T211" s="373"/>
      <x:c r="U211" s="373"/>
      <x:c r="V211" s="373"/>
      <x:c r="W211" s="373"/>
      <x:c r="X211" s="373"/>
      <x:c r="Y211" s="373"/>
      <x:c r="Z211" s="373"/>
    </x:row>
    <x:row r="212">
      <x:c r="A212" s="373"/>
      <x:c r="B212" s="373"/>
      <x:c r="C212" s="373"/>
      <x:c r="D212" s="373"/>
      <x:c r="E212" s="373"/>
      <x:c r="F212" s="373"/>
      <x:c r="G212" s="373"/>
      <x:c r="H212" s="373"/>
      <x:c r="I212" s="373"/>
      <x:c r="J212" s="373"/>
      <x:c r="K212" s="373"/>
      <x:c r="L212" s="373"/>
      <x:c r="M212" s="373"/>
      <x:c r="N212" s="373"/>
      <x:c r="O212" s="373"/>
      <x:c r="P212" s="373"/>
      <x:c r="Q212" s="373"/>
      <x:c r="R212" s="373"/>
      <x:c r="S212" s="373"/>
      <x:c r="T212" s="373"/>
      <x:c r="U212" s="373"/>
      <x:c r="V212" s="373"/>
      <x:c r="W212" s="373"/>
      <x:c r="X212" s="373"/>
      <x:c r="Y212" s="373"/>
      <x:c r="Z212" s="373"/>
    </x:row>
    <x:row r="213">
      <x:c r="A213" s="373"/>
      <x:c r="B213" s="373"/>
      <x:c r="C213" s="373"/>
      <x:c r="D213" s="373"/>
      <x:c r="E213" s="373"/>
      <x:c r="F213" s="373"/>
      <x:c r="G213" s="373"/>
      <x:c r="H213" s="373"/>
      <x:c r="I213" s="373"/>
      <x:c r="J213" s="373"/>
      <x:c r="K213" s="373"/>
      <x:c r="L213" s="373"/>
      <x:c r="M213" s="373"/>
      <x:c r="N213" s="373"/>
      <x:c r="O213" s="373"/>
      <x:c r="P213" s="373"/>
      <x:c r="Q213" s="373"/>
      <x:c r="R213" s="373"/>
      <x:c r="S213" s="373"/>
      <x:c r="T213" s="373"/>
      <x:c r="U213" s="373"/>
      <x:c r="V213" s="373"/>
      <x:c r="W213" s="373"/>
      <x:c r="X213" s="373"/>
      <x:c r="Y213" s="373"/>
      <x:c r="Z213" s="373"/>
    </x:row>
    <x:row r="214">
      <x:c r="A214" s="373"/>
      <x:c r="B214" s="373"/>
      <x:c r="C214" s="373"/>
      <x:c r="D214" s="373"/>
      <x:c r="E214" s="373"/>
      <x:c r="F214" s="373"/>
      <x:c r="G214" s="373"/>
      <x:c r="H214" s="373"/>
      <x:c r="I214" s="373"/>
      <x:c r="J214" s="373"/>
      <x:c r="K214" s="373"/>
      <x:c r="L214" s="373"/>
      <x:c r="M214" s="373"/>
      <x:c r="N214" s="373"/>
      <x:c r="O214" s="373"/>
      <x:c r="P214" s="373"/>
      <x:c r="Q214" s="373"/>
      <x:c r="R214" s="373"/>
      <x:c r="S214" s="373"/>
      <x:c r="T214" s="373"/>
      <x:c r="U214" s="373"/>
      <x:c r="V214" s="373"/>
      <x:c r="W214" s="373"/>
      <x:c r="X214" s="373"/>
      <x:c r="Y214" s="373"/>
      <x:c r="Z214" s="373"/>
    </x:row>
    <x:row r="215">
      <x:c r="A215" s="373"/>
      <x:c r="B215" s="373"/>
      <x:c r="C215" s="373"/>
      <x:c r="D215" s="373"/>
      <x:c r="E215" s="373"/>
      <x:c r="F215" s="373"/>
      <x:c r="G215" s="373"/>
      <x:c r="H215" s="373"/>
      <x:c r="I215" s="373"/>
      <x:c r="J215" s="373"/>
      <x:c r="K215" s="373"/>
      <x:c r="L215" s="373"/>
      <x:c r="M215" s="373"/>
      <x:c r="N215" s="373"/>
      <x:c r="O215" s="373"/>
      <x:c r="P215" s="373"/>
      <x:c r="Q215" s="373"/>
      <x:c r="R215" s="373"/>
      <x:c r="S215" s="373"/>
      <x:c r="T215" s="373"/>
      <x:c r="U215" s="373"/>
      <x:c r="V215" s="373"/>
      <x:c r="W215" s="373"/>
      <x:c r="X215" s="373"/>
      <x:c r="Y215" s="373"/>
      <x:c r="Z215" s="373"/>
    </x:row>
    <x:row r="216">
      <x:c r="A216" s="373"/>
      <x:c r="B216" s="373"/>
      <x:c r="C216" s="373"/>
      <x:c r="D216" s="373"/>
      <x:c r="E216" s="373"/>
      <x:c r="F216" s="373"/>
      <x:c r="G216" s="373"/>
      <x:c r="H216" s="373"/>
      <x:c r="I216" s="373"/>
      <x:c r="J216" s="373"/>
      <x:c r="K216" s="373"/>
      <x:c r="L216" s="373"/>
      <x:c r="M216" s="373"/>
      <x:c r="N216" s="373"/>
      <x:c r="O216" s="373"/>
      <x:c r="P216" s="373"/>
      <x:c r="Q216" s="373"/>
      <x:c r="R216" s="373"/>
      <x:c r="S216" s="373"/>
      <x:c r="T216" s="373"/>
      <x:c r="U216" s="373"/>
      <x:c r="V216" s="373"/>
      <x:c r="W216" s="373"/>
      <x:c r="X216" s="373"/>
      <x:c r="Y216" s="373"/>
      <x:c r="Z216" s="373"/>
    </x:row>
    <x:row r="217">
      <x:c r="A217" s="373"/>
      <x:c r="B217" s="373"/>
      <x:c r="C217" s="373"/>
      <x:c r="D217" s="373"/>
      <x:c r="E217" s="373"/>
      <x:c r="F217" s="373"/>
      <x:c r="G217" s="373"/>
      <x:c r="H217" s="373"/>
      <x:c r="I217" s="373"/>
      <x:c r="J217" s="373"/>
      <x:c r="K217" s="373"/>
      <x:c r="L217" s="373"/>
      <x:c r="M217" s="373"/>
      <x:c r="N217" s="373"/>
      <x:c r="O217" s="373"/>
      <x:c r="P217" s="373"/>
      <x:c r="Q217" s="373"/>
      <x:c r="R217" s="373"/>
      <x:c r="S217" s="373"/>
      <x:c r="T217" s="373"/>
      <x:c r="U217" s="373"/>
      <x:c r="V217" s="373"/>
      <x:c r="W217" s="373"/>
      <x:c r="X217" s="373"/>
      <x:c r="Y217" s="373"/>
      <x:c r="Z217" s="373"/>
    </x:row>
    <x:row r="218">
      <x:c r="A218" s="373"/>
      <x:c r="B218" s="373"/>
      <x:c r="C218" s="373"/>
      <x:c r="D218" s="373"/>
      <x:c r="E218" s="373"/>
      <x:c r="F218" s="373"/>
      <x:c r="G218" s="373"/>
      <x:c r="H218" s="373"/>
      <x:c r="I218" s="373"/>
      <x:c r="J218" s="373"/>
      <x:c r="K218" s="373"/>
      <x:c r="L218" s="373"/>
      <x:c r="M218" s="373"/>
      <x:c r="N218" s="373"/>
      <x:c r="O218" s="373"/>
      <x:c r="P218" s="373"/>
      <x:c r="Q218" s="373"/>
      <x:c r="R218" s="373"/>
      <x:c r="S218" s="373"/>
      <x:c r="T218" s="373"/>
      <x:c r="U218" s="373"/>
      <x:c r="V218" s="373"/>
      <x:c r="W218" s="373"/>
      <x:c r="X218" s="373"/>
      <x:c r="Y218" s="373"/>
      <x:c r="Z218" s="373"/>
    </x:row>
    <x:row r="219">
      <x:c r="A219" s="373"/>
      <x:c r="B219" s="373"/>
      <x:c r="C219" s="373"/>
      <x:c r="D219" s="373"/>
      <x:c r="E219" s="373"/>
      <x:c r="F219" s="373"/>
      <x:c r="G219" s="373"/>
      <x:c r="H219" s="373"/>
      <x:c r="I219" s="373"/>
      <x:c r="J219" s="373"/>
      <x:c r="K219" s="373"/>
      <x:c r="L219" s="373"/>
      <x:c r="M219" s="373"/>
      <x:c r="N219" s="373"/>
      <x:c r="O219" s="373"/>
      <x:c r="P219" s="373"/>
      <x:c r="Q219" s="373"/>
      <x:c r="R219" s="373"/>
      <x:c r="S219" s="373"/>
      <x:c r="T219" s="373"/>
      <x:c r="U219" s="373"/>
      <x:c r="V219" s="373"/>
      <x:c r="W219" s="373"/>
      <x:c r="X219" s="373"/>
      <x:c r="Y219" s="373"/>
      <x:c r="Z219" s="373"/>
    </x:row>
    <x:row r="220">
      <x:c r="A220" s="373"/>
      <x:c r="B220" s="373"/>
      <x:c r="C220" s="373"/>
      <x:c r="D220" s="373"/>
      <x:c r="E220" s="373"/>
      <x:c r="F220" s="373"/>
      <x:c r="G220" s="373"/>
      <x:c r="H220" s="373"/>
      <x:c r="I220" s="373"/>
      <x:c r="J220" s="373"/>
      <x:c r="K220" s="373"/>
      <x:c r="L220" s="373"/>
      <x:c r="M220" s="373"/>
      <x:c r="N220" s="373"/>
      <x:c r="O220" s="373"/>
      <x:c r="P220" s="373"/>
      <x:c r="Q220" s="373"/>
      <x:c r="R220" s="373"/>
      <x:c r="S220" s="373"/>
      <x:c r="T220" s="373"/>
      <x:c r="U220" s="373"/>
      <x:c r="V220" s="373"/>
      <x:c r="W220" s="373"/>
      <x:c r="X220" s="373"/>
      <x:c r="Y220" s="373"/>
      <x:c r="Z220" s="373"/>
    </x:row>
    <x:row r="221">
      <x:c r="A221" s="373"/>
      <x:c r="B221" s="373"/>
      <x:c r="C221" s="373"/>
      <x:c r="D221" s="373"/>
      <x:c r="E221" s="373"/>
      <x:c r="F221" s="373"/>
      <x:c r="G221" s="373"/>
      <x:c r="H221" s="373"/>
      <x:c r="I221" s="373"/>
      <x:c r="J221" s="373"/>
      <x:c r="K221" s="373"/>
      <x:c r="L221" s="373"/>
      <x:c r="M221" s="373"/>
      <x:c r="N221" s="373"/>
      <x:c r="O221" s="373"/>
      <x:c r="P221" s="373"/>
      <x:c r="Q221" s="373"/>
      <x:c r="R221" s="373"/>
      <x:c r="S221" s="373"/>
      <x:c r="T221" s="373"/>
      <x:c r="U221" s="373"/>
      <x:c r="V221" s="373"/>
      <x:c r="W221" s="373"/>
      <x:c r="X221" s="373"/>
      <x:c r="Y221" s="373"/>
      <x:c r="Z221" s="373"/>
    </x:row>
    <x:row r="222">
      <x:c r="A222" s="373"/>
      <x:c r="B222" s="373"/>
      <x:c r="C222" s="373"/>
      <x:c r="D222" s="373"/>
      <x:c r="E222" s="373"/>
      <x:c r="F222" s="373"/>
      <x:c r="G222" s="373"/>
      <x:c r="H222" s="373"/>
      <x:c r="I222" s="373"/>
      <x:c r="J222" s="373"/>
      <x:c r="K222" s="373"/>
      <x:c r="L222" s="373"/>
      <x:c r="M222" s="373"/>
      <x:c r="N222" s="373"/>
      <x:c r="O222" s="373"/>
      <x:c r="P222" s="373"/>
      <x:c r="Q222" s="373"/>
      <x:c r="R222" s="373"/>
      <x:c r="S222" s="373"/>
      <x:c r="T222" s="373"/>
      <x:c r="U222" s="373"/>
      <x:c r="V222" s="373"/>
      <x:c r="W222" s="373"/>
      <x:c r="X222" s="373"/>
      <x:c r="Y222" s="373"/>
      <x:c r="Z222" s="373"/>
    </x:row>
    <x:row r="223">
      <x:c r="A223" s="373"/>
      <x:c r="B223" s="373"/>
      <x:c r="C223" s="373"/>
      <x:c r="D223" s="373"/>
      <x:c r="E223" s="373"/>
      <x:c r="F223" s="373"/>
      <x:c r="G223" s="373"/>
      <x:c r="H223" s="373"/>
      <x:c r="I223" s="373"/>
      <x:c r="J223" s="373"/>
      <x:c r="K223" s="373"/>
      <x:c r="L223" s="373"/>
      <x:c r="M223" s="373"/>
      <x:c r="N223" s="373"/>
      <x:c r="O223" s="373"/>
      <x:c r="P223" s="373"/>
      <x:c r="Q223" s="373"/>
      <x:c r="R223" s="373"/>
      <x:c r="S223" s="373"/>
      <x:c r="T223" s="373"/>
      <x:c r="U223" s="373"/>
      <x:c r="V223" s="373"/>
      <x:c r="W223" s="373"/>
      <x:c r="X223" s="373"/>
      <x:c r="Y223" s="373"/>
      <x:c r="Z223" s="373"/>
    </x:row>
    <x:row r="224">
      <x:c r="A224" s="373"/>
      <x:c r="B224" s="373"/>
      <x:c r="C224" s="373"/>
      <x:c r="D224" s="373"/>
      <x:c r="E224" s="373"/>
      <x:c r="F224" s="373"/>
      <x:c r="G224" s="373"/>
      <x:c r="H224" s="373"/>
      <x:c r="I224" s="373"/>
      <x:c r="J224" s="373"/>
      <x:c r="K224" s="373"/>
      <x:c r="L224" s="373"/>
      <x:c r="M224" s="373"/>
      <x:c r="N224" s="373"/>
      <x:c r="O224" s="373"/>
      <x:c r="P224" s="373"/>
      <x:c r="Q224" s="373"/>
      <x:c r="R224" s="373"/>
      <x:c r="S224" s="373"/>
      <x:c r="T224" s="373"/>
      <x:c r="U224" s="373"/>
      <x:c r="V224" s="373"/>
      <x:c r="W224" s="373"/>
      <x:c r="X224" s="373"/>
      <x:c r="Y224" s="373"/>
      <x:c r="Z224" s="373"/>
    </x:row>
    <x:row r="225">
      <x:c r="A225" s="373"/>
      <x:c r="B225" s="373"/>
      <x:c r="C225" s="373"/>
      <x:c r="D225" s="373"/>
      <x:c r="E225" s="373"/>
      <x:c r="F225" s="373"/>
      <x:c r="G225" s="373"/>
      <x:c r="H225" s="373"/>
      <x:c r="I225" s="373"/>
      <x:c r="J225" s="373"/>
      <x:c r="K225" s="373"/>
      <x:c r="L225" s="373"/>
      <x:c r="M225" s="373"/>
      <x:c r="N225" s="373"/>
      <x:c r="O225" s="373"/>
      <x:c r="P225" s="373"/>
      <x:c r="Q225" s="373"/>
      <x:c r="R225" s="373"/>
      <x:c r="S225" s="373"/>
      <x:c r="T225" s="373"/>
      <x:c r="U225" s="373"/>
      <x:c r="V225" s="373"/>
      <x:c r="W225" s="373"/>
      <x:c r="X225" s="373"/>
      <x:c r="Y225" s="373"/>
      <x:c r="Z225" s="373"/>
    </x:row>
    <x:row r="226">
      <x:c r="A226" s="373"/>
      <x:c r="B226" s="373"/>
      <x:c r="C226" s="373"/>
      <x:c r="D226" s="373"/>
      <x:c r="E226" s="373"/>
      <x:c r="F226" s="373"/>
      <x:c r="G226" s="373"/>
      <x:c r="H226" s="373"/>
      <x:c r="I226" s="373"/>
      <x:c r="J226" s="373"/>
      <x:c r="K226" s="373"/>
      <x:c r="L226" s="373"/>
      <x:c r="M226" s="373"/>
      <x:c r="N226" s="373"/>
      <x:c r="O226" s="373"/>
      <x:c r="P226" s="373"/>
      <x:c r="Q226" s="373"/>
      <x:c r="R226" s="373"/>
      <x:c r="S226" s="373"/>
      <x:c r="T226" s="373"/>
      <x:c r="U226" s="373"/>
      <x:c r="V226" s="373"/>
      <x:c r="W226" s="373"/>
      <x:c r="X226" s="373"/>
      <x:c r="Y226" s="373"/>
      <x:c r="Z226" s="373"/>
    </x:row>
    <x:row r="227">
      <x:c r="A227" s="373"/>
      <x:c r="B227" s="373"/>
      <x:c r="C227" s="373"/>
      <x:c r="D227" s="373"/>
      <x:c r="E227" s="373"/>
      <x:c r="F227" s="373"/>
      <x:c r="G227" s="373"/>
      <x:c r="H227" s="373"/>
      <x:c r="I227" s="373"/>
      <x:c r="J227" s="373"/>
      <x:c r="K227" s="373"/>
      <x:c r="L227" s="373"/>
      <x:c r="M227" s="373"/>
      <x:c r="N227" s="373"/>
      <x:c r="O227" s="373"/>
      <x:c r="P227" s="373"/>
      <x:c r="Q227" s="373"/>
      <x:c r="R227" s="373"/>
      <x:c r="S227" s="373"/>
      <x:c r="T227" s="373"/>
      <x:c r="U227" s="373"/>
      <x:c r="V227" s="373"/>
      <x:c r="W227" s="373"/>
      <x:c r="X227" s="373"/>
      <x:c r="Y227" s="373"/>
      <x:c r="Z227" s="373"/>
    </x:row>
    <x:row r="228">
      <x:c r="A228" s="373"/>
      <x:c r="B228" s="373"/>
      <x:c r="C228" s="373"/>
      <x:c r="D228" s="373"/>
      <x:c r="E228" s="373"/>
      <x:c r="F228" s="373"/>
      <x:c r="G228" s="373"/>
      <x:c r="H228" s="373"/>
      <x:c r="I228" s="373"/>
      <x:c r="J228" s="373"/>
      <x:c r="K228" s="373"/>
      <x:c r="L228" s="373"/>
      <x:c r="M228" s="373"/>
      <x:c r="N228" s="373"/>
      <x:c r="O228" s="373"/>
      <x:c r="P228" s="373"/>
      <x:c r="Q228" s="373"/>
      <x:c r="R228" s="373"/>
      <x:c r="S228" s="373"/>
      <x:c r="T228" s="373"/>
      <x:c r="U228" s="373"/>
      <x:c r="V228" s="373"/>
      <x:c r="W228" s="373"/>
      <x:c r="X228" s="373"/>
      <x:c r="Y228" s="373"/>
      <x:c r="Z228" s="373"/>
    </x:row>
    <x:row r="229">
      <x:c r="A229" s="373"/>
      <x:c r="B229" s="373"/>
      <x:c r="C229" s="373"/>
      <x:c r="D229" s="373"/>
      <x:c r="E229" s="373"/>
      <x:c r="F229" s="373"/>
      <x:c r="G229" s="373"/>
      <x:c r="H229" s="373"/>
      <x:c r="I229" s="373"/>
      <x:c r="J229" s="373"/>
      <x:c r="K229" s="373"/>
      <x:c r="L229" s="373"/>
      <x:c r="M229" s="373"/>
      <x:c r="N229" s="373"/>
      <x:c r="O229" s="373"/>
      <x:c r="P229" s="373"/>
      <x:c r="Q229" s="373"/>
      <x:c r="R229" s="373"/>
      <x:c r="S229" s="373"/>
      <x:c r="T229" s="373"/>
      <x:c r="U229" s="373"/>
      <x:c r="V229" s="373"/>
      <x:c r="W229" s="373"/>
      <x:c r="X229" s="373"/>
      <x:c r="Y229" s="373"/>
      <x:c r="Z229" s="373"/>
    </x:row>
    <x:row r="230">
      <x:c r="A230" s="373"/>
      <x:c r="B230" s="373"/>
      <x:c r="C230" s="373"/>
      <x:c r="D230" s="373"/>
      <x:c r="E230" s="373"/>
      <x:c r="F230" s="373"/>
      <x:c r="G230" s="373"/>
      <x:c r="H230" s="373"/>
      <x:c r="I230" s="373"/>
      <x:c r="J230" s="373"/>
      <x:c r="K230" s="373"/>
      <x:c r="L230" s="373"/>
      <x:c r="M230" s="373"/>
      <x:c r="N230" s="373"/>
      <x:c r="O230" s="373"/>
      <x:c r="P230" s="373"/>
      <x:c r="Q230" s="373"/>
      <x:c r="R230" s="373"/>
      <x:c r="S230" s="373"/>
      <x:c r="T230" s="373"/>
      <x:c r="U230" s="373"/>
      <x:c r="V230" s="373"/>
      <x:c r="W230" s="373"/>
      <x:c r="X230" s="373"/>
      <x:c r="Y230" s="373"/>
      <x:c r="Z230" s="373"/>
    </x:row>
    <x:row r="231">
      <x:c r="A231" s="373"/>
      <x:c r="B231" s="373"/>
      <x:c r="C231" s="373"/>
      <x:c r="D231" s="373"/>
      <x:c r="E231" s="373"/>
      <x:c r="F231" s="373"/>
      <x:c r="G231" s="373"/>
      <x:c r="H231" s="373"/>
      <x:c r="I231" s="373"/>
      <x:c r="J231" s="373"/>
      <x:c r="K231" s="373"/>
      <x:c r="L231" s="373"/>
      <x:c r="M231" s="373"/>
      <x:c r="N231" s="373"/>
      <x:c r="O231" s="373"/>
      <x:c r="P231" s="373"/>
      <x:c r="Q231" s="373"/>
      <x:c r="R231" s="373"/>
      <x:c r="S231" s="373"/>
      <x:c r="T231" s="373"/>
      <x:c r="U231" s="373"/>
      <x:c r="V231" s="373"/>
      <x:c r="W231" s="373"/>
      <x:c r="X231" s="373"/>
      <x:c r="Y231" s="373"/>
      <x:c r="Z231" s="373"/>
    </x:row>
    <x:row r="232">
      <x:c r="A232" s="373"/>
      <x:c r="B232" s="373"/>
      <x:c r="C232" s="373"/>
      <x:c r="D232" s="373"/>
      <x:c r="E232" s="373"/>
      <x:c r="F232" s="373"/>
      <x:c r="G232" s="373"/>
      <x:c r="H232" s="373"/>
      <x:c r="I232" s="373"/>
      <x:c r="J232" s="373"/>
      <x:c r="K232" s="373"/>
      <x:c r="L232" s="373"/>
      <x:c r="M232" s="373"/>
      <x:c r="N232" s="373"/>
      <x:c r="O232" s="373"/>
      <x:c r="P232" s="373"/>
      <x:c r="Q232" s="373"/>
      <x:c r="R232" s="373"/>
      <x:c r="S232" s="373"/>
      <x:c r="T232" s="373"/>
      <x:c r="U232" s="373"/>
      <x:c r="V232" s="373"/>
      <x:c r="W232" s="373"/>
      <x:c r="X232" s="373"/>
      <x:c r="Y232" s="373"/>
      <x:c r="Z232" s="373"/>
    </x:row>
    <x:row r="233">
      <x:c r="A233" s="373"/>
      <x:c r="B233" s="373"/>
      <x:c r="C233" s="373"/>
      <x:c r="D233" s="373"/>
      <x:c r="E233" s="373"/>
      <x:c r="F233" s="373"/>
      <x:c r="G233" s="373"/>
      <x:c r="H233" s="373"/>
      <x:c r="I233" s="373"/>
      <x:c r="J233" s="373"/>
      <x:c r="K233" s="373"/>
      <x:c r="L233" s="373"/>
      <x:c r="M233" s="373"/>
      <x:c r="N233" s="373"/>
      <x:c r="O233" s="373"/>
      <x:c r="P233" s="373"/>
      <x:c r="Q233" s="373"/>
      <x:c r="R233" s="373"/>
      <x:c r="S233" s="373"/>
      <x:c r="T233" s="373"/>
      <x:c r="U233" s="373"/>
      <x:c r="V233" s="373"/>
      <x:c r="W233" s="373"/>
      <x:c r="X233" s="373"/>
      <x:c r="Y233" s="373"/>
      <x:c r="Z233" s="373"/>
    </x:row>
    <x:row r="234">
      <x:c r="A234" s="373"/>
      <x:c r="B234" s="373"/>
      <x:c r="C234" s="373"/>
      <x:c r="D234" s="373"/>
      <x:c r="E234" s="373"/>
      <x:c r="F234" s="373"/>
      <x:c r="G234" s="373"/>
      <x:c r="H234" s="373"/>
      <x:c r="I234" s="373"/>
      <x:c r="J234" s="373"/>
      <x:c r="K234" s="373"/>
      <x:c r="L234" s="373"/>
      <x:c r="M234" s="373"/>
      <x:c r="N234" s="373"/>
      <x:c r="O234" s="373"/>
      <x:c r="P234" s="373"/>
      <x:c r="Q234" s="373"/>
      <x:c r="R234" s="373"/>
      <x:c r="S234" s="373"/>
      <x:c r="T234" s="373"/>
      <x:c r="U234" s="373"/>
      <x:c r="V234" s="373"/>
      <x:c r="W234" s="373"/>
      <x:c r="X234" s="373"/>
      <x:c r="Y234" s="373"/>
      <x:c r="Z234" s="373"/>
    </x:row>
    <x:row r="235">
      <x:c r="A235" s="373"/>
      <x:c r="B235" s="373"/>
      <x:c r="C235" s="373"/>
      <x:c r="D235" s="373"/>
      <x:c r="E235" s="373"/>
      <x:c r="F235" s="373"/>
      <x:c r="G235" s="373"/>
      <x:c r="H235" s="373"/>
      <x:c r="I235" s="373"/>
      <x:c r="J235" s="373"/>
      <x:c r="K235" s="373"/>
      <x:c r="L235" s="373"/>
      <x:c r="M235" s="373"/>
      <x:c r="N235" s="373"/>
      <x:c r="O235" s="373"/>
      <x:c r="P235" s="373"/>
      <x:c r="Q235" s="373"/>
      <x:c r="R235" s="373"/>
      <x:c r="S235" s="373"/>
      <x:c r="T235" s="373"/>
      <x:c r="U235" s="373"/>
      <x:c r="V235" s="373"/>
      <x:c r="W235" s="373"/>
      <x:c r="X235" s="373"/>
      <x:c r="Y235" s="373"/>
      <x:c r="Z235" s="373"/>
    </x:row>
    <x:row r="236">
      <x:c r="A236" s="373"/>
      <x:c r="B236" s="373"/>
      <x:c r="C236" s="373"/>
      <x:c r="D236" s="373"/>
      <x:c r="E236" s="373"/>
      <x:c r="F236" s="373"/>
      <x:c r="G236" s="373"/>
      <x:c r="H236" s="373"/>
      <x:c r="I236" s="373"/>
      <x:c r="J236" s="373"/>
      <x:c r="K236" s="373"/>
      <x:c r="L236" s="373"/>
      <x:c r="M236" s="373"/>
      <x:c r="N236" s="373"/>
      <x:c r="O236" s="373"/>
      <x:c r="P236" s="373"/>
      <x:c r="Q236" s="373"/>
      <x:c r="R236" s="373"/>
      <x:c r="S236" s="373"/>
      <x:c r="T236" s="373"/>
      <x:c r="U236" s="373"/>
      <x:c r="V236" s="373"/>
      <x:c r="W236" s="373"/>
      <x:c r="X236" s="373"/>
      <x:c r="Y236" s="373"/>
      <x:c r="Z236" s="373"/>
    </x:row>
    <x:row r="237">
      <x:c r="A237" s="373"/>
      <x:c r="B237" s="373"/>
      <x:c r="C237" s="373"/>
      <x:c r="D237" s="373"/>
      <x:c r="E237" s="373"/>
      <x:c r="F237" s="373"/>
      <x:c r="G237" s="373"/>
      <x:c r="H237" s="373"/>
      <x:c r="I237" s="373"/>
      <x:c r="J237" s="373"/>
      <x:c r="K237" s="373"/>
      <x:c r="L237" s="373"/>
      <x:c r="M237" s="373"/>
      <x:c r="N237" s="373"/>
      <x:c r="O237" s="373"/>
      <x:c r="P237" s="373"/>
      <x:c r="Q237" s="373"/>
      <x:c r="R237" s="373"/>
      <x:c r="S237" s="373"/>
      <x:c r="T237" s="373"/>
      <x:c r="U237" s="373"/>
      <x:c r="V237" s="373"/>
      <x:c r="W237" s="373"/>
      <x:c r="X237" s="373"/>
      <x:c r="Y237" s="373"/>
      <x:c r="Z237" s="373"/>
    </x:row>
    <x:row r="238">
      <x:c r="A238" s="373"/>
      <x:c r="B238" s="373"/>
      <x:c r="C238" s="373"/>
      <x:c r="D238" s="373"/>
      <x:c r="E238" s="373"/>
      <x:c r="F238" s="373"/>
      <x:c r="G238" s="373"/>
      <x:c r="H238" s="373"/>
      <x:c r="I238" s="373"/>
      <x:c r="J238" s="373"/>
      <x:c r="K238" s="373"/>
      <x:c r="L238" s="373"/>
      <x:c r="M238" s="373"/>
      <x:c r="N238" s="373"/>
      <x:c r="O238" s="373"/>
      <x:c r="P238" s="373"/>
      <x:c r="Q238" s="373"/>
      <x:c r="R238" s="373"/>
      <x:c r="S238" s="373"/>
      <x:c r="T238" s="373"/>
      <x:c r="U238" s="373"/>
      <x:c r="V238" s="373"/>
      <x:c r="W238" s="373"/>
      <x:c r="X238" s="373"/>
      <x:c r="Y238" s="373"/>
      <x:c r="Z238" s="373"/>
    </x:row>
    <x:row r="239">
      <x:c r="A239" s="373"/>
      <x:c r="B239" s="373"/>
      <x:c r="C239" s="373"/>
      <x:c r="D239" s="373"/>
      <x:c r="E239" s="373"/>
      <x:c r="F239" s="373"/>
      <x:c r="G239" s="373"/>
      <x:c r="H239" s="373"/>
      <x:c r="I239" s="373"/>
      <x:c r="J239" s="373"/>
      <x:c r="K239" s="373"/>
      <x:c r="L239" s="373"/>
      <x:c r="M239" s="373"/>
      <x:c r="N239" s="373"/>
      <x:c r="O239" s="373"/>
      <x:c r="P239" s="373"/>
      <x:c r="Q239" s="373"/>
      <x:c r="R239" s="373"/>
      <x:c r="S239" s="373"/>
      <x:c r="T239" s="373"/>
      <x:c r="U239" s="373"/>
      <x:c r="V239" s="373"/>
      <x:c r="W239" s="373"/>
      <x:c r="X239" s="373"/>
      <x:c r="Y239" s="373"/>
      <x:c r="Z239" s="373"/>
    </x:row>
    <x:row r="240">
      <x:c r="A240" s="373"/>
      <x:c r="B240" s="373"/>
      <x:c r="C240" s="373"/>
      <x:c r="D240" s="373"/>
      <x:c r="E240" s="373"/>
      <x:c r="F240" s="373"/>
      <x:c r="G240" s="373"/>
      <x:c r="H240" s="373"/>
      <x:c r="I240" s="373"/>
      <x:c r="J240" s="373"/>
      <x:c r="K240" s="373"/>
      <x:c r="L240" s="373"/>
      <x:c r="M240" s="373"/>
      <x:c r="N240" s="373"/>
      <x:c r="O240" s="373"/>
      <x:c r="P240" s="373"/>
      <x:c r="Q240" s="373"/>
      <x:c r="R240" s="373"/>
      <x:c r="S240" s="373"/>
      <x:c r="T240" s="373"/>
      <x:c r="U240" s="373"/>
      <x:c r="V240" s="373"/>
      <x:c r="W240" s="373"/>
      <x:c r="X240" s="373"/>
      <x:c r="Y240" s="373"/>
      <x:c r="Z240" s="373"/>
    </x:row>
    <x:row r="241">
      <x:c r="A241" s="373"/>
      <x:c r="B241" s="373"/>
      <x:c r="C241" s="373"/>
      <x:c r="D241" s="373"/>
      <x:c r="E241" s="373"/>
      <x:c r="F241" s="373"/>
      <x:c r="G241" s="373"/>
      <x:c r="H241" s="373"/>
      <x:c r="I241" s="373"/>
      <x:c r="J241" s="373"/>
      <x:c r="K241" s="373"/>
      <x:c r="L241" s="373"/>
      <x:c r="M241" s="373"/>
      <x:c r="N241" s="373"/>
      <x:c r="O241" s="373"/>
      <x:c r="P241" s="373"/>
      <x:c r="Q241" s="373"/>
      <x:c r="R241" s="373"/>
      <x:c r="S241" s="373"/>
      <x:c r="T241" s="373"/>
      <x:c r="U241" s="373"/>
      <x:c r="V241" s="373"/>
      <x:c r="W241" s="373"/>
      <x:c r="X241" s="373"/>
      <x:c r="Y241" s="373"/>
      <x:c r="Z241" s="373"/>
    </x:row>
    <x:row r="242">
      <x:c r="A242" s="373"/>
      <x:c r="B242" s="373"/>
      <x:c r="C242" s="373"/>
      <x:c r="D242" s="373"/>
      <x:c r="E242" s="373"/>
      <x:c r="F242" s="373"/>
      <x:c r="G242" s="373"/>
      <x:c r="H242" s="373"/>
      <x:c r="I242" s="373"/>
      <x:c r="J242" s="373"/>
      <x:c r="K242" s="373"/>
      <x:c r="L242" s="373"/>
      <x:c r="M242" s="373"/>
      <x:c r="N242" s="373"/>
      <x:c r="O242" s="373"/>
      <x:c r="P242" s="373"/>
      <x:c r="Q242" s="373"/>
      <x:c r="R242" s="373"/>
      <x:c r="S242" s="373"/>
      <x:c r="T242" s="373"/>
      <x:c r="U242" s="373"/>
      <x:c r="V242" s="373"/>
      <x:c r="W242" s="373"/>
      <x:c r="X242" s="373"/>
      <x:c r="Y242" s="373"/>
      <x:c r="Z242" s="373"/>
    </x:row>
    <x:row r="243">
      <x:c r="A243" s="373"/>
      <x:c r="B243" s="373"/>
      <x:c r="C243" s="373"/>
      <x:c r="D243" s="373"/>
      <x:c r="E243" s="373"/>
      <x:c r="F243" s="373"/>
      <x:c r="G243" s="373"/>
      <x:c r="H243" s="373"/>
      <x:c r="I243" s="373"/>
      <x:c r="J243" s="373"/>
      <x:c r="K243" s="373"/>
      <x:c r="L243" s="373"/>
      <x:c r="M243" s="373"/>
      <x:c r="N243" s="373"/>
      <x:c r="O243" s="373"/>
      <x:c r="P243" s="373"/>
      <x:c r="Q243" s="373"/>
      <x:c r="R243" s="373"/>
      <x:c r="S243" s="373"/>
      <x:c r="T243" s="373"/>
      <x:c r="U243" s="373"/>
      <x:c r="V243" s="373"/>
      <x:c r="W243" s="373"/>
      <x:c r="X243" s="373"/>
      <x:c r="Y243" s="373"/>
      <x:c r="Z243" s="373"/>
    </x:row>
    <x:row r="244">
      <x:c r="A244" s="373"/>
      <x:c r="B244" s="373"/>
      <x:c r="C244" s="373"/>
      <x:c r="D244" s="373"/>
      <x:c r="E244" s="373"/>
      <x:c r="F244" s="373"/>
      <x:c r="G244" s="373"/>
      <x:c r="H244" s="373"/>
      <x:c r="I244" s="373"/>
      <x:c r="J244" s="373"/>
      <x:c r="K244" s="373"/>
      <x:c r="L244" s="373"/>
      <x:c r="M244" s="373"/>
      <x:c r="N244" s="373"/>
      <x:c r="O244" s="373"/>
      <x:c r="P244" s="373"/>
      <x:c r="Q244" s="373"/>
      <x:c r="R244" s="373"/>
      <x:c r="S244" s="373"/>
      <x:c r="T244" s="373"/>
      <x:c r="U244" s="373"/>
      <x:c r="V244" s="373"/>
      <x:c r="W244" s="373"/>
      <x:c r="X244" s="373"/>
      <x:c r="Y244" s="373"/>
      <x:c r="Z244" s="373"/>
    </x:row>
    <x:row r="245">
      <x:c r="A245" s="373"/>
      <x:c r="B245" s="373"/>
      <x:c r="C245" s="373"/>
      <x:c r="D245" s="373"/>
      <x:c r="E245" s="373"/>
      <x:c r="F245" s="373"/>
      <x:c r="G245" s="373"/>
      <x:c r="H245" s="373"/>
      <x:c r="I245" s="373"/>
      <x:c r="J245" s="373"/>
      <x:c r="K245" s="373"/>
      <x:c r="L245" s="373"/>
      <x:c r="M245" s="373"/>
      <x:c r="N245" s="373"/>
      <x:c r="O245" s="373"/>
      <x:c r="P245" s="373"/>
      <x:c r="Q245" s="373"/>
      <x:c r="R245" s="373"/>
      <x:c r="S245" s="373"/>
      <x:c r="T245" s="373"/>
      <x:c r="U245" s="373"/>
      <x:c r="V245" s="373"/>
      <x:c r="W245" s="373"/>
      <x:c r="X245" s="373"/>
      <x:c r="Y245" s="373"/>
      <x:c r="Z245" s="373"/>
    </x:row>
    <x:row r="246">
      <x:c r="A246" s="373"/>
      <x:c r="B246" s="373"/>
      <x:c r="C246" s="373"/>
      <x:c r="D246" s="373"/>
      <x:c r="E246" s="373"/>
      <x:c r="F246" s="373"/>
      <x:c r="G246" s="373"/>
      <x:c r="H246" s="373"/>
      <x:c r="I246" s="373"/>
      <x:c r="J246" s="373"/>
      <x:c r="K246" s="373"/>
      <x:c r="L246" s="373"/>
      <x:c r="M246" s="373"/>
      <x:c r="N246" s="373"/>
      <x:c r="O246" s="373"/>
      <x:c r="P246" s="373"/>
      <x:c r="Q246" s="373"/>
      <x:c r="R246" s="373"/>
      <x:c r="S246" s="373"/>
      <x:c r="T246" s="373"/>
      <x:c r="U246" s="373"/>
      <x:c r="V246" s="373"/>
      <x:c r="W246" s="373"/>
      <x:c r="X246" s="373"/>
      <x:c r="Y246" s="373"/>
      <x:c r="Z246" s="373"/>
    </x:row>
    <x:row r="247">
      <x:c r="A247" s="373"/>
      <x:c r="B247" s="373"/>
      <x:c r="C247" s="373"/>
      <x:c r="D247" s="373"/>
      <x:c r="E247" s="373"/>
      <x:c r="F247" s="373"/>
      <x:c r="G247" s="373"/>
      <x:c r="H247" s="373"/>
      <x:c r="I247" s="373"/>
      <x:c r="J247" s="373"/>
      <x:c r="K247" s="373"/>
      <x:c r="L247" s="373"/>
      <x:c r="M247" s="373"/>
      <x:c r="N247" s="373"/>
      <x:c r="O247" s="373"/>
      <x:c r="P247" s="373"/>
      <x:c r="Q247" s="373"/>
      <x:c r="R247" s="373"/>
      <x:c r="S247" s="373"/>
      <x:c r="T247" s="373"/>
      <x:c r="U247" s="373"/>
      <x:c r="V247" s="373"/>
      <x:c r="W247" s="373"/>
      <x:c r="X247" s="373"/>
      <x:c r="Y247" s="373"/>
      <x:c r="Z247" s="373"/>
    </x:row>
    <x:row r="248">
      <x:c r="A248" s="373"/>
      <x:c r="B248" s="373"/>
      <x:c r="C248" s="373"/>
      <x:c r="D248" s="373"/>
      <x:c r="E248" s="373"/>
      <x:c r="F248" s="373"/>
      <x:c r="G248" s="373"/>
      <x:c r="H248" s="373"/>
      <x:c r="I248" s="373"/>
      <x:c r="J248" s="373"/>
      <x:c r="K248" s="373"/>
      <x:c r="L248" s="373"/>
      <x:c r="M248" s="373"/>
      <x:c r="N248" s="373"/>
      <x:c r="O248" s="373"/>
      <x:c r="P248" s="373"/>
      <x:c r="Q248" s="373"/>
      <x:c r="R248" s="373"/>
      <x:c r="S248" s="373"/>
      <x:c r="T248" s="373"/>
      <x:c r="U248" s="373"/>
      <x:c r="V248" s="373"/>
      <x:c r="W248" s="373"/>
      <x:c r="X248" s="373"/>
      <x:c r="Y248" s="373"/>
      <x:c r="Z248" s="373"/>
    </x:row>
    <x:row r="249">
      <x:c r="A249" s="373"/>
      <x:c r="B249" s="373"/>
      <x:c r="C249" s="373"/>
      <x:c r="D249" s="373"/>
      <x:c r="E249" s="373"/>
      <x:c r="F249" s="373"/>
      <x:c r="G249" s="373"/>
      <x:c r="H249" s="373"/>
      <x:c r="I249" s="373"/>
      <x:c r="J249" s="373"/>
      <x:c r="K249" s="373"/>
      <x:c r="L249" s="373"/>
      <x:c r="M249" s="373"/>
      <x:c r="N249" s="373"/>
      <x:c r="O249" s="373"/>
      <x:c r="P249" s="373"/>
      <x:c r="Q249" s="373"/>
      <x:c r="R249" s="373"/>
      <x:c r="S249" s="373"/>
      <x:c r="T249" s="373"/>
      <x:c r="U249" s="373"/>
      <x:c r="V249" s="373"/>
      <x:c r="W249" s="373"/>
      <x:c r="X249" s="373"/>
      <x:c r="Y249" s="373"/>
      <x:c r="Z249" s="373"/>
    </x:row>
    <x:row r="250">
      <x:c r="A250" s="373"/>
      <x:c r="B250" s="373"/>
      <x:c r="C250" s="373"/>
      <x:c r="D250" s="373"/>
      <x:c r="E250" s="373"/>
      <x:c r="F250" s="373"/>
      <x:c r="G250" s="373"/>
      <x:c r="H250" s="373"/>
      <x:c r="I250" s="373"/>
      <x:c r="J250" s="373"/>
      <x:c r="K250" s="373"/>
      <x:c r="L250" s="373"/>
      <x:c r="M250" s="373"/>
      <x:c r="N250" s="373"/>
      <x:c r="O250" s="373"/>
      <x:c r="P250" s="373"/>
      <x:c r="Q250" s="373"/>
      <x:c r="R250" s="373"/>
      <x:c r="S250" s="373"/>
      <x:c r="T250" s="373"/>
      <x:c r="U250" s="373"/>
      <x:c r="V250" s="373"/>
      <x:c r="W250" s="373"/>
      <x:c r="X250" s="373"/>
      <x:c r="Y250" s="373"/>
      <x:c r="Z250" s="373"/>
    </x:row>
    <x:row r="251">
      <x:c r="A251" s="373"/>
      <x:c r="B251" s="373"/>
      <x:c r="C251" s="373"/>
      <x:c r="D251" s="373"/>
      <x:c r="E251" s="373"/>
      <x:c r="F251" s="373"/>
      <x:c r="G251" s="373"/>
      <x:c r="H251" s="373"/>
      <x:c r="I251" s="373"/>
      <x:c r="J251" s="373"/>
      <x:c r="K251" s="373"/>
      <x:c r="L251" s="373"/>
      <x:c r="M251" s="373"/>
      <x:c r="N251" s="373"/>
      <x:c r="O251" s="373"/>
      <x:c r="P251" s="373"/>
      <x:c r="Q251" s="373"/>
      <x:c r="R251" s="373"/>
      <x:c r="S251" s="373"/>
      <x:c r="T251" s="373"/>
      <x:c r="U251" s="373"/>
      <x:c r="V251" s="373"/>
      <x:c r="W251" s="373"/>
      <x:c r="X251" s="373"/>
      <x:c r="Y251" s="373"/>
      <x:c r="Z251" s="373"/>
    </x:row>
    <x:row r="252">
      <x:c r="A252" s="373"/>
      <x:c r="B252" s="373"/>
      <x:c r="C252" s="373"/>
      <x:c r="D252" s="373"/>
      <x:c r="E252" s="373"/>
      <x:c r="F252" s="373"/>
      <x:c r="G252" s="373"/>
      <x:c r="H252" s="373"/>
      <x:c r="I252" s="373"/>
      <x:c r="J252" s="373"/>
      <x:c r="K252" s="373"/>
      <x:c r="L252" s="373"/>
      <x:c r="M252" s="373"/>
      <x:c r="N252" s="373"/>
      <x:c r="O252" s="373"/>
      <x:c r="P252" s="373"/>
      <x:c r="Q252" s="373"/>
      <x:c r="R252" s="373"/>
      <x:c r="S252" s="373"/>
      <x:c r="T252" s="373"/>
      <x:c r="U252" s="373"/>
      <x:c r="V252" s="373"/>
      <x:c r="W252" s="373"/>
      <x:c r="X252" s="373"/>
      <x:c r="Y252" s="373"/>
      <x:c r="Z252" s="373"/>
    </x:row>
    <x:row r="253">
      <x:c r="A253" s="373"/>
      <x:c r="B253" s="373"/>
      <x:c r="C253" s="373"/>
      <x:c r="D253" s="373"/>
      <x:c r="E253" s="373"/>
      <x:c r="F253" s="373"/>
      <x:c r="G253" s="373"/>
      <x:c r="H253" s="373"/>
      <x:c r="I253" s="373"/>
      <x:c r="J253" s="373"/>
      <x:c r="K253" s="373"/>
      <x:c r="L253" s="373"/>
      <x:c r="M253" s="373"/>
      <x:c r="N253" s="373"/>
      <x:c r="O253" s="373"/>
      <x:c r="P253" s="373"/>
      <x:c r="Q253" s="373"/>
      <x:c r="R253" s="373"/>
      <x:c r="S253" s="373"/>
      <x:c r="T253" s="373"/>
      <x:c r="U253" s="373"/>
      <x:c r="V253" s="373"/>
      <x:c r="W253" s="373"/>
      <x:c r="X253" s="373"/>
      <x:c r="Y253" s="373"/>
      <x:c r="Z253" s="373"/>
    </x:row>
    <x:row r="254">
      <x:c r="A254" s="373"/>
      <x:c r="B254" s="373"/>
      <x:c r="C254" s="373"/>
      <x:c r="D254" s="373"/>
      <x:c r="E254" s="373"/>
      <x:c r="F254" s="373"/>
      <x:c r="G254" s="373"/>
      <x:c r="H254" s="373"/>
      <x:c r="I254" s="373"/>
      <x:c r="J254" s="373"/>
      <x:c r="K254" s="373"/>
      <x:c r="L254" s="373"/>
      <x:c r="M254" s="373"/>
      <x:c r="N254" s="373"/>
      <x:c r="O254" s="373"/>
      <x:c r="P254" s="373"/>
      <x:c r="Q254" s="373"/>
      <x:c r="R254" s="373"/>
      <x:c r="S254" s="373"/>
      <x:c r="T254" s="373"/>
      <x:c r="U254" s="373"/>
      <x:c r="V254" s="373"/>
      <x:c r="W254" s="373"/>
      <x:c r="X254" s="373"/>
      <x:c r="Y254" s="373"/>
      <x:c r="Z254" s="373"/>
    </x:row>
    <x:row r="255">
      <x:c r="A255" s="373"/>
      <x:c r="B255" s="373"/>
      <x:c r="C255" s="373"/>
      <x:c r="D255" s="373"/>
      <x:c r="E255" s="373"/>
      <x:c r="F255" s="373"/>
      <x:c r="G255" s="373"/>
      <x:c r="H255" s="373"/>
      <x:c r="I255" s="373"/>
      <x:c r="J255" s="373"/>
      <x:c r="K255" s="373"/>
      <x:c r="L255" s="373"/>
      <x:c r="M255" s="373"/>
      <x:c r="N255" s="373"/>
      <x:c r="O255" s="373"/>
      <x:c r="P255" s="373"/>
      <x:c r="Q255" s="373"/>
      <x:c r="R255" s="373"/>
      <x:c r="S255" s="373"/>
      <x:c r="T255" s="373"/>
      <x:c r="U255" s="373"/>
      <x:c r="V255" s="373"/>
      <x:c r="W255" s="373"/>
      <x:c r="X255" s="373"/>
      <x:c r="Y255" s="373"/>
      <x:c r="Z255" s="373"/>
    </x:row>
    <x:row r="256">
      <x:c r="A256" s="373"/>
      <x:c r="B256" s="373"/>
      <x:c r="C256" s="373"/>
      <x:c r="D256" s="373"/>
      <x:c r="E256" s="373"/>
      <x:c r="F256" s="373"/>
      <x:c r="G256" s="373"/>
      <x:c r="H256" s="373"/>
      <x:c r="I256" s="373"/>
      <x:c r="J256" s="373"/>
      <x:c r="K256" s="373"/>
      <x:c r="L256" s="373"/>
      <x:c r="M256" s="373"/>
      <x:c r="N256" s="373"/>
      <x:c r="O256" s="373"/>
      <x:c r="P256" s="373"/>
      <x:c r="Q256" s="373"/>
      <x:c r="R256" s="373"/>
      <x:c r="S256" s="373"/>
      <x:c r="T256" s="373"/>
      <x:c r="U256" s="373"/>
      <x:c r="V256" s="373"/>
      <x:c r="W256" s="373"/>
      <x:c r="X256" s="373"/>
      <x:c r="Y256" s="373"/>
      <x:c r="Z256" s="373"/>
    </x:row>
    <x:row r="257">
      <x:c r="A257" s="373"/>
      <x:c r="B257" s="373"/>
      <x:c r="C257" s="373"/>
      <x:c r="D257" s="373"/>
      <x:c r="E257" s="373"/>
      <x:c r="F257" s="373"/>
      <x:c r="G257" s="373"/>
      <x:c r="H257" s="373"/>
      <x:c r="I257" s="373"/>
      <x:c r="J257" s="373"/>
      <x:c r="K257" s="373"/>
      <x:c r="L257" s="373"/>
      <x:c r="M257" s="373"/>
      <x:c r="N257" s="373"/>
      <x:c r="O257" s="373"/>
      <x:c r="P257" s="373"/>
      <x:c r="Q257" s="373"/>
      <x:c r="R257" s="373"/>
      <x:c r="S257" s="373"/>
      <x:c r="T257" s="373"/>
      <x:c r="U257" s="373"/>
      <x:c r="V257" s="373"/>
      <x:c r="W257" s="373"/>
      <x:c r="X257" s="373"/>
      <x:c r="Y257" s="373"/>
      <x:c r="Z257" s="373"/>
    </x:row>
    <x:row r="258">
      <x:c r="A258" s="373"/>
      <x:c r="B258" s="373"/>
      <x:c r="C258" s="373"/>
      <x:c r="D258" s="373"/>
      <x:c r="E258" s="373"/>
      <x:c r="F258" s="373"/>
      <x:c r="G258" s="373"/>
      <x:c r="H258" s="373"/>
      <x:c r="I258" s="373"/>
      <x:c r="J258" s="373"/>
      <x:c r="K258" s="373"/>
      <x:c r="L258" s="373"/>
      <x:c r="M258" s="373"/>
      <x:c r="N258" s="373"/>
      <x:c r="O258" s="373"/>
      <x:c r="P258" s="373"/>
      <x:c r="Q258" s="373"/>
      <x:c r="R258" s="373"/>
      <x:c r="S258" s="373"/>
      <x:c r="T258" s="373"/>
      <x:c r="U258" s="373"/>
      <x:c r="V258" s="373"/>
      <x:c r="W258" s="373"/>
      <x:c r="X258" s="373"/>
      <x:c r="Y258" s="373"/>
      <x:c r="Z258" s="373"/>
    </x:row>
    <x:row r="259">
      <x:c r="A259" s="373"/>
      <x:c r="B259" s="373"/>
      <x:c r="C259" s="373"/>
      <x:c r="D259" s="373"/>
      <x:c r="E259" s="373"/>
      <x:c r="F259" s="373"/>
      <x:c r="G259" s="373"/>
      <x:c r="H259" s="373"/>
      <x:c r="I259" s="373"/>
      <x:c r="J259" s="373"/>
      <x:c r="K259" s="373"/>
      <x:c r="L259" s="373"/>
      <x:c r="M259" s="373"/>
      <x:c r="N259" s="373"/>
      <x:c r="O259" s="373"/>
      <x:c r="P259" s="373"/>
      <x:c r="Q259" s="373"/>
      <x:c r="R259" s="373"/>
      <x:c r="S259" s="373"/>
      <x:c r="T259" s="373"/>
      <x:c r="U259" s="373"/>
      <x:c r="V259" s="373"/>
      <x:c r="W259" s="373"/>
      <x:c r="X259" s="373"/>
      <x:c r="Y259" s="373"/>
      <x:c r="Z259" s="373"/>
    </x:row>
    <x:row r="260">
      <x:c r="A260" s="373"/>
      <x:c r="B260" s="373"/>
      <x:c r="C260" s="373"/>
      <x:c r="D260" s="373"/>
      <x:c r="E260" s="373"/>
      <x:c r="F260" s="373"/>
      <x:c r="G260" s="373"/>
      <x:c r="H260" s="373"/>
      <x:c r="I260" s="373"/>
      <x:c r="J260" s="373"/>
      <x:c r="K260" s="373"/>
      <x:c r="L260" s="373"/>
      <x:c r="M260" s="373"/>
      <x:c r="N260" s="373"/>
      <x:c r="O260" s="373"/>
      <x:c r="P260" s="373"/>
      <x:c r="Q260" s="373"/>
      <x:c r="R260" s="373"/>
      <x:c r="S260" s="373"/>
      <x:c r="T260" s="373"/>
      <x:c r="U260" s="373"/>
      <x:c r="V260" s="373"/>
      <x:c r="W260" s="373"/>
      <x:c r="X260" s="373"/>
      <x:c r="Y260" s="373"/>
      <x:c r="Z260" s="373"/>
    </x:row>
    <x:row r="261">
      <x:c r="A261" s="373"/>
      <x:c r="B261" s="373"/>
      <x:c r="C261" s="373"/>
      <x:c r="D261" s="373"/>
      <x:c r="E261" s="373"/>
      <x:c r="F261" s="373"/>
      <x:c r="G261" s="373"/>
      <x:c r="H261" s="373"/>
      <x:c r="I261" s="373"/>
      <x:c r="J261" s="373"/>
      <x:c r="K261" s="373"/>
      <x:c r="L261" s="373"/>
      <x:c r="M261" s="373"/>
      <x:c r="N261" s="373"/>
      <x:c r="O261" s="373"/>
      <x:c r="P261" s="373"/>
      <x:c r="Q261" s="373"/>
      <x:c r="R261" s="373"/>
      <x:c r="S261" s="373"/>
      <x:c r="T261" s="373"/>
      <x:c r="U261" s="373"/>
      <x:c r="V261" s="373"/>
      <x:c r="W261" s="373"/>
      <x:c r="X261" s="373"/>
      <x:c r="Y261" s="373"/>
      <x:c r="Z261" s="373"/>
    </x:row>
    <x:row r="262">
      <x:c r="A262" s="373"/>
      <x:c r="B262" s="373"/>
      <x:c r="C262" s="373"/>
      <x:c r="D262" s="373"/>
      <x:c r="E262" s="373"/>
      <x:c r="F262" s="373"/>
      <x:c r="G262" s="373"/>
      <x:c r="H262" s="373"/>
      <x:c r="I262" s="373"/>
      <x:c r="J262" s="373"/>
      <x:c r="K262" s="373"/>
      <x:c r="L262" s="373"/>
      <x:c r="M262" s="373"/>
      <x:c r="N262" s="373"/>
      <x:c r="O262" s="373"/>
      <x:c r="P262" s="373"/>
      <x:c r="Q262" s="373"/>
      <x:c r="R262" s="373"/>
      <x:c r="S262" s="373"/>
      <x:c r="T262" s="373"/>
      <x:c r="U262" s="373"/>
      <x:c r="V262" s="373"/>
      <x:c r="W262" s="373"/>
      <x:c r="X262" s="373"/>
      <x:c r="Y262" s="373"/>
      <x:c r="Z262" s="373"/>
    </x:row>
    <x:row r="263">
      <x:c r="A263" s="373"/>
      <x:c r="B263" s="373"/>
      <x:c r="C263" s="373"/>
      <x:c r="D263" s="373"/>
      <x:c r="E263" s="373"/>
      <x:c r="F263" s="373"/>
      <x:c r="G263" s="373"/>
      <x:c r="H263" s="373"/>
      <x:c r="I263" s="373"/>
      <x:c r="J263" s="373"/>
      <x:c r="K263" s="373"/>
      <x:c r="L263" s="373"/>
      <x:c r="M263" s="373"/>
      <x:c r="N263" s="373"/>
      <x:c r="O263" s="373"/>
      <x:c r="P263" s="373"/>
      <x:c r="Q263" s="373"/>
      <x:c r="R263" s="373"/>
      <x:c r="S263" s="373"/>
      <x:c r="T263" s="373"/>
      <x:c r="U263" s="373"/>
      <x:c r="V263" s="373"/>
      <x:c r="W263" s="373"/>
      <x:c r="X263" s="373"/>
      <x:c r="Y263" s="373"/>
      <x:c r="Z263" s="373"/>
    </x:row>
    <x:row r="264">
      <x:c r="A264" s="373"/>
      <x:c r="B264" s="373"/>
      <x:c r="C264" s="373"/>
      <x:c r="D264" s="373"/>
      <x:c r="E264" s="373"/>
      <x:c r="F264" s="373"/>
      <x:c r="G264" s="373"/>
      <x:c r="H264" s="373"/>
      <x:c r="I264" s="373"/>
      <x:c r="J264" s="373"/>
      <x:c r="K264" s="373"/>
      <x:c r="L264" s="373"/>
      <x:c r="M264" s="373"/>
      <x:c r="N264" s="373"/>
      <x:c r="O264" s="373"/>
      <x:c r="P264" s="373"/>
      <x:c r="Q264" s="373"/>
      <x:c r="R264" s="373"/>
      <x:c r="S264" s="373"/>
      <x:c r="T264" s="373"/>
      <x:c r="U264" s="373"/>
      <x:c r="V264" s="373"/>
      <x:c r="W264" s="373"/>
      <x:c r="X264" s="373"/>
      <x:c r="Y264" s="373"/>
      <x:c r="Z264" s="373"/>
    </x:row>
    <x:row r="265">
      <x:c r="A265" s="373"/>
      <x:c r="B265" s="373"/>
      <x:c r="C265" s="373"/>
      <x:c r="D265" s="373"/>
      <x:c r="E265" s="373"/>
      <x:c r="F265" s="373"/>
      <x:c r="G265" s="373"/>
      <x:c r="H265" s="373"/>
      <x:c r="I265" s="373"/>
      <x:c r="J265" s="373"/>
      <x:c r="K265" s="373"/>
      <x:c r="L265" s="373"/>
      <x:c r="M265" s="373"/>
      <x:c r="N265" s="373"/>
      <x:c r="O265" s="373"/>
      <x:c r="P265" s="373"/>
      <x:c r="Q265" s="373"/>
      <x:c r="R265" s="373"/>
      <x:c r="S265" s="373"/>
      <x:c r="T265" s="373"/>
      <x:c r="U265" s="373"/>
      <x:c r="V265" s="373"/>
      <x:c r="W265" s="373"/>
      <x:c r="X265" s="373"/>
      <x:c r="Y265" s="373"/>
      <x:c r="Z265" s="373"/>
    </x:row>
    <x:row r="266">
      <x:c r="A266" s="373"/>
      <x:c r="B266" s="373"/>
      <x:c r="C266" s="373"/>
      <x:c r="D266" s="373"/>
      <x:c r="E266" s="373"/>
      <x:c r="F266" s="373"/>
      <x:c r="G266" s="373"/>
      <x:c r="H266" s="373"/>
      <x:c r="I266" s="373"/>
      <x:c r="J266" s="373"/>
      <x:c r="K266" s="373"/>
      <x:c r="L266" s="373"/>
      <x:c r="M266" s="373"/>
      <x:c r="N266" s="373"/>
      <x:c r="O266" s="373"/>
      <x:c r="P266" s="373"/>
      <x:c r="Q266" s="373"/>
      <x:c r="R266" s="373"/>
      <x:c r="S266" s="373"/>
      <x:c r="T266" s="373"/>
      <x:c r="U266" s="373"/>
      <x:c r="V266" s="373"/>
      <x:c r="W266" s="373"/>
      <x:c r="X266" s="373"/>
      <x:c r="Y266" s="373"/>
      <x:c r="Z266" s="373"/>
    </x:row>
    <x:row r="267">
      <x:c r="A267" s="373"/>
      <x:c r="B267" s="373"/>
      <x:c r="C267" s="373"/>
      <x:c r="D267" s="373"/>
      <x:c r="E267" s="373"/>
      <x:c r="F267" s="373"/>
      <x:c r="G267" s="373"/>
      <x:c r="H267" s="373"/>
      <x:c r="I267" s="373"/>
      <x:c r="J267" s="373"/>
      <x:c r="K267" s="373"/>
      <x:c r="L267" s="373"/>
      <x:c r="M267" s="373"/>
      <x:c r="N267" s="373"/>
      <x:c r="O267" s="373"/>
      <x:c r="P267" s="373"/>
      <x:c r="Q267" s="373"/>
      <x:c r="R267" s="373"/>
      <x:c r="S267" s="373"/>
      <x:c r="T267" s="373"/>
      <x:c r="U267" s="373"/>
      <x:c r="V267" s="373"/>
      <x:c r="W267" s="373"/>
      <x:c r="X267" s="373"/>
      <x:c r="Y267" s="373"/>
      <x:c r="Z267" s="373"/>
    </x:row>
    <x:row r="268">
      <x:c r="A268" s="373"/>
      <x:c r="B268" s="373"/>
      <x:c r="C268" s="373"/>
      <x:c r="D268" s="373"/>
      <x:c r="E268" s="373"/>
      <x:c r="F268" s="373"/>
      <x:c r="G268" s="373"/>
      <x:c r="H268" s="373"/>
      <x:c r="I268" s="373"/>
      <x:c r="J268" s="373"/>
      <x:c r="K268" s="373"/>
      <x:c r="L268" s="373"/>
      <x:c r="M268" s="373"/>
      <x:c r="N268" s="373"/>
      <x:c r="O268" s="373"/>
      <x:c r="P268" s="373"/>
      <x:c r="Q268" s="373"/>
      <x:c r="R268" s="373"/>
      <x:c r="S268" s="373"/>
      <x:c r="T268" s="373"/>
      <x:c r="U268" s="373"/>
      <x:c r="V268" s="373"/>
      <x:c r="W268" s="373"/>
      <x:c r="X268" s="373"/>
      <x:c r="Y268" s="373"/>
      <x:c r="Z268" s="373"/>
    </x:row>
    <x:row r="269">
      <x:c r="A269" s="373"/>
      <x:c r="B269" s="373"/>
      <x:c r="C269" s="373"/>
      <x:c r="D269" s="373"/>
      <x:c r="E269" s="373"/>
      <x:c r="F269" s="373"/>
      <x:c r="G269" s="373"/>
      <x:c r="H269" s="373"/>
      <x:c r="I269" s="373"/>
      <x:c r="J269" s="373"/>
      <x:c r="K269" s="373"/>
      <x:c r="L269" s="373"/>
      <x:c r="M269" s="373"/>
      <x:c r="N269" s="373"/>
      <x:c r="O269" s="373"/>
      <x:c r="P269" s="373"/>
      <x:c r="Q269" s="373"/>
      <x:c r="R269" s="373"/>
      <x:c r="S269" s="373"/>
      <x:c r="T269" s="373"/>
      <x:c r="U269" s="373"/>
      <x:c r="V269" s="373"/>
      <x:c r="W269" s="373"/>
      <x:c r="X269" s="373"/>
      <x:c r="Y269" s="373"/>
      <x:c r="Z269" s="373"/>
    </x:row>
    <x:row r="270">
      <x:c r="A270" s="373"/>
      <x:c r="B270" s="373"/>
      <x:c r="C270" s="373"/>
      <x:c r="D270" s="373"/>
      <x:c r="E270" s="373"/>
      <x:c r="F270" s="373"/>
      <x:c r="G270" s="373"/>
      <x:c r="H270" s="373"/>
      <x:c r="I270" s="373"/>
      <x:c r="J270" s="373"/>
      <x:c r="K270" s="373"/>
      <x:c r="L270" s="373"/>
      <x:c r="M270" s="373"/>
      <x:c r="N270" s="373"/>
      <x:c r="O270" s="373"/>
      <x:c r="P270" s="373"/>
      <x:c r="Q270" s="373"/>
      <x:c r="R270" s="373"/>
      <x:c r="S270" s="373"/>
      <x:c r="T270" s="373"/>
      <x:c r="U270" s="373"/>
      <x:c r="V270" s="373"/>
      <x:c r="W270" s="373"/>
      <x:c r="X270" s="373"/>
      <x:c r="Y270" s="373"/>
      <x:c r="Z270" s="373"/>
    </x:row>
    <x:row r="271">
      <x:c r="A271" s="373"/>
      <x:c r="B271" s="373"/>
      <x:c r="C271" s="373"/>
      <x:c r="D271" s="373"/>
      <x:c r="E271" s="373"/>
      <x:c r="F271" s="373"/>
      <x:c r="G271" s="373"/>
      <x:c r="H271" s="373"/>
      <x:c r="I271" s="373"/>
      <x:c r="J271" s="373"/>
      <x:c r="K271" s="373"/>
      <x:c r="L271" s="373"/>
      <x:c r="M271" s="373"/>
      <x:c r="N271" s="373"/>
      <x:c r="O271" s="373"/>
      <x:c r="P271" s="373"/>
      <x:c r="Q271" s="373"/>
      <x:c r="R271" s="373"/>
      <x:c r="S271" s="373"/>
      <x:c r="T271" s="373"/>
      <x:c r="U271" s="373"/>
      <x:c r="V271" s="373"/>
      <x:c r="W271" s="373"/>
      <x:c r="X271" s="373"/>
      <x:c r="Y271" s="373"/>
      <x:c r="Z271" s="373"/>
    </x:row>
    <x:row r="272">
      <x:c r="A272" s="373"/>
      <x:c r="B272" s="373"/>
      <x:c r="C272" s="373"/>
      <x:c r="D272" s="373"/>
      <x:c r="E272" s="373"/>
      <x:c r="F272" s="373"/>
      <x:c r="G272" s="373"/>
      <x:c r="H272" s="373"/>
      <x:c r="I272" s="373"/>
      <x:c r="J272" s="373"/>
      <x:c r="K272" s="373"/>
      <x:c r="L272" s="373"/>
      <x:c r="M272" s="373"/>
      <x:c r="N272" s="373"/>
      <x:c r="O272" s="373"/>
      <x:c r="P272" s="373"/>
      <x:c r="Q272" s="373"/>
      <x:c r="R272" s="373"/>
      <x:c r="S272" s="373"/>
      <x:c r="T272" s="373"/>
      <x:c r="U272" s="373"/>
      <x:c r="V272" s="373"/>
      <x:c r="W272" s="373"/>
      <x:c r="X272" s="373"/>
      <x:c r="Y272" s="373"/>
      <x:c r="Z272" s="373"/>
    </x:row>
    <x:row r="273">
      <x:c r="A273" s="373"/>
      <x:c r="B273" s="373"/>
      <x:c r="C273" s="373"/>
      <x:c r="D273" s="373"/>
      <x:c r="E273" s="373"/>
      <x:c r="F273" s="373"/>
      <x:c r="G273" s="373"/>
      <x:c r="H273" s="373"/>
      <x:c r="I273" s="373"/>
      <x:c r="J273" s="373"/>
      <x:c r="K273" s="373"/>
      <x:c r="L273" s="373"/>
      <x:c r="M273" s="373"/>
      <x:c r="N273" s="373"/>
      <x:c r="O273" s="373"/>
      <x:c r="P273" s="373"/>
      <x:c r="Q273" s="373"/>
      <x:c r="R273" s="373"/>
      <x:c r="S273" s="373"/>
      <x:c r="T273" s="373"/>
      <x:c r="U273" s="373"/>
      <x:c r="V273" s="373"/>
      <x:c r="W273" s="373"/>
      <x:c r="X273" s="373"/>
      <x:c r="Y273" s="373"/>
      <x:c r="Z273" s="373"/>
    </x:row>
    <x:row r="274">
      <x:c r="A274" s="373"/>
      <x:c r="B274" s="373"/>
      <x:c r="C274" s="373"/>
      <x:c r="D274" s="373"/>
      <x:c r="E274" s="373"/>
      <x:c r="F274" s="373"/>
      <x:c r="G274" s="373"/>
      <x:c r="H274" s="373"/>
      <x:c r="I274" s="373"/>
      <x:c r="J274" s="373"/>
      <x:c r="K274" s="373"/>
      <x:c r="L274" s="373"/>
      <x:c r="M274" s="373"/>
      <x:c r="N274" s="373"/>
      <x:c r="O274" s="373"/>
      <x:c r="P274" s="373"/>
      <x:c r="Q274" s="373"/>
      <x:c r="R274" s="373"/>
      <x:c r="S274" s="373"/>
      <x:c r="T274" s="373"/>
      <x:c r="U274" s="373"/>
      <x:c r="V274" s="373"/>
      <x:c r="W274" s="373"/>
      <x:c r="X274" s="373"/>
      <x:c r="Y274" s="373"/>
      <x:c r="Z274" s="373"/>
    </x:row>
    <x:row r="275">
      <x:c r="A275" s="373"/>
      <x:c r="B275" s="373"/>
      <x:c r="C275" s="373"/>
      <x:c r="D275" s="373"/>
      <x:c r="E275" s="373"/>
      <x:c r="F275" s="373"/>
      <x:c r="G275" s="373"/>
      <x:c r="H275" s="373"/>
      <x:c r="I275" s="373"/>
      <x:c r="J275" s="373"/>
      <x:c r="K275" s="373"/>
      <x:c r="L275" s="373"/>
      <x:c r="M275" s="373"/>
      <x:c r="N275" s="373"/>
      <x:c r="O275" s="373"/>
      <x:c r="P275" s="373"/>
      <x:c r="Q275" s="373"/>
      <x:c r="R275" s="373"/>
      <x:c r="S275" s="373"/>
      <x:c r="T275" s="373"/>
      <x:c r="U275" s="373"/>
      <x:c r="V275" s="373"/>
      <x:c r="W275" s="373"/>
      <x:c r="X275" s="373"/>
      <x:c r="Y275" s="373"/>
      <x:c r="Z275" s="373"/>
    </x:row>
    <x:row r="276">
      <x:c r="A276" s="373"/>
      <x:c r="B276" s="373"/>
      <x:c r="C276" s="373"/>
      <x:c r="D276" s="373"/>
      <x:c r="E276" s="373"/>
      <x:c r="F276" s="373"/>
      <x:c r="G276" s="373"/>
      <x:c r="H276" s="373"/>
      <x:c r="I276" s="373"/>
      <x:c r="J276" s="373"/>
      <x:c r="K276" s="373"/>
      <x:c r="L276" s="373"/>
      <x:c r="M276" s="373"/>
      <x:c r="N276" s="373"/>
      <x:c r="O276" s="373"/>
      <x:c r="P276" s="373"/>
      <x:c r="Q276" s="373"/>
      <x:c r="R276" s="373"/>
      <x:c r="S276" s="373"/>
      <x:c r="T276" s="373"/>
      <x:c r="U276" s="373"/>
      <x:c r="V276" s="373"/>
      <x:c r="W276" s="373"/>
      <x:c r="X276" s="373"/>
      <x:c r="Y276" s="373"/>
      <x:c r="Z276" s="373"/>
    </x:row>
    <x:row r="277">
      <x:c r="A277" s="373"/>
      <x:c r="B277" s="373"/>
      <x:c r="C277" s="373"/>
      <x:c r="D277" s="373"/>
      <x:c r="E277" s="373"/>
      <x:c r="F277" s="373"/>
      <x:c r="G277" s="373"/>
      <x:c r="H277" s="373"/>
      <x:c r="I277" s="373"/>
      <x:c r="J277" s="373"/>
      <x:c r="K277" s="373"/>
      <x:c r="L277" s="373"/>
      <x:c r="M277" s="373"/>
      <x:c r="N277" s="373"/>
      <x:c r="O277" s="373"/>
      <x:c r="P277" s="373"/>
      <x:c r="Q277" s="373"/>
      <x:c r="R277" s="373"/>
      <x:c r="S277" s="373"/>
      <x:c r="T277" s="373"/>
      <x:c r="U277" s="373"/>
      <x:c r="V277" s="373"/>
      <x:c r="W277" s="373"/>
      <x:c r="X277" s="373"/>
      <x:c r="Y277" s="373"/>
      <x:c r="Z277" s="373"/>
    </x:row>
    <x:row r="278">
      <x:c r="A278" s="373"/>
      <x:c r="B278" s="373"/>
      <x:c r="C278" s="373"/>
      <x:c r="D278" s="373"/>
      <x:c r="E278" s="373"/>
      <x:c r="F278" s="373"/>
      <x:c r="G278" s="373"/>
      <x:c r="H278" s="373"/>
      <x:c r="I278" s="373"/>
      <x:c r="J278" s="373"/>
      <x:c r="K278" s="373"/>
      <x:c r="L278" s="373"/>
      <x:c r="M278" s="373"/>
      <x:c r="N278" s="373"/>
      <x:c r="O278" s="373"/>
      <x:c r="P278" s="373"/>
      <x:c r="Q278" s="373"/>
      <x:c r="R278" s="373"/>
      <x:c r="S278" s="373"/>
      <x:c r="T278" s="373"/>
      <x:c r="U278" s="373"/>
      <x:c r="V278" s="373"/>
      <x:c r="W278" s="373"/>
      <x:c r="X278" s="373"/>
      <x:c r="Y278" s="373"/>
      <x:c r="Z278" s="373"/>
    </x:row>
    <x:row r="279">
      <x:c r="A279" s="373"/>
      <x:c r="B279" s="373"/>
      <x:c r="C279" s="373"/>
      <x:c r="D279" s="373"/>
      <x:c r="E279" s="373"/>
      <x:c r="F279" s="373"/>
      <x:c r="G279" s="373"/>
      <x:c r="H279" s="373"/>
      <x:c r="I279" s="373"/>
      <x:c r="J279" s="373"/>
      <x:c r="K279" s="373"/>
      <x:c r="L279" s="373"/>
      <x:c r="M279" s="373"/>
      <x:c r="N279" s="373"/>
      <x:c r="O279" s="373"/>
      <x:c r="P279" s="373"/>
      <x:c r="Q279" s="373"/>
      <x:c r="R279" s="373"/>
      <x:c r="S279" s="373"/>
      <x:c r="T279" s="373"/>
      <x:c r="U279" s="373"/>
      <x:c r="V279" s="373"/>
      <x:c r="W279" s="373"/>
      <x:c r="X279" s="373"/>
      <x:c r="Y279" s="373"/>
      <x:c r="Z279" s="373"/>
    </x:row>
    <x:row r="280">
      <x:c r="A280" s="373"/>
      <x:c r="B280" s="373"/>
      <x:c r="C280" s="373"/>
      <x:c r="D280" s="373"/>
      <x:c r="E280" s="373"/>
      <x:c r="F280" s="373"/>
      <x:c r="G280" s="373"/>
      <x:c r="H280" s="373"/>
      <x:c r="I280" s="373"/>
      <x:c r="J280" s="373"/>
      <x:c r="K280" s="373"/>
      <x:c r="L280" s="373"/>
      <x:c r="M280" s="373"/>
      <x:c r="N280" s="373"/>
      <x:c r="O280" s="373"/>
      <x:c r="P280" s="373"/>
      <x:c r="Q280" s="373"/>
      <x:c r="R280" s="373"/>
      <x:c r="S280" s="373"/>
      <x:c r="T280" s="373"/>
      <x:c r="U280" s="373"/>
      <x:c r="V280" s="373"/>
      <x:c r="W280" s="373"/>
      <x:c r="X280" s="373"/>
      <x:c r="Y280" s="373"/>
      <x:c r="Z280" s="373"/>
    </x:row>
    <x:row r="281">
      <x:c r="A281" s="373"/>
      <x:c r="B281" s="373"/>
      <x:c r="C281" s="373"/>
      <x:c r="D281" s="373"/>
      <x:c r="E281" s="373"/>
      <x:c r="F281" s="373"/>
      <x:c r="G281" s="373"/>
      <x:c r="H281" s="373"/>
      <x:c r="I281" s="373"/>
      <x:c r="J281" s="373"/>
      <x:c r="K281" s="373"/>
      <x:c r="L281" s="373"/>
      <x:c r="M281" s="373"/>
      <x:c r="N281" s="373"/>
      <x:c r="O281" s="373"/>
      <x:c r="P281" s="373"/>
      <x:c r="Q281" s="373"/>
      <x:c r="R281" s="373"/>
      <x:c r="S281" s="373"/>
      <x:c r="T281" s="373"/>
      <x:c r="U281" s="373"/>
      <x:c r="V281" s="373"/>
      <x:c r="W281" s="373"/>
      <x:c r="X281" s="373"/>
      <x:c r="Y281" s="373"/>
      <x:c r="Z281" s="373"/>
    </x:row>
    <x:row r="282">
      <x:c r="A282" s="373"/>
      <x:c r="B282" s="373"/>
      <x:c r="C282" s="373"/>
      <x:c r="D282" s="373"/>
      <x:c r="E282" s="373"/>
      <x:c r="F282" s="373"/>
      <x:c r="G282" s="373"/>
      <x:c r="H282" s="373"/>
      <x:c r="I282" s="373"/>
      <x:c r="J282" s="373"/>
      <x:c r="K282" s="373"/>
      <x:c r="L282" s="373"/>
      <x:c r="M282" s="373"/>
      <x:c r="N282" s="373"/>
      <x:c r="O282" s="373"/>
      <x:c r="P282" s="373"/>
      <x:c r="Q282" s="373"/>
      <x:c r="R282" s="373"/>
      <x:c r="S282" s="373"/>
      <x:c r="T282" s="373"/>
      <x:c r="U282" s="373"/>
      <x:c r="V282" s="373"/>
      <x:c r="W282" s="373"/>
      <x:c r="X282" s="373"/>
      <x:c r="Y282" s="373"/>
      <x:c r="Z282" s="373"/>
    </x:row>
    <x:row r="283">
      <x:c r="A283" s="373"/>
      <x:c r="B283" s="373"/>
      <x:c r="C283" s="373"/>
      <x:c r="D283" s="373"/>
      <x:c r="E283" s="373"/>
      <x:c r="F283" s="373"/>
      <x:c r="G283" s="373"/>
      <x:c r="H283" s="373"/>
      <x:c r="I283" s="373"/>
      <x:c r="J283" s="373"/>
      <x:c r="K283" s="373"/>
      <x:c r="L283" s="373"/>
      <x:c r="M283" s="373"/>
      <x:c r="N283" s="373"/>
      <x:c r="O283" s="373"/>
      <x:c r="P283" s="373"/>
      <x:c r="Q283" s="373"/>
      <x:c r="R283" s="373"/>
      <x:c r="S283" s="373"/>
      <x:c r="T283" s="373"/>
      <x:c r="U283" s="373"/>
      <x:c r="V283" s="373"/>
      <x:c r="W283" s="373"/>
      <x:c r="X283" s="373"/>
      <x:c r="Y283" s="373"/>
      <x:c r="Z283" s="373"/>
    </x:row>
    <x:row r="284">
      <x:c r="A284" s="373"/>
      <x:c r="B284" s="373"/>
      <x:c r="C284" s="373"/>
      <x:c r="D284" s="373"/>
      <x:c r="E284" s="373"/>
      <x:c r="F284" s="373"/>
      <x:c r="G284" s="373"/>
      <x:c r="H284" s="373"/>
      <x:c r="I284" s="373"/>
      <x:c r="J284" s="373"/>
      <x:c r="K284" s="373"/>
      <x:c r="L284" s="373"/>
      <x:c r="M284" s="373"/>
      <x:c r="N284" s="373"/>
      <x:c r="O284" s="373"/>
      <x:c r="P284" s="373"/>
      <x:c r="Q284" s="373"/>
      <x:c r="R284" s="373"/>
      <x:c r="S284" s="373"/>
      <x:c r="T284" s="373"/>
      <x:c r="U284" s="373"/>
      <x:c r="V284" s="373"/>
      <x:c r="W284" s="373"/>
      <x:c r="X284" s="373"/>
      <x:c r="Y284" s="373"/>
      <x:c r="Z284" s="373"/>
    </x:row>
    <x:row r="285">
      <x:c r="A285" s="373"/>
      <x:c r="B285" s="373"/>
      <x:c r="C285" s="373"/>
      <x:c r="D285" s="373"/>
      <x:c r="E285" s="373"/>
      <x:c r="F285" s="373"/>
      <x:c r="G285" s="373"/>
      <x:c r="H285" s="373"/>
      <x:c r="I285" s="373"/>
      <x:c r="J285" s="373"/>
      <x:c r="K285" s="373"/>
      <x:c r="L285" s="373"/>
      <x:c r="M285" s="373"/>
      <x:c r="N285" s="373"/>
      <x:c r="O285" s="373"/>
      <x:c r="P285" s="373"/>
      <x:c r="Q285" s="373"/>
      <x:c r="R285" s="373"/>
      <x:c r="S285" s="373"/>
      <x:c r="T285" s="373"/>
      <x:c r="U285" s="373"/>
      <x:c r="V285" s="373"/>
      <x:c r="W285" s="373"/>
      <x:c r="X285" s="373"/>
      <x:c r="Y285" s="373"/>
      <x:c r="Z285" s="373"/>
    </x:row>
    <x:row r="286">
      <x:c r="A286" s="373"/>
      <x:c r="B286" s="373"/>
      <x:c r="C286" s="373"/>
      <x:c r="D286" s="373"/>
      <x:c r="E286" s="373"/>
      <x:c r="F286" s="373"/>
      <x:c r="G286" s="373"/>
      <x:c r="H286" s="373"/>
      <x:c r="I286" s="373"/>
      <x:c r="J286" s="373"/>
      <x:c r="K286" s="373"/>
      <x:c r="L286" s="373"/>
      <x:c r="M286" s="373"/>
      <x:c r="N286" s="373"/>
      <x:c r="O286" s="373"/>
      <x:c r="P286" s="373"/>
      <x:c r="Q286" s="373"/>
      <x:c r="R286" s="373"/>
      <x:c r="S286" s="373"/>
      <x:c r="T286" s="373"/>
      <x:c r="U286" s="373"/>
      <x:c r="V286" s="373"/>
      <x:c r="W286" s="373"/>
      <x:c r="X286" s="373"/>
      <x:c r="Y286" s="373"/>
      <x:c r="Z286" s="373"/>
    </x:row>
    <x:row r="287">
      <x:c r="A287" s="373"/>
      <x:c r="B287" s="373"/>
      <x:c r="C287" s="373"/>
      <x:c r="D287" s="373"/>
      <x:c r="E287" s="373"/>
      <x:c r="F287" s="373"/>
      <x:c r="G287" s="373"/>
      <x:c r="H287" s="373"/>
      <x:c r="I287" s="373"/>
      <x:c r="J287" s="373"/>
      <x:c r="K287" s="373"/>
      <x:c r="L287" s="373"/>
      <x:c r="M287" s="373"/>
      <x:c r="N287" s="373"/>
      <x:c r="O287" s="373"/>
      <x:c r="P287" s="373"/>
      <x:c r="Q287" s="373"/>
      <x:c r="R287" s="373"/>
      <x:c r="S287" s="373"/>
      <x:c r="T287" s="373"/>
      <x:c r="U287" s="373"/>
      <x:c r="V287" s="373"/>
      <x:c r="W287" s="373"/>
      <x:c r="X287" s="373"/>
      <x:c r="Y287" s="373"/>
      <x:c r="Z287" s="373"/>
    </x:row>
    <x:row r="288">
      <x:c r="A288" s="373"/>
      <x:c r="B288" s="373"/>
      <x:c r="C288" s="373"/>
      <x:c r="D288" s="373"/>
      <x:c r="E288" s="373"/>
      <x:c r="F288" s="373"/>
      <x:c r="G288" s="373"/>
      <x:c r="H288" s="373"/>
      <x:c r="I288" s="373"/>
      <x:c r="J288" s="373"/>
      <x:c r="K288" s="373"/>
      <x:c r="L288" s="373"/>
      <x:c r="M288" s="373"/>
      <x:c r="N288" s="373"/>
      <x:c r="O288" s="373"/>
      <x:c r="P288" s="373"/>
      <x:c r="Q288" s="373"/>
      <x:c r="R288" s="373"/>
      <x:c r="S288" s="373"/>
      <x:c r="T288" s="373"/>
      <x:c r="U288" s="373"/>
      <x:c r="V288" s="373"/>
      <x:c r="W288" s="373"/>
      <x:c r="X288" s="373"/>
      <x:c r="Y288" s="373"/>
      <x:c r="Z288" s="373"/>
    </x:row>
    <x:row r="289">
      <x:c r="A289" s="373"/>
      <x:c r="B289" s="373"/>
      <x:c r="C289" s="373"/>
      <x:c r="D289" s="373"/>
      <x:c r="E289" s="373"/>
      <x:c r="F289" s="373"/>
      <x:c r="G289" s="373"/>
      <x:c r="H289" s="373"/>
      <x:c r="I289" s="373"/>
      <x:c r="J289" s="373"/>
      <x:c r="K289" s="373"/>
      <x:c r="L289" s="373"/>
      <x:c r="M289" s="373"/>
      <x:c r="N289" s="373"/>
      <x:c r="O289" s="373"/>
      <x:c r="P289" s="373"/>
      <x:c r="Q289" s="373"/>
      <x:c r="R289" s="373"/>
      <x:c r="S289" s="373"/>
      <x:c r="T289" s="373"/>
      <x:c r="U289" s="373"/>
      <x:c r="V289" s="373"/>
      <x:c r="W289" s="373"/>
      <x:c r="X289" s="373"/>
      <x:c r="Y289" s="373"/>
      <x:c r="Z289" s="373"/>
    </x:row>
    <x:row r="290">
      <x:c r="A290" s="373"/>
      <x:c r="B290" s="373"/>
      <x:c r="C290" s="373"/>
      <x:c r="D290" s="373"/>
      <x:c r="E290" s="373"/>
      <x:c r="F290" s="373"/>
      <x:c r="G290" s="373"/>
      <x:c r="H290" s="373"/>
      <x:c r="I290" s="373"/>
      <x:c r="J290" s="373"/>
      <x:c r="K290" s="373"/>
      <x:c r="L290" s="373"/>
      <x:c r="M290" s="373"/>
      <x:c r="N290" s="373"/>
      <x:c r="O290" s="373"/>
      <x:c r="P290" s="373"/>
      <x:c r="Q290" s="373"/>
      <x:c r="R290" s="373"/>
      <x:c r="S290" s="373"/>
      <x:c r="T290" s="373"/>
      <x:c r="U290" s="373"/>
      <x:c r="V290" s="373"/>
      <x:c r="W290" s="373"/>
      <x:c r="X290" s="373"/>
      <x:c r="Y290" s="373"/>
      <x:c r="Z290" s="373"/>
    </x:row>
    <x:row r="291">
      <x:c r="A291" s="373"/>
      <x:c r="B291" s="373"/>
      <x:c r="C291" s="373"/>
      <x:c r="D291" s="373"/>
      <x:c r="E291" s="373"/>
      <x:c r="F291" s="373"/>
      <x:c r="G291" s="373"/>
      <x:c r="H291" s="373"/>
      <x:c r="I291" s="373"/>
      <x:c r="J291" s="373"/>
      <x:c r="K291" s="373"/>
      <x:c r="L291" s="373"/>
      <x:c r="M291" s="373"/>
      <x:c r="N291" s="373"/>
      <x:c r="O291" s="373"/>
      <x:c r="P291" s="373"/>
      <x:c r="Q291" s="373"/>
      <x:c r="R291" s="373"/>
      <x:c r="S291" s="373"/>
      <x:c r="T291" s="373"/>
      <x:c r="U291" s="373"/>
      <x:c r="V291" s="373"/>
      <x:c r="W291" s="373"/>
      <x:c r="X291" s="373"/>
      <x:c r="Y291" s="373"/>
      <x:c r="Z291" s="373"/>
    </x:row>
    <x:row r="292">
      <x:c r="A292" s="373"/>
      <x:c r="B292" s="373"/>
      <x:c r="C292" s="373"/>
      <x:c r="D292" s="373"/>
      <x:c r="E292" s="373"/>
      <x:c r="F292" s="373"/>
      <x:c r="G292" s="373"/>
      <x:c r="H292" s="373"/>
      <x:c r="I292" s="373"/>
      <x:c r="J292" s="373"/>
      <x:c r="K292" s="373"/>
      <x:c r="L292" s="373"/>
      <x:c r="M292" s="373"/>
      <x:c r="N292" s="373"/>
      <x:c r="O292" s="373"/>
      <x:c r="P292" s="373"/>
      <x:c r="Q292" s="373"/>
      <x:c r="R292" s="373"/>
      <x:c r="S292" s="373"/>
      <x:c r="T292" s="373"/>
      <x:c r="U292" s="373"/>
      <x:c r="V292" s="373"/>
      <x:c r="W292" s="373"/>
      <x:c r="X292" s="373"/>
      <x:c r="Y292" s="373"/>
      <x:c r="Z292" s="373"/>
    </x:row>
    <x:row r="293">
      <x:c r="A293" s="373"/>
      <x:c r="B293" s="373"/>
      <x:c r="C293" s="373"/>
      <x:c r="D293" s="373"/>
      <x:c r="E293" s="373"/>
      <x:c r="F293" s="373"/>
      <x:c r="G293" s="373"/>
      <x:c r="H293" s="373"/>
      <x:c r="I293" s="373"/>
      <x:c r="J293" s="373"/>
      <x:c r="K293" s="373"/>
      <x:c r="L293" s="373"/>
      <x:c r="M293" s="373"/>
      <x:c r="N293" s="373"/>
      <x:c r="O293" s="373"/>
      <x:c r="P293" s="373"/>
      <x:c r="Q293" s="373"/>
      <x:c r="R293" s="373"/>
      <x:c r="S293" s="373"/>
      <x:c r="T293" s="373"/>
      <x:c r="U293" s="373"/>
      <x:c r="V293" s="373"/>
      <x:c r="W293" s="373"/>
      <x:c r="X293" s="373"/>
      <x:c r="Y293" s="373"/>
      <x:c r="Z293" s="373"/>
    </x:row>
    <x:row r="294">
      <x:c r="A294" s="373"/>
      <x:c r="B294" s="373"/>
      <x:c r="C294" s="373"/>
      <x:c r="D294" s="373"/>
      <x:c r="E294" s="373"/>
      <x:c r="F294" s="373"/>
      <x:c r="G294" s="373"/>
      <x:c r="H294" s="373"/>
      <x:c r="I294" s="373"/>
      <x:c r="J294" s="373"/>
      <x:c r="K294" s="373"/>
      <x:c r="L294" s="373"/>
      <x:c r="M294" s="373"/>
      <x:c r="N294" s="373"/>
      <x:c r="O294" s="373"/>
      <x:c r="P294" s="373"/>
      <x:c r="Q294" s="373"/>
      <x:c r="R294" s="373"/>
      <x:c r="S294" s="373"/>
      <x:c r="T294" s="373"/>
      <x:c r="U294" s="373"/>
      <x:c r="V294" s="373"/>
      <x:c r="W294" s="373"/>
      <x:c r="X294" s="373"/>
      <x:c r="Y294" s="373"/>
      <x:c r="Z294" s="373"/>
    </x:row>
    <x:row r="295">
      <x:c r="A295" s="373"/>
      <x:c r="B295" s="373"/>
      <x:c r="C295" s="373"/>
      <x:c r="D295" s="373"/>
      <x:c r="E295" s="373"/>
      <x:c r="F295" s="373"/>
      <x:c r="G295" s="373"/>
      <x:c r="H295" s="373"/>
      <x:c r="I295" s="373"/>
      <x:c r="J295" s="373"/>
      <x:c r="K295" s="373"/>
      <x:c r="L295" s="373"/>
      <x:c r="M295" s="373"/>
      <x:c r="N295" s="373"/>
      <x:c r="O295" s="373"/>
      <x:c r="P295" s="373"/>
      <x:c r="Q295" s="373"/>
      <x:c r="R295" s="373"/>
      <x:c r="S295" s="373"/>
      <x:c r="T295" s="373"/>
      <x:c r="U295" s="373"/>
      <x:c r="V295" s="373"/>
      <x:c r="W295" s="373"/>
      <x:c r="X295" s="373"/>
      <x:c r="Y295" s="373"/>
      <x:c r="Z295" s="373"/>
    </x:row>
    <x:row r="296">
      <x:c r="A296" s="373"/>
      <x:c r="B296" s="373"/>
      <x:c r="C296" s="373"/>
      <x:c r="D296" s="373"/>
      <x:c r="E296" s="373"/>
      <x:c r="F296" s="373"/>
      <x:c r="G296" s="373"/>
      <x:c r="H296" s="373"/>
      <x:c r="I296" s="373"/>
      <x:c r="J296" s="373"/>
      <x:c r="K296" s="373"/>
      <x:c r="L296" s="373"/>
      <x:c r="M296" s="373"/>
      <x:c r="N296" s="373"/>
      <x:c r="O296" s="373"/>
      <x:c r="P296" s="373"/>
      <x:c r="Q296" s="373"/>
      <x:c r="R296" s="373"/>
      <x:c r="S296" s="373"/>
      <x:c r="T296" s="373"/>
      <x:c r="U296" s="373"/>
      <x:c r="V296" s="373"/>
      <x:c r="W296" s="373"/>
      <x:c r="X296" s="373"/>
      <x:c r="Y296" s="373"/>
      <x:c r="Z296" s="373"/>
    </x:row>
    <x:row r="297">
      <x:c r="A297" s="373"/>
      <x:c r="B297" s="373"/>
      <x:c r="C297" s="373"/>
      <x:c r="D297" s="373"/>
      <x:c r="E297" s="373"/>
      <x:c r="F297" s="373"/>
      <x:c r="G297" s="373"/>
      <x:c r="H297" s="373"/>
      <x:c r="I297" s="373"/>
      <x:c r="J297" s="373"/>
      <x:c r="K297" s="373"/>
      <x:c r="L297" s="373"/>
      <x:c r="M297" s="373"/>
      <x:c r="N297" s="373"/>
      <x:c r="O297" s="373"/>
      <x:c r="P297" s="373"/>
      <x:c r="Q297" s="373"/>
      <x:c r="R297" s="373"/>
      <x:c r="S297" s="373"/>
      <x:c r="T297" s="373"/>
      <x:c r="U297" s="373"/>
      <x:c r="V297" s="373"/>
      <x:c r="W297" s="373"/>
      <x:c r="X297" s="373"/>
      <x:c r="Y297" s="373"/>
      <x:c r="Z297" s="373"/>
    </x:row>
    <x:row r="298">
      <x:c r="A298" s="373"/>
      <x:c r="B298" s="373"/>
      <x:c r="C298" s="373"/>
      <x:c r="D298" s="373"/>
      <x:c r="E298" s="373"/>
      <x:c r="F298" s="373"/>
      <x:c r="G298" s="373"/>
      <x:c r="H298" s="373"/>
      <x:c r="I298" s="373"/>
      <x:c r="J298" s="373"/>
      <x:c r="K298" s="373"/>
      <x:c r="L298" s="373"/>
      <x:c r="M298" s="373"/>
      <x:c r="N298" s="373"/>
      <x:c r="O298" s="373"/>
      <x:c r="P298" s="373"/>
      <x:c r="Q298" s="373"/>
      <x:c r="R298" s="373"/>
      <x:c r="S298" s="373"/>
      <x:c r="T298" s="373"/>
      <x:c r="U298" s="373"/>
      <x:c r="V298" s="373"/>
      <x:c r="W298" s="373"/>
      <x:c r="X298" s="373"/>
      <x:c r="Y298" s="373"/>
      <x:c r="Z298" s="373"/>
    </x:row>
    <x:row r="299">
      <x:c r="A299" s="373"/>
      <x:c r="B299" s="373"/>
      <x:c r="C299" s="373"/>
      <x:c r="D299" s="373"/>
      <x:c r="E299" s="373"/>
      <x:c r="F299" s="373"/>
      <x:c r="G299" s="373"/>
      <x:c r="H299" s="373"/>
      <x:c r="I299" s="373"/>
      <x:c r="J299" s="373"/>
      <x:c r="K299" s="373"/>
      <x:c r="L299" s="373"/>
      <x:c r="M299" s="373"/>
      <x:c r="N299" s="373"/>
      <x:c r="O299" s="373"/>
      <x:c r="P299" s="373"/>
      <x:c r="Q299" s="373"/>
      <x:c r="R299" s="373"/>
      <x:c r="S299" s="373"/>
      <x:c r="T299" s="373"/>
      <x:c r="U299" s="373"/>
      <x:c r="V299" s="373"/>
      <x:c r="W299" s="373"/>
      <x:c r="X299" s="373"/>
      <x:c r="Y299" s="373"/>
      <x:c r="Z299" s="373"/>
    </x:row>
    <x:row r="300">
      <x:c r="A300" s="373"/>
      <x:c r="B300" s="373"/>
      <x:c r="C300" s="373"/>
      <x:c r="D300" s="373"/>
      <x:c r="E300" s="373"/>
      <x:c r="F300" s="373"/>
      <x:c r="G300" s="373"/>
      <x:c r="H300" s="373"/>
      <x:c r="I300" s="373"/>
      <x:c r="J300" s="373"/>
      <x:c r="K300" s="373"/>
      <x:c r="L300" s="373"/>
      <x:c r="M300" s="373"/>
      <x:c r="N300" s="373"/>
      <x:c r="O300" s="373"/>
      <x:c r="P300" s="373"/>
      <x:c r="Q300" s="373"/>
      <x:c r="R300" s="373"/>
      <x:c r="S300" s="373"/>
      <x:c r="T300" s="373"/>
      <x:c r="U300" s="373"/>
      <x:c r="V300" s="373"/>
      <x:c r="W300" s="373"/>
      <x:c r="X300" s="373"/>
      <x:c r="Y300" s="373"/>
      <x:c r="Z300" s="373"/>
    </x:row>
    <x:row r="301">
      <x:c r="A301" s="373"/>
      <x:c r="B301" s="373"/>
      <x:c r="C301" s="373"/>
      <x:c r="D301" s="373"/>
      <x:c r="E301" s="373"/>
      <x:c r="F301" s="373"/>
      <x:c r="G301" s="373"/>
      <x:c r="H301" s="373"/>
      <x:c r="I301" s="373"/>
      <x:c r="J301" s="373"/>
      <x:c r="K301" s="373"/>
      <x:c r="L301" s="373"/>
      <x:c r="M301" s="373"/>
      <x:c r="N301" s="373"/>
      <x:c r="O301" s="373"/>
      <x:c r="P301" s="373"/>
      <x:c r="Q301" s="373"/>
      <x:c r="R301" s="373"/>
      <x:c r="S301" s="373"/>
      <x:c r="T301" s="373"/>
      <x:c r="U301" s="373"/>
      <x:c r="V301" s="373"/>
      <x:c r="W301" s="373"/>
      <x:c r="X301" s="373"/>
      <x:c r="Y301" s="373"/>
      <x:c r="Z301" s="373"/>
    </x:row>
    <x:row r="302">
      <x:c r="A302" s="373"/>
      <x:c r="B302" s="373"/>
      <x:c r="C302" s="373"/>
      <x:c r="D302" s="373"/>
      <x:c r="E302" s="373"/>
      <x:c r="F302" s="373"/>
      <x:c r="G302" s="373"/>
      <x:c r="H302" s="373"/>
      <x:c r="I302" s="373"/>
      <x:c r="J302" s="373"/>
      <x:c r="K302" s="373"/>
      <x:c r="L302" s="373"/>
      <x:c r="M302" s="373"/>
      <x:c r="N302" s="373"/>
      <x:c r="O302" s="373"/>
      <x:c r="P302" s="373"/>
      <x:c r="Q302" s="373"/>
      <x:c r="R302" s="373"/>
      <x:c r="S302" s="373"/>
      <x:c r="T302" s="373"/>
      <x:c r="U302" s="373"/>
      <x:c r="V302" s="373"/>
      <x:c r="W302" s="373"/>
      <x:c r="X302" s="373"/>
      <x:c r="Y302" s="373"/>
      <x:c r="Z302" s="373"/>
    </x:row>
    <x:row r="303">
      <x:c r="A303" s="373"/>
      <x:c r="B303" s="373"/>
      <x:c r="C303" s="373"/>
      <x:c r="D303" s="373"/>
      <x:c r="E303" s="373"/>
      <x:c r="F303" s="373"/>
      <x:c r="G303" s="373"/>
      <x:c r="H303" s="373"/>
      <x:c r="I303" s="373"/>
      <x:c r="J303" s="373"/>
      <x:c r="K303" s="373"/>
      <x:c r="L303" s="373"/>
      <x:c r="M303" s="373"/>
      <x:c r="N303" s="373"/>
      <x:c r="O303" s="373"/>
      <x:c r="P303" s="373"/>
      <x:c r="Q303" s="373"/>
      <x:c r="R303" s="373"/>
      <x:c r="S303" s="373"/>
      <x:c r="T303" s="373"/>
      <x:c r="U303" s="373"/>
      <x:c r="V303" s="373"/>
      <x:c r="W303" s="373"/>
      <x:c r="X303" s="373"/>
      <x:c r="Y303" s="373"/>
      <x:c r="Z303" s="373"/>
    </x:row>
    <x:row r="304">
      <x:c r="A304" s="373"/>
      <x:c r="B304" s="373"/>
      <x:c r="C304" s="373"/>
      <x:c r="D304" s="373"/>
      <x:c r="E304" s="373"/>
      <x:c r="F304" s="373"/>
      <x:c r="G304" s="373"/>
      <x:c r="H304" s="373"/>
      <x:c r="I304" s="373"/>
      <x:c r="J304" s="373"/>
      <x:c r="K304" s="373"/>
      <x:c r="L304" s="373"/>
      <x:c r="M304" s="373"/>
      <x:c r="N304" s="373"/>
      <x:c r="O304" s="373"/>
      <x:c r="P304" s="373"/>
      <x:c r="Q304" s="373"/>
      <x:c r="R304" s="373"/>
      <x:c r="S304" s="373"/>
      <x:c r="T304" s="373"/>
      <x:c r="U304" s="373"/>
      <x:c r="V304" s="373"/>
      <x:c r="W304" s="373"/>
      <x:c r="X304" s="373"/>
      <x:c r="Y304" s="373"/>
      <x:c r="Z304" s="373"/>
    </x:row>
    <x:row r="305">
      <x:c r="A305" s="373"/>
      <x:c r="B305" s="373"/>
      <x:c r="C305" s="373"/>
      <x:c r="D305" s="373"/>
      <x:c r="E305" s="373"/>
      <x:c r="F305" s="373"/>
      <x:c r="G305" s="373"/>
      <x:c r="H305" s="373"/>
      <x:c r="I305" s="373"/>
      <x:c r="J305" s="373"/>
      <x:c r="K305" s="373"/>
      <x:c r="L305" s="373"/>
      <x:c r="M305" s="373"/>
      <x:c r="N305" s="373"/>
      <x:c r="O305" s="373"/>
      <x:c r="P305" s="373"/>
      <x:c r="Q305" s="373"/>
      <x:c r="R305" s="373"/>
      <x:c r="S305" s="373"/>
      <x:c r="T305" s="373"/>
      <x:c r="U305" s="373"/>
      <x:c r="V305" s="373"/>
      <x:c r="W305" s="373"/>
      <x:c r="X305" s="373"/>
      <x:c r="Y305" s="373"/>
      <x:c r="Z305" s="373"/>
    </x:row>
    <x:row r="306">
      <x:c r="A306" s="373"/>
      <x:c r="B306" s="373"/>
      <x:c r="C306" s="373"/>
      <x:c r="D306" s="373"/>
      <x:c r="E306" s="373"/>
      <x:c r="F306" s="373"/>
      <x:c r="G306" s="373"/>
      <x:c r="H306" s="373"/>
      <x:c r="I306" s="373"/>
      <x:c r="J306" s="373"/>
      <x:c r="K306" s="373"/>
      <x:c r="L306" s="373"/>
      <x:c r="M306" s="373"/>
      <x:c r="N306" s="373"/>
      <x:c r="O306" s="373"/>
      <x:c r="P306" s="373"/>
      <x:c r="Q306" s="373"/>
      <x:c r="R306" s="373"/>
      <x:c r="S306" s="373"/>
      <x:c r="T306" s="373"/>
      <x:c r="U306" s="373"/>
      <x:c r="V306" s="373"/>
      <x:c r="W306" s="373"/>
      <x:c r="X306" s="373"/>
      <x:c r="Y306" s="373"/>
      <x:c r="Z306" s="373"/>
    </x:row>
    <x:row r="307">
      <x:c r="A307" s="373"/>
      <x:c r="B307" s="373"/>
      <x:c r="C307" s="373"/>
      <x:c r="D307" s="373"/>
      <x:c r="E307" s="373"/>
      <x:c r="F307" s="373"/>
      <x:c r="G307" s="373"/>
      <x:c r="H307" s="373"/>
      <x:c r="I307" s="373"/>
      <x:c r="J307" s="373"/>
      <x:c r="K307" s="373"/>
      <x:c r="L307" s="373"/>
      <x:c r="M307" s="373"/>
      <x:c r="N307" s="373"/>
      <x:c r="O307" s="373"/>
      <x:c r="P307" s="373"/>
      <x:c r="Q307" s="373"/>
      <x:c r="R307" s="373"/>
      <x:c r="S307" s="373"/>
      <x:c r="T307" s="373"/>
      <x:c r="U307" s="373"/>
      <x:c r="V307" s="373"/>
      <x:c r="W307" s="373"/>
      <x:c r="X307" s="373"/>
      <x:c r="Y307" s="373"/>
      <x:c r="Z307" s="373"/>
    </x:row>
    <x:row r="308">
      <x:c r="A308" s="373"/>
      <x:c r="B308" s="373"/>
      <x:c r="C308" s="373"/>
      <x:c r="D308" s="373"/>
      <x:c r="E308" s="373"/>
      <x:c r="F308" s="373"/>
      <x:c r="G308" s="373"/>
      <x:c r="H308" s="373"/>
      <x:c r="I308" s="373"/>
      <x:c r="J308" s="373"/>
      <x:c r="K308" s="373"/>
      <x:c r="L308" s="373"/>
      <x:c r="M308" s="373"/>
      <x:c r="N308" s="373"/>
      <x:c r="O308" s="373"/>
      <x:c r="P308" s="373"/>
      <x:c r="Q308" s="373"/>
      <x:c r="R308" s="373"/>
      <x:c r="S308" s="373"/>
      <x:c r="T308" s="373"/>
      <x:c r="U308" s="373"/>
      <x:c r="V308" s="373"/>
      <x:c r="W308" s="373"/>
      <x:c r="X308" s="373"/>
      <x:c r="Y308" s="373"/>
      <x:c r="Z308" s="373"/>
    </x:row>
    <x:row r="309">
      <x:c r="A309" s="373"/>
      <x:c r="B309" s="373"/>
      <x:c r="C309" s="373"/>
      <x:c r="D309" s="373"/>
      <x:c r="E309" s="373"/>
      <x:c r="F309" s="373"/>
      <x:c r="G309" s="373"/>
      <x:c r="H309" s="373"/>
      <x:c r="I309" s="373"/>
      <x:c r="J309" s="373"/>
      <x:c r="K309" s="373"/>
      <x:c r="L309" s="373"/>
      <x:c r="M309" s="373"/>
      <x:c r="N309" s="373"/>
      <x:c r="O309" s="373"/>
      <x:c r="P309" s="373"/>
      <x:c r="Q309" s="373"/>
      <x:c r="R309" s="373"/>
      <x:c r="S309" s="373"/>
      <x:c r="T309" s="373"/>
      <x:c r="U309" s="373"/>
      <x:c r="V309" s="373"/>
      <x:c r="W309" s="373"/>
      <x:c r="X309" s="373"/>
      <x:c r="Y309" s="373"/>
      <x:c r="Z309" s="373"/>
    </x:row>
    <x:row r="310">
      <x:c r="A310" s="373"/>
      <x:c r="B310" s="373"/>
      <x:c r="C310" s="373"/>
      <x:c r="D310" s="373"/>
      <x:c r="E310" s="373"/>
      <x:c r="F310" s="373"/>
      <x:c r="G310" s="373"/>
      <x:c r="H310" s="373"/>
      <x:c r="I310" s="373"/>
      <x:c r="J310" s="373"/>
      <x:c r="K310" s="373"/>
      <x:c r="L310" s="373"/>
      <x:c r="M310" s="373"/>
      <x:c r="N310" s="373"/>
      <x:c r="O310" s="373"/>
      <x:c r="P310" s="373"/>
      <x:c r="Q310" s="373"/>
      <x:c r="R310" s="373"/>
      <x:c r="S310" s="373"/>
      <x:c r="T310" s="373"/>
      <x:c r="U310" s="373"/>
      <x:c r="V310" s="373"/>
      <x:c r="W310" s="373"/>
      <x:c r="X310" s="373"/>
      <x:c r="Y310" s="373"/>
      <x:c r="Z310" s="373"/>
    </x:row>
    <x:row r="311">
      <x:c r="A311" s="373"/>
      <x:c r="B311" s="373"/>
      <x:c r="C311" s="373"/>
      <x:c r="D311" s="373"/>
      <x:c r="E311" s="373"/>
      <x:c r="F311" s="373"/>
      <x:c r="G311" s="373"/>
      <x:c r="H311" s="373"/>
      <x:c r="I311" s="373"/>
      <x:c r="J311" s="373"/>
      <x:c r="K311" s="373"/>
      <x:c r="L311" s="373"/>
      <x:c r="M311" s="373"/>
      <x:c r="N311" s="373"/>
      <x:c r="O311" s="373"/>
      <x:c r="P311" s="373"/>
      <x:c r="Q311" s="373"/>
      <x:c r="R311" s="373"/>
      <x:c r="S311" s="373"/>
      <x:c r="T311" s="373"/>
      <x:c r="U311" s="373"/>
      <x:c r="V311" s="373"/>
      <x:c r="W311" s="373"/>
      <x:c r="X311" s="373"/>
      <x:c r="Y311" s="373"/>
      <x:c r="Z311" s="373"/>
    </x:row>
    <x:row r="312">
      <x:c r="A312" s="373"/>
      <x:c r="B312" s="373"/>
      <x:c r="C312" s="373"/>
      <x:c r="D312" s="373"/>
      <x:c r="E312" s="373"/>
      <x:c r="F312" s="373"/>
      <x:c r="G312" s="373"/>
      <x:c r="H312" s="373"/>
      <x:c r="I312" s="373"/>
      <x:c r="J312" s="373"/>
      <x:c r="K312" s="373"/>
      <x:c r="L312" s="373"/>
      <x:c r="M312" s="373"/>
      <x:c r="N312" s="373"/>
      <x:c r="O312" s="373"/>
      <x:c r="P312" s="373"/>
      <x:c r="Q312" s="373"/>
      <x:c r="R312" s="373"/>
      <x:c r="S312" s="373"/>
      <x:c r="T312" s="373"/>
      <x:c r="U312" s="373"/>
      <x:c r="V312" s="373"/>
      <x:c r="W312" s="373"/>
      <x:c r="X312" s="373"/>
      <x:c r="Y312" s="373"/>
      <x:c r="Z312" s="373"/>
    </x:row>
    <x:row r="313">
      <x:c r="A313" s="373"/>
      <x:c r="B313" s="373"/>
      <x:c r="C313" s="373"/>
      <x:c r="D313" s="373"/>
      <x:c r="E313" s="373"/>
      <x:c r="F313" s="373"/>
      <x:c r="G313" s="373"/>
      <x:c r="H313" s="373"/>
      <x:c r="I313" s="373"/>
      <x:c r="J313" s="373"/>
      <x:c r="K313" s="373"/>
      <x:c r="L313" s="373"/>
      <x:c r="M313" s="373"/>
      <x:c r="N313" s="373"/>
      <x:c r="O313" s="373"/>
      <x:c r="P313" s="373"/>
      <x:c r="Q313" s="373"/>
      <x:c r="R313" s="373"/>
      <x:c r="S313" s="373"/>
      <x:c r="T313" s="373"/>
      <x:c r="U313" s="373"/>
      <x:c r="V313" s="373"/>
      <x:c r="W313" s="373"/>
      <x:c r="X313" s="373"/>
      <x:c r="Y313" s="373"/>
      <x:c r="Z313" s="373"/>
    </x:row>
    <x:row r="314">
      <x:c r="A314" s="373"/>
      <x:c r="B314" s="373"/>
      <x:c r="C314" s="373"/>
      <x:c r="D314" s="373"/>
      <x:c r="E314" s="373"/>
      <x:c r="F314" s="373"/>
      <x:c r="G314" s="373"/>
      <x:c r="H314" s="373"/>
      <x:c r="I314" s="373"/>
      <x:c r="J314" s="373"/>
      <x:c r="K314" s="373"/>
      <x:c r="L314" s="373"/>
      <x:c r="M314" s="373"/>
      <x:c r="N314" s="373"/>
      <x:c r="O314" s="373"/>
      <x:c r="P314" s="373"/>
      <x:c r="Q314" s="373"/>
      <x:c r="R314" s="373"/>
      <x:c r="S314" s="373"/>
      <x:c r="T314" s="373"/>
      <x:c r="U314" s="373"/>
      <x:c r="V314" s="373"/>
      <x:c r="W314" s="373"/>
      <x:c r="X314" s="373"/>
      <x:c r="Y314" s="373"/>
      <x:c r="Z314" s="373"/>
    </x:row>
    <x:row r="315">
      <x:c r="A315" s="373"/>
      <x:c r="B315" s="373"/>
      <x:c r="C315" s="373"/>
      <x:c r="D315" s="373"/>
      <x:c r="E315" s="373"/>
      <x:c r="F315" s="373"/>
      <x:c r="G315" s="373"/>
      <x:c r="H315" s="373"/>
      <x:c r="I315" s="373"/>
      <x:c r="J315" s="373"/>
      <x:c r="K315" s="373"/>
      <x:c r="L315" s="373"/>
      <x:c r="M315" s="373"/>
      <x:c r="N315" s="373"/>
      <x:c r="O315" s="373"/>
      <x:c r="P315" s="373"/>
      <x:c r="Q315" s="373"/>
      <x:c r="R315" s="373"/>
      <x:c r="S315" s="373"/>
      <x:c r="T315" s="373"/>
      <x:c r="U315" s="373"/>
      <x:c r="V315" s="373"/>
      <x:c r="W315" s="373"/>
      <x:c r="X315" s="373"/>
      <x:c r="Y315" s="373"/>
      <x:c r="Z315" s="373"/>
    </x:row>
    <x:row r="316">
      <x:c r="A316" s="373"/>
      <x:c r="B316" s="373"/>
      <x:c r="C316" s="373"/>
      <x:c r="D316" s="373"/>
      <x:c r="E316" s="373"/>
      <x:c r="F316" s="373"/>
      <x:c r="G316" s="373"/>
      <x:c r="H316" s="373"/>
      <x:c r="I316" s="373"/>
      <x:c r="J316" s="373"/>
      <x:c r="K316" s="373"/>
      <x:c r="L316" s="373"/>
      <x:c r="M316" s="373"/>
      <x:c r="N316" s="373"/>
      <x:c r="O316" s="373"/>
      <x:c r="P316" s="373"/>
      <x:c r="Q316" s="373"/>
      <x:c r="R316" s="373"/>
      <x:c r="S316" s="373"/>
      <x:c r="T316" s="373"/>
      <x:c r="U316" s="373"/>
      <x:c r="V316" s="373"/>
      <x:c r="W316" s="373"/>
      <x:c r="X316" s="373"/>
      <x:c r="Y316" s="373"/>
      <x:c r="Z316" s="373"/>
    </x:row>
    <x:row r="317">
      <x:c r="A317" s="373"/>
      <x:c r="B317" s="373"/>
      <x:c r="C317" s="373"/>
      <x:c r="D317" s="373"/>
      <x:c r="E317" s="373"/>
      <x:c r="F317" s="373"/>
      <x:c r="G317" s="373"/>
      <x:c r="H317" s="373"/>
      <x:c r="I317" s="373"/>
      <x:c r="J317" s="373"/>
      <x:c r="K317" s="373"/>
      <x:c r="L317" s="373"/>
      <x:c r="M317" s="373"/>
      <x:c r="N317" s="373"/>
      <x:c r="O317" s="373"/>
      <x:c r="P317" s="373"/>
      <x:c r="Q317" s="373"/>
      <x:c r="R317" s="373"/>
      <x:c r="S317" s="373"/>
      <x:c r="T317" s="373"/>
      <x:c r="U317" s="373"/>
      <x:c r="V317" s="373"/>
      <x:c r="W317" s="373"/>
      <x:c r="X317" s="373"/>
      <x:c r="Y317" s="373"/>
      <x:c r="Z317" s="373"/>
    </x:row>
    <x:row r="318">
      <x:c r="A318" s="373"/>
      <x:c r="B318" s="373"/>
      <x:c r="C318" s="373"/>
      <x:c r="D318" s="373"/>
      <x:c r="E318" s="373"/>
      <x:c r="F318" s="373"/>
      <x:c r="G318" s="373"/>
      <x:c r="H318" s="373"/>
      <x:c r="I318" s="373"/>
      <x:c r="J318" s="373"/>
      <x:c r="K318" s="373"/>
      <x:c r="L318" s="373"/>
      <x:c r="M318" s="373"/>
      <x:c r="N318" s="373"/>
      <x:c r="O318" s="373"/>
      <x:c r="P318" s="373"/>
      <x:c r="Q318" s="373"/>
      <x:c r="R318" s="373"/>
      <x:c r="S318" s="373"/>
      <x:c r="T318" s="373"/>
      <x:c r="U318" s="373"/>
      <x:c r="V318" s="373"/>
      <x:c r="W318" s="373"/>
      <x:c r="X318" s="373"/>
      <x:c r="Y318" s="373"/>
      <x:c r="Z318" s="373"/>
    </x:row>
    <x:row r="319">
      <x:c r="A319" s="373"/>
      <x:c r="B319" s="373"/>
      <x:c r="C319" s="373"/>
      <x:c r="D319" s="373"/>
      <x:c r="E319" s="373"/>
      <x:c r="F319" s="373"/>
      <x:c r="G319" s="373"/>
      <x:c r="H319" s="373"/>
      <x:c r="I319" s="373"/>
      <x:c r="J319" s="373"/>
      <x:c r="K319" s="373"/>
      <x:c r="L319" s="373"/>
      <x:c r="M319" s="373"/>
      <x:c r="N319" s="373"/>
      <x:c r="O319" s="373"/>
      <x:c r="P319" s="373"/>
      <x:c r="Q319" s="373"/>
      <x:c r="R319" s="373"/>
      <x:c r="S319" s="373"/>
      <x:c r="T319" s="373"/>
      <x:c r="U319" s="373"/>
      <x:c r="V319" s="373"/>
      <x:c r="W319" s="373"/>
      <x:c r="X319" s="373"/>
      <x:c r="Y319" s="373"/>
      <x:c r="Z319" s="373"/>
    </x:row>
    <x:row r="320">
      <x:c r="A320" s="373"/>
      <x:c r="B320" s="373"/>
      <x:c r="C320" s="373"/>
      <x:c r="D320" s="373"/>
      <x:c r="E320" s="373"/>
      <x:c r="F320" s="373"/>
      <x:c r="G320" s="373"/>
      <x:c r="H320" s="373"/>
      <x:c r="I320" s="373"/>
      <x:c r="J320" s="373"/>
      <x:c r="K320" s="373"/>
      <x:c r="L320" s="373"/>
      <x:c r="M320" s="373"/>
      <x:c r="N320" s="373"/>
      <x:c r="O320" s="373"/>
      <x:c r="P320" s="373"/>
      <x:c r="Q320" s="373"/>
      <x:c r="R320" s="373"/>
      <x:c r="S320" s="373"/>
      <x:c r="T320" s="373"/>
      <x:c r="U320" s="373"/>
      <x:c r="V320" s="373"/>
      <x:c r="W320" s="373"/>
      <x:c r="X320" s="373"/>
      <x:c r="Y320" s="373"/>
      <x:c r="Z320" s="373"/>
    </x:row>
    <x:row r="321">
      <x:c r="A321" s="373"/>
      <x:c r="B321" s="373"/>
      <x:c r="C321" s="373"/>
      <x:c r="D321" s="373"/>
      <x:c r="E321" s="373"/>
      <x:c r="F321" s="373"/>
      <x:c r="G321" s="373"/>
      <x:c r="H321" s="373"/>
      <x:c r="I321" s="373"/>
      <x:c r="J321" s="373"/>
      <x:c r="K321" s="373"/>
      <x:c r="L321" s="373"/>
      <x:c r="M321" s="373"/>
      <x:c r="N321" s="373"/>
      <x:c r="O321" s="373"/>
      <x:c r="P321" s="373"/>
      <x:c r="Q321" s="373"/>
      <x:c r="R321" s="373"/>
      <x:c r="S321" s="373"/>
      <x:c r="T321" s="373"/>
      <x:c r="U321" s="373"/>
      <x:c r="V321" s="373"/>
      <x:c r="W321" s="373"/>
      <x:c r="X321" s="373"/>
      <x:c r="Y321" s="373"/>
      <x:c r="Z321" s="373"/>
    </x:row>
    <x:row r="322">
      <x:c r="A322" s="373"/>
      <x:c r="B322" s="373"/>
      <x:c r="C322" s="373"/>
      <x:c r="D322" s="373"/>
      <x:c r="E322" s="373"/>
      <x:c r="F322" s="373"/>
      <x:c r="G322" s="373"/>
      <x:c r="H322" s="373"/>
      <x:c r="I322" s="373"/>
      <x:c r="J322" s="373"/>
      <x:c r="K322" s="373"/>
      <x:c r="L322" s="373"/>
      <x:c r="M322" s="373"/>
      <x:c r="N322" s="373"/>
      <x:c r="O322" s="373"/>
      <x:c r="P322" s="373"/>
      <x:c r="Q322" s="373"/>
      <x:c r="R322" s="373"/>
      <x:c r="S322" s="373"/>
      <x:c r="T322" s="373"/>
      <x:c r="U322" s="373"/>
      <x:c r="V322" s="373"/>
      <x:c r="W322" s="373"/>
      <x:c r="X322" s="373"/>
      <x:c r="Y322" s="373"/>
      <x:c r="Z322" s="373"/>
    </x:row>
    <x:row r="323">
      <x:c r="A323" s="373"/>
      <x:c r="B323" s="373"/>
      <x:c r="C323" s="373"/>
      <x:c r="D323" s="373"/>
      <x:c r="E323" s="373"/>
      <x:c r="F323" s="373"/>
      <x:c r="G323" s="373"/>
      <x:c r="H323" s="373"/>
      <x:c r="I323" s="373"/>
      <x:c r="J323" s="373"/>
      <x:c r="K323" s="373"/>
      <x:c r="L323" s="373"/>
      <x:c r="M323" s="373"/>
      <x:c r="N323" s="373"/>
      <x:c r="O323" s="373"/>
      <x:c r="P323" s="373"/>
      <x:c r="Q323" s="373"/>
      <x:c r="R323" s="373"/>
      <x:c r="S323" s="373"/>
      <x:c r="T323" s="373"/>
      <x:c r="U323" s="373"/>
      <x:c r="V323" s="373"/>
      <x:c r="W323" s="373"/>
      <x:c r="X323" s="373"/>
      <x:c r="Y323" s="373"/>
      <x:c r="Z323" s="373"/>
    </x:row>
    <x:row r="324">
      <x:c r="A324" s="373"/>
      <x:c r="B324" s="373"/>
      <x:c r="C324" s="373"/>
      <x:c r="D324" s="373"/>
      <x:c r="E324" s="373"/>
      <x:c r="F324" s="373"/>
      <x:c r="G324" s="373"/>
      <x:c r="H324" s="373"/>
      <x:c r="I324" s="373"/>
      <x:c r="J324" s="373"/>
      <x:c r="K324" s="373"/>
      <x:c r="L324" s="373"/>
      <x:c r="M324" s="373"/>
      <x:c r="N324" s="373"/>
      <x:c r="O324" s="373"/>
      <x:c r="P324" s="373"/>
      <x:c r="Q324" s="373"/>
      <x:c r="R324" s="373"/>
      <x:c r="S324" s="373"/>
      <x:c r="T324" s="373"/>
      <x:c r="U324" s="373"/>
      <x:c r="V324" s="373"/>
      <x:c r="W324" s="373"/>
      <x:c r="X324" s="373"/>
      <x:c r="Y324" s="373"/>
      <x:c r="Z324" s="373"/>
    </x:row>
    <x:row r="325">
      <x:c r="A325" s="373"/>
      <x:c r="B325" s="373"/>
      <x:c r="C325" s="373"/>
      <x:c r="D325" s="373"/>
      <x:c r="E325" s="373"/>
      <x:c r="F325" s="373"/>
      <x:c r="G325" s="373"/>
      <x:c r="H325" s="373"/>
      <x:c r="I325" s="373"/>
      <x:c r="J325" s="373"/>
      <x:c r="K325" s="373"/>
      <x:c r="L325" s="373"/>
      <x:c r="M325" s="373"/>
      <x:c r="N325" s="373"/>
      <x:c r="O325" s="373"/>
      <x:c r="P325" s="373"/>
      <x:c r="Q325" s="373"/>
      <x:c r="R325" s="373"/>
      <x:c r="S325" s="373"/>
      <x:c r="T325" s="373"/>
      <x:c r="U325" s="373"/>
      <x:c r="V325" s="373"/>
      <x:c r="W325" s="373"/>
      <x:c r="X325" s="373"/>
      <x:c r="Y325" s="373"/>
      <x:c r="Z325" s="373"/>
    </x:row>
    <x:row r="326">
      <x:c r="A326" s="373"/>
      <x:c r="B326" s="373"/>
      <x:c r="C326" s="373"/>
      <x:c r="D326" s="373"/>
      <x:c r="E326" s="373"/>
      <x:c r="F326" s="373"/>
      <x:c r="G326" s="373"/>
      <x:c r="H326" s="373"/>
      <x:c r="I326" s="373"/>
      <x:c r="J326" s="373"/>
      <x:c r="K326" s="373"/>
      <x:c r="L326" s="373"/>
      <x:c r="M326" s="373"/>
      <x:c r="N326" s="373"/>
      <x:c r="O326" s="373"/>
      <x:c r="P326" s="373"/>
      <x:c r="Q326" s="373"/>
      <x:c r="R326" s="373"/>
      <x:c r="S326" s="373"/>
      <x:c r="T326" s="373"/>
      <x:c r="U326" s="373"/>
      <x:c r="V326" s="373"/>
      <x:c r="W326" s="373"/>
      <x:c r="X326" s="373"/>
      <x:c r="Y326" s="373"/>
      <x:c r="Z326" s="373"/>
    </x:row>
    <x:row r="327">
      <x:c r="A327" s="373"/>
      <x:c r="B327" s="373"/>
      <x:c r="C327" s="373"/>
      <x:c r="D327" s="373"/>
      <x:c r="E327" s="373"/>
      <x:c r="F327" s="373"/>
      <x:c r="G327" s="373"/>
      <x:c r="H327" s="373"/>
      <x:c r="I327" s="373"/>
      <x:c r="J327" s="373"/>
      <x:c r="K327" s="373"/>
      <x:c r="L327" s="373"/>
      <x:c r="M327" s="373"/>
      <x:c r="N327" s="373"/>
      <x:c r="O327" s="373"/>
      <x:c r="P327" s="373"/>
      <x:c r="Q327" s="373"/>
      <x:c r="R327" s="373"/>
      <x:c r="S327" s="373"/>
      <x:c r="T327" s="373"/>
      <x:c r="U327" s="373"/>
      <x:c r="V327" s="373"/>
      <x:c r="W327" s="373"/>
      <x:c r="X327" s="373"/>
      <x:c r="Y327" s="373"/>
      <x:c r="Z327" s="373"/>
    </x:row>
    <x:row r="328">
      <x:c r="A328" s="373"/>
      <x:c r="B328" s="373"/>
      <x:c r="C328" s="373"/>
      <x:c r="D328" s="373"/>
      <x:c r="E328" s="373"/>
      <x:c r="F328" s="373"/>
      <x:c r="G328" s="373"/>
      <x:c r="H328" s="373"/>
      <x:c r="I328" s="373"/>
      <x:c r="J328" s="373"/>
      <x:c r="K328" s="373"/>
      <x:c r="L328" s="373"/>
      <x:c r="M328" s="373"/>
      <x:c r="N328" s="373"/>
      <x:c r="O328" s="373"/>
      <x:c r="P328" s="373"/>
      <x:c r="Q328" s="373"/>
      <x:c r="R328" s="373"/>
      <x:c r="S328" s="373"/>
      <x:c r="T328" s="373"/>
      <x:c r="U328" s="373"/>
      <x:c r="V328" s="373"/>
      <x:c r="W328" s="373"/>
      <x:c r="X328" s="373"/>
      <x:c r="Y328" s="373"/>
      <x:c r="Z328" s="373"/>
    </x:row>
    <x:row r="329">
      <x:c r="A329" s="373"/>
      <x:c r="B329" s="373"/>
      <x:c r="C329" s="373"/>
      <x:c r="D329" s="373"/>
      <x:c r="E329" s="373"/>
      <x:c r="F329" s="373"/>
      <x:c r="G329" s="373"/>
      <x:c r="H329" s="373"/>
      <x:c r="I329" s="373"/>
      <x:c r="J329" s="373"/>
      <x:c r="K329" s="373"/>
      <x:c r="L329" s="373"/>
      <x:c r="M329" s="373"/>
      <x:c r="N329" s="373"/>
      <x:c r="O329" s="373"/>
      <x:c r="P329" s="373"/>
      <x:c r="Q329" s="373"/>
      <x:c r="R329" s="373"/>
      <x:c r="S329" s="373"/>
      <x:c r="T329" s="373"/>
      <x:c r="U329" s="373"/>
      <x:c r="V329" s="373"/>
      <x:c r="W329" s="373"/>
      <x:c r="X329" s="373"/>
      <x:c r="Y329" s="373"/>
      <x:c r="Z329" s="373"/>
    </x:row>
    <x:row r="330">
      <x:c r="A330" s="373"/>
      <x:c r="B330" s="373"/>
      <x:c r="C330" s="373"/>
      <x:c r="D330" s="373"/>
      <x:c r="E330" s="373"/>
      <x:c r="F330" s="373"/>
      <x:c r="G330" s="373"/>
      <x:c r="H330" s="373"/>
      <x:c r="I330" s="373"/>
      <x:c r="J330" s="373"/>
      <x:c r="K330" s="373"/>
      <x:c r="L330" s="373"/>
      <x:c r="M330" s="373"/>
      <x:c r="N330" s="373"/>
      <x:c r="O330" s="373"/>
      <x:c r="P330" s="373"/>
      <x:c r="Q330" s="373"/>
      <x:c r="R330" s="373"/>
      <x:c r="S330" s="373"/>
      <x:c r="T330" s="373"/>
      <x:c r="U330" s="373"/>
      <x:c r="V330" s="373"/>
      <x:c r="W330" s="373"/>
      <x:c r="X330" s="373"/>
      <x:c r="Y330" s="373"/>
      <x:c r="Z330" s="373"/>
    </x:row>
    <x:row r="331">
      <x:c r="A331" s="373"/>
      <x:c r="B331" s="373"/>
      <x:c r="C331" s="373"/>
      <x:c r="D331" s="373"/>
      <x:c r="E331" s="373"/>
      <x:c r="F331" s="373"/>
      <x:c r="G331" s="373"/>
      <x:c r="H331" s="373"/>
      <x:c r="I331" s="373"/>
      <x:c r="J331" s="373"/>
      <x:c r="K331" s="373"/>
      <x:c r="L331" s="373"/>
      <x:c r="M331" s="373"/>
      <x:c r="N331" s="373"/>
      <x:c r="O331" s="373"/>
      <x:c r="P331" s="373"/>
      <x:c r="Q331" s="373"/>
      <x:c r="R331" s="373"/>
      <x:c r="S331" s="373"/>
      <x:c r="T331" s="373"/>
      <x:c r="U331" s="373"/>
      <x:c r="V331" s="373"/>
      <x:c r="W331" s="373"/>
      <x:c r="X331" s="373"/>
      <x:c r="Y331" s="373"/>
      <x:c r="Z331" s="373"/>
    </x:row>
    <x:row r="332">
      <x:c r="A332" s="373"/>
      <x:c r="B332" s="373"/>
      <x:c r="C332" s="373"/>
      <x:c r="D332" s="373"/>
      <x:c r="E332" s="373"/>
      <x:c r="F332" s="373"/>
      <x:c r="G332" s="373"/>
      <x:c r="H332" s="373"/>
      <x:c r="I332" s="373"/>
      <x:c r="J332" s="373"/>
      <x:c r="K332" s="373"/>
      <x:c r="L332" s="373"/>
      <x:c r="M332" s="373"/>
      <x:c r="N332" s="373"/>
      <x:c r="O332" s="373"/>
      <x:c r="P332" s="373"/>
      <x:c r="Q332" s="373"/>
      <x:c r="R332" s="373"/>
      <x:c r="S332" s="373"/>
      <x:c r="T332" s="373"/>
      <x:c r="U332" s="373"/>
      <x:c r="V332" s="373"/>
      <x:c r="W332" s="373"/>
      <x:c r="X332" s="373"/>
      <x:c r="Y332" s="373"/>
      <x:c r="Z332" s="373"/>
    </x:row>
    <x:row r="333">
      <x:c r="A333" s="373"/>
      <x:c r="B333" s="373"/>
      <x:c r="C333" s="373"/>
      <x:c r="D333" s="373"/>
      <x:c r="E333" s="373"/>
      <x:c r="F333" s="373"/>
      <x:c r="G333" s="373"/>
      <x:c r="H333" s="373"/>
      <x:c r="I333" s="373"/>
      <x:c r="J333" s="373"/>
      <x:c r="K333" s="373"/>
      <x:c r="L333" s="373"/>
      <x:c r="M333" s="373"/>
      <x:c r="N333" s="373"/>
      <x:c r="O333" s="373"/>
      <x:c r="P333" s="373"/>
      <x:c r="Q333" s="373"/>
      <x:c r="R333" s="373"/>
      <x:c r="S333" s="373"/>
      <x:c r="T333" s="373"/>
      <x:c r="U333" s="373"/>
      <x:c r="V333" s="373"/>
      <x:c r="W333" s="373"/>
      <x:c r="X333" s="373"/>
      <x:c r="Y333" s="373"/>
      <x:c r="Z333" s="373"/>
    </x:row>
    <x:row r="334">
      <x:c r="A334" s="373"/>
      <x:c r="B334" s="373"/>
      <x:c r="C334" s="373"/>
      <x:c r="D334" s="373"/>
      <x:c r="E334" s="373"/>
      <x:c r="F334" s="373"/>
      <x:c r="G334" s="373"/>
      <x:c r="H334" s="373"/>
      <x:c r="I334" s="373"/>
      <x:c r="J334" s="373"/>
      <x:c r="K334" s="373"/>
      <x:c r="L334" s="373"/>
      <x:c r="M334" s="373"/>
      <x:c r="N334" s="373"/>
      <x:c r="O334" s="373"/>
      <x:c r="P334" s="373"/>
      <x:c r="Q334" s="373"/>
      <x:c r="R334" s="373"/>
      <x:c r="S334" s="373"/>
      <x:c r="T334" s="373"/>
      <x:c r="U334" s="373"/>
      <x:c r="V334" s="373"/>
      <x:c r="W334" s="373"/>
      <x:c r="X334" s="373"/>
      <x:c r="Y334" s="373"/>
      <x:c r="Z334" s="373"/>
    </x:row>
    <x:row r="335">
      <x:c r="A335" s="373"/>
      <x:c r="B335" s="373"/>
      <x:c r="C335" s="373"/>
      <x:c r="D335" s="373"/>
      <x:c r="E335" s="373"/>
      <x:c r="F335" s="373"/>
      <x:c r="G335" s="373"/>
      <x:c r="H335" s="373"/>
      <x:c r="I335" s="373"/>
      <x:c r="J335" s="373"/>
      <x:c r="K335" s="373"/>
      <x:c r="L335" s="373"/>
      <x:c r="M335" s="373"/>
      <x:c r="N335" s="373"/>
      <x:c r="O335" s="373"/>
      <x:c r="P335" s="373"/>
      <x:c r="Q335" s="373"/>
      <x:c r="R335" s="373"/>
      <x:c r="S335" s="373"/>
      <x:c r="T335" s="373"/>
      <x:c r="U335" s="373"/>
      <x:c r="V335" s="373"/>
      <x:c r="W335" s="373"/>
      <x:c r="X335" s="373"/>
      <x:c r="Y335" s="373"/>
      <x:c r="Z335" s="373"/>
    </x:row>
    <x:row r="336">
      <x:c r="A336" s="373"/>
      <x:c r="B336" s="373"/>
      <x:c r="C336" s="373"/>
      <x:c r="D336" s="373"/>
      <x:c r="E336" s="373"/>
      <x:c r="F336" s="373"/>
      <x:c r="G336" s="373"/>
      <x:c r="H336" s="373"/>
      <x:c r="I336" s="373"/>
      <x:c r="J336" s="373"/>
      <x:c r="K336" s="373"/>
      <x:c r="L336" s="373"/>
      <x:c r="M336" s="373"/>
      <x:c r="N336" s="373"/>
      <x:c r="O336" s="373"/>
      <x:c r="P336" s="373"/>
      <x:c r="Q336" s="373"/>
      <x:c r="R336" s="373"/>
      <x:c r="S336" s="373"/>
      <x:c r="T336" s="373"/>
      <x:c r="U336" s="373"/>
      <x:c r="V336" s="373"/>
      <x:c r="W336" s="373"/>
      <x:c r="X336" s="373"/>
      <x:c r="Y336" s="373"/>
      <x:c r="Z336" s="373"/>
    </x:row>
    <x:row r="337">
      <x:c r="A337" s="373"/>
      <x:c r="B337" s="373"/>
      <x:c r="C337" s="373"/>
      <x:c r="D337" s="373"/>
      <x:c r="E337" s="373"/>
      <x:c r="F337" s="373"/>
      <x:c r="G337" s="373"/>
      <x:c r="H337" s="373"/>
      <x:c r="I337" s="373"/>
      <x:c r="J337" s="373"/>
      <x:c r="K337" s="373"/>
      <x:c r="L337" s="373"/>
      <x:c r="M337" s="373"/>
      <x:c r="N337" s="373"/>
      <x:c r="O337" s="373"/>
      <x:c r="P337" s="373"/>
      <x:c r="Q337" s="373"/>
      <x:c r="R337" s="373"/>
      <x:c r="S337" s="373"/>
      <x:c r="T337" s="373"/>
      <x:c r="U337" s="373"/>
      <x:c r="V337" s="373"/>
      <x:c r="W337" s="373"/>
      <x:c r="X337" s="373"/>
      <x:c r="Y337" s="373"/>
      <x:c r="Z337" s="373"/>
    </x:row>
    <x:row r="338">
      <x:c r="A338" s="373"/>
      <x:c r="B338" s="373"/>
      <x:c r="C338" s="373"/>
      <x:c r="D338" s="373"/>
      <x:c r="E338" s="373"/>
      <x:c r="F338" s="373"/>
      <x:c r="G338" s="373"/>
      <x:c r="H338" s="373"/>
      <x:c r="I338" s="373"/>
      <x:c r="J338" s="373"/>
      <x:c r="K338" s="373"/>
      <x:c r="L338" s="373"/>
      <x:c r="M338" s="373"/>
      <x:c r="N338" s="373"/>
      <x:c r="O338" s="373"/>
      <x:c r="P338" s="373"/>
      <x:c r="Q338" s="373"/>
      <x:c r="R338" s="373"/>
      <x:c r="S338" s="373"/>
      <x:c r="T338" s="373"/>
      <x:c r="U338" s="373"/>
      <x:c r="V338" s="373"/>
      <x:c r="W338" s="373"/>
      <x:c r="X338" s="373"/>
      <x:c r="Y338" s="373"/>
      <x:c r="Z338" s="373"/>
    </x:row>
    <x:row r="339">
      <x:c r="A339" s="373"/>
      <x:c r="B339" s="373"/>
      <x:c r="C339" s="373"/>
      <x:c r="D339" s="373"/>
      <x:c r="E339" s="373"/>
      <x:c r="F339" s="373"/>
      <x:c r="G339" s="373"/>
      <x:c r="H339" s="373"/>
      <x:c r="I339" s="373"/>
      <x:c r="J339" s="373"/>
      <x:c r="K339" s="373"/>
      <x:c r="L339" s="373"/>
      <x:c r="M339" s="373"/>
      <x:c r="N339" s="373"/>
      <x:c r="O339" s="373"/>
      <x:c r="P339" s="373"/>
      <x:c r="Q339" s="373"/>
      <x:c r="R339" s="373"/>
      <x:c r="S339" s="373"/>
      <x:c r="T339" s="373"/>
      <x:c r="U339" s="373"/>
      <x:c r="V339" s="373"/>
      <x:c r="W339" s="373"/>
      <x:c r="X339" s="373"/>
      <x:c r="Y339" s="373"/>
      <x:c r="Z339" s="373"/>
    </x:row>
    <x:row r="340">
      <x:c r="A340" s="373"/>
      <x:c r="B340" s="373"/>
      <x:c r="C340" s="373"/>
      <x:c r="D340" s="373"/>
      <x:c r="E340" s="373"/>
      <x:c r="F340" s="373"/>
      <x:c r="G340" s="373"/>
      <x:c r="H340" s="373"/>
      <x:c r="I340" s="373"/>
      <x:c r="J340" s="373"/>
      <x:c r="K340" s="373"/>
      <x:c r="L340" s="373"/>
      <x:c r="M340" s="373"/>
      <x:c r="N340" s="373"/>
      <x:c r="O340" s="373"/>
      <x:c r="P340" s="373"/>
      <x:c r="Q340" s="373"/>
      <x:c r="R340" s="373"/>
      <x:c r="S340" s="373"/>
      <x:c r="T340" s="373"/>
      <x:c r="U340" s="373"/>
      <x:c r="V340" s="373"/>
      <x:c r="W340" s="373"/>
      <x:c r="X340" s="373"/>
      <x:c r="Y340" s="373"/>
      <x:c r="Z340" s="373"/>
    </x:row>
    <x:row r="341">
      <x:c r="A341" s="373"/>
      <x:c r="B341" s="373"/>
      <x:c r="C341" s="373"/>
      <x:c r="D341" s="373"/>
      <x:c r="E341" s="373"/>
      <x:c r="F341" s="373"/>
      <x:c r="G341" s="373"/>
      <x:c r="H341" s="373"/>
      <x:c r="I341" s="373"/>
      <x:c r="J341" s="373"/>
      <x:c r="K341" s="373"/>
      <x:c r="L341" s="373"/>
      <x:c r="M341" s="373"/>
      <x:c r="N341" s="373"/>
      <x:c r="O341" s="373"/>
      <x:c r="P341" s="373"/>
      <x:c r="Q341" s="373"/>
      <x:c r="R341" s="373"/>
      <x:c r="S341" s="373"/>
      <x:c r="T341" s="373"/>
      <x:c r="U341" s="373"/>
      <x:c r="V341" s="373"/>
      <x:c r="W341" s="373"/>
      <x:c r="X341" s="373"/>
      <x:c r="Y341" s="373"/>
      <x:c r="Z341" s="373"/>
    </x:row>
    <x:row r="342">
      <x:c r="A342" s="373"/>
      <x:c r="B342" s="373"/>
      <x:c r="C342" s="373"/>
      <x:c r="D342" s="373"/>
      <x:c r="E342" s="373"/>
      <x:c r="F342" s="373"/>
      <x:c r="G342" s="373"/>
      <x:c r="H342" s="373"/>
      <x:c r="I342" s="373"/>
      <x:c r="J342" s="373"/>
      <x:c r="K342" s="373"/>
      <x:c r="L342" s="373"/>
      <x:c r="M342" s="373"/>
      <x:c r="N342" s="373"/>
      <x:c r="O342" s="373"/>
      <x:c r="P342" s="373"/>
      <x:c r="Q342" s="373"/>
      <x:c r="R342" s="373"/>
      <x:c r="S342" s="373"/>
      <x:c r="T342" s="373"/>
      <x:c r="U342" s="373"/>
      <x:c r="V342" s="373"/>
      <x:c r="W342" s="373"/>
      <x:c r="X342" s="373"/>
      <x:c r="Y342" s="373"/>
      <x:c r="Z342" s="373"/>
    </x:row>
    <x:row r="343">
      <x:c r="A343" s="373"/>
      <x:c r="B343" s="373"/>
      <x:c r="C343" s="373"/>
      <x:c r="D343" s="373"/>
      <x:c r="E343" s="373"/>
      <x:c r="F343" s="373"/>
      <x:c r="G343" s="373"/>
      <x:c r="H343" s="373"/>
      <x:c r="I343" s="373"/>
      <x:c r="J343" s="373"/>
      <x:c r="K343" s="373"/>
      <x:c r="L343" s="373"/>
      <x:c r="M343" s="373"/>
      <x:c r="N343" s="373"/>
      <x:c r="O343" s="373"/>
      <x:c r="P343" s="373"/>
      <x:c r="Q343" s="373"/>
      <x:c r="R343" s="373"/>
      <x:c r="S343" s="373"/>
      <x:c r="T343" s="373"/>
      <x:c r="U343" s="373"/>
      <x:c r="V343" s="373"/>
      <x:c r="W343" s="373"/>
      <x:c r="X343" s="373"/>
      <x:c r="Y343" s="373"/>
      <x:c r="Z343" s="373"/>
    </x:row>
    <x:row r="344">
      <x:c r="A344" s="373"/>
      <x:c r="B344" s="373"/>
      <x:c r="C344" s="373"/>
      <x:c r="D344" s="373"/>
      <x:c r="E344" s="373"/>
      <x:c r="F344" s="373"/>
      <x:c r="G344" s="373"/>
      <x:c r="H344" s="373"/>
      <x:c r="I344" s="373"/>
      <x:c r="J344" s="373"/>
      <x:c r="K344" s="373"/>
      <x:c r="L344" s="373"/>
      <x:c r="M344" s="373"/>
      <x:c r="N344" s="373"/>
      <x:c r="O344" s="373"/>
      <x:c r="P344" s="373"/>
      <x:c r="Q344" s="373"/>
      <x:c r="R344" s="373"/>
      <x:c r="S344" s="373"/>
      <x:c r="T344" s="373"/>
      <x:c r="U344" s="373"/>
      <x:c r="V344" s="373"/>
      <x:c r="W344" s="373"/>
      <x:c r="X344" s="373"/>
      <x:c r="Y344" s="373"/>
      <x:c r="Z344" s="373"/>
    </x:row>
    <x:row r="345">
      <x:c r="A345" s="373"/>
      <x:c r="B345" s="373"/>
      <x:c r="C345" s="373"/>
      <x:c r="D345" s="373"/>
      <x:c r="E345" s="373"/>
      <x:c r="F345" s="373"/>
      <x:c r="G345" s="373"/>
      <x:c r="H345" s="373"/>
      <x:c r="I345" s="373"/>
      <x:c r="J345" s="373"/>
      <x:c r="K345" s="373"/>
      <x:c r="L345" s="373"/>
      <x:c r="M345" s="373"/>
      <x:c r="N345" s="373"/>
      <x:c r="O345" s="373"/>
      <x:c r="P345" s="373"/>
      <x:c r="Q345" s="373"/>
      <x:c r="R345" s="373"/>
      <x:c r="S345" s="373"/>
      <x:c r="T345" s="373"/>
      <x:c r="U345" s="373"/>
      <x:c r="V345" s="373"/>
      <x:c r="W345" s="373"/>
      <x:c r="X345" s="373"/>
      <x:c r="Y345" s="373"/>
      <x:c r="Z345" s="373"/>
    </x:row>
    <x:row r="346">
      <x:c r="A346" s="373"/>
      <x:c r="B346" s="373"/>
      <x:c r="C346" s="373"/>
      <x:c r="D346" s="373"/>
      <x:c r="E346" s="373"/>
      <x:c r="F346" s="373"/>
      <x:c r="G346" s="373"/>
      <x:c r="H346" s="373"/>
      <x:c r="I346" s="373"/>
      <x:c r="J346" s="373"/>
      <x:c r="K346" s="373"/>
      <x:c r="L346" s="373"/>
      <x:c r="M346" s="373"/>
      <x:c r="N346" s="373"/>
      <x:c r="O346" s="373"/>
      <x:c r="P346" s="373"/>
      <x:c r="Q346" s="373"/>
      <x:c r="R346" s="373"/>
      <x:c r="S346" s="373"/>
      <x:c r="T346" s="373"/>
      <x:c r="U346" s="373"/>
      <x:c r="V346" s="373"/>
      <x:c r="W346" s="373"/>
      <x:c r="X346" s="373"/>
      <x:c r="Y346" s="373"/>
      <x:c r="Z346" s="373"/>
    </x:row>
    <x:row r="347">
      <x:c r="A347" s="373"/>
      <x:c r="B347" s="373"/>
      <x:c r="C347" s="373"/>
      <x:c r="D347" s="373"/>
      <x:c r="E347" s="373"/>
      <x:c r="F347" s="373"/>
      <x:c r="G347" s="373"/>
      <x:c r="H347" s="373"/>
      <x:c r="I347" s="373"/>
      <x:c r="J347" s="373"/>
      <x:c r="K347" s="373"/>
      <x:c r="L347" s="373"/>
      <x:c r="M347" s="373"/>
      <x:c r="N347" s="373"/>
      <x:c r="O347" s="373"/>
      <x:c r="P347" s="373"/>
      <x:c r="Q347" s="373"/>
      <x:c r="R347" s="373"/>
      <x:c r="S347" s="373"/>
      <x:c r="T347" s="373"/>
      <x:c r="U347" s="373"/>
      <x:c r="V347" s="373"/>
      <x:c r="W347" s="373"/>
      <x:c r="X347" s="373"/>
      <x:c r="Y347" s="373"/>
      <x:c r="Z347" s="373"/>
    </x:row>
    <x:row r="348">
      <x:c r="A348" s="373"/>
      <x:c r="B348" s="373"/>
      <x:c r="C348" s="373"/>
      <x:c r="D348" s="373"/>
      <x:c r="E348" s="373"/>
      <x:c r="F348" s="373"/>
      <x:c r="G348" s="373"/>
      <x:c r="H348" s="373"/>
      <x:c r="I348" s="373"/>
      <x:c r="J348" s="373"/>
      <x:c r="K348" s="373"/>
      <x:c r="L348" s="373"/>
      <x:c r="M348" s="373"/>
      <x:c r="N348" s="373"/>
      <x:c r="O348" s="373"/>
      <x:c r="P348" s="373"/>
      <x:c r="Q348" s="373"/>
      <x:c r="R348" s="373"/>
      <x:c r="S348" s="373"/>
      <x:c r="T348" s="373"/>
      <x:c r="U348" s="373"/>
      <x:c r="V348" s="373"/>
      <x:c r="W348" s="373"/>
      <x:c r="X348" s="373"/>
      <x:c r="Y348" s="373"/>
      <x:c r="Z348" s="373"/>
    </x:row>
    <x:row r="349">
      <x:c r="A349" s="373"/>
      <x:c r="B349" s="373"/>
      <x:c r="C349" s="373"/>
      <x:c r="D349" s="373"/>
      <x:c r="E349" s="373"/>
      <x:c r="F349" s="373"/>
      <x:c r="G349" s="373"/>
      <x:c r="H349" s="373"/>
      <x:c r="I349" s="373"/>
      <x:c r="J349" s="373"/>
      <x:c r="K349" s="373"/>
      <x:c r="L349" s="373"/>
      <x:c r="M349" s="373"/>
      <x:c r="N349" s="373"/>
      <x:c r="O349" s="373"/>
      <x:c r="P349" s="373"/>
      <x:c r="Q349" s="373"/>
      <x:c r="R349" s="373"/>
      <x:c r="S349" s="373"/>
      <x:c r="T349" s="373"/>
      <x:c r="U349" s="373"/>
      <x:c r="V349" s="373"/>
      <x:c r="W349" s="373"/>
      <x:c r="X349" s="373"/>
      <x:c r="Y349" s="373"/>
      <x:c r="Z349" s="373"/>
    </x:row>
    <x:row r="350">
      <x:c r="A350" s="373"/>
      <x:c r="B350" s="373"/>
      <x:c r="C350" s="373"/>
      <x:c r="D350" s="373"/>
      <x:c r="E350" s="373"/>
      <x:c r="F350" s="373"/>
      <x:c r="G350" s="373"/>
      <x:c r="H350" s="373"/>
      <x:c r="I350" s="373"/>
      <x:c r="J350" s="373"/>
      <x:c r="K350" s="373"/>
      <x:c r="L350" s="373"/>
      <x:c r="M350" s="373"/>
      <x:c r="N350" s="373"/>
      <x:c r="O350" s="373"/>
      <x:c r="P350" s="373"/>
      <x:c r="Q350" s="373"/>
      <x:c r="R350" s="373"/>
      <x:c r="S350" s="373"/>
      <x:c r="T350" s="373"/>
      <x:c r="U350" s="373"/>
      <x:c r="V350" s="373"/>
      <x:c r="W350" s="373"/>
      <x:c r="X350" s="373"/>
      <x:c r="Y350" s="373"/>
      <x:c r="Z350" s="373"/>
    </x:row>
    <x:row r="351">
      <x:c r="A351" s="373"/>
      <x:c r="B351" s="373"/>
      <x:c r="C351" s="373"/>
      <x:c r="D351" s="373"/>
      <x:c r="E351" s="373"/>
      <x:c r="F351" s="373"/>
      <x:c r="G351" s="373"/>
      <x:c r="H351" s="373"/>
      <x:c r="I351" s="373"/>
      <x:c r="J351" s="373"/>
      <x:c r="K351" s="373"/>
      <x:c r="L351" s="373"/>
      <x:c r="M351" s="373"/>
      <x:c r="N351" s="373"/>
      <x:c r="O351" s="373"/>
      <x:c r="P351" s="373"/>
      <x:c r="Q351" s="373"/>
      <x:c r="R351" s="373"/>
      <x:c r="S351" s="373"/>
      <x:c r="T351" s="373"/>
      <x:c r="U351" s="373"/>
      <x:c r="V351" s="373"/>
      <x:c r="W351" s="373"/>
      <x:c r="X351" s="373"/>
      <x:c r="Y351" s="373"/>
      <x:c r="Z351" s="373"/>
    </x:row>
    <x:row r="352">
      <x:c r="A352" s="373"/>
      <x:c r="B352" s="373"/>
      <x:c r="C352" s="373"/>
      <x:c r="D352" s="373"/>
      <x:c r="E352" s="373"/>
      <x:c r="F352" s="373"/>
      <x:c r="G352" s="373"/>
      <x:c r="H352" s="373"/>
      <x:c r="I352" s="373"/>
      <x:c r="J352" s="373"/>
      <x:c r="K352" s="373"/>
      <x:c r="L352" s="373"/>
      <x:c r="M352" s="373"/>
      <x:c r="N352" s="373"/>
      <x:c r="O352" s="373"/>
      <x:c r="P352" s="373"/>
      <x:c r="Q352" s="373"/>
      <x:c r="R352" s="373"/>
      <x:c r="S352" s="373"/>
      <x:c r="T352" s="373"/>
      <x:c r="U352" s="373"/>
      <x:c r="V352" s="373"/>
      <x:c r="W352" s="373"/>
      <x:c r="X352" s="373"/>
      <x:c r="Y352" s="373"/>
      <x:c r="Z352" s="373"/>
    </x:row>
    <x:row r="353">
      <x:c r="A353" s="373"/>
      <x:c r="B353" s="373"/>
      <x:c r="C353" s="373"/>
      <x:c r="D353" s="373"/>
      <x:c r="E353" s="373"/>
      <x:c r="F353" s="373"/>
      <x:c r="G353" s="373"/>
      <x:c r="H353" s="373"/>
      <x:c r="I353" s="373"/>
      <x:c r="J353" s="373"/>
      <x:c r="K353" s="373"/>
      <x:c r="L353" s="373"/>
      <x:c r="M353" s="373"/>
      <x:c r="N353" s="373"/>
      <x:c r="O353" s="373"/>
      <x:c r="P353" s="373"/>
      <x:c r="Q353" s="373"/>
      <x:c r="R353" s="373"/>
      <x:c r="S353" s="373"/>
      <x:c r="T353" s="373"/>
      <x:c r="U353" s="373"/>
      <x:c r="V353" s="373"/>
      <x:c r="W353" s="373"/>
      <x:c r="X353" s="373"/>
      <x:c r="Y353" s="373"/>
      <x:c r="Z353" s="373"/>
    </x:row>
    <x:row r="354">
      <x:c r="A354" s="373"/>
      <x:c r="B354" s="373"/>
      <x:c r="C354" s="373"/>
      <x:c r="D354" s="373"/>
      <x:c r="E354" s="373"/>
      <x:c r="F354" s="373"/>
      <x:c r="G354" s="373"/>
      <x:c r="H354" s="373"/>
      <x:c r="I354" s="373"/>
      <x:c r="J354" s="373"/>
      <x:c r="K354" s="373"/>
      <x:c r="L354" s="373"/>
      <x:c r="M354" s="373"/>
      <x:c r="N354" s="373"/>
      <x:c r="O354" s="373"/>
      <x:c r="P354" s="373"/>
      <x:c r="Q354" s="373"/>
      <x:c r="R354" s="373"/>
      <x:c r="S354" s="373"/>
      <x:c r="T354" s="373"/>
      <x:c r="U354" s="373"/>
      <x:c r="V354" s="373"/>
      <x:c r="W354" s="373"/>
      <x:c r="X354" s="373"/>
      <x:c r="Y354" s="373"/>
      <x:c r="Z354" s="373"/>
    </x:row>
    <x:row r="355">
      <x:c r="A355" s="373"/>
      <x:c r="B355" s="373"/>
      <x:c r="C355" s="373"/>
      <x:c r="D355" s="373"/>
      <x:c r="E355" s="373"/>
      <x:c r="F355" s="373"/>
      <x:c r="G355" s="373"/>
      <x:c r="H355" s="373"/>
      <x:c r="I355" s="373"/>
      <x:c r="J355" s="373"/>
      <x:c r="K355" s="373"/>
      <x:c r="L355" s="373"/>
      <x:c r="M355" s="373"/>
      <x:c r="N355" s="373"/>
      <x:c r="O355" s="373"/>
      <x:c r="P355" s="373"/>
      <x:c r="Q355" s="373"/>
      <x:c r="R355" s="373"/>
      <x:c r="S355" s="373"/>
      <x:c r="T355" s="373"/>
      <x:c r="U355" s="373"/>
      <x:c r="V355" s="373"/>
      <x:c r="W355" s="373"/>
      <x:c r="X355" s="373"/>
      <x:c r="Y355" s="373"/>
      <x:c r="Z355" s="373"/>
    </x:row>
    <x:row r="356">
      <x:c r="A356" s="373"/>
      <x:c r="B356" s="373"/>
      <x:c r="C356" s="373"/>
      <x:c r="D356" s="373"/>
      <x:c r="E356" s="373"/>
      <x:c r="F356" s="373"/>
      <x:c r="G356" s="373"/>
      <x:c r="H356" s="373"/>
      <x:c r="I356" s="373"/>
      <x:c r="J356" s="373"/>
      <x:c r="K356" s="373"/>
      <x:c r="L356" s="373"/>
      <x:c r="M356" s="373"/>
      <x:c r="N356" s="373"/>
      <x:c r="O356" s="373"/>
      <x:c r="P356" s="373"/>
      <x:c r="Q356" s="373"/>
      <x:c r="R356" s="373"/>
      <x:c r="S356" s="373"/>
      <x:c r="T356" s="373"/>
      <x:c r="U356" s="373"/>
      <x:c r="V356" s="373"/>
      <x:c r="W356" s="373"/>
      <x:c r="X356" s="373"/>
      <x:c r="Y356" s="373"/>
      <x:c r="Z356" s="373"/>
    </x:row>
    <x:row r="357">
      <x:c r="A357" s="373"/>
      <x:c r="B357" s="373"/>
      <x:c r="C357" s="373"/>
      <x:c r="D357" s="373"/>
      <x:c r="E357" s="373"/>
      <x:c r="F357" s="373"/>
      <x:c r="G357" s="373"/>
      <x:c r="H357" s="373"/>
      <x:c r="I357" s="373"/>
      <x:c r="J357" s="373"/>
      <x:c r="K357" s="373"/>
      <x:c r="L357" s="373"/>
      <x:c r="M357" s="373"/>
      <x:c r="N357" s="373"/>
      <x:c r="O357" s="373"/>
      <x:c r="P357" s="373"/>
      <x:c r="Q357" s="373"/>
      <x:c r="R357" s="373"/>
      <x:c r="S357" s="373"/>
      <x:c r="T357" s="373"/>
      <x:c r="U357" s="373"/>
      <x:c r="V357" s="373"/>
      <x:c r="W357" s="373"/>
      <x:c r="X357" s="373"/>
      <x:c r="Y357" s="373"/>
      <x:c r="Z357" s="373"/>
    </x:row>
    <x:row r="358">
      <x:c r="A358" s="373"/>
      <x:c r="B358" s="373"/>
      <x:c r="C358" s="373"/>
      <x:c r="D358" s="373"/>
      <x:c r="E358" s="373"/>
      <x:c r="F358" s="373"/>
      <x:c r="G358" s="373"/>
      <x:c r="H358" s="373"/>
      <x:c r="I358" s="373"/>
      <x:c r="J358" s="373"/>
      <x:c r="K358" s="373"/>
      <x:c r="L358" s="373"/>
      <x:c r="M358" s="373"/>
      <x:c r="N358" s="373"/>
      <x:c r="O358" s="373"/>
      <x:c r="P358" s="373"/>
      <x:c r="Q358" s="373"/>
      <x:c r="R358" s="373"/>
      <x:c r="S358" s="373"/>
      <x:c r="T358" s="373"/>
      <x:c r="U358" s="373"/>
      <x:c r="V358" s="373"/>
      <x:c r="W358" s="373"/>
      <x:c r="X358" s="373"/>
      <x:c r="Y358" s="373"/>
      <x:c r="Z358" s="373"/>
    </x:row>
    <x:row r="359">
      <x:c r="A359" s="373"/>
      <x:c r="B359" s="373"/>
      <x:c r="C359" s="373"/>
      <x:c r="D359" s="373"/>
      <x:c r="E359" s="373"/>
      <x:c r="F359" s="373"/>
      <x:c r="G359" s="373"/>
      <x:c r="H359" s="373"/>
      <x:c r="I359" s="373"/>
      <x:c r="J359" s="373"/>
      <x:c r="K359" s="373"/>
      <x:c r="L359" s="373"/>
      <x:c r="M359" s="373"/>
      <x:c r="N359" s="373"/>
      <x:c r="O359" s="373"/>
      <x:c r="P359" s="373"/>
      <x:c r="Q359" s="373"/>
      <x:c r="R359" s="373"/>
      <x:c r="S359" s="373"/>
      <x:c r="T359" s="373"/>
      <x:c r="U359" s="373"/>
      <x:c r="V359" s="373"/>
      <x:c r="W359" s="373"/>
      <x:c r="X359" s="373"/>
      <x:c r="Y359" s="373"/>
      <x:c r="Z359" s="373"/>
    </x:row>
    <x:row r="360">
      <x:c r="A360" s="373"/>
      <x:c r="B360" s="373"/>
      <x:c r="C360" s="373"/>
      <x:c r="D360" s="373"/>
      <x:c r="E360" s="373"/>
      <x:c r="F360" s="373"/>
      <x:c r="G360" s="373"/>
      <x:c r="H360" s="373"/>
      <x:c r="I360" s="373"/>
      <x:c r="J360" s="373"/>
      <x:c r="K360" s="373"/>
      <x:c r="L360" s="373"/>
      <x:c r="M360" s="373"/>
      <x:c r="N360" s="373"/>
      <x:c r="O360" s="373"/>
      <x:c r="P360" s="373"/>
      <x:c r="Q360" s="373"/>
      <x:c r="R360" s="373"/>
      <x:c r="S360" s="373"/>
      <x:c r="T360" s="373"/>
      <x:c r="U360" s="373"/>
      <x:c r="V360" s="373"/>
      <x:c r="W360" s="373"/>
      <x:c r="X360" s="373"/>
      <x:c r="Y360" s="373"/>
      <x:c r="Z360" s="373"/>
    </x:row>
    <x:row r="361">
      <x:c r="A361" s="373"/>
      <x:c r="B361" s="373"/>
      <x:c r="C361" s="373"/>
      <x:c r="D361" s="373"/>
      <x:c r="E361" s="373"/>
      <x:c r="F361" s="373"/>
      <x:c r="G361" s="373"/>
      <x:c r="H361" s="373"/>
      <x:c r="I361" s="373"/>
      <x:c r="J361" s="373"/>
      <x:c r="K361" s="373"/>
      <x:c r="L361" s="373"/>
      <x:c r="M361" s="373"/>
      <x:c r="N361" s="373"/>
      <x:c r="O361" s="373"/>
      <x:c r="P361" s="373"/>
      <x:c r="Q361" s="373"/>
      <x:c r="R361" s="373"/>
      <x:c r="S361" s="373"/>
      <x:c r="T361" s="373"/>
      <x:c r="U361" s="373"/>
      <x:c r="V361" s="373"/>
      <x:c r="W361" s="373"/>
      <x:c r="X361" s="373"/>
      <x:c r="Y361" s="373"/>
      <x:c r="Z361" s="373"/>
    </x:row>
    <x:row r="362">
      <x:c r="A362" s="373"/>
      <x:c r="B362" s="373"/>
      <x:c r="C362" s="373"/>
      <x:c r="D362" s="373"/>
      <x:c r="E362" s="373"/>
      <x:c r="F362" s="373"/>
      <x:c r="G362" s="373"/>
      <x:c r="H362" s="373"/>
      <x:c r="I362" s="373"/>
      <x:c r="J362" s="373"/>
      <x:c r="K362" s="373"/>
      <x:c r="L362" s="373"/>
      <x:c r="M362" s="373"/>
      <x:c r="N362" s="373"/>
      <x:c r="O362" s="373"/>
      <x:c r="P362" s="373"/>
      <x:c r="Q362" s="373"/>
      <x:c r="R362" s="373"/>
      <x:c r="S362" s="373"/>
      <x:c r="T362" s="373"/>
      <x:c r="U362" s="373"/>
      <x:c r="V362" s="373"/>
      <x:c r="W362" s="373"/>
      <x:c r="X362" s="373"/>
      <x:c r="Y362" s="373"/>
      <x:c r="Z362" s="373"/>
    </x:row>
    <x:row r="363">
      <x:c r="A363" s="373"/>
      <x:c r="B363" s="373"/>
      <x:c r="C363" s="373"/>
      <x:c r="D363" s="373"/>
      <x:c r="E363" s="373"/>
      <x:c r="F363" s="373"/>
      <x:c r="G363" s="373"/>
      <x:c r="H363" s="373"/>
      <x:c r="I363" s="373"/>
      <x:c r="J363" s="373"/>
      <x:c r="K363" s="373"/>
      <x:c r="L363" s="373"/>
      <x:c r="M363" s="373"/>
      <x:c r="N363" s="373"/>
      <x:c r="O363" s="373"/>
      <x:c r="P363" s="373"/>
      <x:c r="Q363" s="373"/>
      <x:c r="R363" s="373"/>
      <x:c r="S363" s="373"/>
      <x:c r="T363" s="373"/>
      <x:c r="U363" s="373"/>
      <x:c r="V363" s="373"/>
      <x:c r="W363" s="373"/>
      <x:c r="X363" s="373"/>
      <x:c r="Y363" s="373"/>
      <x:c r="Z363" s="373"/>
    </x:row>
    <x:row r="364">
      <x:c r="A364" s="373"/>
      <x:c r="B364" s="373"/>
      <x:c r="C364" s="373"/>
      <x:c r="D364" s="373"/>
      <x:c r="E364" s="373"/>
      <x:c r="F364" s="373"/>
      <x:c r="G364" s="373"/>
      <x:c r="H364" s="373"/>
      <x:c r="I364" s="373"/>
      <x:c r="J364" s="373"/>
      <x:c r="K364" s="373"/>
      <x:c r="L364" s="373"/>
      <x:c r="M364" s="373"/>
      <x:c r="N364" s="373"/>
      <x:c r="O364" s="373"/>
      <x:c r="P364" s="373"/>
      <x:c r="Q364" s="373"/>
      <x:c r="R364" s="373"/>
      <x:c r="S364" s="373"/>
      <x:c r="T364" s="373"/>
      <x:c r="U364" s="373"/>
      <x:c r="V364" s="373"/>
      <x:c r="W364" s="373"/>
      <x:c r="X364" s="373"/>
      <x:c r="Y364" s="373"/>
      <x:c r="Z364" s="373"/>
    </x:row>
    <x:row r="365">
      <x:c r="A365" s="373"/>
      <x:c r="B365" s="373"/>
      <x:c r="C365" s="373"/>
      <x:c r="D365" s="373"/>
      <x:c r="E365" s="373"/>
      <x:c r="F365" s="373"/>
      <x:c r="G365" s="373"/>
      <x:c r="H365" s="373"/>
      <x:c r="I365" s="373"/>
      <x:c r="J365" s="373"/>
      <x:c r="K365" s="373"/>
      <x:c r="L365" s="373"/>
      <x:c r="M365" s="373"/>
      <x:c r="N365" s="373"/>
      <x:c r="O365" s="373"/>
      <x:c r="P365" s="373"/>
      <x:c r="Q365" s="373"/>
      <x:c r="R365" s="373"/>
      <x:c r="S365" s="373"/>
      <x:c r="T365" s="373"/>
      <x:c r="U365" s="373"/>
      <x:c r="V365" s="373"/>
      <x:c r="W365" s="373"/>
      <x:c r="X365" s="373"/>
      <x:c r="Y365" s="373"/>
      <x:c r="Z365" s="373"/>
    </x:row>
    <x:row r="366">
      <x:c r="A366" s="373"/>
      <x:c r="B366" s="373"/>
      <x:c r="C366" s="373"/>
      <x:c r="D366" s="373"/>
      <x:c r="E366" s="373"/>
      <x:c r="F366" s="373"/>
      <x:c r="G366" s="373"/>
      <x:c r="H366" s="373"/>
      <x:c r="I366" s="373"/>
      <x:c r="J366" s="373"/>
      <x:c r="K366" s="373"/>
      <x:c r="L366" s="373"/>
      <x:c r="M366" s="373"/>
      <x:c r="N366" s="373"/>
      <x:c r="O366" s="373"/>
      <x:c r="P366" s="373"/>
      <x:c r="Q366" s="373"/>
      <x:c r="R366" s="373"/>
      <x:c r="S366" s="373"/>
      <x:c r="T366" s="373"/>
      <x:c r="U366" s="373"/>
      <x:c r="V366" s="373"/>
      <x:c r="W366" s="373"/>
      <x:c r="X366" s="373"/>
      <x:c r="Y366" s="373"/>
      <x:c r="Z366" s="373"/>
    </x:row>
    <x:row r="367">
      <x:c r="A367" s="373"/>
      <x:c r="B367" s="373"/>
      <x:c r="C367" s="373"/>
      <x:c r="D367" s="373"/>
      <x:c r="E367" s="373"/>
      <x:c r="F367" s="373"/>
      <x:c r="G367" s="373"/>
      <x:c r="H367" s="373"/>
      <x:c r="I367" s="373"/>
      <x:c r="J367" s="373"/>
      <x:c r="K367" s="373"/>
      <x:c r="L367" s="373"/>
      <x:c r="M367" s="373"/>
      <x:c r="N367" s="373"/>
      <x:c r="O367" s="373"/>
      <x:c r="P367" s="373"/>
      <x:c r="Q367" s="373"/>
      <x:c r="R367" s="373"/>
      <x:c r="S367" s="373"/>
      <x:c r="T367" s="373"/>
      <x:c r="U367" s="373"/>
      <x:c r="V367" s="373"/>
      <x:c r="W367" s="373"/>
      <x:c r="X367" s="373"/>
      <x:c r="Y367" s="373"/>
      <x:c r="Z367" s="373"/>
    </x:row>
    <x:row r="368">
      <x:c r="A368" s="373"/>
      <x:c r="B368" s="373"/>
      <x:c r="C368" s="373"/>
      <x:c r="D368" s="373"/>
      <x:c r="E368" s="373"/>
      <x:c r="F368" s="373"/>
      <x:c r="G368" s="373"/>
      <x:c r="H368" s="373"/>
      <x:c r="I368" s="373"/>
      <x:c r="J368" s="373"/>
      <x:c r="K368" s="373"/>
      <x:c r="L368" s="373"/>
      <x:c r="M368" s="373"/>
      <x:c r="N368" s="373"/>
      <x:c r="O368" s="373"/>
      <x:c r="P368" s="373"/>
      <x:c r="Q368" s="373"/>
      <x:c r="R368" s="373"/>
      <x:c r="S368" s="373"/>
      <x:c r="T368" s="373"/>
      <x:c r="U368" s="373"/>
      <x:c r="V368" s="373"/>
      <x:c r="W368" s="373"/>
      <x:c r="X368" s="373"/>
      <x:c r="Y368" s="373"/>
      <x:c r="Z368" s="373"/>
    </x:row>
    <x:row r="369">
      <x:c r="A369" s="373"/>
      <x:c r="B369" s="373"/>
      <x:c r="C369" s="373"/>
      <x:c r="D369" s="373"/>
      <x:c r="E369" s="373"/>
      <x:c r="F369" s="373"/>
      <x:c r="G369" s="373"/>
      <x:c r="H369" s="373"/>
      <x:c r="I369" s="373"/>
      <x:c r="J369" s="373"/>
      <x:c r="K369" s="373"/>
      <x:c r="L369" s="373"/>
      <x:c r="M369" s="373"/>
      <x:c r="N369" s="373"/>
      <x:c r="O369" s="373"/>
      <x:c r="P369" s="373"/>
      <x:c r="Q369" s="373"/>
      <x:c r="R369" s="373"/>
      <x:c r="S369" s="373"/>
      <x:c r="T369" s="373"/>
      <x:c r="U369" s="373"/>
      <x:c r="V369" s="373"/>
      <x:c r="W369" s="373"/>
      <x:c r="X369" s="373"/>
      <x:c r="Y369" s="373"/>
      <x:c r="Z369" s="373"/>
    </x:row>
    <x:row r="370">
      <x:c r="A370" s="373"/>
      <x:c r="B370" s="373"/>
      <x:c r="C370" s="373"/>
      <x:c r="D370" s="373"/>
      <x:c r="E370" s="373"/>
      <x:c r="F370" s="373"/>
      <x:c r="G370" s="373"/>
      <x:c r="H370" s="373"/>
      <x:c r="I370" s="373"/>
      <x:c r="J370" s="373"/>
      <x:c r="K370" s="373"/>
      <x:c r="L370" s="373"/>
      <x:c r="M370" s="373"/>
      <x:c r="N370" s="373"/>
      <x:c r="O370" s="373"/>
      <x:c r="P370" s="373"/>
      <x:c r="Q370" s="373"/>
      <x:c r="R370" s="373"/>
      <x:c r="S370" s="373"/>
      <x:c r="T370" s="373"/>
      <x:c r="U370" s="373"/>
      <x:c r="V370" s="373"/>
      <x:c r="W370" s="373"/>
      <x:c r="X370" s="373"/>
      <x:c r="Y370" s="373"/>
      <x:c r="Z370" s="373"/>
    </x:row>
    <x:row r="371">
      <x:c r="A371" s="373"/>
      <x:c r="B371" s="373"/>
      <x:c r="C371" s="373"/>
      <x:c r="D371" s="373"/>
      <x:c r="E371" s="373"/>
      <x:c r="F371" s="373"/>
      <x:c r="G371" s="373"/>
      <x:c r="H371" s="373"/>
      <x:c r="I371" s="373"/>
      <x:c r="J371" s="373"/>
      <x:c r="K371" s="373"/>
      <x:c r="L371" s="373"/>
      <x:c r="M371" s="373"/>
      <x:c r="N371" s="373"/>
      <x:c r="O371" s="373"/>
      <x:c r="P371" s="373"/>
      <x:c r="Q371" s="373"/>
      <x:c r="R371" s="373"/>
      <x:c r="S371" s="373"/>
      <x:c r="T371" s="373"/>
      <x:c r="U371" s="373"/>
      <x:c r="V371" s="373"/>
      <x:c r="W371" s="373"/>
      <x:c r="X371" s="373"/>
      <x:c r="Y371" s="373"/>
      <x:c r="Z371" s="373"/>
    </x:row>
    <x:row r="372">
      <x:c r="A372" s="373"/>
      <x:c r="B372" s="373"/>
      <x:c r="C372" s="373"/>
      <x:c r="D372" s="373"/>
      <x:c r="E372" s="373"/>
      <x:c r="F372" s="373"/>
      <x:c r="G372" s="373"/>
      <x:c r="H372" s="373"/>
      <x:c r="I372" s="373"/>
      <x:c r="J372" s="373"/>
      <x:c r="K372" s="373"/>
      <x:c r="L372" s="373"/>
      <x:c r="M372" s="373"/>
      <x:c r="N372" s="373"/>
      <x:c r="O372" s="373"/>
      <x:c r="P372" s="373"/>
      <x:c r="Q372" s="373"/>
      <x:c r="R372" s="373"/>
      <x:c r="S372" s="373"/>
      <x:c r="T372" s="373"/>
      <x:c r="U372" s="373"/>
      <x:c r="V372" s="373"/>
      <x:c r="W372" s="373"/>
      <x:c r="X372" s="373"/>
      <x:c r="Y372" s="373"/>
      <x:c r="Z372" s="373"/>
    </x:row>
    <x:row r="373">
      <x:c r="A373" s="373"/>
      <x:c r="B373" s="373"/>
      <x:c r="C373" s="373"/>
      <x:c r="D373" s="373"/>
      <x:c r="E373" s="373"/>
      <x:c r="F373" s="373"/>
      <x:c r="G373" s="373"/>
      <x:c r="H373" s="373"/>
      <x:c r="I373" s="373"/>
      <x:c r="J373" s="373"/>
      <x:c r="K373" s="373"/>
      <x:c r="L373" s="373"/>
      <x:c r="M373" s="373"/>
      <x:c r="N373" s="373"/>
      <x:c r="O373" s="373"/>
      <x:c r="P373" s="373"/>
      <x:c r="Q373" s="373"/>
      <x:c r="R373" s="373"/>
      <x:c r="S373" s="373"/>
      <x:c r="T373" s="373"/>
      <x:c r="U373" s="373"/>
      <x:c r="V373" s="373"/>
      <x:c r="W373" s="373"/>
      <x:c r="X373" s="373"/>
      <x:c r="Y373" s="373"/>
      <x:c r="Z373" s="373"/>
    </x:row>
    <x:row r="374">
      <x:c r="A374" s="373"/>
      <x:c r="B374" s="373"/>
      <x:c r="C374" s="373"/>
      <x:c r="D374" s="373"/>
      <x:c r="E374" s="373"/>
      <x:c r="F374" s="373"/>
      <x:c r="G374" s="373"/>
      <x:c r="H374" s="373"/>
      <x:c r="I374" s="373"/>
      <x:c r="J374" s="373"/>
      <x:c r="K374" s="373"/>
      <x:c r="L374" s="373"/>
      <x:c r="M374" s="373"/>
      <x:c r="N374" s="373"/>
      <x:c r="O374" s="373"/>
      <x:c r="P374" s="373"/>
      <x:c r="Q374" s="373"/>
      <x:c r="R374" s="373"/>
      <x:c r="S374" s="373"/>
      <x:c r="T374" s="373"/>
      <x:c r="U374" s="373"/>
      <x:c r="V374" s="373"/>
      <x:c r="W374" s="373"/>
      <x:c r="X374" s="373"/>
      <x:c r="Y374" s="373"/>
      <x:c r="Z374" s="373"/>
    </x:row>
    <x:row r="375">
      <x:c r="A375" s="373"/>
      <x:c r="B375" s="373"/>
      <x:c r="C375" s="373"/>
      <x:c r="D375" s="373"/>
      <x:c r="E375" s="373"/>
      <x:c r="F375" s="373"/>
      <x:c r="G375" s="373"/>
      <x:c r="H375" s="373"/>
      <x:c r="I375" s="373"/>
      <x:c r="J375" s="373"/>
      <x:c r="K375" s="373"/>
      <x:c r="L375" s="373"/>
      <x:c r="M375" s="373"/>
      <x:c r="N375" s="373"/>
      <x:c r="O375" s="373"/>
      <x:c r="P375" s="373"/>
      <x:c r="Q375" s="373"/>
      <x:c r="R375" s="373"/>
      <x:c r="S375" s="373"/>
      <x:c r="T375" s="373"/>
      <x:c r="U375" s="373"/>
      <x:c r="V375" s="373"/>
      <x:c r="W375" s="373"/>
      <x:c r="X375" s="373"/>
      <x:c r="Y375" s="373"/>
      <x:c r="Z375" s="373"/>
    </x:row>
    <x:row r="376">
      <x:c r="A376" s="373"/>
      <x:c r="B376" s="373"/>
      <x:c r="C376" s="373"/>
      <x:c r="D376" s="373"/>
      <x:c r="E376" s="373"/>
      <x:c r="F376" s="373"/>
      <x:c r="G376" s="373"/>
      <x:c r="H376" s="373"/>
      <x:c r="I376" s="373"/>
      <x:c r="J376" s="373"/>
      <x:c r="K376" s="373"/>
      <x:c r="L376" s="373"/>
      <x:c r="M376" s="373"/>
      <x:c r="N376" s="373"/>
      <x:c r="O376" s="373"/>
      <x:c r="P376" s="373"/>
      <x:c r="Q376" s="373"/>
      <x:c r="R376" s="373"/>
      <x:c r="S376" s="373"/>
      <x:c r="T376" s="373"/>
      <x:c r="U376" s="373"/>
      <x:c r="V376" s="373"/>
      <x:c r="W376" s="373"/>
      <x:c r="X376" s="373"/>
      <x:c r="Y376" s="373"/>
      <x:c r="Z376" s="373"/>
    </x:row>
    <x:row r="377">
      <x:c r="A377" s="373"/>
      <x:c r="B377" s="373"/>
      <x:c r="C377" s="373"/>
      <x:c r="D377" s="373"/>
      <x:c r="E377" s="373"/>
      <x:c r="F377" s="373"/>
      <x:c r="G377" s="373"/>
      <x:c r="H377" s="373"/>
      <x:c r="I377" s="373"/>
      <x:c r="J377" s="373"/>
      <x:c r="K377" s="373"/>
      <x:c r="L377" s="373"/>
      <x:c r="M377" s="373"/>
      <x:c r="N377" s="373"/>
      <x:c r="O377" s="373"/>
      <x:c r="P377" s="373"/>
      <x:c r="Q377" s="373"/>
      <x:c r="R377" s="373"/>
      <x:c r="S377" s="373"/>
      <x:c r="T377" s="373"/>
      <x:c r="U377" s="373"/>
      <x:c r="V377" s="373"/>
      <x:c r="W377" s="373"/>
      <x:c r="X377" s="373"/>
      <x:c r="Y377" s="373"/>
      <x:c r="Z377" s="373"/>
    </x:row>
    <x:row r="378">
      <x:c r="A378" s="373"/>
      <x:c r="B378" s="373"/>
      <x:c r="C378" s="373"/>
      <x:c r="D378" s="373"/>
      <x:c r="E378" s="373"/>
      <x:c r="F378" s="373"/>
      <x:c r="G378" s="373"/>
      <x:c r="H378" s="373"/>
      <x:c r="I378" s="373"/>
      <x:c r="J378" s="373"/>
      <x:c r="K378" s="373"/>
      <x:c r="L378" s="373"/>
      <x:c r="M378" s="373"/>
      <x:c r="N378" s="373"/>
      <x:c r="O378" s="373"/>
      <x:c r="P378" s="373"/>
      <x:c r="Q378" s="373"/>
      <x:c r="R378" s="373"/>
      <x:c r="S378" s="373"/>
      <x:c r="T378" s="373"/>
      <x:c r="U378" s="373"/>
      <x:c r="V378" s="373"/>
      <x:c r="W378" s="373"/>
      <x:c r="X378" s="373"/>
      <x:c r="Y378" s="373"/>
      <x:c r="Z378" s="373"/>
    </x:row>
    <x:row r="379">
      <x:c r="A379" s="373"/>
      <x:c r="B379" s="373"/>
      <x:c r="C379" s="373"/>
      <x:c r="D379" s="373"/>
      <x:c r="E379" s="373"/>
      <x:c r="F379" s="373"/>
      <x:c r="G379" s="373"/>
      <x:c r="H379" s="373"/>
      <x:c r="I379" s="373"/>
      <x:c r="J379" s="373"/>
      <x:c r="K379" s="373"/>
      <x:c r="L379" s="373"/>
      <x:c r="M379" s="373"/>
      <x:c r="N379" s="373"/>
      <x:c r="O379" s="373"/>
      <x:c r="P379" s="373"/>
      <x:c r="Q379" s="373"/>
      <x:c r="R379" s="373"/>
      <x:c r="S379" s="373"/>
      <x:c r="T379" s="373"/>
      <x:c r="U379" s="373"/>
      <x:c r="V379" s="373"/>
      <x:c r="W379" s="373"/>
      <x:c r="X379" s="373"/>
      <x:c r="Y379" s="373"/>
      <x:c r="Z379" s="373"/>
    </x:row>
    <x:row r="380">
      <x:c r="A380" s="373"/>
      <x:c r="B380" s="373"/>
      <x:c r="C380" s="373"/>
      <x:c r="D380" s="373"/>
      <x:c r="E380" s="373"/>
      <x:c r="F380" s="373"/>
      <x:c r="G380" s="373"/>
      <x:c r="H380" s="373"/>
      <x:c r="I380" s="373"/>
      <x:c r="J380" s="373"/>
      <x:c r="K380" s="373"/>
      <x:c r="L380" s="373"/>
      <x:c r="M380" s="373"/>
      <x:c r="N380" s="373"/>
      <x:c r="O380" s="373"/>
      <x:c r="P380" s="373"/>
      <x:c r="Q380" s="373"/>
      <x:c r="R380" s="373"/>
      <x:c r="S380" s="373"/>
      <x:c r="T380" s="373"/>
      <x:c r="U380" s="373"/>
      <x:c r="V380" s="373"/>
      <x:c r="W380" s="373"/>
      <x:c r="X380" s="373"/>
      <x:c r="Y380" s="373"/>
      <x:c r="Z380" s="373"/>
    </x:row>
    <x:row r="381">
      <x:c r="A381" s="373"/>
      <x:c r="B381" s="373"/>
      <x:c r="C381" s="373"/>
      <x:c r="D381" s="373"/>
      <x:c r="E381" s="373"/>
      <x:c r="F381" s="373"/>
      <x:c r="G381" s="373"/>
      <x:c r="H381" s="373"/>
      <x:c r="I381" s="373"/>
      <x:c r="J381" s="373"/>
      <x:c r="K381" s="373"/>
      <x:c r="L381" s="373"/>
      <x:c r="M381" s="373"/>
      <x:c r="N381" s="373"/>
      <x:c r="O381" s="373"/>
      <x:c r="P381" s="373"/>
      <x:c r="Q381" s="373"/>
      <x:c r="R381" s="373"/>
      <x:c r="S381" s="373"/>
      <x:c r="T381" s="373"/>
      <x:c r="U381" s="373"/>
      <x:c r="V381" s="373"/>
      <x:c r="W381" s="373"/>
      <x:c r="X381" s="373"/>
      <x:c r="Y381" s="373"/>
      <x:c r="Z381" s="373"/>
    </x:row>
    <x:row r="382">
      <x:c r="A382" s="373"/>
      <x:c r="B382" s="373"/>
      <x:c r="C382" s="373"/>
      <x:c r="D382" s="373"/>
      <x:c r="E382" s="373"/>
      <x:c r="F382" s="373"/>
      <x:c r="G382" s="373"/>
      <x:c r="H382" s="373"/>
      <x:c r="I382" s="373"/>
      <x:c r="J382" s="373"/>
      <x:c r="K382" s="373"/>
      <x:c r="L382" s="373"/>
      <x:c r="M382" s="373"/>
      <x:c r="N382" s="373"/>
      <x:c r="O382" s="373"/>
      <x:c r="P382" s="373"/>
      <x:c r="Q382" s="373"/>
      <x:c r="R382" s="373"/>
      <x:c r="S382" s="373"/>
      <x:c r="T382" s="373"/>
      <x:c r="U382" s="373"/>
      <x:c r="V382" s="373"/>
      <x:c r="W382" s="373"/>
      <x:c r="X382" s="373"/>
      <x:c r="Y382" s="373"/>
      <x:c r="Z382" s="373"/>
    </x:row>
    <x:row r="383">
      <x:c r="A383" s="373"/>
      <x:c r="B383" s="373"/>
      <x:c r="C383" s="373"/>
      <x:c r="D383" s="373"/>
      <x:c r="E383" s="373"/>
      <x:c r="F383" s="373"/>
      <x:c r="G383" s="373"/>
      <x:c r="H383" s="373"/>
      <x:c r="I383" s="373"/>
      <x:c r="J383" s="373"/>
      <x:c r="K383" s="373"/>
      <x:c r="L383" s="373"/>
      <x:c r="M383" s="373"/>
      <x:c r="N383" s="373"/>
      <x:c r="O383" s="373"/>
      <x:c r="P383" s="373"/>
      <x:c r="Q383" s="373"/>
      <x:c r="R383" s="373"/>
      <x:c r="S383" s="373"/>
      <x:c r="T383" s="373"/>
      <x:c r="U383" s="373"/>
      <x:c r="V383" s="373"/>
      <x:c r="W383" s="373"/>
      <x:c r="X383" s="373"/>
      <x:c r="Y383" s="373"/>
      <x:c r="Z383" s="373"/>
    </x:row>
    <x:row r="384">
      <x:c r="A384" s="373"/>
      <x:c r="B384" s="373"/>
      <x:c r="C384" s="373"/>
      <x:c r="D384" s="373"/>
      <x:c r="E384" s="373"/>
      <x:c r="F384" s="373"/>
      <x:c r="G384" s="373"/>
      <x:c r="H384" s="373"/>
      <x:c r="I384" s="373"/>
      <x:c r="J384" s="373"/>
      <x:c r="K384" s="373"/>
      <x:c r="L384" s="373"/>
      <x:c r="M384" s="373"/>
      <x:c r="N384" s="373"/>
      <x:c r="O384" s="373"/>
      <x:c r="P384" s="373"/>
      <x:c r="Q384" s="373"/>
      <x:c r="R384" s="373"/>
      <x:c r="S384" s="373"/>
      <x:c r="T384" s="373"/>
      <x:c r="U384" s="373"/>
      <x:c r="V384" s="373"/>
      <x:c r="W384" s="373"/>
      <x:c r="X384" s="373"/>
      <x:c r="Y384" s="373"/>
      <x:c r="Z384" s="373"/>
    </x:row>
    <x:row r="385">
      <x:c r="A385" s="373"/>
      <x:c r="B385" s="373"/>
      <x:c r="C385" s="373"/>
      <x:c r="D385" s="373"/>
      <x:c r="E385" s="373"/>
      <x:c r="F385" s="373"/>
      <x:c r="G385" s="373"/>
      <x:c r="H385" s="373"/>
      <x:c r="I385" s="373"/>
      <x:c r="J385" s="373"/>
      <x:c r="K385" s="373"/>
      <x:c r="L385" s="373"/>
      <x:c r="M385" s="373"/>
      <x:c r="N385" s="373"/>
      <x:c r="O385" s="373"/>
      <x:c r="P385" s="373"/>
      <x:c r="Q385" s="373"/>
      <x:c r="R385" s="373"/>
      <x:c r="S385" s="373"/>
      <x:c r="T385" s="373"/>
      <x:c r="U385" s="373"/>
      <x:c r="V385" s="373"/>
      <x:c r="W385" s="373"/>
      <x:c r="X385" s="373"/>
      <x:c r="Y385" s="373"/>
      <x:c r="Z385" s="373"/>
    </x:row>
    <x:row r="386">
      <x:c r="A386" s="373"/>
      <x:c r="B386" s="373"/>
      <x:c r="C386" s="373"/>
      <x:c r="D386" s="373"/>
      <x:c r="E386" s="373"/>
      <x:c r="F386" s="373"/>
      <x:c r="G386" s="373"/>
      <x:c r="H386" s="373"/>
      <x:c r="I386" s="373"/>
      <x:c r="J386" s="373"/>
      <x:c r="K386" s="373"/>
      <x:c r="L386" s="373"/>
      <x:c r="M386" s="373"/>
      <x:c r="N386" s="373"/>
      <x:c r="O386" s="373"/>
      <x:c r="P386" s="373"/>
      <x:c r="Q386" s="373"/>
      <x:c r="R386" s="373"/>
      <x:c r="S386" s="373"/>
      <x:c r="T386" s="373"/>
      <x:c r="U386" s="373"/>
      <x:c r="V386" s="373"/>
      <x:c r="W386" s="373"/>
      <x:c r="X386" s="373"/>
      <x:c r="Y386" s="373"/>
      <x:c r="Z386" s="373"/>
    </x:row>
    <x:row r="387">
      <x:c r="A387" s="373"/>
      <x:c r="B387" s="373"/>
      <x:c r="C387" s="373"/>
      <x:c r="D387" s="373"/>
      <x:c r="E387" s="373"/>
      <x:c r="F387" s="373"/>
      <x:c r="G387" s="373"/>
      <x:c r="H387" s="373"/>
      <x:c r="I387" s="373"/>
      <x:c r="J387" s="373"/>
      <x:c r="K387" s="373"/>
      <x:c r="L387" s="373"/>
      <x:c r="M387" s="373"/>
      <x:c r="N387" s="373"/>
      <x:c r="O387" s="373"/>
      <x:c r="P387" s="373"/>
      <x:c r="Q387" s="373"/>
      <x:c r="R387" s="373"/>
      <x:c r="S387" s="373"/>
      <x:c r="T387" s="373"/>
      <x:c r="U387" s="373"/>
      <x:c r="V387" s="373"/>
      <x:c r="W387" s="373"/>
      <x:c r="X387" s="373"/>
      <x:c r="Y387" s="373"/>
      <x:c r="Z387" s="373"/>
    </x:row>
    <x:row r="388">
      <x:c r="A388" s="373"/>
      <x:c r="B388" s="373"/>
      <x:c r="C388" s="373"/>
      <x:c r="D388" s="373"/>
      <x:c r="E388" s="373"/>
      <x:c r="F388" s="373"/>
      <x:c r="G388" s="373"/>
      <x:c r="H388" s="373"/>
      <x:c r="I388" s="373"/>
      <x:c r="J388" s="373"/>
      <x:c r="K388" s="373"/>
      <x:c r="L388" s="373"/>
      <x:c r="M388" s="373"/>
      <x:c r="N388" s="373"/>
      <x:c r="O388" s="373"/>
      <x:c r="P388" s="373"/>
      <x:c r="Q388" s="373"/>
      <x:c r="R388" s="373"/>
      <x:c r="S388" s="373"/>
      <x:c r="T388" s="373"/>
      <x:c r="U388" s="373"/>
      <x:c r="V388" s="373"/>
      <x:c r="W388" s="373"/>
      <x:c r="X388" s="373"/>
      <x:c r="Y388" s="373"/>
      <x:c r="Z388" s="373"/>
    </x:row>
    <x:row r="389">
      <x:c r="A389" s="373"/>
      <x:c r="B389" s="373"/>
      <x:c r="C389" s="373"/>
      <x:c r="D389" s="373"/>
      <x:c r="E389" s="373"/>
      <x:c r="F389" s="373"/>
      <x:c r="G389" s="373"/>
      <x:c r="H389" s="373"/>
      <x:c r="I389" s="373"/>
      <x:c r="J389" s="373"/>
      <x:c r="K389" s="373"/>
      <x:c r="L389" s="373"/>
      <x:c r="M389" s="373"/>
      <x:c r="N389" s="373"/>
      <x:c r="O389" s="373"/>
      <x:c r="P389" s="373"/>
      <x:c r="Q389" s="373"/>
      <x:c r="R389" s="373"/>
      <x:c r="S389" s="373"/>
      <x:c r="T389" s="373"/>
      <x:c r="U389" s="373"/>
      <x:c r="V389" s="373"/>
      <x:c r="W389" s="373"/>
      <x:c r="X389" s="373"/>
      <x:c r="Y389" s="373"/>
      <x:c r="Z389" s="373"/>
    </x:row>
    <x:row r="390">
      <x:c r="A390" s="373"/>
      <x:c r="B390" s="373"/>
      <x:c r="C390" s="373"/>
      <x:c r="D390" s="373"/>
      <x:c r="E390" s="373"/>
      <x:c r="F390" s="373"/>
      <x:c r="G390" s="373"/>
      <x:c r="H390" s="373"/>
      <x:c r="I390" s="373"/>
      <x:c r="J390" s="373"/>
      <x:c r="K390" s="373"/>
      <x:c r="L390" s="373"/>
      <x:c r="M390" s="373"/>
      <x:c r="N390" s="373"/>
      <x:c r="O390" s="373"/>
      <x:c r="P390" s="373"/>
      <x:c r="Q390" s="373"/>
      <x:c r="R390" s="373"/>
      <x:c r="S390" s="373"/>
      <x:c r="T390" s="373"/>
      <x:c r="U390" s="373"/>
      <x:c r="V390" s="373"/>
      <x:c r="W390" s="373"/>
      <x:c r="X390" s="373"/>
      <x:c r="Y390" s="373"/>
      <x:c r="Z390" s="373"/>
    </x:row>
    <x:row r="391">
      <x:c r="A391" s="373"/>
      <x:c r="B391" s="373"/>
      <x:c r="C391" s="373"/>
      <x:c r="D391" s="373"/>
      <x:c r="E391" s="373"/>
      <x:c r="F391" s="373"/>
      <x:c r="G391" s="373"/>
      <x:c r="H391" s="373"/>
      <x:c r="I391" s="373"/>
      <x:c r="J391" s="373"/>
      <x:c r="K391" s="373"/>
      <x:c r="L391" s="373"/>
      <x:c r="M391" s="373"/>
      <x:c r="N391" s="373"/>
      <x:c r="O391" s="373"/>
      <x:c r="P391" s="373"/>
      <x:c r="Q391" s="373"/>
      <x:c r="R391" s="373"/>
      <x:c r="S391" s="373"/>
      <x:c r="T391" s="373"/>
      <x:c r="U391" s="373"/>
      <x:c r="V391" s="373"/>
      <x:c r="W391" s="373"/>
      <x:c r="X391" s="373"/>
      <x:c r="Y391" s="373"/>
      <x:c r="Z391" s="373"/>
    </x:row>
    <x:row r="392">
      <x:c r="A392" s="373"/>
      <x:c r="B392" s="373"/>
      <x:c r="C392" s="373"/>
      <x:c r="D392" s="373"/>
      <x:c r="E392" s="373"/>
      <x:c r="F392" s="373"/>
      <x:c r="G392" s="373"/>
      <x:c r="H392" s="373"/>
      <x:c r="I392" s="373"/>
      <x:c r="J392" s="373"/>
      <x:c r="K392" s="373"/>
      <x:c r="L392" s="373"/>
      <x:c r="M392" s="373"/>
      <x:c r="N392" s="373"/>
      <x:c r="O392" s="373"/>
      <x:c r="P392" s="373"/>
      <x:c r="Q392" s="373"/>
      <x:c r="R392" s="373"/>
      <x:c r="S392" s="373"/>
      <x:c r="T392" s="373"/>
      <x:c r="U392" s="373"/>
      <x:c r="V392" s="373"/>
      <x:c r="W392" s="373"/>
      <x:c r="X392" s="373"/>
      <x:c r="Y392" s="373"/>
      <x:c r="Z392" s="373"/>
    </x:row>
    <x:row r="393">
      <x:c r="A393" s="373"/>
      <x:c r="B393" s="373"/>
      <x:c r="C393" s="373"/>
      <x:c r="D393" s="373"/>
      <x:c r="E393" s="373"/>
      <x:c r="F393" s="373"/>
      <x:c r="G393" s="373"/>
      <x:c r="H393" s="373"/>
      <x:c r="I393" s="373"/>
      <x:c r="J393" s="373"/>
      <x:c r="K393" s="373"/>
      <x:c r="L393" s="373"/>
      <x:c r="M393" s="373"/>
      <x:c r="N393" s="373"/>
      <x:c r="O393" s="373"/>
      <x:c r="P393" s="373"/>
      <x:c r="Q393" s="373"/>
      <x:c r="R393" s="373"/>
      <x:c r="S393" s="373"/>
      <x:c r="T393" s="373"/>
      <x:c r="U393" s="373"/>
      <x:c r="V393" s="373"/>
      <x:c r="W393" s="373"/>
      <x:c r="X393" s="373"/>
      <x:c r="Y393" s="373"/>
      <x:c r="Z393" s="373"/>
    </x:row>
    <x:row r="394">
      <x:c r="A394" s="373"/>
      <x:c r="B394" s="373"/>
      <x:c r="C394" s="373"/>
      <x:c r="D394" s="373"/>
      <x:c r="E394" s="373"/>
      <x:c r="F394" s="373"/>
      <x:c r="G394" s="373"/>
      <x:c r="H394" s="373"/>
      <x:c r="I394" s="373"/>
      <x:c r="J394" s="373"/>
      <x:c r="K394" s="373"/>
      <x:c r="L394" s="373"/>
      <x:c r="M394" s="373"/>
      <x:c r="N394" s="373"/>
      <x:c r="O394" s="373"/>
      <x:c r="P394" s="373"/>
      <x:c r="Q394" s="373"/>
      <x:c r="R394" s="373"/>
      <x:c r="S394" s="373"/>
      <x:c r="T394" s="373"/>
      <x:c r="U394" s="373"/>
      <x:c r="V394" s="373"/>
      <x:c r="W394" s="373"/>
      <x:c r="X394" s="373"/>
      <x:c r="Y394" s="373"/>
      <x:c r="Z394" s="373"/>
    </x:row>
    <x:row r="395">
      <x:c r="A395" s="373"/>
      <x:c r="B395" s="373"/>
      <x:c r="C395" s="373"/>
      <x:c r="D395" s="373"/>
      <x:c r="E395" s="373"/>
      <x:c r="F395" s="373"/>
      <x:c r="G395" s="373"/>
      <x:c r="H395" s="373"/>
      <x:c r="I395" s="373"/>
      <x:c r="J395" s="373"/>
      <x:c r="K395" s="373"/>
      <x:c r="L395" s="373"/>
      <x:c r="M395" s="373"/>
      <x:c r="N395" s="373"/>
      <x:c r="O395" s="373"/>
      <x:c r="P395" s="373"/>
      <x:c r="Q395" s="373"/>
      <x:c r="R395" s="373"/>
      <x:c r="S395" s="373"/>
      <x:c r="T395" s="373"/>
      <x:c r="U395" s="373"/>
      <x:c r="V395" s="373"/>
      <x:c r="W395" s="373"/>
      <x:c r="X395" s="373"/>
      <x:c r="Y395" s="373"/>
      <x:c r="Z395" s="373"/>
    </x:row>
    <x:row r="396">
      <x:c r="A396" s="373"/>
      <x:c r="B396" s="373"/>
      <x:c r="C396" s="373"/>
      <x:c r="D396" s="373"/>
      <x:c r="E396" s="373"/>
      <x:c r="F396" s="373"/>
      <x:c r="G396" s="373"/>
      <x:c r="H396" s="373"/>
      <x:c r="I396" s="373"/>
      <x:c r="J396" s="373"/>
      <x:c r="K396" s="373"/>
      <x:c r="L396" s="373"/>
      <x:c r="M396" s="373"/>
      <x:c r="N396" s="373"/>
      <x:c r="O396" s="373"/>
      <x:c r="P396" s="373"/>
      <x:c r="Q396" s="373"/>
      <x:c r="R396" s="373"/>
      <x:c r="S396" s="373"/>
      <x:c r="T396" s="373"/>
      <x:c r="U396" s="373"/>
      <x:c r="V396" s="373"/>
      <x:c r="W396" s="373"/>
      <x:c r="X396" s="373"/>
      <x:c r="Y396" s="373"/>
      <x:c r="Z396" s="373"/>
    </x:row>
    <x:row r="397">
      <x:c r="A397" s="373"/>
      <x:c r="B397" s="373"/>
      <x:c r="C397" s="373"/>
      <x:c r="D397" s="373"/>
      <x:c r="E397" s="373"/>
      <x:c r="F397" s="373"/>
      <x:c r="G397" s="373"/>
      <x:c r="H397" s="373"/>
      <x:c r="I397" s="373"/>
      <x:c r="J397" s="373"/>
      <x:c r="K397" s="373"/>
      <x:c r="L397" s="373"/>
      <x:c r="M397" s="373"/>
      <x:c r="N397" s="373"/>
      <x:c r="O397" s="373"/>
      <x:c r="P397" s="373"/>
      <x:c r="Q397" s="373"/>
      <x:c r="R397" s="373"/>
      <x:c r="S397" s="373"/>
      <x:c r="T397" s="373"/>
      <x:c r="U397" s="373"/>
      <x:c r="V397" s="373"/>
      <x:c r="W397" s="373"/>
      <x:c r="X397" s="373"/>
      <x:c r="Y397" s="373"/>
      <x:c r="Z397" s="373"/>
    </x:row>
    <x:row r="398">
      <x:c r="A398" s="373"/>
      <x:c r="B398" s="373"/>
      <x:c r="C398" s="373"/>
      <x:c r="D398" s="373"/>
      <x:c r="E398" s="373"/>
      <x:c r="F398" s="373"/>
      <x:c r="G398" s="373"/>
      <x:c r="H398" s="373"/>
      <x:c r="I398" s="373"/>
      <x:c r="J398" s="373"/>
      <x:c r="K398" s="373"/>
      <x:c r="L398" s="373"/>
      <x:c r="M398" s="373"/>
      <x:c r="N398" s="373"/>
      <x:c r="O398" s="373"/>
      <x:c r="P398" s="373"/>
      <x:c r="Q398" s="373"/>
      <x:c r="R398" s="373"/>
      <x:c r="S398" s="373"/>
      <x:c r="T398" s="373"/>
      <x:c r="U398" s="373"/>
      <x:c r="V398" s="373"/>
      <x:c r="W398" s="373"/>
      <x:c r="X398" s="373"/>
      <x:c r="Y398" s="373"/>
      <x:c r="Z398" s="373"/>
    </x:row>
    <x:row r="399">
      <x:c r="A399" s="373"/>
      <x:c r="B399" s="373"/>
      <x:c r="C399" s="373"/>
      <x:c r="D399" s="373"/>
      <x:c r="E399" s="373"/>
      <x:c r="F399" s="373"/>
      <x:c r="G399" s="373"/>
      <x:c r="H399" s="373"/>
      <x:c r="I399" s="373"/>
      <x:c r="J399" s="373"/>
      <x:c r="K399" s="373"/>
      <x:c r="L399" s="373"/>
      <x:c r="M399" s="373"/>
      <x:c r="N399" s="373"/>
      <x:c r="O399" s="373"/>
      <x:c r="P399" s="373"/>
      <x:c r="Q399" s="373"/>
      <x:c r="R399" s="373"/>
      <x:c r="S399" s="373"/>
      <x:c r="T399" s="373"/>
      <x:c r="U399" s="373"/>
      <x:c r="V399" s="373"/>
      <x:c r="W399" s="373"/>
      <x:c r="X399" s="373"/>
      <x:c r="Y399" s="373"/>
      <x:c r="Z399" s="373"/>
    </x:row>
    <x:row r="400">
      <x:c r="A400" s="373"/>
      <x:c r="B400" s="373"/>
      <x:c r="C400" s="373"/>
      <x:c r="D400" s="373"/>
      <x:c r="E400" s="373"/>
      <x:c r="F400" s="373"/>
      <x:c r="G400" s="373"/>
      <x:c r="H400" s="373"/>
      <x:c r="I400" s="373"/>
      <x:c r="J400" s="373"/>
      <x:c r="K400" s="373"/>
      <x:c r="L400" s="373"/>
      <x:c r="M400" s="373"/>
      <x:c r="N400" s="373"/>
      <x:c r="O400" s="373"/>
      <x:c r="P400" s="373"/>
      <x:c r="Q400" s="373"/>
      <x:c r="R400" s="373"/>
      <x:c r="S400" s="373"/>
      <x:c r="T400" s="373"/>
      <x:c r="U400" s="373"/>
      <x:c r="V400" s="373"/>
      <x:c r="W400" s="373"/>
      <x:c r="X400" s="373"/>
      <x:c r="Y400" s="373"/>
      <x:c r="Z400" s="373"/>
    </x:row>
    <x:row r="401">
      <x:c r="A401" s="373"/>
      <x:c r="B401" s="373"/>
      <x:c r="C401" s="373"/>
      <x:c r="D401" s="373"/>
      <x:c r="E401" s="373"/>
      <x:c r="F401" s="373"/>
      <x:c r="G401" s="373"/>
      <x:c r="H401" s="373"/>
      <x:c r="I401" s="373"/>
      <x:c r="J401" s="373"/>
      <x:c r="K401" s="373"/>
      <x:c r="L401" s="373"/>
      <x:c r="M401" s="373"/>
      <x:c r="N401" s="373"/>
      <x:c r="O401" s="373"/>
      <x:c r="P401" s="373"/>
      <x:c r="Q401" s="373"/>
      <x:c r="R401" s="373"/>
      <x:c r="S401" s="373"/>
      <x:c r="T401" s="373"/>
      <x:c r="U401" s="373"/>
      <x:c r="V401" s="373"/>
      <x:c r="W401" s="373"/>
      <x:c r="X401" s="373"/>
      <x:c r="Y401" s="373"/>
      <x:c r="Z401" s="373"/>
    </x:row>
    <x:row r="402">
      <x:c r="A402" s="373"/>
      <x:c r="B402" s="373"/>
      <x:c r="C402" s="373"/>
      <x:c r="D402" s="373"/>
      <x:c r="E402" s="373"/>
      <x:c r="F402" s="373"/>
      <x:c r="G402" s="373"/>
      <x:c r="H402" s="373"/>
      <x:c r="I402" s="373"/>
      <x:c r="J402" s="373"/>
      <x:c r="K402" s="373"/>
      <x:c r="L402" s="373"/>
      <x:c r="M402" s="373"/>
      <x:c r="N402" s="373"/>
      <x:c r="O402" s="373"/>
      <x:c r="P402" s="373"/>
      <x:c r="Q402" s="373"/>
      <x:c r="R402" s="373"/>
      <x:c r="S402" s="373"/>
      <x:c r="T402" s="373"/>
      <x:c r="U402" s="373"/>
      <x:c r="V402" s="373"/>
      <x:c r="W402" s="373"/>
      <x:c r="X402" s="373"/>
      <x:c r="Y402" s="373"/>
      <x:c r="Z402" s="373"/>
    </x:row>
    <x:row r="403">
      <x:c r="A403" s="373"/>
      <x:c r="B403" s="373"/>
      <x:c r="C403" s="373"/>
      <x:c r="D403" s="373"/>
      <x:c r="E403" s="373"/>
      <x:c r="F403" s="373"/>
      <x:c r="G403" s="373"/>
      <x:c r="H403" s="373"/>
      <x:c r="I403" s="373"/>
      <x:c r="J403" s="373"/>
      <x:c r="K403" s="373"/>
      <x:c r="L403" s="373"/>
      <x:c r="M403" s="373"/>
      <x:c r="N403" s="373"/>
      <x:c r="O403" s="373"/>
      <x:c r="P403" s="373"/>
      <x:c r="Q403" s="373"/>
      <x:c r="R403" s="373"/>
      <x:c r="S403" s="373"/>
      <x:c r="T403" s="373"/>
      <x:c r="U403" s="373"/>
      <x:c r="V403" s="373"/>
      <x:c r="W403" s="373"/>
      <x:c r="X403" s="373"/>
      <x:c r="Y403" s="373"/>
      <x:c r="Z403" s="373"/>
    </x:row>
    <x:row r="404">
      <x:c r="A404" s="373"/>
      <x:c r="B404" s="373"/>
      <x:c r="C404" s="373"/>
      <x:c r="D404" s="373"/>
      <x:c r="E404" s="373"/>
      <x:c r="F404" s="373"/>
      <x:c r="G404" s="373"/>
      <x:c r="H404" s="373"/>
      <x:c r="I404" s="373"/>
      <x:c r="J404" s="373"/>
      <x:c r="K404" s="373"/>
      <x:c r="L404" s="373"/>
      <x:c r="M404" s="373"/>
      <x:c r="N404" s="373"/>
      <x:c r="O404" s="373"/>
      <x:c r="P404" s="373"/>
      <x:c r="Q404" s="373"/>
      <x:c r="R404" s="373"/>
      <x:c r="S404" s="373"/>
      <x:c r="T404" s="373"/>
      <x:c r="U404" s="373"/>
      <x:c r="V404" s="373"/>
      <x:c r="W404" s="373"/>
      <x:c r="X404" s="373"/>
      <x:c r="Y404" s="373"/>
      <x:c r="Z404" s="373"/>
    </x:row>
    <x:row r="405">
      <x:c r="A405" s="373"/>
      <x:c r="B405" s="373"/>
      <x:c r="C405" s="373"/>
      <x:c r="D405" s="373"/>
      <x:c r="E405" s="373"/>
      <x:c r="F405" s="373"/>
      <x:c r="G405" s="373"/>
      <x:c r="H405" s="373"/>
      <x:c r="I405" s="373"/>
      <x:c r="J405" s="373"/>
      <x:c r="K405" s="373"/>
      <x:c r="L405" s="373"/>
      <x:c r="M405" s="373"/>
      <x:c r="N405" s="373"/>
      <x:c r="O405" s="373"/>
      <x:c r="P405" s="373"/>
      <x:c r="Q405" s="373"/>
      <x:c r="R405" s="373"/>
      <x:c r="S405" s="373"/>
      <x:c r="T405" s="373"/>
      <x:c r="U405" s="373"/>
      <x:c r="V405" s="373"/>
      <x:c r="W405" s="373"/>
      <x:c r="X405" s="373"/>
      <x:c r="Y405" s="373"/>
      <x:c r="Z405" s="373"/>
    </x:row>
    <x:row r="406">
      <x:c r="A406" s="373"/>
      <x:c r="B406" s="373"/>
      <x:c r="C406" s="373"/>
      <x:c r="D406" s="373"/>
      <x:c r="E406" s="373"/>
      <x:c r="F406" s="373"/>
      <x:c r="G406" s="373"/>
      <x:c r="H406" s="373"/>
      <x:c r="I406" s="373"/>
      <x:c r="J406" s="373"/>
      <x:c r="K406" s="373"/>
      <x:c r="L406" s="373"/>
      <x:c r="M406" s="373"/>
      <x:c r="N406" s="373"/>
      <x:c r="O406" s="373"/>
      <x:c r="P406" s="373"/>
      <x:c r="Q406" s="373"/>
      <x:c r="R406" s="373"/>
      <x:c r="S406" s="373"/>
      <x:c r="T406" s="373"/>
      <x:c r="U406" s="373"/>
      <x:c r="V406" s="373"/>
      <x:c r="W406" s="373"/>
      <x:c r="X406" s="373"/>
      <x:c r="Y406" s="373"/>
      <x:c r="Z406" s="373"/>
    </x:row>
    <x:row r="407">
      <x:c r="A407" s="373"/>
      <x:c r="B407" s="373"/>
      <x:c r="C407" s="373"/>
      <x:c r="D407" s="373"/>
      <x:c r="E407" s="373"/>
      <x:c r="F407" s="373"/>
      <x:c r="G407" s="373"/>
      <x:c r="H407" s="373"/>
      <x:c r="I407" s="373"/>
      <x:c r="J407" s="373"/>
      <x:c r="K407" s="373"/>
      <x:c r="L407" s="373"/>
      <x:c r="M407" s="373"/>
      <x:c r="N407" s="373"/>
      <x:c r="O407" s="373"/>
      <x:c r="P407" s="373"/>
      <x:c r="Q407" s="373"/>
      <x:c r="R407" s="373"/>
      <x:c r="S407" s="373"/>
      <x:c r="T407" s="373"/>
      <x:c r="U407" s="373"/>
      <x:c r="V407" s="373"/>
      <x:c r="W407" s="373"/>
      <x:c r="X407" s="373"/>
      <x:c r="Y407" s="373"/>
      <x:c r="Z407" s="373"/>
    </x:row>
    <x:row r="408">
      <x:c r="A408" s="373"/>
      <x:c r="B408" s="373"/>
      <x:c r="C408" s="373"/>
      <x:c r="D408" s="373"/>
      <x:c r="E408" s="373"/>
      <x:c r="F408" s="373"/>
      <x:c r="G408" s="373"/>
      <x:c r="H408" s="373"/>
      <x:c r="I408" s="373"/>
      <x:c r="J408" s="373"/>
      <x:c r="K408" s="373"/>
      <x:c r="L408" s="373"/>
      <x:c r="M408" s="373"/>
      <x:c r="N408" s="373"/>
      <x:c r="O408" s="373"/>
      <x:c r="P408" s="373"/>
      <x:c r="Q408" s="373"/>
      <x:c r="R408" s="373"/>
      <x:c r="S408" s="373"/>
      <x:c r="T408" s="373"/>
      <x:c r="U408" s="373"/>
      <x:c r="V408" s="373"/>
      <x:c r="W408" s="373"/>
      <x:c r="X408" s="373"/>
      <x:c r="Y408" s="373"/>
      <x:c r="Z408" s="373"/>
    </x:row>
    <x:row r="409">
      <x:c r="A409" s="373"/>
      <x:c r="B409" s="373"/>
      <x:c r="C409" s="373"/>
      <x:c r="D409" s="373"/>
      <x:c r="E409" s="373"/>
      <x:c r="F409" s="373"/>
      <x:c r="G409" s="373"/>
      <x:c r="H409" s="373"/>
      <x:c r="I409" s="373"/>
      <x:c r="J409" s="373"/>
      <x:c r="K409" s="373"/>
      <x:c r="L409" s="373"/>
      <x:c r="M409" s="373"/>
      <x:c r="N409" s="373"/>
      <x:c r="O409" s="373"/>
      <x:c r="P409" s="373"/>
      <x:c r="Q409" s="373"/>
      <x:c r="R409" s="373"/>
      <x:c r="S409" s="373"/>
      <x:c r="T409" s="373"/>
      <x:c r="U409" s="373"/>
      <x:c r="V409" s="373"/>
      <x:c r="W409" s="373"/>
      <x:c r="X409" s="373"/>
      <x:c r="Y409" s="373"/>
      <x:c r="Z409" s="373"/>
    </x:row>
    <x:row r="410">
      <x:c r="A410" s="373"/>
      <x:c r="B410" s="373"/>
      <x:c r="C410" s="373"/>
      <x:c r="D410" s="373"/>
      <x:c r="E410" s="373"/>
      <x:c r="F410" s="373"/>
      <x:c r="G410" s="373"/>
      <x:c r="H410" s="373"/>
      <x:c r="I410" s="373"/>
      <x:c r="J410" s="373"/>
      <x:c r="K410" s="373"/>
      <x:c r="L410" s="373"/>
      <x:c r="M410" s="373"/>
      <x:c r="N410" s="373"/>
      <x:c r="O410" s="373"/>
      <x:c r="P410" s="373"/>
      <x:c r="Q410" s="373"/>
      <x:c r="R410" s="373"/>
      <x:c r="S410" s="373"/>
      <x:c r="T410" s="373"/>
      <x:c r="U410" s="373"/>
      <x:c r="V410" s="373"/>
      <x:c r="W410" s="373"/>
      <x:c r="X410" s="373"/>
      <x:c r="Y410" s="373"/>
      <x:c r="Z410" s="373"/>
    </x:row>
    <x:row r="411">
      <x:c r="A411" s="373"/>
      <x:c r="B411" s="373"/>
      <x:c r="C411" s="373"/>
      <x:c r="D411" s="373"/>
      <x:c r="E411" s="373"/>
      <x:c r="F411" s="373"/>
      <x:c r="G411" s="373"/>
      <x:c r="H411" s="373"/>
      <x:c r="I411" s="373"/>
      <x:c r="J411" s="373"/>
      <x:c r="K411" s="373"/>
      <x:c r="L411" s="373"/>
      <x:c r="M411" s="373"/>
      <x:c r="N411" s="373"/>
      <x:c r="O411" s="373"/>
      <x:c r="P411" s="373"/>
      <x:c r="Q411" s="373"/>
      <x:c r="R411" s="373"/>
      <x:c r="S411" s="373"/>
      <x:c r="T411" s="373"/>
      <x:c r="U411" s="373"/>
      <x:c r="V411" s="373"/>
      <x:c r="W411" s="373"/>
      <x:c r="X411" s="373"/>
      <x:c r="Y411" s="373"/>
      <x:c r="Z411" s="373"/>
    </x:row>
    <x:row r="412">
      <x:c r="A412" s="373"/>
      <x:c r="B412" s="373"/>
      <x:c r="C412" s="373"/>
      <x:c r="D412" s="373"/>
      <x:c r="E412" s="373"/>
      <x:c r="F412" s="373"/>
      <x:c r="G412" s="373"/>
      <x:c r="H412" s="373"/>
      <x:c r="I412" s="373"/>
      <x:c r="J412" s="373"/>
      <x:c r="K412" s="373"/>
      <x:c r="L412" s="373"/>
      <x:c r="M412" s="373"/>
      <x:c r="N412" s="373"/>
      <x:c r="O412" s="373"/>
      <x:c r="P412" s="373"/>
      <x:c r="Q412" s="373"/>
      <x:c r="R412" s="373"/>
      <x:c r="S412" s="373"/>
      <x:c r="T412" s="373"/>
      <x:c r="U412" s="373"/>
      <x:c r="V412" s="373"/>
      <x:c r="W412" s="373"/>
      <x:c r="X412" s="373"/>
      <x:c r="Y412" s="373"/>
      <x:c r="Z412" s="373"/>
    </x:row>
    <x:row r="413">
      <x:c r="A413" s="373"/>
      <x:c r="B413" s="373"/>
      <x:c r="C413" s="373"/>
      <x:c r="D413" s="373"/>
      <x:c r="E413" s="373"/>
      <x:c r="F413" s="373"/>
      <x:c r="G413" s="373"/>
      <x:c r="H413" s="373"/>
      <x:c r="I413" s="373"/>
      <x:c r="J413" s="373"/>
      <x:c r="K413" s="373"/>
      <x:c r="L413" s="373"/>
      <x:c r="M413" s="373"/>
      <x:c r="N413" s="373"/>
      <x:c r="O413" s="373"/>
      <x:c r="P413" s="373"/>
      <x:c r="Q413" s="373"/>
      <x:c r="R413" s="373"/>
      <x:c r="S413" s="373"/>
      <x:c r="T413" s="373"/>
      <x:c r="U413" s="373"/>
      <x:c r="V413" s="373"/>
      <x:c r="W413" s="373"/>
      <x:c r="X413" s="373"/>
      <x:c r="Y413" s="373"/>
      <x:c r="Z413" s="373"/>
    </x:row>
    <x:row r="414">
      <x:c r="A414" s="373"/>
      <x:c r="B414" s="373"/>
      <x:c r="C414" s="373"/>
      <x:c r="D414" s="373"/>
      <x:c r="E414" s="373"/>
      <x:c r="F414" s="373"/>
      <x:c r="G414" s="373"/>
      <x:c r="H414" s="373"/>
      <x:c r="I414" s="373"/>
      <x:c r="J414" s="373"/>
      <x:c r="K414" s="373"/>
      <x:c r="L414" s="373"/>
      <x:c r="M414" s="373"/>
      <x:c r="N414" s="373"/>
      <x:c r="O414" s="373"/>
      <x:c r="P414" s="373"/>
      <x:c r="Q414" s="373"/>
      <x:c r="R414" s="373"/>
      <x:c r="S414" s="373"/>
      <x:c r="T414" s="373"/>
      <x:c r="U414" s="373"/>
      <x:c r="V414" s="373"/>
      <x:c r="W414" s="373"/>
      <x:c r="X414" s="373"/>
      <x:c r="Y414" s="373"/>
      <x:c r="Z414" s="373"/>
    </x:row>
    <x:row r="415">
      <x:c r="A415" s="373"/>
      <x:c r="B415" s="373"/>
      <x:c r="C415" s="373"/>
      <x:c r="D415" s="373"/>
      <x:c r="E415" s="373"/>
      <x:c r="F415" s="373"/>
      <x:c r="G415" s="373"/>
      <x:c r="H415" s="373"/>
      <x:c r="I415" s="373"/>
      <x:c r="J415" s="373"/>
      <x:c r="K415" s="373"/>
      <x:c r="L415" s="373"/>
      <x:c r="M415" s="373"/>
      <x:c r="N415" s="373"/>
      <x:c r="O415" s="373"/>
      <x:c r="P415" s="373"/>
      <x:c r="Q415" s="373"/>
      <x:c r="R415" s="373"/>
      <x:c r="S415" s="373"/>
      <x:c r="T415" s="373"/>
      <x:c r="U415" s="373"/>
      <x:c r="V415" s="373"/>
      <x:c r="W415" s="373"/>
      <x:c r="X415" s="373"/>
      <x:c r="Y415" s="373"/>
      <x:c r="Z415" s="373"/>
    </x:row>
    <x:row r="416">
      <x:c r="A416" s="373"/>
      <x:c r="B416" s="373"/>
      <x:c r="C416" s="373"/>
      <x:c r="D416" s="373"/>
      <x:c r="E416" s="373"/>
      <x:c r="F416" s="373"/>
      <x:c r="G416" s="373"/>
      <x:c r="H416" s="373"/>
      <x:c r="I416" s="373"/>
      <x:c r="J416" s="373"/>
      <x:c r="K416" s="373"/>
      <x:c r="L416" s="373"/>
      <x:c r="M416" s="373"/>
      <x:c r="N416" s="373"/>
      <x:c r="O416" s="373"/>
      <x:c r="P416" s="373"/>
      <x:c r="Q416" s="373"/>
      <x:c r="R416" s="373"/>
      <x:c r="S416" s="373"/>
      <x:c r="T416" s="373"/>
      <x:c r="U416" s="373"/>
      <x:c r="V416" s="373"/>
      <x:c r="W416" s="373"/>
      <x:c r="X416" s="373"/>
      <x:c r="Y416" s="373"/>
      <x:c r="Z416" s="373"/>
    </x:row>
    <x:row r="417">
      <x:c r="A417" s="373"/>
      <x:c r="B417" s="373"/>
      <x:c r="C417" s="373"/>
      <x:c r="D417" s="373"/>
      <x:c r="E417" s="373"/>
      <x:c r="F417" s="373"/>
      <x:c r="G417" s="373"/>
      <x:c r="H417" s="373"/>
      <x:c r="I417" s="373"/>
      <x:c r="J417" s="373"/>
      <x:c r="K417" s="373"/>
      <x:c r="L417" s="373"/>
      <x:c r="M417" s="373"/>
      <x:c r="N417" s="373"/>
      <x:c r="O417" s="373"/>
      <x:c r="P417" s="373"/>
      <x:c r="Q417" s="373"/>
      <x:c r="R417" s="373"/>
      <x:c r="S417" s="373"/>
      <x:c r="T417" s="373"/>
      <x:c r="U417" s="373"/>
      <x:c r="V417" s="373"/>
      <x:c r="W417" s="373"/>
      <x:c r="X417" s="373"/>
      <x:c r="Y417" s="373"/>
      <x:c r="Z417" s="373"/>
    </x:row>
    <x:row r="418">
      <x:c r="A418" s="373"/>
      <x:c r="B418" s="373"/>
      <x:c r="C418" s="373"/>
      <x:c r="D418" s="373"/>
      <x:c r="E418" s="373"/>
      <x:c r="F418" s="373"/>
      <x:c r="G418" s="373"/>
      <x:c r="H418" s="373"/>
      <x:c r="I418" s="373"/>
      <x:c r="J418" s="373"/>
      <x:c r="K418" s="373"/>
      <x:c r="L418" s="373"/>
      <x:c r="M418" s="373"/>
      <x:c r="N418" s="373"/>
      <x:c r="O418" s="373"/>
      <x:c r="P418" s="373"/>
      <x:c r="Q418" s="373"/>
      <x:c r="R418" s="373"/>
      <x:c r="S418" s="373"/>
      <x:c r="T418" s="373"/>
      <x:c r="U418" s="373"/>
      <x:c r="V418" s="373"/>
      <x:c r="W418" s="373"/>
      <x:c r="X418" s="373"/>
      <x:c r="Y418" s="373"/>
      <x:c r="Z418" s="373"/>
    </x:row>
    <x:row r="419">
      <x:c r="A419" s="373"/>
      <x:c r="B419" s="373"/>
      <x:c r="C419" s="373"/>
      <x:c r="D419" s="373"/>
      <x:c r="E419" s="373"/>
      <x:c r="F419" s="373"/>
      <x:c r="G419" s="373"/>
      <x:c r="H419" s="373"/>
      <x:c r="I419" s="373"/>
      <x:c r="J419" s="373"/>
      <x:c r="K419" s="373"/>
      <x:c r="L419" s="373"/>
      <x:c r="M419" s="373"/>
      <x:c r="N419" s="373"/>
      <x:c r="O419" s="373"/>
      <x:c r="P419" s="373"/>
      <x:c r="Q419" s="373"/>
      <x:c r="R419" s="373"/>
      <x:c r="S419" s="373"/>
      <x:c r="T419" s="373"/>
      <x:c r="U419" s="373"/>
      <x:c r="V419" s="373"/>
      <x:c r="W419" s="373"/>
      <x:c r="X419" s="373"/>
      <x:c r="Y419" s="373"/>
      <x:c r="Z419" s="373"/>
    </x:row>
    <x:row r="420">
      <x:c r="A420" s="373"/>
      <x:c r="B420" s="373"/>
      <x:c r="C420" s="373"/>
      <x:c r="D420" s="373"/>
      <x:c r="E420" s="373"/>
      <x:c r="F420" s="373"/>
      <x:c r="G420" s="373"/>
      <x:c r="H420" s="373"/>
      <x:c r="I420" s="373"/>
      <x:c r="J420" s="373"/>
      <x:c r="K420" s="373"/>
      <x:c r="L420" s="373"/>
      <x:c r="M420" s="373"/>
      <x:c r="N420" s="373"/>
      <x:c r="O420" s="373"/>
      <x:c r="P420" s="373"/>
      <x:c r="Q420" s="373"/>
      <x:c r="R420" s="373"/>
      <x:c r="S420" s="373"/>
      <x:c r="T420" s="373"/>
      <x:c r="U420" s="373"/>
      <x:c r="V420" s="373"/>
      <x:c r="W420" s="373"/>
      <x:c r="X420" s="373"/>
      <x:c r="Y420" s="373"/>
      <x:c r="Z420" s="373"/>
    </x:row>
    <x:row r="421">
      <x:c r="A421" s="373"/>
      <x:c r="B421" s="373"/>
      <x:c r="C421" s="373"/>
      <x:c r="D421" s="373"/>
      <x:c r="E421" s="373"/>
      <x:c r="F421" s="373"/>
      <x:c r="G421" s="373"/>
      <x:c r="H421" s="373"/>
      <x:c r="I421" s="373"/>
      <x:c r="J421" s="373"/>
      <x:c r="K421" s="373"/>
      <x:c r="L421" s="373"/>
      <x:c r="M421" s="373"/>
      <x:c r="N421" s="373"/>
      <x:c r="O421" s="373"/>
      <x:c r="P421" s="373"/>
      <x:c r="Q421" s="373"/>
      <x:c r="R421" s="373"/>
      <x:c r="S421" s="373"/>
      <x:c r="T421" s="373"/>
      <x:c r="U421" s="373"/>
      <x:c r="V421" s="373"/>
      <x:c r="W421" s="373"/>
      <x:c r="X421" s="373"/>
      <x:c r="Y421" s="373"/>
      <x:c r="Z421" s="373"/>
    </x:row>
    <x:row r="422">
      <x:c r="A422" s="373"/>
      <x:c r="B422" s="373"/>
      <x:c r="C422" s="373"/>
      <x:c r="D422" s="373"/>
      <x:c r="E422" s="373"/>
      <x:c r="F422" s="373"/>
      <x:c r="G422" s="373"/>
      <x:c r="H422" s="373"/>
      <x:c r="I422" s="373"/>
      <x:c r="J422" s="373"/>
      <x:c r="K422" s="373"/>
      <x:c r="L422" s="373"/>
      <x:c r="M422" s="373"/>
      <x:c r="N422" s="373"/>
      <x:c r="O422" s="373"/>
      <x:c r="P422" s="373"/>
      <x:c r="Q422" s="373"/>
      <x:c r="R422" s="373"/>
      <x:c r="S422" s="373"/>
      <x:c r="T422" s="373"/>
      <x:c r="U422" s="373"/>
      <x:c r="V422" s="373"/>
      <x:c r="W422" s="373"/>
      <x:c r="X422" s="373"/>
      <x:c r="Y422" s="373"/>
      <x:c r="Z422" s="373"/>
    </x:row>
    <x:row r="423">
      <x:c r="A423" s="373"/>
      <x:c r="B423" s="373"/>
      <x:c r="C423" s="373"/>
      <x:c r="D423" s="373"/>
      <x:c r="E423" s="373"/>
      <x:c r="F423" s="373"/>
      <x:c r="G423" s="373"/>
      <x:c r="H423" s="373"/>
      <x:c r="I423" s="373"/>
      <x:c r="J423" s="373"/>
      <x:c r="K423" s="373"/>
      <x:c r="L423" s="373"/>
      <x:c r="M423" s="373"/>
      <x:c r="N423" s="373"/>
      <x:c r="O423" s="373"/>
      <x:c r="P423" s="373"/>
      <x:c r="Q423" s="373"/>
      <x:c r="R423" s="373"/>
      <x:c r="S423" s="373"/>
      <x:c r="T423" s="373"/>
      <x:c r="U423" s="373"/>
      <x:c r="V423" s="373"/>
      <x:c r="W423" s="373"/>
      <x:c r="X423" s="373"/>
      <x:c r="Y423" s="373"/>
      <x:c r="Z423" s="373"/>
    </x:row>
    <x:row r="424">
      <x:c r="A424" s="373"/>
      <x:c r="B424" s="373"/>
      <x:c r="C424" s="373"/>
      <x:c r="D424" s="373"/>
      <x:c r="E424" s="373"/>
      <x:c r="F424" s="373"/>
      <x:c r="G424" s="373"/>
      <x:c r="H424" s="373"/>
      <x:c r="I424" s="373"/>
      <x:c r="J424" s="373"/>
      <x:c r="K424" s="373"/>
      <x:c r="L424" s="373"/>
      <x:c r="M424" s="373"/>
      <x:c r="N424" s="373"/>
      <x:c r="O424" s="373"/>
      <x:c r="P424" s="373"/>
      <x:c r="Q424" s="373"/>
      <x:c r="R424" s="373"/>
      <x:c r="S424" s="373"/>
      <x:c r="T424" s="373"/>
      <x:c r="U424" s="373"/>
      <x:c r="V424" s="373"/>
      <x:c r="W424" s="373"/>
      <x:c r="X424" s="373"/>
      <x:c r="Y424" s="373"/>
      <x:c r="Z424" s="373"/>
    </x:row>
    <x:row r="425">
      <x:c r="A425" s="373"/>
      <x:c r="B425" s="373"/>
      <x:c r="C425" s="373"/>
      <x:c r="D425" s="373"/>
      <x:c r="E425" s="373"/>
      <x:c r="F425" s="373"/>
      <x:c r="G425" s="373"/>
      <x:c r="H425" s="373"/>
      <x:c r="I425" s="373"/>
      <x:c r="J425" s="373"/>
      <x:c r="K425" s="373"/>
      <x:c r="L425" s="373"/>
      <x:c r="M425" s="373"/>
      <x:c r="N425" s="373"/>
      <x:c r="O425" s="373"/>
      <x:c r="P425" s="373"/>
      <x:c r="Q425" s="373"/>
      <x:c r="R425" s="373"/>
      <x:c r="S425" s="373"/>
      <x:c r="T425" s="373"/>
      <x:c r="U425" s="373"/>
      <x:c r="V425" s="373"/>
      <x:c r="W425" s="373"/>
      <x:c r="X425" s="373"/>
      <x:c r="Y425" s="373"/>
      <x:c r="Z425" s="373"/>
    </x:row>
    <x:row r="426">
      <x:c r="A426" s="373"/>
      <x:c r="B426" s="373"/>
      <x:c r="C426" s="373"/>
      <x:c r="D426" s="373"/>
      <x:c r="E426" s="373"/>
      <x:c r="F426" s="373"/>
      <x:c r="G426" s="373"/>
      <x:c r="H426" s="373"/>
      <x:c r="I426" s="373"/>
      <x:c r="J426" s="373"/>
      <x:c r="K426" s="373"/>
      <x:c r="L426" s="373"/>
      <x:c r="M426" s="373"/>
      <x:c r="N426" s="373"/>
      <x:c r="O426" s="373"/>
      <x:c r="P426" s="373"/>
      <x:c r="Q426" s="373"/>
      <x:c r="R426" s="373"/>
      <x:c r="S426" s="373"/>
      <x:c r="T426" s="373"/>
      <x:c r="U426" s="373"/>
      <x:c r="V426" s="373"/>
      <x:c r="W426" s="373"/>
      <x:c r="X426" s="373"/>
      <x:c r="Y426" s="373"/>
      <x:c r="Z426" s="373"/>
    </x:row>
    <x:row r="427">
      <x:c r="A427" s="373"/>
      <x:c r="B427" s="373"/>
      <x:c r="C427" s="373"/>
      <x:c r="D427" s="373"/>
      <x:c r="E427" s="373"/>
      <x:c r="F427" s="373"/>
      <x:c r="G427" s="373"/>
      <x:c r="H427" s="373"/>
      <x:c r="I427" s="373"/>
      <x:c r="J427" s="373"/>
      <x:c r="K427" s="373"/>
      <x:c r="L427" s="373"/>
      <x:c r="M427" s="373"/>
      <x:c r="N427" s="373"/>
      <x:c r="O427" s="373"/>
      <x:c r="P427" s="373"/>
      <x:c r="Q427" s="373"/>
      <x:c r="R427" s="373"/>
      <x:c r="S427" s="373"/>
      <x:c r="T427" s="373"/>
      <x:c r="U427" s="373"/>
      <x:c r="V427" s="373"/>
      <x:c r="W427" s="373"/>
      <x:c r="X427" s="373"/>
      <x:c r="Y427" s="373"/>
      <x:c r="Z427" s="373"/>
    </x:row>
    <x:row r="428">
      <x:c r="A428" s="373"/>
      <x:c r="B428" s="373"/>
      <x:c r="C428" s="373"/>
      <x:c r="D428" s="373"/>
      <x:c r="E428" s="373"/>
      <x:c r="F428" s="373"/>
      <x:c r="G428" s="373"/>
      <x:c r="H428" s="373"/>
      <x:c r="I428" s="373"/>
      <x:c r="J428" s="373"/>
      <x:c r="K428" s="373"/>
      <x:c r="L428" s="373"/>
      <x:c r="M428" s="373"/>
      <x:c r="N428" s="373"/>
      <x:c r="O428" s="373"/>
      <x:c r="P428" s="373"/>
      <x:c r="Q428" s="373"/>
      <x:c r="R428" s="373"/>
      <x:c r="S428" s="373"/>
      <x:c r="T428" s="373"/>
      <x:c r="U428" s="373"/>
      <x:c r="V428" s="373"/>
      <x:c r="W428" s="373"/>
      <x:c r="X428" s="373"/>
      <x:c r="Y428" s="373"/>
      <x:c r="Z428" s="373"/>
    </x:row>
    <x:row r="429">
      <x:c r="A429" s="373"/>
      <x:c r="B429" s="373"/>
      <x:c r="C429" s="373"/>
      <x:c r="D429" s="373"/>
      <x:c r="E429" s="373"/>
      <x:c r="F429" s="373"/>
      <x:c r="G429" s="373"/>
      <x:c r="H429" s="373"/>
      <x:c r="I429" s="373"/>
      <x:c r="J429" s="373"/>
      <x:c r="K429" s="373"/>
      <x:c r="L429" s="373"/>
      <x:c r="M429" s="373"/>
      <x:c r="N429" s="373"/>
      <x:c r="O429" s="373"/>
      <x:c r="P429" s="373"/>
      <x:c r="Q429" s="373"/>
      <x:c r="R429" s="373"/>
      <x:c r="S429" s="373"/>
      <x:c r="T429" s="373"/>
      <x:c r="U429" s="373"/>
      <x:c r="V429" s="373"/>
      <x:c r="W429" s="373"/>
      <x:c r="X429" s="373"/>
      <x:c r="Y429" s="373"/>
      <x:c r="Z429" s="373"/>
    </x:row>
    <x:row r="430">
      <x:c r="A430" s="373"/>
      <x:c r="B430" s="373"/>
      <x:c r="C430" s="373"/>
      <x:c r="D430" s="373"/>
      <x:c r="E430" s="373"/>
      <x:c r="F430" s="373"/>
      <x:c r="G430" s="373"/>
      <x:c r="H430" s="373"/>
      <x:c r="I430" s="373"/>
      <x:c r="J430" s="373"/>
      <x:c r="K430" s="373"/>
      <x:c r="L430" s="373"/>
      <x:c r="M430" s="373"/>
      <x:c r="N430" s="373"/>
      <x:c r="O430" s="373"/>
      <x:c r="P430" s="373"/>
      <x:c r="Q430" s="373"/>
      <x:c r="R430" s="373"/>
      <x:c r="S430" s="373"/>
      <x:c r="T430" s="373"/>
      <x:c r="U430" s="373"/>
      <x:c r="V430" s="373"/>
      <x:c r="W430" s="373"/>
      <x:c r="X430" s="373"/>
      <x:c r="Y430" s="373"/>
      <x:c r="Z430" s="373"/>
    </x:row>
    <x:row r="431">
      <x:c r="A431" s="373"/>
      <x:c r="B431" s="373"/>
      <x:c r="C431" s="373"/>
      <x:c r="D431" s="373"/>
      <x:c r="E431" s="373"/>
      <x:c r="F431" s="373"/>
      <x:c r="G431" s="373"/>
      <x:c r="H431" s="373"/>
      <x:c r="I431" s="373"/>
      <x:c r="J431" s="373"/>
      <x:c r="K431" s="373"/>
      <x:c r="L431" s="373"/>
      <x:c r="M431" s="373"/>
      <x:c r="N431" s="373"/>
      <x:c r="O431" s="373"/>
      <x:c r="P431" s="373"/>
      <x:c r="Q431" s="373"/>
      <x:c r="R431" s="373"/>
      <x:c r="S431" s="373"/>
      <x:c r="T431" s="373"/>
      <x:c r="U431" s="373"/>
      <x:c r="V431" s="373"/>
      <x:c r="W431" s="373"/>
      <x:c r="X431" s="373"/>
      <x:c r="Y431" s="373"/>
      <x:c r="Z431" s="373"/>
    </x:row>
    <x:row r="432">
      <x:c r="A432" s="373"/>
      <x:c r="B432" s="373"/>
      <x:c r="C432" s="373"/>
      <x:c r="D432" s="373"/>
      <x:c r="E432" s="373"/>
      <x:c r="F432" s="373"/>
      <x:c r="G432" s="373"/>
      <x:c r="H432" s="373"/>
      <x:c r="I432" s="373"/>
      <x:c r="J432" s="373"/>
      <x:c r="K432" s="373"/>
      <x:c r="L432" s="373"/>
      <x:c r="M432" s="373"/>
      <x:c r="N432" s="373"/>
      <x:c r="O432" s="373"/>
      <x:c r="P432" s="373"/>
      <x:c r="Q432" s="373"/>
      <x:c r="R432" s="373"/>
      <x:c r="S432" s="373"/>
      <x:c r="T432" s="373"/>
      <x:c r="U432" s="373"/>
      <x:c r="V432" s="373"/>
      <x:c r="W432" s="373"/>
      <x:c r="X432" s="373"/>
      <x:c r="Y432" s="373"/>
      <x:c r="Z432" s="373"/>
    </x:row>
    <x:row r="433">
      <x:c r="A433" s="373"/>
      <x:c r="B433" s="373"/>
      <x:c r="C433" s="373"/>
      <x:c r="D433" s="373"/>
      <x:c r="E433" s="373"/>
      <x:c r="F433" s="373"/>
      <x:c r="G433" s="373"/>
      <x:c r="H433" s="373"/>
      <x:c r="I433" s="373"/>
      <x:c r="J433" s="373"/>
      <x:c r="K433" s="373"/>
      <x:c r="L433" s="373"/>
      <x:c r="M433" s="373"/>
      <x:c r="N433" s="373"/>
      <x:c r="O433" s="373"/>
      <x:c r="P433" s="373"/>
      <x:c r="Q433" s="373"/>
      <x:c r="R433" s="373"/>
      <x:c r="S433" s="373"/>
      <x:c r="T433" s="373"/>
      <x:c r="U433" s="373"/>
      <x:c r="V433" s="373"/>
      <x:c r="W433" s="373"/>
      <x:c r="X433" s="373"/>
      <x:c r="Y433" s="373"/>
      <x:c r="Z433" s="373"/>
    </x:row>
    <x:row r="434">
      <x:c r="A434" s="373"/>
      <x:c r="B434" s="373"/>
      <x:c r="C434" s="373"/>
      <x:c r="D434" s="373"/>
      <x:c r="E434" s="373"/>
      <x:c r="F434" s="373"/>
      <x:c r="G434" s="373"/>
      <x:c r="H434" s="373"/>
      <x:c r="I434" s="373"/>
      <x:c r="J434" s="373"/>
      <x:c r="K434" s="373"/>
      <x:c r="L434" s="373"/>
      <x:c r="M434" s="373"/>
      <x:c r="N434" s="373"/>
      <x:c r="O434" s="373"/>
      <x:c r="P434" s="373"/>
      <x:c r="Q434" s="373"/>
      <x:c r="R434" s="373"/>
      <x:c r="S434" s="373"/>
      <x:c r="T434" s="373"/>
      <x:c r="U434" s="373"/>
      <x:c r="V434" s="373"/>
      <x:c r="W434" s="373"/>
      <x:c r="X434" s="373"/>
      <x:c r="Y434" s="373"/>
      <x:c r="Z434" s="373"/>
    </x:row>
    <x:row r="435">
      <x:c r="A435" s="373"/>
      <x:c r="B435" s="373"/>
      <x:c r="C435" s="373"/>
      <x:c r="D435" s="373"/>
      <x:c r="E435" s="373"/>
      <x:c r="F435" s="373"/>
      <x:c r="G435" s="373"/>
      <x:c r="H435" s="373"/>
      <x:c r="I435" s="373"/>
      <x:c r="J435" s="373"/>
      <x:c r="K435" s="373"/>
      <x:c r="L435" s="373"/>
      <x:c r="M435" s="373"/>
      <x:c r="N435" s="373"/>
      <x:c r="O435" s="373"/>
      <x:c r="P435" s="373"/>
      <x:c r="Q435" s="373"/>
      <x:c r="R435" s="373"/>
      <x:c r="S435" s="373"/>
      <x:c r="T435" s="373"/>
      <x:c r="U435" s="373"/>
      <x:c r="V435" s="373"/>
      <x:c r="W435" s="373"/>
      <x:c r="X435" s="373"/>
      <x:c r="Y435" s="373"/>
      <x:c r="Z435" s="373"/>
    </x:row>
    <x:row r="436">
      <x:c r="A436" s="373"/>
      <x:c r="B436" s="373"/>
      <x:c r="C436" s="373"/>
      <x:c r="D436" s="373"/>
      <x:c r="E436" s="373"/>
      <x:c r="F436" s="373"/>
      <x:c r="G436" s="373"/>
      <x:c r="H436" s="373"/>
      <x:c r="I436" s="373"/>
      <x:c r="J436" s="373"/>
      <x:c r="K436" s="373"/>
      <x:c r="L436" s="373"/>
      <x:c r="M436" s="373"/>
      <x:c r="N436" s="373"/>
      <x:c r="O436" s="373"/>
      <x:c r="P436" s="373"/>
      <x:c r="Q436" s="373"/>
      <x:c r="R436" s="373"/>
      <x:c r="S436" s="373"/>
      <x:c r="T436" s="373"/>
      <x:c r="U436" s="373"/>
      <x:c r="V436" s="373"/>
      <x:c r="W436" s="373"/>
      <x:c r="X436" s="373"/>
      <x:c r="Y436" s="373"/>
      <x:c r="Z436" s="373"/>
    </x:row>
    <x:row r="437">
      <x:c r="A437" s="373"/>
      <x:c r="B437" s="373"/>
      <x:c r="C437" s="373"/>
      <x:c r="D437" s="373"/>
      <x:c r="E437" s="373"/>
      <x:c r="F437" s="373"/>
      <x:c r="G437" s="373"/>
      <x:c r="H437" s="373"/>
      <x:c r="I437" s="373"/>
      <x:c r="J437" s="373"/>
      <x:c r="K437" s="373"/>
      <x:c r="L437" s="373"/>
      <x:c r="M437" s="373"/>
      <x:c r="N437" s="373"/>
      <x:c r="O437" s="373"/>
      <x:c r="P437" s="373"/>
      <x:c r="Q437" s="373"/>
      <x:c r="R437" s="373"/>
      <x:c r="S437" s="373"/>
      <x:c r="T437" s="373"/>
      <x:c r="U437" s="373"/>
      <x:c r="V437" s="373"/>
      <x:c r="W437" s="373"/>
      <x:c r="X437" s="373"/>
      <x:c r="Y437" s="373"/>
      <x:c r="Z437" s="373"/>
    </x:row>
    <x:row r="438">
      <x:c r="A438" s="373"/>
      <x:c r="B438" s="373"/>
      <x:c r="C438" s="373"/>
      <x:c r="D438" s="373"/>
      <x:c r="E438" s="373"/>
      <x:c r="F438" s="373"/>
      <x:c r="G438" s="373"/>
      <x:c r="H438" s="373"/>
      <x:c r="I438" s="373"/>
      <x:c r="J438" s="373"/>
      <x:c r="K438" s="373"/>
      <x:c r="L438" s="373"/>
      <x:c r="M438" s="373"/>
      <x:c r="N438" s="373"/>
      <x:c r="O438" s="373"/>
      <x:c r="P438" s="373"/>
      <x:c r="Q438" s="373"/>
      <x:c r="R438" s="373"/>
      <x:c r="S438" s="373"/>
      <x:c r="T438" s="373"/>
      <x:c r="U438" s="373"/>
      <x:c r="V438" s="373"/>
      <x:c r="W438" s="373"/>
      <x:c r="X438" s="373"/>
      <x:c r="Y438" s="373"/>
      <x:c r="Z438" s="373"/>
    </x:row>
    <x:row r="439">
      <x:c r="A439" s="373"/>
      <x:c r="B439" s="373"/>
      <x:c r="C439" s="373"/>
      <x:c r="D439" s="373"/>
      <x:c r="E439" s="373"/>
      <x:c r="F439" s="373"/>
      <x:c r="G439" s="373"/>
      <x:c r="H439" s="373"/>
      <x:c r="I439" s="373"/>
      <x:c r="J439" s="373"/>
      <x:c r="K439" s="373"/>
      <x:c r="L439" s="373"/>
      <x:c r="M439" s="373"/>
      <x:c r="N439" s="373"/>
      <x:c r="O439" s="373"/>
      <x:c r="P439" s="373"/>
      <x:c r="Q439" s="373"/>
      <x:c r="R439" s="373"/>
      <x:c r="S439" s="373"/>
      <x:c r="T439" s="373"/>
      <x:c r="U439" s="373"/>
      <x:c r="V439" s="373"/>
      <x:c r="W439" s="373"/>
      <x:c r="X439" s="373"/>
      <x:c r="Y439" s="373"/>
      <x:c r="Z439" s="373"/>
    </x:row>
    <x:row r="440">
      <x:c r="A440" s="373"/>
      <x:c r="B440" s="373"/>
      <x:c r="C440" s="373"/>
      <x:c r="D440" s="373"/>
      <x:c r="E440" s="373"/>
      <x:c r="F440" s="373"/>
      <x:c r="G440" s="373"/>
      <x:c r="H440" s="373"/>
      <x:c r="I440" s="373"/>
      <x:c r="J440" s="373"/>
      <x:c r="K440" s="373"/>
      <x:c r="L440" s="373"/>
      <x:c r="M440" s="373"/>
      <x:c r="N440" s="373"/>
      <x:c r="O440" s="373"/>
      <x:c r="P440" s="373"/>
      <x:c r="Q440" s="373"/>
      <x:c r="R440" s="373"/>
      <x:c r="S440" s="373"/>
      <x:c r="T440" s="373"/>
      <x:c r="U440" s="373"/>
      <x:c r="V440" s="373"/>
      <x:c r="W440" s="373"/>
      <x:c r="X440" s="373"/>
      <x:c r="Y440" s="373"/>
      <x:c r="Z440" s="373"/>
    </x:row>
    <x:row r="441">
      <x:c r="A441" s="373"/>
      <x:c r="B441" s="373"/>
      <x:c r="C441" s="373"/>
      <x:c r="D441" s="373"/>
      <x:c r="E441" s="373"/>
      <x:c r="F441" s="373"/>
      <x:c r="G441" s="373"/>
      <x:c r="H441" s="373"/>
      <x:c r="I441" s="373"/>
      <x:c r="J441" s="373"/>
      <x:c r="K441" s="373"/>
      <x:c r="L441" s="373"/>
      <x:c r="M441" s="373"/>
      <x:c r="N441" s="373"/>
      <x:c r="O441" s="373"/>
      <x:c r="P441" s="373"/>
      <x:c r="Q441" s="373"/>
      <x:c r="R441" s="373"/>
      <x:c r="S441" s="373"/>
      <x:c r="T441" s="373"/>
      <x:c r="U441" s="373"/>
      <x:c r="V441" s="373"/>
      <x:c r="W441" s="373"/>
      <x:c r="X441" s="373"/>
      <x:c r="Y441" s="373"/>
      <x:c r="Z441" s="373"/>
    </x:row>
    <x:row r="442">
      <x:c r="A442" s="373"/>
      <x:c r="B442" s="373"/>
      <x:c r="C442" s="373"/>
      <x:c r="D442" s="373"/>
      <x:c r="E442" s="373"/>
      <x:c r="F442" s="373"/>
      <x:c r="G442" s="373"/>
      <x:c r="H442" s="373"/>
      <x:c r="I442" s="373"/>
      <x:c r="J442" s="373"/>
      <x:c r="K442" s="373"/>
      <x:c r="L442" s="373"/>
      <x:c r="M442" s="373"/>
      <x:c r="N442" s="373"/>
      <x:c r="O442" s="373"/>
      <x:c r="P442" s="373"/>
      <x:c r="Q442" s="373"/>
      <x:c r="R442" s="373"/>
      <x:c r="S442" s="373"/>
      <x:c r="T442" s="373"/>
      <x:c r="U442" s="373"/>
      <x:c r="V442" s="373"/>
      <x:c r="W442" s="373"/>
      <x:c r="X442" s="373"/>
      <x:c r="Y442" s="373"/>
      <x:c r="Z442" s="373"/>
    </x:row>
    <x:row r="443">
      <x:c r="A443" s="373"/>
      <x:c r="B443" s="373"/>
      <x:c r="C443" s="373"/>
      <x:c r="D443" s="373"/>
      <x:c r="E443" s="373"/>
      <x:c r="F443" s="373"/>
      <x:c r="G443" s="373"/>
      <x:c r="H443" s="373"/>
      <x:c r="I443" s="373"/>
      <x:c r="J443" s="373"/>
      <x:c r="K443" s="373"/>
      <x:c r="L443" s="373"/>
      <x:c r="M443" s="373"/>
      <x:c r="N443" s="373"/>
      <x:c r="O443" s="373"/>
      <x:c r="P443" s="373"/>
      <x:c r="Q443" s="373"/>
      <x:c r="R443" s="373"/>
      <x:c r="S443" s="373"/>
      <x:c r="T443" s="373"/>
      <x:c r="U443" s="373"/>
      <x:c r="V443" s="373"/>
      <x:c r="W443" s="373"/>
      <x:c r="X443" s="373"/>
      <x:c r="Y443" s="373"/>
      <x:c r="Z443" s="373"/>
    </x:row>
    <x:row r="444">
      <x:c r="A444" s="373"/>
      <x:c r="B444" s="373"/>
      <x:c r="C444" s="373"/>
      <x:c r="D444" s="373"/>
      <x:c r="E444" s="373"/>
      <x:c r="F444" s="373"/>
      <x:c r="G444" s="373"/>
      <x:c r="H444" s="373"/>
      <x:c r="I444" s="373"/>
      <x:c r="J444" s="373"/>
      <x:c r="K444" s="373"/>
      <x:c r="L444" s="373"/>
      <x:c r="M444" s="373"/>
      <x:c r="N444" s="373"/>
      <x:c r="O444" s="373"/>
      <x:c r="P444" s="373"/>
      <x:c r="Q444" s="373"/>
      <x:c r="R444" s="373"/>
      <x:c r="S444" s="373"/>
      <x:c r="T444" s="373"/>
      <x:c r="U444" s="373"/>
      <x:c r="V444" s="373"/>
      <x:c r="W444" s="373"/>
      <x:c r="X444" s="373"/>
      <x:c r="Y444" s="373"/>
      <x:c r="Z444" s="373"/>
    </x:row>
    <x:row r="445">
      <x:c r="A445" s="373"/>
      <x:c r="B445" s="373"/>
      <x:c r="C445" s="373"/>
      <x:c r="D445" s="373"/>
      <x:c r="E445" s="373"/>
      <x:c r="F445" s="373"/>
      <x:c r="G445" s="373"/>
      <x:c r="H445" s="373"/>
      <x:c r="I445" s="373"/>
      <x:c r="J445" s="373"/>
      <x:c r="K445" s="373"/>
      <x:c r="L445" s="373"/>
      <x:c r="M445" s="373"/>
      <x:c r="N445" s="373"/>
      <x:c r="O445" s="373"/>
      <x:c r="P445" s="373"/>
      <x:c r="Q445" s="373"/>
      <x:c r="R445" s="373"/>
      <x:c r="S445" s="373"/>
      <x:c r="T445" s="373"/>
      <x:c r="U445" s="373"/>
      <x:c r="V445" s="373"/>
      <x:c r="W445" s="373"/>
      <x:c r="X445" s="373"/>
      <x:c r="Y445" s="373"/>
      <x:c r="Z445" s="373"/>
    </x:row>
    <x:row r="446">
      <x:c r="A446" s="373"/>
      <x:c r="B446" s="373"/>
      <x:c r="C446" s="373"/>
      <x:c r="D446" s="373"/>
      <x:c r="E446" s="373"/>
      <x:c r="F446" s="373"/>
      <x:c r="G446" s="373"/>
      <x:c r="H446" s="373"/>
      <x:c r="I446" s="373"/>
      <x:c r="J446" s="373"/>
      <x:c r="K446" s="373"/>
      <x:c r="L446" s="373"/>
      <x:c r="M446" s="373"/>
      <x:c r="N446" s="373"/>
      <x:c r="O446" s="373"/>
      <x:c r="P446" s="373"/>
      <x:c r="Q446" s="373"/>
      <x:c r="R446" s="373"/>
      <x:c r="S446" s="373"/>
      <x:c r="T446" s="373"/>
      <x:c r="U446" s="373"/>
      <x:c r="V446" s="373"/>
      <x:c r="W446" s="373"/>
      <x:c r="X446" s="373"/>
      <x:c r="Y446" s="373"/>
      <x:c r="Z446" s="373"/>
    </x:row>
    <x:row r="447">
      <x:c r="A447" s="373"/>
      <x:c r="B447" s="373"/>
      <x:c r="C447" s="373"/>
      <x:c r="D447" s="373"/>
      <x:c r="E447" s="373"/>
      <x:c r="F447" s="373"/>
      <x:c r="G447" s="373"/>
      <x:c r="H447" s="373"/>
      <x:c r="I447" s="373"/>
      <x:c r="J447" s="373"/>
      <x:c r="K447" s="373"/>
      <x:c r="L447" s="373"/>
      <x:c r="M447" s="373"/>
      <x:c r="N447" s="373"/>
      <x:c r="O447" s="373"/>
      <x:c r="P447" s="373"/>
      <x:c r="Q447" s="373"/>
      <x:c r="R447" s="373"/>
      <x:c r="S447" s="373"/>
      <x:c r="T447" s="373"/>
      <x:c r="U447" s="373"/>
      <x:c r="V447" s="373"/>
      <x:c r="W447" s="373"/>
      <x:c r="X447" s="373"/>
      <x:c r="Y447" s="373"/>
      <x:c r="Z447" s="373"/>
    </x:row>
    <x:row r="448">
      <x:c r="A448" s="373"/>
      <x:c r="B448" s="373"/>
      <x:c r="C448" s="373"/>
      <x:c r="D448" s="373"/>
      <x:c r="E448" s="373"/>
      <x:c r="F448" s="373"/>
      <x:c r="G448" s="373"/>
      <x:c r="H448" s="373"/>
      <x:c r="I448" s="373"/>
      <x:c r="J448" s="373"/>
      <x:c r="K448" s="373"/>
      <x:c r="L448" s="373"/>
      <x:c r="M448" s="373"/>
      <x:c r="N448" s="373"/>
      <x:c r="O448" s="373"/>
      <x:c r="P448" s="373"/>
      <x:c r="Q448" s="373"/>
      <x:c r="R448" s="373"/>
      <x:c r="S448" s="373"/>
      <x:c r="T448" s="373"/>
      <x:c r="U448" s="373"/>
      <x:c r="V448" s="373"/>
      <x:c r="W448" s="373"/>
      <x:c r="X448" s="373"/>
      <x:c r="Y448" s="373"/>
      <x:c r="Z448" s="373"/>
    </x:row>
    <x:row r="449">
      <x:c r="A449" s="373"/>
      <x:c r="B449" s="373"/>
      <x:c r="C449" s="373"/>
      <x:c r="D449" s="373"/>
      <x:c r="E449" s="373"/>
      <x:c r="F449" s="373"/>
      <x:c r="G449" s="373"/>
      <x:c r="H449" s="373"/>
      <x:c r="I449" s="373"/>
      <x:c r="J449" s="373"/>
      <x:c r="K449" s="373"/>
      <x:c r="L449" s="373"/>
      <x:c r="M449" s="373"/>
      <x:c r="N449" s="373"/>
      <x:c r="O449" s="373"/>
      <x:c r="P449" s="373"/>
      <x:c r="Q449" s="373"/>
      <x:c r="R449" s="373"/>
      <x:c r="S449" s="373"/>
      <x:c r="T449" s="373"/>
      <x:c r="U449" s="373"/>
      <x:c r="V449" s="373"/>
      <x:c r="W449" s="373"/>
      <x:c r="X449" s="373"/>
      <x:c r="Y449" s="373"/>
      <x:c r="Z449" s="373"/>
    </x:row>
    <x:row r="450">
      <x:c r="A450" s="373"/>
      <x:c r="B450" s="373"/>
      <x:c r="C450" s="373"/>
      <x:c r="D450" s="373"/>
      <x:c r="E450" s="373"/>
      <x:c r="F450" s="373"/>
      <x:c r="G450" s="373"/>
      <x:c r="H450" s="373"/>
      <x:c r="I450" s="373"/>
      <x:c r="J450" s="373"/>
      <x:c r="K450" s="373"/>
      <x:c r="L450" s="373"/>
      <x:c r="M450" s="373"/>
      <x:c r="N450" s="373"/>
      <x:c r="O450" s="373"/>
      <x:c r="P450" s="373"/>
      <x:c r="Q450" s="373"/>
      <x:c r="R450" s="373"/>
      <x:c r="S450" s="373"/>
      <x:c r="T450" s="373"/>
      <x:c r="U450" s="373"/>
      <x:c r="V450" s="373"/>
      <x:c r="W450" s="373"/>
      <x:c r="X450" s="373"/>
      <x:c r="Y450" s="373"/>
      <x:c r="Z450" s="373"/>
    </x:row>
    <x:row r="451">
      <x:c r="A451" s="373"/>
      <x:c r="B451" s="373"/>
      <x:c r="C451" s="373"/>
      <x:c r="D451" s="373"/>
      <x:c r="E451" s="373"/>
      <x:c r="F451" s="373"/>
      <x:c r="G451" s="373"/>
      <x:c r="H451" s="373"/>
      <x:c r="I451" s="373"/>
      <x:c r="J451" s="373"/>
      <x:c r="K451" s="373"/>
      <x:c r="L451" s="373"/>
      <x:c r="M451" s="373"/>
      <x:c r="N451" s="373"/>
      <x:c r="O451" s="373"/>
      <x:c r="P451" s="373"/>
      <x:c r="Q451" s="373"/>
      <x:c r="R451" s="373"/>
      <x:c r="S451" s="373"/>
      <x:c r="T451" s="373"/>
      <x:c r="U451" s="373"/>
      <x:c r="V451" s="373"/>
      <x:c r="W451" s="373"/>
      <x:c r="X451" s="373"/>
      <x:c r="Y451" s="373"/>
      <x:c r="Z451" s="373"/>
    </x:row>
    <x:row r="452">
      <x:c r="A452" s="373"/>
      <x:c r="B452" s="373"/>
      <x:c r="C452" s="373"/>
      <x:c r="D452" s="373"/>
      <x:c r="E452" s="373"/>
      <x:c r="F452" s="373"/>
      <x:c r="G452" s="373"/>
      <x:c r="H452" s="373"/>
      <x:c r="I452" s="373"/>
      <x:c r="J452" s="373"/>
      <x:c r="K452" s="373"/>
      <x:c r="L452" s="373"/>
      <x:c r="M452" s="373"/>
      <x:c r="N452" s="373"/>
      <x:c r="O452" s="373"/>
      <x:c r="P452" s="373"/>
      <x:c r="Q452" s="373"/>
      <x:c r="R452" s="373"/>
      <x:c r="S452" s="373"/>
      <x:c r="T452" s="373"/>
      <x:c r="U452" s="373"/>
      <x:c r="V452" s="373"/>
      <x:c r="W452" s="373"/>
      <x:c r="X452" s="373"/>
      <x:c r="Y452" s="373"/>
      <x:c r="Z452" s="373"/>
    </x:row>
    <x:row r="453">
      <x:c r="A453" s="373"/>
      <x:c r="B453" s="373"/>
      <x:c r="C453" s="373"/>
      <x:c r="D453" s="373"/>
      <x:c r="E453" s="373"/>
      <x:c r="F453" s="373"/>
      <x:c r="G453" s="373"/>
      <x:c r="H453" s="373"/>
      <x:c r="I453" s="373"/>
      <x:c r="J453" s="373"/>
      <x:c r="K453" s="373"/>
      <x:c r="L453" s="373"/>
      <x:c r="M453" s="373"/>
      <x:c r="N453" s="373"/>
      <x:c r="O453" s="373"/>
      <x:c r="P453" s="373"/>
      <x:c r="Q453" s="373"/>
      <x:c r="R453" s="373"/>
      <x:c r="S453" s="373"/>
      <x:c r="T453" s="373"/>
      <x:c r="U453" s="373"/>
      <x:c r="V453" s="373"/>
      <x:c r="W453" s="373"/>
      <x:c r="X453" s="373"/>
      <x:c r="Y453" s="373"/>
      <x:c r="Z453" s="373"/>
    </x:row>
    <x:row r="454">
      <x:c r="A454" s="373"/>
      <x:c r="B454" s="373"/>
      <x:c r="C454" s="373"/>
      <x:c r="D454" s="373"/>
      <x:c r="E454" s="373"/>
      <x:c r="F454" s="373"/>
      <x:c r="G454" s="373"/>
      <x:c r="H454" s="373"/>
      <x:c r="I454" s="373"/>
      <x:c r="J454" s="373"/>
      <x:c r="K454" s="373"/>
      <x:c r="L454" s="373"/>
      <x:c r="M454" s="373"/>
      <x:c r="N454" s="373"/>
      <x:c r="O454" s="373"/>
      <x:c r="P454" s="373"/>
      <x:c r="Q454" s="373"/>
      <x:c r="R454" s="373"/>
      <x:c r="S454" s="373"/>
      <x:c r="T454" s="373"/>
      <x:c r="U454" s="373"/>
      <x:c r="V454" s="373"/>
      <x:c r="W454" s="373"/>
      <x:c r="X454" s="373"/>
      <x:c r="Y454" s="373"/>
      <x:c r="Z454" s="373"/>
    </x:row>
    <x:row r="455">
      <x:c r="A455" s="373"/>
      <x:c r="B455" s="373"/>
      <x:c r="C455" s="373"/>
      <x:c r="D455" s="373"/>
      <x:c r="E455" s="373"/>
      <x:c r="F455" s="373"/>
      <x:c r="G455" s="373"/>
      <x:c r="H455" s="373"/>
      <x:c r="I455" s="373"/>
      <x:c r="J455" s="373"/>
      <x:c r="K455" s="373"/>
      <x:c r="L455" s="373"/>
      <x:c r="M455" s="373"/>
      <x:c r="N455" s="373"/>
      <x:c r="O455" s="373"/>
      <x:c r="P455" s="373"/>
      <x:c r="Q455" s="373"/>
      <x:c r="R455" s="373"/>
      <x:c r="S455" s="373"/>
      <x:c r="T455" s="373"/>
      <x:c r="U455" s="373"/>
      <x:c r="V455" s="373"/>
      <x:c r="W455" s="373"/>
      <x:c r="X455" s="373"/>
      <x:c r="Y455" s="373"/>
      <x:c r="Z455" s="373"/>
    </x:row>
    <x:row r="456">
      <x:c r="A456" s="373"/>
      <x:c r="B456" s="373"/>
      <x:c r="C456" s="373"/>
      <x:c r="D456" s="373"/>
      <x:c r="E456" s="373"/>
      <x:c r="F456" s="373"/>
      <x:c r="G456" s="373"/>
      <x:c r="H456" s="373"/>
      <x:c r="I456" s="373"/>
      <x:c r="J456" s="373"/>
      <x:c r="K456" s="373"/>
      <x:c r="L456" s="373"/>
      <x:c r="M456" s="373"/>
      <x:c r="N456" s="373"/>
      <x:c r="O456" s="373"/>
      <x:c r="P456" s="373"/>
      <x:c r="Q456" s="373"/>
      <x:c r="R456" s="373"/>
      <x:c r="S456" s="373"/>
      <x:c r="T456" s="373"/>
      <x:c r="U456" s="373"/>
      <x:c r="V456" s="373"/>
      <x:c r="W456" s="373"/>
      <x:c r="X456" s="373"/>
      <x:c r="Y456" s="373"/>
      <x:c r="Z456" s="373"/>
    </x:row>
    <x:row r="457">
      <x:c r="A457" s="373"/>
      <x:c r="B457" s="373"/>
      <x:c r="C457" s="373"/>
      <x:c r="D457" s="373"/>
      <x:c r="E457" s="373"/>
      <x:c r="F457" s="373"/>
      <x:c r="G457" s="373"/>
      <x:c r="H457" s="373"/>
      <x:c r="I457" s="373"/>
      <x:c r="J457" s="373"/>
      <x:c r="K457" s="373"/>
      <x:c r="L457" s="373"/>
      <x:c r="M457" s="373"/>
      <x:c r="N457" s="373"/>
      <x:c r="O457" s="373"/>
      <x:c r="P457" s="373"/>
      <x:c r="Q457" s="373"/>
      <x:c r="R457" s="373"/>
      <x:c r="S457" s="373"/>
      <x:c r="T457" s="373"/>
      <x:c r="U457" s="373"/>
      <x:c r="V457" s="373"/>
      <x:c r="W457" s="373"/>
      <x:c r="X457" s="373"/>
      <x:c r="Y457" s="373"/>
      <x:c r="Z457" s="373"/>
    </x:row>
    <x:row r="458">
      <x:c r="A458" s="373"/>
      <x:c r="B458" s="373"/>
      <x:c r="C458" s="373"/>
      <x:c r="D458" s="373"/>
      <x:c r="E458" s="373"/>
      <x:c r="F458" s="373"/>
      <x:c r="G458" s="373"/>
      <x:c r="H458" s="373"/>
      <x:c r="I458" s="373"/>
      <x:c r="J458" s="373"/>
      <x:c r="K458" s="373"/>
      <x:c r="L458" s="373"/>
      <x:c r="M458" s="373"/>
      <x:c r="N458" s="373"/>
      <x:c r="O458" s="373"/>
      <x:c r="P458" s="373"/>
      <x:c r="Q458" s="373"/>
      <x:c r="R458" s="373"/>
      <x:c r="S458" s="373"/>
      <x:c r="T458" s="373"/>
      <x:c r="U458" s="373"/>
      <x:c r="V458" s="373"/>
      <x:c r="W458" s="373"/>
      <x:c r="X458" s="373"/>
      <x:c r="Y458" s="373"/>
      <x:c r="Z458" s="373"/>
    </x:row>
    <x:row r="459">
      <x:c r="A459" s="373"/>
      <x:c r="B459" s="373"/>
      <x:c r="C459" s="373"/>
      <x:c r="D459" s="373"/>
      <x:c r="E459" s="373"/>
      <x:c r="F459" s="373"/>
      <x:c r="G459" s="373"/>
      <x:c r="H459" s="373"/>
      <x:c r="I459" s="373"/>
      <x:c r="J459" s="373"/>
      <x:c r="K459" s="373"/>
      <x:c r="L459" s="373"/>
      <x:c r="M459" s="373"/>
      <x:c r="N459" s="373"/>
      <x:c r="O459" s="373"/>
      <x:c r="P459" s="373"/>
      <x:c r="Q459" s="373"/>
      <x:c r="R459" s="373"/>
      <x:c r="S459" s="373"/>
      <x:c r="T459" s="373"/>
      <x:c r="U459" s="373"/>
      <x:c r="V459" s="373"/>
      <x:c r="W459" s="373"/>
      <x:c r="X459" s="373"/>
      <x:c r="Y459" s="373"/>
      <x:c r="Z459" s="373"/>
    </x:row>
    <x:row r="460">
      <x:c r="A460" s="373"/>
      <x:c r="B460" s="373"/>
      <x:c r="C460" s="373"/>
      <x:c r="D460" s="373"/>
      <x:c r="E460" s="373"/>
      <x:c r="F460" s="373"/>
      <x:c r="G460" s="373"/>
      <x:c r="H460" s="373"/>
      <x:c r="I460" s="373"/>
      <x:c r="J460" s="373"/>
      <x:c r="K460" s="373"/>
      <x:c r="L460" s="373"/>
      <x:c r="M460" s="373"/>
      <x:c r="N460" s="373"/>
      <x:c r="O460" s="373"/>
      <x:c r="P460" s="373"/>
      <x:c r="Q460" s="373"/>
      <x:c r="R460" s="373"/>
      <x:c r="S460" s="373"/>
      <x:c r="T460" s="373"/>
      <x:c r="U460" s="373"/>
      <x:c r="V460" s="373"/>
      <x:c r="W460" s="373"/>
      <x:c r="X460" s="373"/>
      <x:c r="Y460" s="373"/>
      <x:c r="Z460" s="373"/>
    </x:row>
    <x:row r="461">
      <x:c r="A461" s="373"/>
      <x:c r="B461" s="373"/>
      <x:c r="C461" s="373"/>
      <x:c r="D461" s="373"/>
      <x:c r="E461" s="373"/>
      <x:c r="F461" s="373"/>
      <x:c r="G461" s="373"/>
      <x:c r="H461" s="373"/>
      <x:c r="I461" s="373"/>
      <x:c r="J461" s="373"/>
      <x:c r="K461" s="373"/>
      <x:c r="L461" s="373"/>
      <x:c r="M461" s="373"/>
      <x:c r="N461" s="373"/>
      <x:c r="O461" s="373"/>
      <x:c r="P461" s="373"/>
      <x:c r="Q461" s="373"/>
      <x:c r="R461" s="373"/>
      <x:c r="S461" s="373"/>
      <x:c r="T461" s="373"/>
      <x:c r="U461" s="373"/>
      <x:c r="V461" s="373"/>
      <x:c r="W461" s="373"/>
      <x:c r="X461" s="373"/>
      <x:c r="Y461" s="373"/>
      <x:c r="Z461" s="373"/>
    </x:row>
    <x:row r="462">
      <x:c r="A462" s="373"/>
      <x:c r="B462" s="373"/>
      <x:c r="C462" s="373"/>
      <x:c r="D462" s="373"/>
      <x:c r="E462" s="373"/>
      <x:c r="F462" s="373"/>
      <x:c r="G462" s="373"/>
      <x:c r="H462" s="373"/>
      <x:c r="I462" s="373"/>
      <x:c r="J462" s="373"/>
      <x:c r="K462" s="373"/>
      <x:c r="L462" s="373"/>
      <x:c r="M462" s="373"/>
      <x:c r="N462" s="373"/>
      <x:c r="O462" s="373"/>
      <x:c r="P462" s="373"/>
      <x:c r="Q462" s="373"/>
      <x:c r="R462" s="373"/>
      <x:c r="S462" s="373"/>
      <x:c r="T462" s="373"/>
      <x:c r="U462" s="373"/>
      <x:c r="V462" s="373"/>
      <x:c r="W462" s="373"/>
      <x:c r="X462" s="373"/>
      <x:c r="Y462" s="373"/>
      <x:c r="Z462" s="373"/>
    </x:row>
    <x:row r="463">
      <x:c r="A463" s="373"/>
      <x:c r="B463" s="373"/>
      <x:c r="C463" s="373"/>
      <x:c r="D463" s="373"/>
      <x:c r="E463" s="373"/>
      <x:c r="F463" s="373"/>
      <x:c r="G463" s="373"/>
      <x:c r="H463" s="373"/>
      <x:c r="I463" s="373"/>
      <x:c r="J463" s="373"/>
      <x:c r="K463" s="373"/>
      <x:c r="L463" s="373"/>
      <x:c r="M463" s="373"/>
      <x:c r="N463" s="373"/>
      <x:c r="O463" s="373"/>
      <x:c r="P463" s="373"/>
      <x:c r="Q463" s="373"/>
      <x:c r="R463" s="373"/>
      <x:c r="S463" s="373"/>
      <x:c r="T463" s="373"/>
      <x:c r="U463" s="373"/>
      <x:c r="V463" s="373"/>
      <x:c r="W463" s="373"/>
      <x:c r="X463" s="373"/>
      <x:c r="Y463" s="373"/>
      <x:c r="Z463" s="373"/>
    </x:row>
    <x:row r="464">
      <x:c r="A464" s="373"/>
      <x:c r="B464" s="373"/>
      <x:c r="C464" s="373"/>
      <x:c r="D464" s="373"/>
      <x:c r="E464" s="373"/>
      <x:c r="F464" s="373"/>
      <x:c r="G464" s="373"/>
      <x:c r="H464" s="373"/>
      <x:c r="I464" s="373"/>
      <x:c r="J464" s="373"/>
      <x:c r="K464" s="373"/>
      <x:c r="L464" s="373"/>
      <x:c r="M464" s="373"/>
      <x:c r="N464" s="373"/>
      <x:c r="O464" s="373"/>
      <x:c r="P464" s="373"/>
      <x:c r="Q464" s="373"/>
      <x:c r="R464" s="373"/>
      <x:c r="S464" s="373"/>
      <x:c r="T464" s="373"/>
      <x:c r="U464" s="373"/>
      <x:c r="V464" s="373"/>
      <x:c r="W464" s="373"/>
      <x:c r="X464" s="373"/>
      <x:c r="Y464" s="373"/>
      <x:c r="Z464" s="373"/>
    </x:row>
    <x:row r="465">
      <x:c r="A465" s="373"/>
      <x:c r="B465" s="373"/>
      <x:c r="C465" s="373"/>
      <x:c r="D465" s="373"/>
      <x:c r="E465" s="373"/>
      <x:c r="F465" s="373"/>
      <x:c r="G465" s="373"/>
      <x:c r="H465" s="373"/>
      <x:c r="I465" s="373"/>
      <x:c r="J465" s="373"/>
      <x:c r="K465" s="373"/>
      <x:c r="L465" s="373"/>
      <x:c r="M465" s="373"/>
      <x:c r="N465" s="373"/>
      <x:c r="O465" s="373"/>
      <x:c r="P465" s="373"/>
      <x:c r="Q465" s="373"/>
      <x:c r="R465" s="373"/>
      <x:c r="S465" s="373"/>
      <x:c r="T465" s="373"/>
      <x:c r="U465" s="373"/>
      <x:c r="V465" s="373"/>
      <x:c r="W465" s="373"/>
      <x:c r="X465" s="373"/>
      <x:c r="Y465" s="373"/>
      <x:c r="Z465" s="373"/>
    </x:row>
    <x:row r="466">
      <x:c r="A466" s="373"/>
      <x:c r="B466" s="373"/>
      <x:c r="C466" s="373"/>
      <x:c r="D466" s="373"/>
      <x:c r="E466" s="373"/>
      <x:c r="F466" s="373"/>
      <x:c r="G466" s="373"/>
      <x:c r="H466" s="373"/>
      <x:c r="I466" s="373"/>
      <x:c r="J466" s="373"/>
      <x:c r="K466" s="373"/>
      <x:c r="L466" s="373"/>
      <x:c r="M466" s="373"/>
      <x:c r="N466" s="373"/>
      <x:c r="O466" s="373"/>
      <x:c r="P466" s="373"/>
      <x:c r="Q466" s="373"/>
      <x:c r="R466" s="373"/>
      <x:c r="S466" s="373"/>
      <x:c r="T466" s="373"/>
      <x:c r="U466" s="373"/>
      <x:c r="V466" s="373"/>
      <x:c r="W466" s="373"/>
      <x:c r="X466" s="373"/>
      <x:c r="Y466" s="373"/>
      <x:c r="Z466" s="373"/>
    </x:row>
    <x:row r="467">
      <x:c r="A467" s="373"/>
      <x:c r="B467" s="373"/>
      <x:c r="C467" s="373"/>
      <x:c r="D467" s="373"/>
      <x:c r="E467" s="373"/>
      <x:c r="F467" s="373"/>
      <x:c r="G467" s="373"/>
      <x:c r="H467" s="373"/>
      <x:c r="I467" s="373"/>
      <x:c r="J467" s="373"/>
      <x:c r="K467" s="373"/>
      <x:c r="L467" s="373"/>
      <x:c r="M467" s="373"/>
      <x:c r="N467" s="373"/>
      <x:c r="O467" s="373"/>
      <x:c r="P467" s="373"/>
      <x:c r="Q467" s="373"/>
      <x:c r="R467" s="373"/>
      <x:c r="S467" s="373"/>
      <x:c r="T467" s="373"/>
      <x:c r="U467" s="373"/>
      <x:c r="V467" s="373"/>
      <x:c r="W467" s="373"/>
      <x:c r="X467" s="373"/>
      <x:c r="Y467" s="373"/>
      <x:c r="Z467" s="373"/>
    </x:row>
    <x:row r="468">
      <x:c r="A468" s="373"/>
      <x:c r="B468" s="373"/>
      <x:c r="C468" s="373"/>
      <x:c r="D468" s="373"/>
      <x:c r="E468" s="373"/>
      <x:c r="F468" s="373"/>
      <x:c r="G468" s="373"/>
      <x:c r="H468" s="373"/>
      <x:c r="I468" s="373"/>
      <x:c r="J468" s="373"/>
      <x:c r="K468" s="373"/>
      <x:c r="L468" s="373"/>
      <x:c r="M468" s="373"/>
      <x:c r="N468" s="373"/>
      <x:c r="O468" s="373"/>
      <x:c r="P468" s="373"/>
      <x:c r="Q468" s="373"/>
      <x:c r="R468" s="373"/>
      <x:c r="S468" s="373"/>
      <x:c r="T468" s="373"/>
      <x:c r="U468" s="373"/>
      <x:c r="V468" s="373"/>
      <x:c r="W468" s="373"/>
      <x:c r="X468" s="373"/>
      <x:c r="Y468" s="373"/>
      <x:c r="Z468" s="373"/>
    </x:row>
    <x:row r="469">
      <x:c r="A469" s="373"/>
      <x:c r="B469" s="373"/>
      <x:c r="C469" s="373"/>
      <x:c r="D469" s="373"/>
      <x:c r="E469" s="373"/>
      <x:c r="F469" s="373"/>
      <x:c r="G469" s="373"/>
      <x:c r="H469" s="373"/>
      <x:c r="I469" s="373"/>
      <x:c r="J469" s="373"/>
      <x:c r="K469" s="373"/>
      <x:c r="L469" s="373"/>
      <x:c r="M469" s="373"/>
      <x:c r="N469" s="373"/>
      <x:c r="O469" s="373"/>
      <x:c r="P469" s="373"/>
      <x:c r="Q469" s="373"/>
      <x:c r="R469" s="373"/>
      <x:c r="S469" s="373"/>
      <x:c r="T469" s="373"/>
      <x:c r="U469" s="373"/>
      <x:c r="V469" s="373"/>
      <x:c r="W469" s="373"/>
      <x:c r="X469" s="373"/>
      <x:c r="Y469" s="373"/>
      <x:c r="Z469" s="373"/>
    </x:row>
    <x:row r="470">
      <x:c r="A470" s="373"/>
      <x:c r="B470" s="373"/>
      <x:c r="C470" s="373"/>
      <x:c r="D470" s="373"/>
      <x:c r="E470" s="373"/>
      <x:c r="F470" s="373"/>
      <x:c r="G470" s="373"/>
      <x:c r="H470" s="373"/>
      <x:c r="I470" s="373"/>
      <x:c r="J470" s="373"/>
      <x:c r="K470" s="373"/>
      <x:c r="L470" s="373"/>
      <x:c r="M470" s="373"/>
      <x:c r="N470" s="373"/>
      <x:c r="O470" s="373"/>
      <x:c r="P470" s="373"/>
      <x:c r="Q470" s="373"/>
      <x:c r="R470" s="373"/>
      <x:c r="S470" s="373"/>
      <x:c r="T470" s="373"/>
      <x:c r="U470" s="373"/>
      <x:c r="V470" s="373"/>
      <x:c r="W470" s="373"/>
      <x:c r="X470" s="373"/>
      <x:c r="Y470" s="373"/>
      <x:c r="Z470" s="373"/>
    </x:row>
    <x:row r="471">
      <x:c r="A471" s="373"/>
      <x:c r="B471" s="373"/>
      <x:c r="C471" s="373"/>
      <x:c r="D471" s="373"/>
      <x:c r="E471" s="373"/>
      <x:c r="F471" s="373"/>
      <x:c r="G471" s="373"/>
      <x:c r="H471" s="373"/>
      <x:c r="I471" s="373"/>
      <x:c r="J471" s="373"/>
      <x:c r="K471" s="373"/>
      <x:c r="L471" s="373"/>
      <x:c r="M471" s="373"/>
      <x:c r="N471" s="373"/>
      <x:c r="O471" s="373"/>
      <x:c r="P471" s="373"/>
      <x:c r="Q471" s="373"/>
      <x:c r="R471" s="373"/>
      <x:c r="S471" s="373"/>
      <x:c r="T471" s="373"/>
      <x:c r="U471" s="373"/>
      <x:c r="V471" s="373"/>
      <x:c r="W471" s="373"/>
      <x:c r="X471" s="373"/>
      <x:c r="Y471" s="373"/>
      <x:c r="Z471" s="373"/>
    </x:row>
    <x:row r="472">
      <x:c r="A472" s="373"/>
      <x:c r="B472" s="373"/>
      <x:c r="C472" s="373"/>
      <x:c r="D472" s="373"/>
      <x:c r="E472" s="373"/>
      <x:c r="F472" s="373"/>
      <x:c r="G472" s="373"/>
      <x:c r="H472" s="373"/>
      <x:c r="I472" s="373"/>
      <x:c r="J472" s="373"/>
      <x:c r="K472" s="373"/>
      <x:c r="L472" s="373"/>
      <x:c r="M472" s="373"/>
      <x:c r="N472" s="373"/>
      <x:c r="O472" s="373"/>
      <x:c r="P472" s="373"/>
      <x:c r="Q472" s="373"/>
      <x:c r="R472" s="373"/>
      <x:c r="S472" s="373"/>
      <x:c r="T472" s="373"/>
      <x:c r="U472" s="373"/>
      <x:c r="V472" s="373"/>
      <x:c r="W472" s="373"/>
      <x:c r="X472" s="373"/>
      <x:c r="Y472" s="373"/>
      <x:c r="Z472" s="373"/>
    </x:row>
    <x:row r="473">
      <x:c r="A473" s="373"/>
      <x:c r="B473" s="373"/>
      <x:c r="C473" s="373"/>
      <x:c r="D473" s="373"/>
      <x:c r="E473" s="373"/>
      <x:c r="F473" s="373"/>
      <x:c r="G473" s="373"/>
      <x:c r="H473" s="373"/>
      <x:c r="I473" s="373"/>
      <x:c r="J473" s="373"/>
      <x:c r="K473" s="373"/>
      <x:c r="L473" s="373"/>
      <x:c r="M473" s="373"/>
      <x:c r="N473" s="373"/>
      <x:c r="O473" s="373"/>
      <x:c r="P473" s="373"/>
      <x:c r="Q473" s="373"/>
      <x:c r="R473" s="373"/>
      <x:c r="S473" s="373"/>
      <x:c r="T473" s="373"/>
      <x:c r="U473" s="373"/>
      <x:c r="V473" s="373"/>
      <x:c r="W473" s="373"/>
      <x:c r="X473" s="373"/>
      <x:c r="Y473" s="373"/>
      <x:c r="Z473" s="373"/>
    </x:row>
    <x:row r="474">
      <x:c r="A474" s="373"/>
      <x:c r="B474" s="373"/>
      <x:c r="C474" s="373"/>
      <x:c r="D474" s="373"/>
      <x:c r="E474" s="373"/>
      <x:c r="F474" s="373"/>
      <x:c r="G474" s="373"/>
      <x:c r="H474" s="373"/>
      <x:c r="I474" s="373"/>
      <x:c r="J474" s="373"/>
      <x:c r="K474" s="373"/>
      <x:c r="L474" s="373"/>
      <x:c r="M474" s="373"/>
      <x:c r="N474" s="373"/>
      <x:c r="O474" s="373"/>
      <x:c r="P474" s="373"/>
      <x:c r="Q474" s="373"/>
      <x:c r="R474" s="373"/>
      <x:c r="S474" s="373"/>
      <x:c r="T474" s="373"/>
      <x:c r="U474" s="373"/>
      <x:c r="V474" s="373"/>
      <x:c r="W474" s="373"/>
      <x:c r="X474" s="373"/>
      <x:c r="Y474" s="373"/>
      <x:c r="Z474" s="373"/>
    </x:row>
    <x:row r="475">
      <x:c r="A475" s="373"/>
      <x:c r="B475" s="373"/>
      <x:c r="C475" s="373"/>
      <x:c r="D475" s="373"/>
      <x:c r="E475" s="373"/>
      <x:c r="F475" s="373"/>
      <x:c r="G475" s="373"/>
      <x:c r="H475" s="373"/>
      <x:c r="I475" s="373"/>
      <x:c r="J475" s="373"/>
      <x:c r="K475" s="373"/>
      <x:c r="L475" s="373"/>
      <x:c r="M475" s="373"/>
      <x:c r="N475" s="373"/>
      <x:c r="O475" s="373"/>
      <x:c r="P475" s="373"/>
      <x:c r="Q475" s="373"/>
      <x:c r="R475" s="373"/>
      <x:c r="S475" s="373"/>
      <x:c r="T475" s="373"/>
      <x:c r="U475" s="373"/>
      <x:c r="V475" s="373"/>
      <x:c r="W475" s="373"/>
      <x:c r="X475" s="373"/>
      <x:c r="Y475" s="373"/>
      <x:c r="Z475" s="373"/>
    </x:row>
    <x:row r="476">
      <x:c r="A476" s="373"/>
      <x:c r="B476" s="373"/>
      <x:c r="C476" s="373"/>
      <x:c r="D476" s="373"/>
      <x:c r="E476" s="373"/>
      <x:c r="F476" s="373"/>
      <x:c r="G476" s="373"/>
      <x:c r="H476" s="373"/>
      <x:c r="I476" s="373"/>
      <x:c r="J476" s="373"/>
      <x:c r="K476" s="373"/>
      <x:c r="L476" s="373"/>
      <x:c r="M476" s="373"/>
      <x:c r="N476" s="373"/>
      <x:c r="O476" s="373"/>
      <x:c r="P476" s="373"/>
      <x:c r="Q476" s="373"/>
      <x:c r="R476" s="373"/>
      <x:c r="S476" s="373"/>
      <x:c r="T476" s="373"/>
      <x:c r="U476" s="373"/>
      <x:c r="V476" s="373"/>
      <x:c r="W476" s="373"/>
      <x:c r="X476" s="373"/>
      <x:c r="Y476" s="373"/>
      <x:c r="Z476" s="373"/>
    </x:row>
    <x:row r="477">
      <x:c r="A477" s="373"/>
      <x:c r="B477" s="373"/>
      <x:c r="C477" s="373"/>
      <x:c r="D477" s="373"/>
      <x:c r="E477" s="373"/>
      <x:c r="F477" s="373"/>
      <x:c r="G477" s="373"/>
      <x:c r="H477" s="373"/>
      <x:c r="I477" s="373"/>
      <x:c r="J477" s="373"/>
      <x:c r="K477" s="373"/>
      <x:c r="L477" s="373"/>
      <x:c r="M477" s="373"/>
      <x:c r="N477" s="373"/>
      <x:c r="O477" s="373"/>
      <x:c r="P477" s="373"/>
      <x:c r="Q477" s="373"/>
      <x:c r="R477" s="373"/>
      <x:c r="S477" s="373"/>
      <x:c r="T477" s="373"/>
      <x:c r="U477" s="373"/>
      <x:c r="V477" s="373"/>
      <x:c r="W477" s="373"/>
      <x:c r="X477" s="373"/>
      <x:c r="Y477" s="373"/>
      <x:c r="Z477" s="373"/>
    </x:row>
    <x:row r="478">
      <x:c r="A478" s="373"/>
      <x:c r="B478" s="373"/>
      <x:c r="C478" s="373"/>
      <x:c r="D478" s="373"/>
      <x:c r="E478" s="373"/>
      <x:c r="F478" s="373"/>
      <x:c r="G478" s="373"/>
      <x:c r="H478" s="373"/>
      <x:c r="I478" s="373"/>
      <x:c r="J478" s="373"/>
      <x:c r="K478" s="373"/>
      <x:c r="L478" s="373"/>
      <x:c r="M478" s="373"/>
      <x:c r="N478" s="373"/>
      <x:c r="O478" s="373"/>
      <x:c r="P478" s="373"/>
      <x:c r="Q478" s="373"/>
      <x:c r="R478" s="373"/>
      <x:c r="S478" s="373"/>
      <x:c r="T478" s="373"/>
      <x:c r="U478" s="373"/>
      <x:c r="V478" s="373"/>
      <x:c r="W478" s="373"/>
      <x:c r="X478" s="373"/>
      <x:c r="Y478" s="373"/>
      <x:c r="Z478" s="373"/>
    </x:row>
    <x:row r="479">
      <x:c r="A479" s="373"/>
      <x:c r="B479" s="373"/>
      <x:c r="C479" s="373"/>
      <x:c r="D479" s="373"/>
      <x:c r="E479" s="373"/>
      <x:c r="F479" s="373"/>
      <x:c r="G479" s="373"/>
      <x:c r="H479" s="373"/>
      <x:c r="I479" s="373"/>
      <x:c r="J479" s="373"/>
      <x:c r="K479" s="373"/>
      <x:c r="L479" s="373"/>
      <x:c r="M479" s="373"/>
      <x:c r="N479" s="373"/>
      <x:c r="O479" s="373"/>
      <x:c r="P479" s="373"/>
      <x:c r="Q479" s="373"/>
      <x:c r="R479" s="373"/>
      <x:c r="S479" s="373"/>
      <x:c r="T479" s="373"/>
      <x:c r="U479" s="373"/>
      <x:c r="V479" s="373"/>
      <x:c r="W479" s="373"/>
      <x:c r="X479" s="373"/>
      <x:c r="Y479" s="373"/>
      <x:c r="Z479" s="373"/>
    </x:row>
    <x:row r="480">
      <x:c r="A480" s="373"/>
      <x:c r="B480" s="373"/>
      <x:c r="C480" s="373"/>
      <x:c r="D480" s="373"/>
      <x:c r="E480" s="373"/>
      <x:c r="F480" s="373"/>
      <x:c r="G480" s="373"/>
      <x:c r="H480" s="373"/>
      <x:c r="I480" s="373"/>
      <x:c r="J480" s="373"/>
      <x:c r="K480" s="373"/>
      <x:c r="L480" s="373"/>
      <x:c r="M480" s="373"/>
      <x:c r="N480" s="373"/>
      <x:c r="O480" s="373"/>
      <x:c r="P480" s="373"/>
      <x:c r="Q480" s="373"/>
      <x:c r="R480" s="373"/>
      <x:c r="S480" s="373"/>
      <x:c r="T480" s="373"/>
      <x:c r="U480" s="373"/>
      <x:c r="V480" s="373"/>
      <x:c r="W480" s="373"/>
      <x:c r="X480" s="373"/>
      <x:c r="Y480" s="373"/>
      <x:c r="Z480" s="373"/>
    </x:row>
    <x:row r="481">
      <x:c r="A481" s="373"/>
      <x:c r="B481" s="373"/>
      <x:c r="C481" s="373"/>
      <x:c r="D481" s="373"/>
      <x:c r="E481" s="373"/>
      <x:c r="F481" s="373"/>
      <x:c r="G481" s="373"/>
      <x:c r="H481" s="373"/>
      <x:c r="I481" s="373"/>
      <x:c r="J481" s="373"/>
      <x:c r="K481" s="373"/>
      <x:c r="L481" s="373"/>
      <x:c r="M481" s="373"/>
      <x:c r="N481" s="373"/>
      <x:c r="O481" s="373"/>
      <x:c r="P481" s="373"/>
      <x:c r="Q481" s="373"/>
      <x:c r="R481" s="373"/>
      <x:c r="S481" s="373"/>
      <x:c r="T481" s="373"/>
      <x:c r="U481" s="373"/>
      <x:c r="V481" s="373"/>
      <x:c r="W481" s="373"/>
      <x:c r="X481" s="373"/>
      <x:c r="Y481" s="373"/>
      <x:c r="Z481" s="373"/>
    </x:row>
    <x:row r="482">
      <x:c r="A482" s="373"/>
      <x:c r="B482" s="373"/>
      <x:c r="C482" s="373"/>
      <x:c r="D482" s="373"/>
      <x:c r="E482" s="373"/>
      <x:c r="F482" s="373"/>
      <x:c r="G482" s="373"/>
      <x:c r="H482" s="373"/>
      <x:c r="I482" s="373"/>
      <x:c r="J482" s="373"/>
      <x:c r="K482" s="373"/>
      <x:c r="L482" s="373"/>
      <x:c r="M482" s="373"/>
      <x:c r="N482" s="373"/>
      <x:c r="O482" s="373"/>
      <x:c r="P482" s="373"/>
      <x:c r="Q482" s="373"/>
      <x:c r="R482" s="373"/>
      <x:c r="S482" s="373"/>
      <x:c r="T482" s="373"/>
      <x:c r="U482" s="373"/>
      <x:c r="V482" s="373"/>
      <x:c r="W482" s="373"/>
      <x:c r="X482" s="373"/>
      <x:c r="Y482" s="373"/>
      <x:c r="Z482" s="373"/>
    </x:row>
    <x:row r="483">
      <x:c r="A483" s="373"/>
      <x:c r="B483" s="373"/>
      <x:c r="C483" s="373"/>
      <x:c r="D483" s="373"/>
      <x:c r="E483" s="373"/>
      <x:c r="F483" s="373"/>
      <x:c r="G483" s="373"/>
      <x:c r="H483" s="373"/>
      <x:c r="I483" s="373"/>
      <x:c r="J483" s="373"/>
      <x:c r="K483" s="373"/>
      <x:c r="L483" s="373"/>
      <x:c r="M483" s="373"/>
      <x:c r="N483" s="373"/>
      <x:c r="O483" s="373"/>
      <x:c r="P483" s="373"/>
      <x:c r="Q483" s="373"/>
      <x:c r="R483" s="373"/>
      <x:c r="S483" s="373"/>
      <x:c r="T483" s="373"/>
      <x:c r="U483" s="373"/>
      <x:c r="V483" s="373"/>
      <x:c r="W483" s="373"/>
      <x:c r="X483" s="373"/>
      <x:c r="Y483" s="373"/>
      <x:c r="Z483" s="373"/>
    </x:row>
    <x:row r="484">
      <x:c r="A484" s="373"/>
      <x:c r="B484" s="373"/>
      <x:c r="C484" s="373"/>
      <x:c r="D484" s="373"/>
      <x:c r="E484" s="373"/>
      <x:c r="F484" s="373"/>
      <x:c r="G484" s="373"/>
      <x:c r="H484" s="373"/>
      <x:c r="I484" s="373"/>
      <x:c r="J484" s="373"/>
      <x:c r="K484" s="373"/>
      <x:c r="L484" s="373"/>
      <x:c r="M484" s="373"/>
      <x:c r="N484" s="373"/>
      <x:c r="O484" s="373"/>
      <x:c r="P484" s="373"/>
      <x:c r="Q484" s="373"/>
      <x:c r="R484" s="373"/>
      <x:c r="S484" s="373"/>
      <x:c r="T484" s="373"/>
      <x:c r="U484" s="373"/>
      <x:c r="V484" s="373"/>
      <x:c r="W484" s="373"/>
      <x:c r="X484" s="373"/>
      <x:c r="Y484" s="373"/>
      <x:c r="Z484" s="373"/>
    </x:row>
    <x:row r="485">
      <x:c r="A485" s="373"/>
      <x:c r="B485" s="373"/>
      <x:c r="C485" s="373"/>
      <x:c r="D485" s="373"/>
      <x:c r="E485" s="373"/>
      <x:c r="F485" s="373"/>
      <x:c r="G485" s="373"/>
      <x:c r="H485" s="373"/>
      <x:c r="I485" s="373"/>
      <x:c r="J485" s="373"/>
      <x:c r="K485" s="373"/>
      <x:c r="L485" s="373"/>
      <x:c r="M485" s="373"/>
      <x:c r="N485" s="373"/>
      <x:c r="O485" s="373"/>
      <x:c r="P485" s="373"/>
      <x:c r="Q485" s="373"/>
      <x:c r="R485" s="373"/>
      <x:c r="S485" s="373"/>
      <x:c r="T485" s="373"/>
      <x:c r="U485" s="373"/>
      <x:c r="V485" s="373"/>
      <x:c r="W485" s="373"/>
      <x:c r="X485" s="373"/>
      <x:c r="Y485" s="373"/>
      <x:c r="Z485" s="373"/>
    </x:row>
    <x:row r="486">
      <x:c r="A486" s="373"/>
      <x:c r="B486" s="373"/>
      <x:c r="C486" s="373"/>
      <x:c r="D486" s="373"/>
      <x:c r="E486" s="373"/>
      <x:c r="F486" s="373"/>
      <x:c r="G486" s="373"/>
      <x:c r="H486" s="373"/>
      <x:c r="I486" s="373"/>
      <x:c r="J486" s="373"/>
      <x:c r="K486" s="373"/>
      <x:c r="L486" s="373"/>
      <x:c r="M486" s="373"/>
      <x:c r="N486" s="373"/>
      <x:c r="O486" s="373"/>
      <x:c r="P486" s="373"/>
      <x:c r="Q486" s="373"/>
      <x:c r="R486" s="373"/>
      <x:c r="S486" s="373"/>
      <x:c r="T486" s="373"/>
      <x:c r="U486" s="373"/>
      <x:c r="V486" s="373"/>
      <x:c r="W486" s="373"/>
      <x:c r="X486" s="373"/>
      <x:c r="Y486" s="373"/>
      <x:c r="Z486" s="373"/>
    </x:row>
    <x:row r="487">
      <x:c r="A487" s="373"/>
      <x:c r="B487" s="373"/>
      <x:c r="C487" s="373"/>
      <x:c r="D487" s="373"/>
      <x:c r="E487" s="373"/>
      <x:c r="F487" s="373"/>
      <x:c r="G487" s="373"/>
      <x:c r="H487" s="373"/>
      <x:c r="I487" s="373"/>
      <x:c r="J487" s="373"/>
      <x:c r="K487" s="373"/>
      <x:c r="L487" s="373"/>
      <x:c r="M487" s="373"/>
      <x:c r="N487" s="373"/>
      <x:c r="O487" s="373"/>
      <x:c r="P487" s="373"/>
      <x:c r="Q487" s="373"/>
      <x:c r="R487" s="373"/>
      <x:c r="S487" s="373"/>
      <x:c r="T487" s="373"/>
      <x:c r="U487" s="373"/>
      <x:c r="V487" s="373"/>
      <x:c r="W487" s="373"/>
      <x:c r="X487" s="373"/>
      <x:c r="Y487" s="373"/>
      <x:c r="Z487" s="373"/>
    </x:row>
    <x:row r="488">
      <x:c r="A488" s="373"/>
      <x:c r="B488" s="373"/>
      <x:c r="C488" s="373"/>
      <x:c r="D488" s="373"/>
      <x:c r="E488" s="373"/>
      <x:c r="F488" s="373"/>
      <x:c r="G488" s="373"/>
      <x:c r="H488" s="373"/>
      <x:c r="I488" s="373"/>
      <x:c r="J488" s="373"/>
      <x:c r="K488" s="373"/>
      <x:c r="L488" s="373"/>
      <x:c r="M488" s="373"/>
      <x:c r="N488" s="373"/>
      <x:c r="O488" s="373"/>
      <x:c r="P488" s="373"/>
      <x:c r="Q488" s="373"/>
      <x:c r="R488" s="373"/>
      <x:c r="S488" s="373"/>
      <x:c r="T488" s="373"/>
      <x:c r="U488" s="373"/>
      <x:c r="V488" s="373"/>
      <x:c r="W488" s="373"/>
      <x:c r="X488" s="373"/>
      <x:c r="Y488" s="373"/>
      <x:c r="Z488" s="373"/>
    </x:row>
    <x:row r="489">
      <x:c r="A489" s="373"/>
      <x:c r="B489" s="373"/>
      <x:c r="C489" s="373"/>
      <x:c r="D489" s="373"/>
      <x:c r="E489" s="373"/>
      <x:c r="F489" s="373"/>
      <x:c r="G489" s="373"/>
      <x:c r="H489" s="373"/>
      <x:c r="I489" s="373"/>
      <x:c r="J489" s="373"/>
      <x:c r="K489" s="373"/>
      <x:c r="L489" s="373"/>
      <x:c r="M489" s="373"/>
      <x:c r="N489" s="373"/>
      <x:c r="O489" s="373"/>
      <x:c r="P489" s="373"/>
      <x:c r="Q489" s="373"/>
      <x:c r="R489" s="373"/>
      <x:c r="S489" s="373"/>
      <x:c r="T489" s="373"/>
      <x:c r="U489" s="373"/>
      <x:c r="V489" s="373"/>
      <x:c r="W489" s="373"/>
      <x:c r="X489" s="373"/>
      <x:c r="Y489" s="373"/>
      <x:c r="Z489" s="373"/>
    </x:row>
    <x:row r="490">
      <x:c r="A490" s="373"/>
      <x:c r="B490" s="373"/>
      <x:c r="C490" s="373"/>
      <x:c r="D490" s="373"/>
      <x:c r="E490" s="373"/>
      <x:c r="F490" s="373"/>
      <x:c r="G490" s="373"/>
      <x:c r="H490" s="373"/>
      <x:c r="I490" s="373"/>
      <x:c r="J490" s="373"/>
      <x:c r="K490" s="373"/>
      <x:c r="L490" s="373"/>
      <x:c r="M490" s="373"/>
      <x:c r="N490" s="373"/>
      <x:c r="O490" s="373"/>
      <x:c r="P490" s="373"/>
      <x:c r="Q490" s="373"/>
      <x:c r="R490" s="373"/>
      <x:c r="S490" s="373"/>
      <x:c r="T490" s="373"/>
      <x:c r="U490" s="373"/>
      <x:c r="V490" s="373"/>
      <x:c r="W490" s="373"/>
      <x:c r="X490" s="373"/>
      <x:c r="Y490" s="373"/>
      <x:c r="Z490" s="373"/>
    </x:row>
    <x:row r="491">
      <x:c r="A491" s="373"/>
      <x:c r="B491" s="373"/>
      <x:c r="C491" s="373"/>
      <x:c r="D491" s="373"/>
      <x:c r="E491" s="373"/>
      <x:c r="F491" s="373"/>
      <x:c r="G491" s="373"/>
      <x:c r="H491" s="373"/>
      <x:c r="I491" s="373"/>
      <x:c r="J491" s="373"/>
      <x:c r="K491" s="373"/>
      <x:c r="L491" s="373"/>
      <x:c r="M491" s="373"/>
      <x:c r="N491" s="373"/>
      <x:c r="O491" s="373"/>
      <x:c r="P491" s="373"/>
      <x:c r="Q491" s="373"/>
      <x:c r="R491" s="373"/>
      <x:c r="S491" s="373"/>
      <x:c r="T491" s="373"/>
      <x:c r="U491" s="373"/>
      <x:c r="V491" s="373"/>
      <x:c r="W491" s="373"/>
      <x:c r="X491" s="373"/>
      <x:c r="Y491" s="373"/>
      <x:c r="Z491" s="373"/>
    </x:row>
    <x:row r="492">
      <x:c r="A492" s="373"/>
      <x:c r="B492" s="373"/>
      <x:c r="C492" s="373"/>
      <x:c r="D492" s="373"/>
      <x:c r="E492" s="373"/>
      <x:c r="F492" s="373"/>
      <x:c r="G492" s="373"/>
      <x:c r="H492" s="373"/>
      <x:c r="I492" s="373"/>
      <x:c r="J492" s="373"/>
      <x:c r="K492" s="373"/>
      <x:c r="L492" s="373"/>
      <x:c r="M492" s="373"/>
      <x:c r="N492" s="373"/>
      <x:c r="O492" s="373"/>
      <x:c r="P492" s="373"/>
      <x:c r="Q492" s="373"/>
      <x:c r="R492" s="373"/>
      <x:c r="S492" s="373"/>
      <x:c r="T492" s="373"/>
      <x:c r="U492" s="373"/>
      <x:c r="V492" s="373"/>
      <x:c r="W492" s="373"/>
      <x:c r="X492" s="373"/>
      <x:c r="Y492" s="373"/>
      <x:c r="Z492" s="373"/>
    </x:row>
    <x:row r="493">
      <x:c r="A493" s="373"/>
      <x:c r="B493" s="373"/>
      <x:c r="C493" s="373"/>
      <x:c r="D493" s="373"/>
      <x:c r="E493" s="373"/>
      <x:c r="F493" s="373"/>
      <x:c r="G493" s="373"/>
      <x:c r="H493" s="373"/>
      <x:c r="I493" s="373"/>
      <x:c r="J493" s="373"/>
      <x:c r="K493" s="373"/>
      <x:c r="L493" s="373"/>
      <x:c r="M493" s="373"/>
      <x:c r="N493" s="373"/>
      <x:c r="O493" s="373"/>
      <x:c r="P493" s="373"/>
      <x:c r="Q493" s="373"/>
      <x:c r="R493" s="373"/>
      <x:c r="S493" s="373"/>
      <x:c r="T493" s="373"/>
      <x:c r="U493" s="373"/>
      <x:c r="V493" s="373"/>
      <x:c r="W493" s="373"/>
      <x:c r="X493" s="373"/>
      <x:c r="Y493" s="373"/>
      <x:c r="Z493" s="373"/>
    </x:row>
    <x:row r="494">
      <x:c r="A494" s="373"/>
      <x:c r="B494" s="373"/>
      <x:c r="C494" s="373"/>
      <x:c r="D494" s="373"/>
      <x:c r="E494" s="373"/>
      <x:c r="F494" s="373"/>
      <x:c r="G494" s="373"/>
      <x:c r="H494" s="373"/>
      <x:c r="I494" s="373"/>
      <x:c r="J494" s="373"/>
      <x:c r="K494" s="373"/>
      <x:c r="L494" s="373"/>
      <x:c r="M494" s="373"/>
      <x:c r="N494" s="373"/>
      <x:c r="O494" s="373"/>
      <x:c r="P494" s="373"/>
      <x:c r="Q494" s="373"/>
      <x:c r="R494" s="373"/>
      <x:c r="S494" s="373"/>
      <x:c r="T494" s="373"/>
      <x:c r="U494" s="373"/>
      <x:c r="V494" s="373"/>
      <x:c r="W494" s="373"/>
      <x:c r="X494" s="373"/>
      <x:c r="Y494" s="373"/>
      <x:c r="Z494" s="373"/>
    </x:row>
    <x:row r="495">
      <x:c r="A495" s="373"/>
      <x:c r="B495" s="373"/>
      <x:c r="C495" s="373"/>
      <x:c r="D495" s="373"/>
      <x:c r="E495" s="373"/>
      <x:c r="F495" s="373"/>
      <x:c r="G495" s="373"/>
      <x:c r="H495" s="373"/>
      <x:c r="I495" s="373"/>
      <x:c r="J495" s="373"/>
      <x:c r="K495" s="373"/>
      <x:c r="L495" s="373"/>
      <x:c r="M495" s="373"/>
      <x:c r="N495" s="373"/>
      <x:c r="O495" s="373"/>
      <x:c r="P495" s="373"/>
      <x:c r="Q495" s="373"/>
      <x:c r="R495" s="373"/>
      <x:c r="S495" s="373"/>
      <x:c r="T495" s="373"/>
      <x:c r="U495" s="373"/>
      <x:c r="V495" s="373"/>
      <x:c r="W495" s="373"/>
      <x:c r="X495" s="373"/>
      <x:c r="Y495" s="373"/>
      <x:c r="Z495" s="373"/>
    </x:row>
    <x:row r="496">
      <x:c r="A496" s="373"/>
      <x:c r="B496" s="373"/>
      <x:c r="C496" s="373"/>
      <x:c r="D496" s="373"/>
      <x:c r="E496" s="373"/>
      <x:c r="F496" s="373"/>
      <x:c r="G496" s="373"/>
      <x:c r="H496" s="373"/>
      <x:c r="I496" s="373"/>
      <x:c r="J496" s="373"/>
      <x:c r="K496" s="373"/>
      <x:c r="L496" s="373"/>
      <x:c r="M496" s="373"/>
      <x:c r="N496" s="373"/>
      <x:c r="O496" s="373"/>
      <x:c r="P496" s="373"/>
      <x:c r="Q496" s="373"/>
      <x:c r="R496" s="373"/>
      <x:c r="S496" s="373"/>
      <x:c r="T496" s="373"/>
      <x:c r="U496" s="373"/>
      <x:c r="V496" s="373"/>
      <x:c r="W496" s="373"/>
      <x:c r="X496" s="373"/>
      <x:c r="Y496" s="373"/>
      <x:c r="Z496" s="373"/>
    </x:row>
    <x:row r="497">
      <x:c r="A497" s="373"/>
      <x:c r="B497" s="373"/>
      <x:c r="C497" s="373"/>
      <x:c r="D497" s="373"/>
      <x:c r="E497" s="373"/>
      <x:c r="F497" s="373"/>
      <x:c r="G497" s="373"/>
      <x:c r="H497" s="373"/>
      <x:c r="I497" s="373"/>
      <x:c r="J497" s="373"/>
      <x:c r="K497" s="373"/>
      <x:c r="L497" s="373"/>
      <x:c r="M497" s="373"/>
      <x:c r="N497" s="373"/>
      <x:c r="O497" s="373"/>
      <x:c r="P497" s="373"/>
      <x:c r="Q497" s="373"/>
      <x:c r="R497" s="373"/>
      <x:c r="S497" s="373"/>
      <x:c r="T497" s="373"/>
      <x:c r="U497" s="373"/>
      <x:c r="V497" s="373"/>
      <x:c r="W497" s="373"/>
      <x:c r="X497" s="373"/>
      <x:c r="Y497" s="373"/>
      <x:c r="Z497" s="373"/>
    </x:row>
    <x:row r="498">
      <x:c r="A498" s="373"/>
      <x:c r="B498" s="373"/>
      <x:c r="C498" s="373"/>
      <x:c r="D498" s="373"/>
      <x:c r="E498" s="373"/>
      <x:c r="F498" s="373"/>
      <x:c r="G498" s="373"/>
      <x:c r="H498" s="373"/>
      <x:c r="I498" s="373"/>
      <x:c r="J498" s="373"/>
      <x:c r="K498" s="373"/>
      <x:c r="L498" s="373"/>
      <x:c r="M498" s="373"/>
      <x:c r="N498" s="373"/>
      <x:c r="O498" s="373"/>
      <x:c r="P498" s="373"/>
      <x:c r="Q498" s="373"/>
      <x:c r="R498" s="373"/>
      <x:c r="S498" s="373"/>
      <x:c r="T498" s="373"/>
      <x:c r="U498" s="373"/>
      <x:c r="V498" s="373"/>
      <x:c r="W498" s="373"/>
      <x:c r="X498" s="373"/>
      <x:c r="Y498" s="373"/>
      <x:c r="Z498" s="373"/>
    </x:row>
    <x:row r="499">
      <x:c r="A499" s="373"/>
      <x:c r="B499" s="373"/>
      <x:c r="C499" s="373"/>
      <x:c r="D499" s="373"/>
      <x:c r="E499" s="373"/>
      <x:c r="F499" s="373"/>
      <x:c r="G499" s="373"/>
      <x:c r="H499" s="373"/>
      <x:c r="I499" s="373"/>
      <x:c r="J499" s="373"/>
      <x:c r="K499" s="373"/>
      <x:c r="L499" s="373"/>
      <x:c r="M499" s="373"/>
      <x:c r="N499" s="373"/>
      <x:c r="O499" s="373"/>
      <x:c r="P499" s="373"/>
      <x:c r="Q499" s="373"/>
      <x:c r="R499" s="373"/>
      <x:c r="S499" s="373"/>
      <x:c r="T499" s="373"/>
      <x:c r="U499" s="373"/>
      <x:c r="V499" s="373"/>
      <x:c r="W499" s="373"/>
      <x:c r="X499" s="373"/>
      <x:c r="Y499" s="373"/>
      <x:c r="Z499" s="373"/>
    </x:row>
    <x:row r="500">
      <x:c r="A500" s="373"/>
      <x:c r="B500" s="373"/>
      <x:c r="C500" s="373"/>
      <x:c r="D500" s="373"/>
      <x:c r="E500" s="373"/>
      <x:c r="F500" s="373"/>
      <x:c r="G500" s="373"/>
      <x:c r="H500" s="373"/>
      <x:c r="I500" s="373"/>
      <x:c r="J500" s="373"/>
      <x:c r="K500" s="373"/>
      <x:c r="L500" s="373"/>
      <x:c r="M500" s="373"/>
      <x:c r="N500" s="373"/>
      <x:c r="O500" s="373"/>
      <x:c r="P500" s="373"/>
      <x:c r="Q500" s="373"/>
      <x:c r="R500" s="373"/>
      <x:c r="S500" s="373"/>
      <x:c r="T500" s="373"/>
      <x:c r="U500" s="373"/>
      <x:c r="V500" s="373"/>
      <x:c r="W500" s="373"/>
      <x:c r="X500" s="373"/>
      <x:c r="Y500" s="373"/>
      <x:c r="Z500" s="373"/>
    </x:row>
  </x:sheetData>
  <x:mergeCells>
    <x:mergeCell ref="A1:Q1"/>
    <x:mergeCell ref="A2:Q2"/>
  </x:mergeCells>
  <x:conditionalFormatting sqref="M5:M130">
    <x:cfRule type="dataBar" priority="1">
      <x:dataBar>
        <x:cfvo type="min"/>
        <x:cfvo type="max"/>
        <x:color rgb="FF15803D"/>
      </x:dataBar>
      <x:extLst>
        <x:ext xmlns:x14="http://schemas.microsoft.com/office/spreadsheetml/2009/9/main" uri="{B025F937-C7B1-47D3-B67F-A62EFF666E3E}">
          <x14:id>{04ADA35B-3FAC-5971-4680-9E4FADD62387}</x14:id>
        </x:ext>
      </x:extLst>
    </x:cfRule>
  </x:conditionalFormatting>
  <x:dataValidations count="2">
    <x:dataValidation type="list" sqref="F5:F130">
      <x:formula1>"Critical,High,Medium,Low"</x:formula1>
    </x:dataValidation>
    <x:dataValidation type="list" sqref="I5:I130">
      <x:formula1>"Draft,Approved,Implemented,Verified,Deferred"</x:formula1>
    </x:dataValidation>
  </x:dataValidations>
  <x:pageMargins left="0.7" right="0.7" top="0.75" bottom="0.75" header="0.3" footer="0.3"/>
  <x:tableParts count="1">
    <x:tablePart xmlns:r="http://schemas.openxmlformats.org/officeDocument/2006/relationships" r:id="Rabbf93e5e9234be9"/>
  </x:tableParts>
  <x:extLst>
    <x:ext xmlns:x14="http://schemas.microsoft.com/office/spreadsheetml/2009/9/main" xmlns:xm="http://schemas.microsoft.com/office/excel/2006/main" uri="{78C0D931-6437-407d-A8EE-F0AAD7539E65}">
      <x14:conditionalFormattings>
        <x14:conditionalFormatting>
          <x14:cfRule type="dataBar" priority="1" id="{04ADA35B-3FAC-5971-4680-9E4FADD62387}">
            <x14:dataBar gradient="1">
              <x14:cfvo type="min"/>
              <x14:cfvo type="max"/>
              <x14:fillColor rgb="FF15803D"/>
            </x14:dataBar>
          </x14:cfRule>
          <xm:sqref>M5:M130</xm:sqref>
        </x14:conditionalFormatting>
      </x14:conditionalFormattings>
    </x:ext>
  </x:extLst>
</x:worksheet>
</file>

<file path=xl/worksheets/sheet5.xml><?xml version="1.0" encoding="utf-8"?>
<x:worksheet xmlns:x="http://schemas.openxmlformats.org/spreadsheetml/2006/main">
  <x:sheetFormatPr defaultRowHeight="15"/>
  <x:cols>
    <x:col min="1" max="1" width="12" hidden="0" customWidth="1"/>
    <x:col min="2" max="2" width="10" hidden="0" customWidth="1"/>
    <x:col min="3" max="3" width="14" hidden="0" customWidth="1"/>
    <x:col min="4" max="4" width="14" hidden="0" customWidth="1"/>
    <x:col min="5" max="5" width="13" hidden="0" customWidth="1"/>
    <x:col min="6" max="6" width="36" hidden="0" customWidth="1"/>
    <x:col min="7" max="7" width="44" hidden="0" customWidth="1"/>
    <x:col min="8" max="8" width="42" hidden="0" customWidth="1"/>
    <x:col min="9" max="9" width="52" hidden="0" customWidth="1"/>
    <x:col min="10" max="10" width="48" hidden="0" customWidth="1"/>
    <x:col min="11" max="11" width="12" hidden="0" customWidth="1"/>
    <x:col min="12" max="12" width="14" hidden="0" customWidth="1"/>
    <x:col min="13" max="13" width="10" hidden="0" customWidth="1"/>
    <x:col min="14" max="14" width="28" hidden="0" customWidth="1"/>
    <x:col min="15" max="15" width="13" hidden="0" customWidth="1"/>
    <x:col min="16" max="16" width="14" hidden="0" customWidth="1"/>
    <x:col min="17" max="17" width="18" hidden="0" customWidth="1"/>
    <x:col min="18" max="18" width="30" hidden="0" customWidth="1"/>
    <x:col min="19" max="19" width="12" hidden="0" customWidth="1"/>
    <x:col min="20" max="20" width="28" hidden="0" customWidth="1"/>
    <x:col min="21" max="21" width="22" hidden="0" customWidth="1"/>
  </x:cols>
  <x:sheetData>
    <x:row r="1" ht="32" customHeight="1">
      <x:c r="A1" s="486" t="str">
        <x:v>Verification Test Catalog</x:v>
      </x:c>
      <x:c r="B1" s="486"/>
      <x:c r="C1" s="486"/>
      <x:c r="D1" s="486"/>
      <x:c r="E1" s="486"/>
      <x:c r="F1" s="486"/>
      <x:c r="G1" s="486"/>
      <x:c r="H1" s="486"/>
      <x:c r="I1" s="486"/>
      <x:c r="J1" s="486"/>
      <x:c r="K1" s="486"/>
      <x:c r="L1" s="486"/>
      <x:c r="M1" s="486"/>
      <x:c r="N1" s="486"/>
      <x:c r="O1" s="486"/>
      <x:c r="P1" s="486"/>
      <x:c r="Q1" s="486"/>
      <x:c r="R1" s="486"/>
      <x:c r="S1" s="486"/>
      <x:c r="T1" s="486"/>
      <x:c r="U1" s="486"/>
      <x:c r="V1" s="373"/>
      <x:c r="W1" s="373"/>
      <x:c r="X1" s="373"/>
      <x:c r="Y1" s="373"/>
      <x:c r="Z1" s="373"/>
    </x:row>
    <x:row r="2" ht="22" customHeight="1">
      <x:c r="A2" s="374" t="str">
        <x:v>Planned and implemented tests across configuration, unit, lifecycle, readiness, launch, integration, E2E, fault, regression, safety, and performance.</x:v>
      </x:c>
      <x:c r="B2" s="374"/>
      <x:c r="C2" s="374"/>
      <x:c r="D2" s="374"/>
      <x:c r="E2" s="374"/>
      <x:c r="F2" s="374"/>
      <x:c r="G2" s="374"/>
      <x:c r="H2" s="374"/>
      <x:c r="I2" s="374"/>
      <x:c r="J2" s="374"/>
      <x:c r="K2" s="374"/>
      <x:c r="L2" s="374"/>
      <x:c r="M2" s="374"/>
      <x:c r="N2" s="374"/>
      <x:c r="O2" s="374"/>
      <x:c r="P2" s="374"/>
      <x:c r="Q2" s="374"/>
      <x:c r="R2" s="374"/>
      <x:c r="S2" s="374"/>
      <x:c r="T2" s="374"/>
      <x:c r="U2" s="374"/>
      <x:c r="V2" s="373"/>
      <x:c r="W2" s="373"/>
      <x:c r="X2" s="373"/>
      <x:c r="Y2" s="373"/>
      <x:c r="Z2" s="373"/>
    </x:row>
    <x:row r="3">
      <x:c r="A3" s="373"/>
      <x:c r="B3" s="373"/>
      <x:c r="C3" s="373"/>
      <x:c r="D3" s="373"/>
      <x:c r="E3" s="373"/>
      <x:c r="F3" s="373"/>
      <x:c r="G3" s="373"/>
      <x:c r="H3" s="373"/>
      <x:c r="I3" s="373"/>
      <x:c r="J3" s="373"/>
      <x:c r="K3" s="373"/>
      <x:c r="L3" s="373"/>
      <x:c r="M3" s="373"/>
      <x:c r="N3" s="373"/>
      <x:c r="O3" s="373"/>
      <x:c r="P3" s="373"/>
      <x:c r="Q3" s="373"/>
      <x:c r="R3" s="373"/>
      <x:c r="S3" s="373"/>
      <x:c r="T3" s="373"/>
      <x:c r="U3" s="373"/>
      <x:c r="V3" s="373"/>
      <x:c r="W3" s="373"/>
      <x:c r="X3" s="373"/>
      <x:c r="Y3" s="373"/>
      <x:c r="Z3" s="373"/>
    </x:row>
    <x:row r="4">
      <x:c r="A4" s="409" t="str">
        <x:v>Test ID</x:v>
      </x:c>
      <x:c r="B4" s="413" t="str">
        <x:v>Release</x:v>
      </x:c>
      <x:c r="C4" s="413" t="str">
        <x:v>Test Level</x:v>
      </x:c>
      <x:c r="D4" s="413" t="str">
        <x:v>Feature ID</x:v>
      </x:c>
      <x:c r="E4" s="413" t="str">
        <x:v>Requirement ID</x:v>
      </x:c>
      <x:c r="F4" s="413" t="str">
        <x:v>Test Name</x:v>
      </x:c>
      <x:c r="G4" s="413" t="str">
        <x:v>Objective</x:v>
      </x:c>
      <x:c r="H4" s="413" t="str">
        <x:v>Preconditions</x:v>
      </x:c>
      <x:c r="I4" s="413" t="str">
        <x:v>Procedure</x:v>
      </x:c>
      <x:c r="J4" s="413" t="str">
        <x:v>Expected Result</x:v>
      </x:c>
      <x:c r="K4" s="413" t="str">
        <x:v>Automation</x:v>
      </x:c>
      <x:c r="L4" s="413" t="str">
        <x:v>Current Status</x:v>
      </x:c>
      <x:c r="M4" s="413" t="str">
        <x:v>Priority</x:v>
      </x:c>
      <x:c r="N4" s="413" t="str">
        <x:v>Environment</x:v>
      </x:c>
      <x:c r="O4" s="413" t="str">
        <x:v>Last Run Date</x:v>
      </x:c>
      <x:c r="P4" s="413" t="str">
        <x:v>Last Run ID</x:v>
      </x:c>
      <x:c r="Q4" s="413" t="str">
        <x:v>Defect IDs</x:v>
      </x:c>
      <x:c r="R4" s="413" t="str">
        <x:v>Evidence Path</x:v>
      </x:c>
      <x:c r="S4" s="413" t="str">
        <x:v>Owner</x:v>
      </x:c>
      <x:c r="T4" s="413" t="str">
        <x:v>Notes</x:v>
      </x:c>
      <x:c r="U4" s="410" t="str">
        <x:v>JS Key</x:v>
      </x:c>
      <x:c r="V4" s="373"/>
      <x:c r="W4" s="373"/>
      <x:c r="X4" s="373"/>
      <x:c r="Y4" s="373"/>
      <x:c r="Z4" s="373"/>
    </x:row>
    <x:row r="5">
      <x:c r="A5" s="411" t="str">
        <x:v>TC-0001</x:v>
      </x:c>
      <x:c r="B5" s="411" t="str">
        <x:v>v0.1.1</x:v>
      </x:c>
      <x:c r="C5" s="411" t="str">
        <x:v>Baseline</x:v>
      </x:c>
      <x:c r="D5" s="411" t="str">
        <x:v>F-RUN-001</x:v>
      </x:c>
      <x:c r="E5" s="411" t="str">
        <x:v>REQ-001</x:v>
      </x:c>
      <x:c r="F5" s="411" t="str">
        <x:v>Capture current process tree</x:v>
      </x:c>
      <x:c r="G5" s="411" t="str">
        <x:v>Establish reproducible evidence of current startup/shutdown behavior.</x:v>
      </x:c>
      <x:c r="H5" s="411" t="str">
        <x:v>Repository builds and baseline launch command is known.</x:v>
      </x:c>
      <x:c r="I5" s="411" t="str">
        <x:v>Launch platform; capture process tree, ROS nodes, topics, TF, PIDs, and shutdown sequence.</x:v>
      </x:c>
      <x:c r="J5" s="411" t="str">
        <x:v>Baseline artifacts are saved with timestamp and commit SHA.</x:v>
      </x:c>
      <x:c r="K5" s="488" t="str">
        <x:v>Manual</x:v>
      </x:c>
      <x:c r="L5" s="488" t="str">
        <x:v>Not Run</x:v>
      </x:c>
      <x:c r="M5" s="488" t="str">
        <x:v>Critical</x:v>
      </x:c>
      <x:c r="N5" s="411" t="str">
        <x:v>ROS 2 Jazzy + Gazebo Harmonic</x:v>
      </x:c>
      <x:c r="O5" s="460"/>
      <x:c r="P5" s="411" t="str"/>
      <x:c r="Q5" s="411" t="str"/>
      <x:c r="R5" s="411" t="str"/>
      <x:c r="S5" s="411" t="str">
        <x:v>Devansh</x:v>
      </x:c>
      <x:c r="T5" s="411" t="str"/>
      <x:c r="U5" s="411" t="str">
        <x:v>tc_0001</x:v>
      </x:c>
      <x:c r="V5" s="373"/>
      <x:c r="W5" s="373"/>
      <x:c r="X5" s="373"/>
      <x:c r="Y5" s="373"/>
      <x:c r="Z5" s="373"/>
    </x:row>
    <x:row r="6">
      <x:c r="A6" s="411" t="str">
        <x:v>TC-0002</x:v>
      </x:c>
      <x:c r="B6" s="411" t="str">
        <x:v>v0.1.1</x:v>
      </x:c>
      <x:c r="C6" s="411" t="str">
        <x:v>Integration</x:v>
      </x:c>
      <x:c r="D6" s="411" t="str">
        <x:v>F-RUN-002</x:v>
      </x:c>
      <x:c r="E6" s="411" t="str">
        <x:v>REQ-002</x:v>
      </x:c>
      <x:c r="F6" s="411" t="str">
        <x:v>Reject duplicate launch</x:v>
      </x:c>
      <x:c r="G6" s="411" t="str">
        <x:v>Verify a second launch cannot create a duplicate simulation.</x:v>
      </x:c>
      <x:c r="H6" s="411" t="str">
        <x:v>One healthy platform instance is running.</x:v>
      </x:c>
      <x:c r="I6" s="411" t="str">
        <x:v>Request a second simulation start through the supported interface.</x:v>
      </x:c>
      <x:c r="J6" s="411" t="str">
        <x:v>Second request is rejected; original instance remains healthy; precise reason is logged.</x:v>
      </x:c>
      <x:c r="K6" s="488" t="str">
        <x:v>Planned</x:v>
      </x:c>
      <x:c r="L6" s="488" t="str">
        <x:v>Not Run</x:v>
      </x:c>
      <x:c r="M6" s="488" t="str">
        <x:v>Critical</x:v>
      </x:c>
      <x:c r="N6" s="411" t="str">
        <x:v>ROS 2 Jazzy + Gazebo Harmonic</x:v>
      </x:c>
      <x:c r="O6" s="460"/>
      <x:c r="P6" s="411" t="str"/>
      <x:c r="Q6" s="411" t="str"/>
      <x:c r="R6" s="411" t="str"/>
      <x:c r="S6" s="411" t="str">
        <x:v>Devansh</x:v>
      </x:c>
      <x:c r="T6" s="411" t="str"/>
      <x:c r="U6" s="411" t="str">
        <x:v>tc_0002</x:v>
      </x:c>
      <x:c r="V6" s="373"/>
      <x:c r="W6" s="373"/>
      <x:c r="X6" s="373"/>
      <x:c r="Y6" s="373"/>
      <x:c r="Z6" s="373"/>
    </x:row>
    <x:row r="7">
      <x:c r="A7" s="411" t="str">
        <x:v>TC-0003</x:v>
      </x:c>
      <x:c r="B7" s="411" t="str">
        <x:v>v0.1.1</x:v>
      </x:c>
      <x:c r="C7" s="411" t="str">
        <x:v>Integration</x:v>
      </x:c>
      <x:c r="D7" s="411" t="str">
        <x:v>F-RUN-003</x:v>
      </x:c>
      <x:c r="E7" s="411" t="str">
        <x:v>REQ-003</x:v>
      </x:c>
      <x:c r="F7" s="411" t="str">
        <x:v>Register every child process</x:v>
      </x:c>
      <x:c r="G7" s="411" t="str">
        <x:v>Verify all spawned processes are represented in the process registry.</x:v>
      </x:c>
      <x:c r="H7" s="411" t="str">
        <x:v>Platform is stopped.</x:v>
      </x:c>
      <x:c r="I7" s="411" t="str">
        <x:v>Start platform and compare registry entries with the operating-system process tree.</x:v>
      </x:c>
      <x:c r="J7" s="411" t="str">
        <x:v>All owned processes are registered exactly once with PID and component metadata.</x:v>
      </x:c>
      <x:c r="K7" s="488" t="str">
        <x:v>Planned</x:v>
      </x:c>
      <x:c r="L7" s="488" t="str">
        <x:v>Not Run</x:v>
      </x:c>
      <x:c r="M7" s="488" t="str">
        <x:v>High</x:v>
      </x:c>
      <x:c r="N7" s="411" t="str">
        <x:v>ROS 2 Jazzy + Gazebo Harmonic</x:v>
      </x:c>
      <x:c r="O7" s="460"/>
      <x:c r="P7" s="411" t="str"/>
      <x:c r="Q7" s="411" t="str"/>
      <x:c r="R7" s="411" t="str"/>
      <x:c r="S7" s="411" t="str">
        <x:v>Devansh</x:v>
      </x:c>
      <x:c r="T7" s="411" t="str"/>
      <x:c r="U7" s="411" t="str">
        <x:v>tc_0003</x:v>
      </x:c>
      <x:c r="V7" s="373"/>
      <x:c r="W7" s="373"/>
      <x:c r="X7" s="373"/>
      <x:c r="Y7" s="373"/>
      <x:c r="Z7" s="373"/>
    </x:row>
    <x:row r="8">
      <x:c r="A8" s="411" t="str">
        <x:v>TC-0004</x:v>
      </x:c>
      <x:c r="B8" s="411" t="str">
        <x:v>v0.1.1</x:v>
      </x:c>
      <x:c r="C8" s="411" t="str">
        <x:v>E2E</x:v>
      </x:c>
      <x:c r="D8" s="411" t="str">
        <x:v>F-RUN-004</x:v>
      </x:c>
      <x:c r="E8" s="411" t="str">
        <x:v>REQ-004</x:v>
      </x:c>
      <x:c r="F8" s="411" t="str">
        <x:v>Nominal controlled shutdown</x:v>
      </x:c>
      <x:c r="G8" s="411" t="str">
        <x:v>Verify orderly goal cancellation, mode deactivation, controller stop, node exit, and Gazebo termination.</x:v>
      </x:c>
      <x:c r="H8" s="411" t="str">
        <x:v>Platform is ACTIVE and no fault is present.</x:v>
      </x:c>
      <x:c r="I8" s="411" t="str">
        <x:v>Request shutdown; observe ordered stages; verify processes and ROS nodes disappear.</x:v>
      </x:c>
      <x:c r="J8" s="411" t="str">
        <x:v>Shutdown completes within target; no owned process or critical node remains.</x:v>
      </x:c>
      <x:c r="K8" s="488" t="str">
        <x:v>Planned</x:v>
      </x:c>
      <x:c r="L8" s="488" t="str">
        <x:v>Not Run</x:v>
      </x:c>
      <x:c r="M8" s="488" t="str">
        <x:v>Critical</x:v>
      </x:c>
      <x:c r="N8" s="411" t="str">
        <x:v>ROS 2 Jazzy + Gazebo Harmonic</x:v>
      </x:c>
      <x:c r="O8" s="460"/>
      <x:c r="P8" s="411" t="str"/>
      <x:c r="Q8" s="411" t="str"/>
      <x:c r="R8" s="411" t="str"/>
      <x:c r="S8" s="411" t="str">
        <x:v>Devansh</x:v>
      </x:c>
      <x:c r="T8" s="411" t="str"/>
      <x:c r="U8" s="411" t="str">
        <x:v>tc_0004</x:v>
      </x:c>
      <x:c r="V8" s="373"/>
      <x:c r="W8" s="373"/>
      <x:c r="X8" s="373"/>
      <x:c r="Y8" s="373"/>
      <x:c r="Z8" s="373"/>
    </x:row>
    <x:row r="9">
      <x:c r="A9" s="411" t="str">
        <x:v>TC-0005</x:v>
      </x:c>
      <x:c r="B9" s="411" t="str">
        <x:v>v0.1.1</x:v>
      </x:c>
      <x:c r="C9" s="411" t="str">
        <x:v>Fault</x:v>
      </x:c>
      <x:c r="D9" s="411" t="str">
        <x:v>F-RUN-005</x:v>
      </x:c>
      <x:c r="E9" s="411" t="str">
        <x:v>REQ-005</x:v>
      </x:c>
      <x:c r="F9" s="411" t="str">
        <x:v>Escalate nonresponsive process</x:v>
      </x:c>
      <x:c r="G9" s="411" t="str">
        <x:v>Verify bounded escalation when a child process ignores graceful termination.</x:v>
      </x:c>
      <x:c r="H9" s="411" t="str">
        <x:v>Fault stub can ignore graceful shutdown.</x:v>
      </x:c>
      <x:c r="I9" s="411" t="str">
        <x:v>Launch fault stub; request shutdown; observe graceful timeout, terminate, then kill if required.</x:v>
      </x:c>
      <x:c r="J9" s="411" t="str">
        <x:v>Escalation follows policy; final report identifies the process and stage.</x:v>
      </x:c>
      <x:c r="K9" s="488" t="str">
        <x:v>Planned</x:v>
      </x:c>
      <x:c r="L9" s="488" t="str">
        <x:v>Not Run</x:v>
      </x:c>
      <x:c r="M9" s="488" t="str">
        <x:v>High</x:v>
      </x:c>
      <x:c r="N9" s="411" t="str">
        <x:v>ROS 2 Jazzy + Gazebo Harmonic</x:v>
      </x:c>
      <x:c r="O9" s="460"/>
      <x:c r="P9" s="411" t="str"/>
      <x:c r="Q9" s="411" t="str"/>
      <x:c r="R9" s="411" t="str"/>
      <x:c r="S9" s="411" t="str">
        <x:v>Devansh</x:v>
      </x:c>
      <x:c r="T9" s="411" t="str"/>
      <x:c r="U9" s="411" t="str">
        <x:v>tc_0005</x:v>
      </x:c>
      <x:c r="V9" s="373"/>
      <x:c r="W9" s="373"/>
      <x:c r="X9" s="373"/>
      <x:c r="Y9" s="373"/>
      <x:c r="Z9" s="373"/>
    </x:row>
    <x:row r="10">
      <x:c r="A10" s="411" t="str">
        <x:v>TC-0006</x:v>
      </x:c>
      <x:c r="B10" s="411" t="str">
        <x:v>v0.1.1</x:v>
      </x:c>
      <x:c r="C10" s="411" t="str">
        <x:v>Integration</x:v>
      </x:c>
      <x:c r="D10" s="411" t="str">
        <x:v>F-RUN-006</x:v>
      </x:c>
      <x:c r="E10" s="411" t="str">
        <x:v>REQ-006</x:v>
      </x:c>
      <x:c r="F10" s="411" t="str">
        <x:v>Reset state after shutdown</x:v>
      </x:c>
      <x:c r="G10" s="411" t="str">
        <x:v>Verify internal runtime and mode state returns to a clean baseline.</x:v>
      </x:c>
      <x:c r="H10" s="411" t="str">
        <x:v>Platform has selected environment, active mode, and prior goal state.</x:v>
      </x:c>
      <x:c r="I10" s="411" t="str">
        <x:v>Shutdown; inspect all manager state; restart and query status.</x:v>
      </x:c>
      <x:c r="J10" s="411" t="str">
        <x:v>No stale environment, mode, goal, PID, or readiness state survives.</x:v>
      </x:c>
      <x:c r="K10" s="488" t="str">
        <x:v>Planned</x:v>
      </x:c>
      <x:c r="L10" s="488" t="str">
        <x:v>Not Run</x:v>
      </x:c>
      <x:c r="M10" s="488" t="str">
        <x:v>High</x:v>
      </x:c>
      <x:c r="N10" s="411" t="str">
        <x:v>ROS 2 Jazzy + Gazebo Harmonic</x:v>
      </x:c>
      <x:c r="O10" s="460"/>
      <x:c r="P10" s="411" t="str"/>
      <x:c r="Q10" s="411" t="str"/>
      <x:c r="R10" s="411" t="str"/>
      <x:c r="S10" s="411" t="str">
        <x:v>Devansh</x:v>
      </x:c>
      <x:c r="T10" s="411" t="str"/>
      <x:c r="U10" s="411" t="str">
        <x:v>tc_0006</x:v>
      </x:c>
      <x:c r="V10" s="373"/>
      <x:c r="W10" s="373"/>
      <x:c r="X10" s="373"/>
      <x:c r="Y10" s="373"/>
      <x:c r="Z10" s="373"/>
    </x:row>
    <x:row r="11">
      <x:c r="A11" s="411" t="str">
        <x:v>TC-0007</x:v>
      </x:c>
      <x:c r="B11" s="411" t="str">
        <x:v>v0.1.1</x:v>
      </x:c>
      <x:c r="C11" s="411" t="str">
        <x:v>Fault</x:v>
      </x:c>
      <x:c r="D11" s="411" t="str">
        <x:v>F-RUN-007</x:v>
      </x:c>
      <x:c r="E11" s="411" t="str">
        <x:v>REQ-007</x:v>
      </x:c>
      <x:c r="F11" s="411" t="str">
        <x:v>Detect duplicate critical node</x:v>
      </x:c>
      <x:c r="G11" s="411" t="str">
        <x:v>Verify duplicate node names/processes are detected and reported.</x:v>
      </x:c>
      <x:c r="H11" s="411" t="str">
        <x:v>Platform supports a controlled duplicate-node fixture.</x:v>
      </x:c>
      <x:c r="I11" s="411" t="str">
        <x:v>Start platform; launch duplicate fixture; run duplicate detection.</x:v>
      </x:c>
      <x:c r="J11" s="411" t="str">
        <x:v>Duplicate is reported with node/process identity; platform does not silently continue.</x:v>
      </x:c>
      <x:c r="K11" s="488" t="str">
        <x:v>Planned</x:v>
      </x:c>
      <x:c r="L11" s="488" t="str">
        <x:v>Not Run</x:v>
      </x:c>
      <x:c r="M11" s="488" t="str">
        <x:v>High</x:v>
      </x:c>
      <x:c r="N11" s="411" t="str">
        <x:v>ROS 2 Jazzy + Gazebo Harmonic</x:v>
      </x:c>
      <x:c r="O11" s="460"/>
      <x:c r="P11" s="411" t="str"/>
      <x:c r="Q11" s="411" t="str"/>
      <x:c r="R11" s="411" t="str"/>
      <x:c r="S11" s="411" t="str">
        <x:v>Devansh</x:v>
      </x:c>
      <x:c r="T11" s="411" t="str"/>
      <x:c r="U11" s="411" t="str">
        <x:v>tc_0007</x:v>
      </x:c>
      <x:c r="V11" s="373"/>
      <x:c r="W11" s="373"/>
      <x:c r="X11" s="373"/>
      <x:c r="Y11" s="373"/>
      <x:c r="Z11" s="373"/>
    </x:row>
    <x:row r="12">
      <x:c r="A12" s="411" t="str">
        <x:v>TC-0008</x:v>
      </x:c>
      <x:c r="B12" s="411" t="str">
        <x:v>v0.1.1</x:v>
      </x:c>
      <x:c r="C12" s="411" t="str">
        <x:v>Diagnostics</x:v>
      </x:c>
      <x:c r="D12" s="411" t="str">
        <x:v>F-RUN-008</x:v>
      </x:c>
      <x:c r="E12" s="411" t="str">
        <x:v>REQ-008</x:v>
      </x:c>
      <x:c r="F12" s="411" t="str">
        <x:v>Report incomplete shutdown</x:v>
      </x:c>
      <x:c r="G12" s="411" t="str">
        <x:v>Verify shutdown diagnostics include remaining process and failed stage.</x:v>
      </x:c>
      <x:c r="H12" s="411" t="str">
        <x:v>A child process can be held alive.</x:v>
      </x:c>
      <x:c r="I12" s="411" t="str">
        <x:v>Request shutdown and force one process to remain.</x:v>
      </x:c>
      <x:c r="J12" s="411" t="str">
        <x:v>Report identifies PID, component, attempted signals, elapsed time, and recommended next action.</x:v>
      </x:c>
      <x:c r="K12" s="488" t="str">
        <x:v>Planned</x:v>
      </x:c>
      <x:c r="L12" s="488" t="str">
        <x:v>Not Run</x:v>
      </x:c>
      <x:c r="M12" s="488" t="str">
        <x:v>High</x:v>
      </x:c>
      <x:c r="N12" s="411" t="str">
        <x:v>ROS 2 Jazzy + Gazebo Harmonic</x:v>
      </x:c>
      <x:c r="O12" s="460"/>
      <x:c r="P12" s="411" t="str"/>
      <x:c r="Q12" s="411" t="str"/>
      <x:c r="R12" s="411" t="str"/>
      <x:c r="S12" s="411" t="str">
        <x:v>Devansh</x:v>
      </x:c>
      <x:c r="T12" s="411" t="str"/>
      <x:c r="U12" s="411" t="str">
        <x:v>tc_0008</x:v>
      </x:c>
      <x:c r="V12" s="373"/>
      <x:c r="W12" s="373"/>
      <x:c r="X12" s="373"/>
      <x:c r="Y12" s="373"/>
      <x:c r="Z12" s="373"/>
    </x:row>
    <x:row r="13">
      <x:c r="A13" s="411" t="str">
        <x:v>TC-0009</x:v>
      </x:c>
      <x:c r="B13" s="411" t="str">
        <x:v>v0.1.1</x:v>
      </x:c>
      <x:c r="C13" s="411" t="str">
        <x:v>Regression</x:v>
      </x:c>
      <x:c r="D13" s="411" t="str">
        <x:v>F-RUN-009</x:v>
      </x:c>
      <x:c r="E13" s="411" t="str">
        <x:v>REQ-009</x:v>
      </x:c>
      <x:c r="F13" s="411" t="str">
        <x:v>Ten consecutive start/stop cycles</x:v>
      </x:c>
      <x:c r="G13" s="411" t="str">
        <x:v>Verify repeatable startup/shutdown without manual cleanup.</x:v>
      </x:c>
      <x:c r="H13" s="411" t="str">
        <x:v>Clean workspace and known baseline configuration.</x:v>
      </x:c>
      <x:c r="I13" s="411" t="str">
        <x:v>Execute automated bring-up and shutdown ten times; record each result.</x:v>
      </x:c>
      <x:c r="J13" s="411" t="str">
        <x:v>10/10 cycles pass; zero orphaned owned processes; zero duplicate critical nodes.</x:v>
      </x:c>
      <x:c r="K13" s="488" t="str">
        <x:v>Planned</x:v>
      </x:c>
      <x:c r="L13" s="488" t="str">
        <x:v>Not Run</x:v>
      </x:c>
      <x:c r="M13" s="488" t="str">
        <x:v>Critical</x:v>
      </x:c>
      <x:c r="N13" s="411" t="str">
        <x:v>ROS 2 Jazzy + Gazebo Harmonic</x:v>
      </x:c>
      <x:c r="O13" s="460"/>
      <x:c r="P13" s="411" t="str"/>
      <x:c r="Q13" s="411" t="str"/>
      <x:c r="R13" s="411" t="str"/>
      <x:c r="S13" s="411" t="str">
        <x:v>Devansh</x:v>
      </x:c>
      <x:c r="T13" s="411" t="str"/>
      <x:c r="U13" s="411" t="str">
        <x:v>tc_0009</x:v>
      </x:c>
      <x:c r="V13" s="373"/>
      <x:c r="W13" s="373"/>
      <x:c r="X13" s="373"/>
      <x:c r="Y13" s="373"/>
      <x:c r="Z13" s="373"/>
    </x:row>
    <x:row r="14">
      <x:c r="A14" s="411" t="str">
        <x:v>TC-0010</x:v>
      </x:c>
      <x:c r="B14" s="411" t="str">
        <x:v>v0.1.1</x:v>
      </x:c>
      <x:c r="C14" s="411" t="str">
        <x:v>Regression</x:v>
      </x:c>
      <x:c r="D14" s="411" t="str">
        <x:v>F-RUN-009</x:v>
      </x:c>
      <x:c r="E14" s="411" t="str">
        <x:v>REQ-009</x:v>
      </x:c>
      <x:c r="F14" s="411" t="str">
        <x:v>Restart after interrupted startup</x:v>
      </x:c>
      <x:c r="G14" s="411" t="str">
        <x:v>Verify the next run is clean after startup is interrupted.</x:v>
      </x:c>
      <x:c r="H14" s="411" t="str">
        <x:v>Startup can be interrupted between process creation and full readiness.</x:v>
      </x:c>
      <x:c r="I14" s="411" t="str">
        <x:v>Interrupt startup; run cleanup; start platform again.</x:v>
      </x:c>
      <x:c r="J14" s="411" t="str">
        <x:v>Second startup succeeds without manual process cleanup or stale state.</x:v>
      </x:c>
      <x:c r="K14" s="488" t="str">
        <x:v>Planned</x:v>
      </x:c>
      <x:c r="L14" s="488" t="str">
        <x:v>Not Run</x:v>
      </x:c>
      <x:c r="M14" s="488" t="str">
        <x:v>Critical</x:v>
      </x:c>
      <x:c r="N14" s="411" t="str">
        <x:v>ROS 2 Jazzy + Gazebo Harmonic</x:v>
      </x:c>
      <x:c r="O14" s="460"/>
      <x:c r="P14" s="411" t="str"/>
      <x:c r="Q14" s="411" t="str"/>
      <x:c r="R14" s="411" t="str"/>
      <x:c r="S14" s="411" t="str">
        <x:v>Devansh</x:v>
      </x:c>
      <x:c r="T14" s="411" t="str"/>
      <x:c r="U14" s="411" t="str">
        <x:v>tc_0010</x:v>
      </x:c>
      <x:c r="V14" s="373"/>
      <x:c r="W14" s="373"/>
      <x:c r="X14" s="373"/>
      <x:c r="Y14" s="373"/>
      <x:c r="Z14" s="373"/>
    </x:row>
    <x:row r="15">
      <x:c r="A15" s="411" t="str">
        <x:v>TC-0011</x:v>
      </x:c>
      <x:c r="B15" s="411" t="str">
        <x:v>v0.1.1</x:v>
      </x:c>
      <x:c r="C15" s="411" t="str">
        <x:v>Evidence</x:v>
      </x:c>
      <x:c r="D15" s="411" t="str">
        <x:v>F-RUN-010</x:v>
      </x:c>
      <x:c r="E15" s="411" t="str">
        <x:v>REQ-010</x:v>
      </x:c>
      <x:c r="F15" s="411" t="str">
        <x:v>Generate release evidence package</x:v>
      </x:c>
      <x:c r="G15" s="411" t="str">
        <x:v>Verify logs, results, commit, environment, and decision summary are collected.</x:v>
      </x:c>
      <x:c r="H15" s="411" t="str">
        <x:v>All v0.1.1 tests have completed.</x:v>
      </x:c>
      <x:c r="I15" s="411" t="str">
        <x:v>Run evidence-generation command and inspect output structure.</x:v>
      </x:c>
      <x:c r="J15" s="411" t="str">
        <x:v>Evidence package is complete, timestamped, traceable, and readable.</x:v>
      </x:c>
      <x:c r="K15" s="488" t="str">
        <x:v>Planned</x:v>
      </x:c>
      <x:c r="L15" s="488" t="str">
        <x:v>Not Run</x:v>
      </x:c>
      <x:c r="M15" s="488" t="str">
        <x:v>Medium</x:v>
      </x:c>
      <x:c r="N15" s="411" t="str">
        <x:v>ROS 2 Jazzy + Gazebo Harmonic</x:v>
      </x:c>
      <x:c r="O15" s="460"/>
      <x:c r="P15" s="411" t="str"/>
      <x:c r="Q15" s="411" t="str"/>
      <x:c r="R15" s="411" t="str"/>
      <x:c r="S15" s="411" t="str">
        <x:v>Devansh</x:v>
      </x:c>
      <x:c r="T15" s="411" t="str"/>
      <x:c r="U15" s="411" t="str">
        <x:v>tc_0011</x:v>
      </x:c>
      <x:c r="V15" s="373"/>
      <x:c r="W15" s="373"/>
      <x:c r="X15" s="373"/>
      <x:c r="Y15" s="373"/>
      <x:c r="Z15" s="373"/>
    </x:row>
    <x:row r="16">
      <x:c r="A16" s="411" t="str">
        <x:v>TC-0012</x:v>
      </x:c>
      <x:c r="B16" s="411" t="str">
        <x:v>v0.1.2</x:v>
      </x:c>
      <x:c r="C16" s="411" t="str">
        <x:v>Integration</x:v>
      </x:c>
      <x:c r="D16" s="411" t="str">
        <x:v>F-LIFE-001</x:v>
      </x:c>
      <x:c r="E16" s="411" t="str">
        <x:v>REQ-011</x:v>
      </x:c>
      <x:c r="F16" s="411" t="str">
        <x:v>Lifecycle base abstraction — nominal acceptance</x:v>
      </x:c>
      <x:c r="G16" s="411" t="str">
        <x:v>Verify that lifecycle base abstraction satisfies its declared acceptance criteria.</x:v>
      </x:c>
      <x:c r="H16" s="411" t="str">
        <x:v>Required dependencies and test fixtures are available.</x:v>
      </x:c>
      <x:c r="I16" s="411" t="str">
        <x:v>Configure the platform for v0.1.2; execute the nominal workflow for lifecycle base abstraction; collect logs and evidence.</x:v>
      </x:c>
      <x:c r="J16" s="411" t="str">
        <x:v>Declared acceptance criteria pass and no existing regression test fails.</x:v>
      </x:c>
      <x:c r="K16" s="488" t="str">
        <x:v>Planned</x:v>
      </x:c>
      <x:c r="L16" s="488" t="str">
        <x:v>Not Run</x:v>
      </x:c>
      <x:c r="M16" s="488" t="str">
        <x:v>Critical</x:v>
      </x:c>
      <x:c r="N16" s="411" t="str">
        <x:v>ROS 2 Jazzy + Gazebo Harmonic</x:v>
      </x:c>
      <x:c r="O16" s="460"/>
      <x:c r="P16" s="411" t="str"/>
      <x:c r="Q16" s="411" t="str"/>
      <x:c r="R16" s="411" t="str"/>
      <x:c r="S16" s="411" t="str">
        <x:v>Devansh</x:v>
      </x:c>
      <x:c r="T16" s="411" t="str"/>
      <x:c r="U16" s="411" t="str">
        <x:v>tc_0012</x:v>
      </x:c>
      <x:c r="V16" s="373"/>
      <x:c r="W16" s="373"/>
      <x:c r="X16" s="373"/>
      <x:c r="Y16" s="373"/>
      <x:c r="Z16" s="373"/>
    </x:row>
    <x:row r="17">
      <x:c r="A17" s="411" t="str">
        <x:v>TC-0013</x:v>
      </x:c>
      <x:c r="B17" s="411" t="str">
        <x:v>v0.1.2</x:v>
      </x:c>
      <x:c r="C17" s="411" t="str">
        <x:v>Fault</x:v>
      </x:c>
      <x:c r="D17" s="411" t="str">
        <x:v>F-LIFE-001</x:v>
      </x:c>
      <x:c r="E17" s="411" t="str">
        <x:v>REQ-011</x:v>
      </x:c>
      <x:c r="F17" s="411" t="str">
        <x:v>Lifecycle base abstraction — failure/recovery path</x:v>
      </x:c>
      <x:c r="G17" s="411" t="str">
        <x:v>Verify safe behavior when the dependencies or inputs for lifecycle base abstraction fail.</x:v>
      </x:c>
      <x:c r="H17" s="411" t="str">
        <x:v>Fault injection or controlled dependency stub is available.</x:v>
      </x:c>
      <x:c r="I17" s="411" t="str">
        <x:v>Activate lifecycle base abstraction; inject a representative failure; observe state, logs, cleanup, and recovery.</x:v>
      </x:c>
      <x:c r="J17" s="411" t="str">
        <x:v>Failure is detected, unsafe behavior is prevented, cause is reported, and recovery follows policy.</x:v>
      </x:c>
      <x:c r="K17" s="488" t="str">
        <x:v>Planned</x:v>
      </x:c>
      <x:c r="L17" s="488" t="str">
        <x:v>Not Run</x:v>
      </x:c>
      <x:c r="M17" s="488" t="str">
        <x:v>Critical</x:v>
      </x:c>
      <x:c r="N17" s="411" t="str">
        <x:v>ROS 2 Jazzy + Gazebo Harmonic</x:v>
      </x:c>
      <x:c r="O17" s="460"/>
      <x:c r="P17" s="411" t="str"/>
      <x:c r="Q17" s="411" t="str"/>
      <x:c r="R17" s="411" t="str"/>
      <x:c r="S17" s="411" t="str">
        <x:v>Devansh</x:v>
      </x:c>
      <x:c r="T17" s="411" t="str"/>
      <x:c r="U17" s="411" t="str">
        <x:v>tc_0013</x:v>
      </x:c>
      <x:c r="V17" s="373"/>
      <x:c r="W17" s="373"/>
      <x:c r="X17" s="373"/>
      <x:c r="Y17" s="373"/>
      <x:c r="Z17" s="373"/>
    </x:row>
    <x:row r="18">
      <x:c r="A18" s="411" t="str">
        <x:v>TC-0014</x:v>
      </x:c>
      <x:c r="B18" s="411" t="str">
        <x:v>v0.1.2</x:v>
      </x:c>
      <x:c r="C18" s="411" t="str">
        <x:v>Integration</x:v>
      </x:c>
      <x:c r="D18" s="411" t="str">
        <x:v>F-LIFE-002</x:v>
      </x:c>
      <x:c r="E18" s="411" t="str">
        <x:v>REQ-012</x:v>
      </x:c>
      <x:c r="F18" s="411" t="str">
        <x:v>Legal transition table — nominal acceptance</x:v>
      </x:c>
      <x:c r="G18" s="411" t="str">
        <x:v>Verify that legal transition table satisfies its declared acceptance criteria.</x:v>
      </x:c>
      <x:c r="H18" s="411" t="str">
        <x:v>Required dependencies and test fixtures are available.</x:v>
      </x:c>
      <x:c r="I18" s="411" t="str">
        <x:v>Configure the platform for v0.1.2; execute the nominal workflow for legal transition table; collect logs and evidence.</x:v>
      </x:c>
      <x:c r="J18" s="411" t="str">
        <x:v>Declared acceptance criteria pass and no existing regression test fails.</x:v>
      </x:c>
      <x:c r="K18" s="488" t="str">
        <x:v>Planned</x:v>
      </x:c>
      <x:c r="L18" s="488" t="str">
        <x:v>Not Run</x:v>
      </x:c>
      <x:c r="M18" s="488" t="str">
        <x:v>Critical</x:v>
      </x:c>
      <x:c r="N18" s="411" t="str">
        <x:v>ROS 2 Jazzy + Gazebo Harmonic</x:v>
      </x:c>
      <x:c r="O18" s="460"/>
      <x:c r="P18" s="411" t="str"/>
      <x:c r="Q18" s="411" t="str"/>
      <x:c r="R18" s="411" t="str"/>
      <x:c r="S18" s="411" t="str">
        <x:v>Devansh</x:v>
      </x:c>
      <x:c r="T18" s="411" t="str"/>
      <x:c r="U18" s="411" t="str">
        <x:v>tc_0014</x:v>
      </x:c>
      <x:c r="V18" s="373"/>
      <x:c r="W18" s="373"/>
      <x:c r="X18" s="373"/>
      <x:c r="Y18" s="373"/>
      <x:c r="Z18" s="373"/>
    </x:row>
    <x:row r="19">
      <x:c r="A19" s="411" t="str">
        <x:v>TC-0015</x:v>
      </x:c>
      <x:c r="B19" s="411" t="str">
        <x:v>v0.1.2</x:v>
      </x:c>
      <x:c r="C19" s="411" t="str">
        <x:v>Fault</x:v>
      </x:c>
      <x:c r="D19" s="411" t="str">
        <x:v>F-LIFE-002</x:v>
      </x:c>
      <x:c r="E19" s="411" t="str">
        <x:v>REQ-012</x:v>
      </x:c>
      <x:c r="F19" s="411" t="str">
        <x:v>Legal transition table — failure/recovery path</x:v>
      </x:c>
      <x:c r="G19" s="411" t="str">
        <x:v>Verify safe behavior when the dependencies or inputs for legal transition table fail.</x:v>
      </x:c>
      <x:c r="H19" s="411" t="str">
        <x:v>Fault injection or controlled dependency stub is available.</x:v>
      </x:c>
      <x:c r="I19" s="411" t="str">
        <x:v>Activate legal transition table; inject a representative failure; observe state, logs, cleanup, and recovery.</x:v>
      </x:c>
      <x:c r="J19" s="411" t="str">
        <x:v>Failure is detected, unsafe behavior is prevented, cause is reported, and recovery follows policy.</x:v>
      </x:c>
      <x:c r="K19" s="488" t="str">
        <x:v>Planned</x:v>
      </x:c>
      <x:c r="L19" s="488" t="str">
        <x:v>Not Run</x:v>
      </x:c>
      <x:c r="M19" s="488" t="str">
        <x:v>Critical</x:v>
      </x:c>
      <x:c r="N19" s="411" t="str">
        <x:v>ROS 2 Jazzy + Gazebo Harmonic</x:v>
      </x:c>
      <x:c r="O19" s="460"/>
      <x:c r="P19" s="411" t="str"/>
      <x:c r="Q19" s="411" t="str"/>
      <x:c r="R19" s="411" t="str"/>
      <x:c r="S19" s="411" t="str">
        <x:v>Devansh</x:v>
      </x:c>
      <x:c r="T19" s="411" t="str"/>
      <x:c r="U19" s="411" t="str">
        <x:v>tc_0015</x:v>
      </x:c>
      <x:c r="V19" s="373"/>
      <x:c r="W19" s="373"/>
      <x:c r="X19" s="373"/>
      <x:c r="Y19" s="373"/>
      <x:c r="Z19" s="373"/>
    </x:row>
    <x:row r="20">
      <x:c r="A20" s="411" t="str">
        <x:v>TC-0016</x:v>
      </x:c>
      <x:c r="B20" s="411" t="str">
        <x:v>v0.1.2</x:v>
      </x:c>
      <x:c r="C20" s="411" t="str">
        <x:v>Unit</x:v>
      </x:c>
      <x:c r="D20" s="411" t="str">
        <x:v>F-LIFE-003</x:v>
      </x:c>
      <x:c r="E20" s="411" t="str">
        <x:v>REQ-013</x:v>
      </x:c>
      <x:c r="F20" s="411" t="str">
        <x:v>Structured transition result — nominal acceptance</x:v>
      </x:c>
      <x:c r="G20" s="411" t="str">
        <x:v>Verify that structured transition result satisfies its declared acceptance criteria.</x:v>
      </x:c>
      <x:c r="H20" s="411" t="str">
        <x:v>Required dependencies and test fixtures are available.</x:v>
      </x:c>
      <x:c r="I20" s="411" t="str">
        <x:v>Configure the platform for v0.1.2; execute the nominal workflow for structured transition result; collect logs and evidence.</x:v>
      </x:c>
      <x:c r="J20" s="411" t="str">
        <x:v>Declared acceptance criteria pass and no existing regression test fails.</x:v>
      </x:c>
      <x:c r="K20" s="488" t="str">
        <x:v>Planned</x:v>
      </x:c>
      <x:c r="L20" s="488" t="str">
        <x:v>Not Run</x:v>
      </x:c>
      <x:c r="M20" s="488" t="str">
        <x:v>High</x:v>
      </x:c>
      <x:c r="N20" s="411" t="str">
        <x:v>ROS 2 Jazzy + Gazebo Harmonic</x:v>
      </x:c>
      <x:c r="O20" s="460"/>
      <x:c r="P20" s="411" t="str"/>
      <x:c r="Q20" s="411" t="str"/>
      <x:c r="R20" s="411" t="str"/>
      <x:c r="S20" s="411" t="str">
        <x:v>Devansh</x:v>
      </x:c>
      <x:c r="T20" s="411" t="str"/>
      <x:c r="U20" s="411" t="str">
        <x:v>tc_0016</x:v>
      </x:c>
      <x:c r="V20" s="373"/>
      <x:c r="W20" s="373"/>
      <x:c r="X20" s="373"/>
      <x:c r="Y20" s="373"/>
      <x:c r="Z20" s="373"/>
    </x:row>
    <x:row r="21">
      <x:c r="A21" s="411" t="str">
        <x:v>TC-0017</x:v>
      </x:c>
      <x:c r="B21" s="411" t="str">
        <x:v>v0.1.2</x:v>
      </x:c>
      <x:c r="C21" s="411" t="str">
        <x:v>Integration</x:v>
      </x:c>
      <x:c r="D21" s="411" t="str">
        <x:v>F-LIFE-004</x:v>
      </x:c>
      <x:c r="E21" s="411" t="str">
        <x:v>REQ-014</x:v>
      </x:c>
      <x:c r="F21" s="411" t="str">
        <x:v>Platform lifecycle orchestrator — nominal acceptance</x:v>
      </x:c>
      <x:c r="G21" s="411" t="str">
        <x:v>Verify that platform lifecycle orchestrator satisfies its declared acceptance criteria.</x:v>
      </x:c>
      <x:c r="H21" s="411" t="str">
        <x:v>Required dependencies and test fixtures are available.</x:v>
      </x:c>
      <x:c r="I21" s="411" t="str">
        <x:v>Configure the platform for v0.1.2; execute the nominal workflow for platform lifecycle orchestrator; collect logs and evidence.</x:v>
      </x:c>
      <x:c r="J21" s="411" t="str">
        <x:v>Declared acceptance criteria pass and no existing regression test fails.</x:v>
      </x:c>
      <x:c r="K21" s="488" t="str">
        <x:v>Planned</x:v>
      </x:c>
      <x:c r="L21" s="488" t="str">
        <x:v>Not Run</x:v>
      </x:c>
      <x:c r="M21" s="488" t="str">
        <x:v>Critical</x:v>
      </x:c>
      <x:c r="N21" s="411" t="str">
        <x:v>ROS 2 Jazzy + Gazebo Harmonic</x:v>
      </x:c>
      <x:c r="O21" s="460"/>
      <x:c r="P21" s="411" t="str"/>
      <x:c r="Q21" s="411" t="str"/>
      <x:c r="R21" s="411" t="str"/>
      <x:c r="S21" s="411" t="str">
        <x:v>Devansh</x:v>
      </x:c>
      <x:c r="T21" s="411" t="str"/>
      <x:c r="U21" s="411" t="str">
        <x:v>tc_0017</x:v>
      </x:c>
      <x:c r="V21" s="373"/>
      <x:c r="W21" s="373"/>
      <x:c r="X21" s="373"/>
      <x:c r="Y21" s="373"/>
      <x:c r="Z21" s="373"/>
    </x:row>
    <x:row r="22">
      <x:c r="A22" s="411" t="str">
        <x:v>TC-0018</x:v>
      </x:c>
      <x:c r="B22" s="411" t="str">
        <x:v>v0.1.2</x:v>
      </x:c>
      <x:c r="C22" s="411" t="str">
        <x:v>Fault</x:v>
      </x:c>
      <x:c r="D22" s="411" t="str">
        <x:v>F-LIFE-004</x:v>
      </x:c>
      <x:c r="E22" s="411" t="str">
        <x:v>REQ-014</x:v>
      </x:c>
      <x:c r="F22" s="411" t="str">
        <x:v>Platform lifecycle orchestrator — failure/recovery path</x:v>
      </x:c>
      <x:c r="G22" s="411" t="str">
        <x:v>Verify safe behavior when the dependencies or inputs for platform lifecycle orchestrator fail.</x:v>
      </x:c>
      <x:c r="H22" s="411" t="str">
        <x:v>Fault injection or controlled dependency stub is available.</x:v>
      </x:c>
      <x:c r="I22" s="411" t="str">
        <x:v>Activate platform lifecycle orchestrator; inject a representative failure; observe state, logs, cleanup, and recovery.</x:v>
      </x:c>
      <x:c r="J22" s="411" t="str">
        <x:v>Failure is detected, unsafe behavior is prevented, cause is reported, and recovery follows policy.</x:v>
      </x:c>
      <x:c r="K22" s="488" t="str">
        <x:v>Planned</x:v>
      </x:c>
      <x:c r="L22" s="488" t="str">
        <x:v>Not Run</x:v>
      </x:c>
      <x:c r="M22" s="488" t="str">
        <x:v>Critical</x:v>
      </x:c>
      <x:c r="N22" s="411" t="str">
        <x:v>ROS 2 Jazzy + Gazebo Harmonic</x:v>
      </x:c>
      <x:c r="O22" s="460"/>
      <x:c r="P22" s="411" t="str"/>
      <x:c r="Q22" s="411" t="str"/>
      <x:c r="R22" s="411" t="str"/>
      <x:c r="S22" s="411" t="str">
        <x:v>Devansh</x:v>
      </x:c>
      <x:c r="T22" s="411" t="str"/>
      <x:c r="U22" s="411" t="str">
        <x:v>tc_0018</x:v>
      </x:c>
      <x:c r="V22" s="373"/>
      <x:c r="W22" s="373"/>
      <x:c r="X22" s="373"/>
      <x:c r="Y22" s="373"/>
      <x:c r="Z22" s="373"/>
    </x:row>
    <x:row r="23">
      <x:c r="A23" s="411" t="str">
        <x:v>TC-0019</x:v>
      </x:c>
      <x:c r="B23" s="411" t="str">
        <x:v>v0.1.2</x:v>
      </x:c>
      <x:c r="C23" s="411" t="str">
        <x:v>Unit</x:v>
      </x:c>
      <x:c r="D23" s="411" t="str">
        <x:v>F-LIFE-005</x:v>
      </x:c>
      <x:c r="E23" s="411" t="str">
        <x:v>REQ-015</x:v>
      </x:c>
      <x:c r="F23" s="411" t="str">
        <x:v>Simulation manager lifecycle — nominal acceptance</x:v>
      </x:c>
      <x:c r="G23" s="411" t="str">
        <x:v>Verify that simulation manager lifecycle satisfies its declared acceptance criteria.</x:v>
      </x:c>
      <x:c r="H23" s="411" t="str">
        <x:v>Required dependencies and test fixtures are available.</x:v>
      </x:c>
      <x:c r="I23" s="411" t="str">
        <x:v>Configure the platform for v0.1.2; execute the nominal workflow for simulation manager lifecycle; collect logs and evidence.</x:v>
      </x:c>
      <x:c r="J23" s="411" t="str">
        <x:v>Declared acceptance criteria pass and no existing regression test fails.</x:v>
      </x:c>
      <x:c r="K23" s="488" t="str">
        <x:v>Planned</x:v>
      </x:c>
      <x:c r="L23" s="488" t="str">
        <x:v>Not Run</x:v>
      </x:c>
      <x:c r="M23" s="488" t="str">
        <x:v>High</x:v>
      </x:c>
      <x:c r="N23" s="411" t="str">
        <x:v>ROS 2 Jazzy + Gazebo Harmonic</x:v>
      </x:c>
      <x:c r="O23" s="460"/>
      <x:c r="P23" s="411" t="str"/>
      <x:c r="Q23" s="411" t="str"/>
      <x:c r="R23" s="411" t="str"/>
      <x:c r="S23" s="411" t="str">
        <x:v>Devansh</x:v>
      </x:c>
      <x:c r="T23" s="411" t="str"/>
      <x:c r="U23" s="411" t="str">
        <x:v>tc_0019</x:v>
      </x:c>
      <x:c r="V23" s="373"/>
      <x:c r="W23" s="373"/>
      <x:c r="X23" s="373"/>
      <x:c r="Y23" s="373"/>
      <x:c r="Z23" s="373"/>
    </x:row>
    <x:row r="24">
      <x:c r="A24" s="411" t="str">
        <x:v>TC-0020</x:v>
      </x:c>
      <x:c r="B24" s="411" t="str">
        <x:v>v0.1.2</x:v>
      </x:c>
      <x:c r="C24" s="411" t="str">
        <x:v>Unit</x:v>
      </x:c>
      <x:c r="D24" s="411" t="str">
        <x:v>F-LIFE-006</x:v>
      </x:c>
      <x:c r="E24" s="411" t="str">
        <x:v>REQ-016</x:v>
      </x:c>
      <x:c r="F24" s="411" t="str">
        <x:v>Mapping manager lifecycle — nominal acceptance</x:v>
      </x:c>
      <x:c r="G24" s="411" t="str">
        <x:v>Verify that mapping manager lifecycle satisfies its declared acceptance criteria.</x:v>
      </x:c>
      <x:c r="H24" s="411" t="str">
        <x:v>Required dependencies and test fixtures are available.</x:v>
      </x:c>
      <x:c r="I24" s="411" t="str">
        <x:v>Configure the platform for v0.1.2; execute the nominal workflow for mapping manager lifecycle; collect logs and evidence.</x:v>
      </x:c>
      <x:c r="J24" s="411" t="str">
        <x:v>Declared acceptance criteria pass and no existing regression test fails.</x:v>
      </x:c>
      <x:c r="K24" s="488" t="str">
        <x:v>Planned</x:v>
      </x:c>
      <x:c r="L24" s="488" t="str">
        <x:v>Not Run</x:v>
      </x:c>
      <x:c r="M24" s="488" t="str">
        <x:v>High</x:v>
      </x:c>
      <x:c r="N24" s="411" t="str">
        <x:v>ROS 2 Jazzy + Gazebo Harmonic</x:v>
      </x:c>
      <x:c r="O24" s="460"/>
      <x:c r="P24" s="411" t="str"/>
      <x:c r="Q24" s="411" t="str"/>
      <x:c r="R24" s="411" t="str"/>
      <x:c r="S24" s="411" t="str">
        <x:v>Devansh</x:v>
      </x:c>
      <x:c r="T24" s="411" t="str"/>
      <x:c r="U24" s="411" t="str">
        <x:v>tc_0020</x:v>
      </x:c>
      <x:c r="V24" s="373"/>
      <x:c r="W24" s="373"/>
      <x:c r="X24" s="373"/>
      <x:c r="Y24" s="373"/>
      <x:c r="Z24" s="373"/>
    </x:row>
    <x:row r="25">
      <x:c r="A25" s="411" t="str">
        <x:v>TC-0021</x:v>
      </x:c>
      <x:c r="B25" s="411" t="str">
        <x:v>v0.1.2</x:v>
      </x:c>
      <x:c r="C25" s="411" t="str">
        <x:v>Unit</x:v>
      </x:c>
      <x:c r="D25" s="411" t="str">
        <x:v>F-LIFE-007</x:v>
      </x:c>
      <x:c r="E25" s="411" t="str">
        <x:v>REQ-017</x:v>
      </x:c>
      <x:c r="F25" s="411" t="str">
        <x:v>Localization manager lifecycle — nominal acceptance</x:v>
      </x:c>
      <x:c r="G25" s="411" t="str">
        <x:v>Verify that localization manager lifecycle satisfies its declared acceptance criteria.</x:v>
      </x:c>
      <x:c r="H25" s="411" t="str">
        <x:v>Required dependencies and test fixtures are available.</x:v>
      </x:c>
      <x:c r="I25" s="411" t="str">
        <x:v>Configure the platform for v0.1.2; execute the nominal workflow for localization manager lifecycle; collect logs and evidence.</x:v>
      </x:c>
      <x:c r="J25" s="411" t="str">
        <x:v>Declared acceptance criteria pass and no existing regression test fails.</x:v>
      </x:c>
      <x:c r="K25" s="488" t="str">
        <x:v>Planned</x:v>
      </x:c>
      <x:c r="L25" s="488" t="str">
        <x:v>Not Run</x:v>
      </x:c>
      <x:c r="M25" s="488" t="str">
        <x:v>High</x:v>
      </x:c>
      <x:c r="N25" s="411" t="str">
        <x:v>ROS 2 Jazzy + Gazebo Harmonic</x:v>
      </x:c>
      <x:c r="O25" s="460"/>
      <x:c r="P25" s="411" t="str"/>
      <x:c r="Q25" s="411" t="str"/>
      <x:c r="R25" s="411" t="str"/>
      <x:c r="S25" s="411" t="str">
        <x:v>Devansh</x:v>
      </x:c>
      <x:c r="T25" s="411" t="str"/>
      <x:c r="U25" s="411" t="str">
        <x:v>tc_0021</x:v>
      </x:c>
      <x:c r="V25" s="373"/>
      <x:c r="W25" s="373"/>
      <x:c r="X25" s="373"/>
      <x:c r="Y25" s="373"/>
      <x:c r="Z25" s="373"/>
    </x:row>
    <x:row r="26">
      <x:c r="A26" s="411" t="str">
        <x:v>TC-0022</x:v>
      </x:c>
      <x:c r="B26" s="411" t="str">
        <x:v>v0.1.2</x:v>
      </x:c>
      <x:c r="C26" s="411" t="str">
        <x:v>Unit</x:v>
      </x:c>
      <x:c r="D26" s="411" t="str">
        <x:v>F-LIFE-008</x:v>
      </x:c>
      <x:c r="E26" s="411" t="str">
        <x:v>REQ-018</x:v>
      </x:c>
      <x:c r="F26" s="411" t="str">
        <x:v>Navigation manager lifecycle — nominal acceptance</x:v>
      </x:c>
      <x:c r="G26" s="411" t="str">
        <x:v>Verify that navigation manager lifecycle satisfies its declared acceptance criteria.</x:v>
      </x:c>
      <x:c r="H26" s="411" t="str">
        <x:v>Required dependencies and test fixtures are available.</x:v>
      </x:c>
      <x:c r="I26" s="411" t="str">
        <x:v>Configure the platform for v0.1.2; execute the nominal workflow for navigation manager lifecycle; collect logs and evidence.</x:v>
      </x:c>
      <x:c r="J26" s="411" t="str">
        <x:v>Declared acceptance criteria pass and no existing regression test fails.</x:v>
      </x:c>
      <x:c r="K26" s="488" t="str">
        <x:v>Planned</x:v>
      </x:c>
      <x:c r="L26" s="488" t="str">
        <x:v>Not Run</x:v>
      </x:c>
      <x:c r="M26" s="488" t="str">
        <x:v>High</x:v>
      </x:c>
      <x:c r="N26" s="411" t="str">
        <x:v>ROS 2 Jazzy + Gazebo Harmonic</x:v>
      </x:c>
      <x:c r="O26" s="460"/>
      <x:c r="P26" s="411" t="str"/>
      <x:c r="Q26" s="411" t="str"/>
      <x:c r="R26" s="411" t="str"/>
      <x:c r="S26" s="411" t="str">
        <x:v>Devansh</x:v>
      </x:c>
      <x:c r="T26" s="411" t="str"/>
      <x:c r="U26" s="411" t="str">
        <x:v>tc_0022</x:v>
      </x:c>
      <x:c r="V26" s="373"/>
      <x:c r="W26" s="373"/>
      <x:c r="X26" s="373"/>
      <x:c r="Y26" s="373"/>
      <x:c r="Z26" s="373"/>
    </x:row>
    <x:row r="27">
      <x:c r="A27" s="411" t="str">
        <x:v>TC-0023</x:v>
      </x:c>
      <x:c r="B27" s="411" t="str">
        <x:v>v0.1.2</x:v>
      </x:c>
      <x:c r="C27" s="411" t="str">
        <x:v>Integration</x:v>
      </x:c>
      <x:c r="D27" s="411" t="str">
        <x:v>F-LIFE-009</x:v>
      </x:c>
      <x:c r="E27" s="411" t="str">
        <x:v>REQ-019</x:v>
      </x:c>
      <x:c r="F27" s="411" t="str">
        <x:v>Lifecycle error recovery — nominal acceptance</x:v>
      </x:c>
      <x:c r="G27" s="411" t="str">
        <x:v>Verify that lifecycle error recovery satisfies its declared acceptance criteria.</x:v>
      </x:c>
      <x:c r="H27" s="411" t="str">
        <x:v>Required dependencies and test fixtures are available.</x:v>
      </x:c>
      <x:c r="I27" s="411" t="str">
        <x:v>Configure the platform for v0.1.2; execute the nominal workflow for lifecycle error recovery; collect logs and evidence.</x:v>
      </x:c>
      <x:c r="J27" s="411" t="str">
        <x:v>Declared acceptance criteria pass and no existing regression test fails.</x:v>
      </x:c>
      <x:c r="K27" s="488" t="str">
        <x:v>Planned</x:v>
      </x:c>
      <x:c r="L27" s="488" t="str">
        <x:v>Not Run</x:v>
      </x:c>
      <x:c r="M27" s="488" t="str">
        <x:v>Critical</x:v>
      </x:c>
      <x:c r="N27" s="411" t="str">
        <x:v>ROS 2 Jazzy + Gazebo Harmonic</x:v>
      </x:c>
      <x:c r="O27" s="460"/>
      <x:c r="P27" s="411" t="str"/>
      <x:c r="Q27" s="411" t="str"/>
      <x:c r="R27" s="411" t="str"/>
      <x:c r="S27" s="411" t="str">
        <x:v>Devansh</x:v>
      </x:c>
      <x:c r="T27" s="411" t="str"/>
      <x:c r="U27" s="411" t="str">
        <x:v>tc_0023</x:v>
      </x:c>
      <x:c r="V27" s="373"/>
      <x:c r="W27" s="373"/>
      <x:c r="X27" s="373"/>
      <x:c r="Y27" s="373"/>
      <x:c r="Z27" s="373"/>
    </x:row>
    <x:row r="28">
      <x:c r="A28" s="411" t="str">
        <x:v>TC-0024</x:v>
      </x:c>
      <x:c r="B28" s="411" t="str">
        <x:v>v0.1.2</x:v>
      </x:c>
      <x:c r="C28" s="411" t="str">
        <x:v>Fault</x:v>
      </x:c>
      <x:c r="D28" s="411" t="str">
        <x:v>F-LIFE-009</x:v>
      </x:c>
      <x:c r="E28" s="411" t="str">
        <x:v>REQ-019</x:v>
      </x:c>
      <x:c r="F28" s="411" t="str">
        <x:v>Lifecycle error recovery — failure/recovery path</x:v>
      </x:c>
      <x:c r="G28" s="411" t="str">
        <x:v>Verify safe behavior when the dependencies or inputs for lifecycle error recovery fail.</x:v>
      </x:c>
      <x:c r="H28" s="411" t="str">
        <x:v>Fault injection or controlled dependency stub is available.</x:v>
      </x:c>
      <x:c r="I28" s="411" t="str">
        <x:v>Activate lifecycle error recovery; inject a representative failure; observe state, logs, cleanup, and recovery.</x:v>
      </x:c>
      <x:c r="J28" s="411" t="str">
        <x:v>Failure is detected, unsafe behavior is prevented, cause is reported, and recovery follows policy.</x:v>
      </x:c>
      <x:c r="K28" s="488" t="str">
        <x:v>Planned</x:v>
      </x:c>
      <x:c r="L28" s="488" t="str">
        <x:v>Not Run</x:v>
      </x:c>
      <x:c r="M28" s="488" t="str">
        <x:v>Critical</x:v>
      </x:c>
      <x:c r="N28" s="411" t="str">
        <x:v>ROS 2 Jazzy + Gazebo Harmonic</x:v>
      </x:c>
      <x:c r="O28" s="460"/>
      <x:c r="P28" s="411" t="str"/>
      <x:c r="Q28" s="411" t="str"/>
      <x:c r="R28" s="411" t="str"/>
      <x:c r="S28" s="411" t="str">
        <x:v>Devansh</x:v>
      </x:c>
      <x:c r="T28" s="411" t="str"/>
      <x:c r="U28" s="411" t="str">
        <x:v>tc_0024</x:v>
      </x:c>
      <x:c r="V28" s="373"/>
      <x:c r="W28" s="373"/>
      <x:c r="X28" s="373"/>
      <x:c r="Y28" s="373"/>
      <x:c r="Z28" s="373"/>
    </x:row>
    <x:row r="29">
      <x:c r="A29" s="411" t="str">
        <x:v>TC-0025</x:v>
      </x:c>
      <x:c r="B29" s="411" t="str">
        <x:v>v0.1.2</x:v>
      </x:c>
      <x:c r="C29" s="411" t="str">
        <x:v>Configuration</x:v>
      </x:c>
      <x:c r="D29" s="411" t="str">
        <x:v>F-LIFE-010</x:v>
      </x:c>
      <x:c r="E29" s="411" t="str">
        <x:v>REQ-020</x:v>
      </x:c>
      <x:c r="F29" s="411" t="str">
        <x:v>Lifecycle state publication — nominal acceptance</x:v>
      </x:c>
      <x:c r="G29" s="411" t="str">
        <x:v>Verify that lifecycle state publication satisfies its declared acceptance criteria.</x:v>
      </x:c>
      <x:c r="H29" s="411" t="str">
        <x:v>Required dependencies and test fixtures are available.</x:v>
      </x:c>
      <x:c r="I29" s="411" t="str">
        <x:v>Configure the platform for v0.1.2; execute the nominal workflow for lifecycle state publication; collect logs and evidence.</x:v>
      </x:c>
      <x:c r="J29" s="411" t="str">
        <x:v>Declared acceptance criteria pass and no existing regression test fails.</x:v>
      </x:c>
      <x:c r="K29" s="488" t="str">
        <x:v>Planned</x:v>
      </x:c>
      <x:c r="L29" s="488" t="str">
        <x:v>Not Run</x:v>
      </x:c>
      <x:c r="M29" s="488" t="str">
        <x:v>Medium</x:v>
      </x:c>
      <x:c r="N29" s="411" t="str">
        <x:v>ROS 2 Jazzy + Gazebo Harmonic</x:v>
      </x:c>
      <x:c r="O29" s="460"/>
      <x:c r="P29" s="411" t="str"/>
      <x:c r="Q29" s="411" t="str"/>
      <x:c r="R29" s="411" t="str"/>
      <x:c r="S29" s="411" t="str">
        <x:v>Devansh</x:v>
      </x:c>
      <x:c r="T29" s="411" t="str"/>
      <x:c r="U29" s="411" t="str">
        <x:v>tc_0025</x:v>
      </x:c>
      <x:c r="V29" s="373"/>
      <x:c r="W29" s="373"/>
      <x:c r="X29" s="373"/>
      <x:c r="Y29" s="373"/>
      <x:c r="Z29" s="373"/>
    </x:row>
    <x:row r="30">
      <x:c r="A30" s="411" t="str">
        <x:v>TC-0026</x:v>
      </x:c>
      <x:c r="B30" s="411" t="str">
        <x:v>v0.1.3</x:v>
      </x:c>
      <x:c r="C30" s="411" t="str">
        <x:v>Integration</x:v>
      </x:c>
      <x:c r="D30" s="411" t="str">
        <x:v>F-READY-001</x:v>
      </x:c>
      <x:c r="E30" s="411" t="str">
        <x:v>REQ-021</x:v>
      </x:c>
      <x:c r="F30" s="411" t="str">
        <x:v>Reusable readiness-check interface — nominal acceptance</x:v>
      </x:c>
      <x:c r="G30" s="411" t="str">
        <x:v>Verify that reusable readiness-check interface satisfies its declared acceptance criteria.</x:v>
      </x:c>
      <x:c r="H30" s="411" t="str">
        <x:v>Required dependencies and test fixtures are available.</x:v>
      </x:c>
      <x:c r="I30" s="411" t="str">
        <x:v>Configure the platform for v0.1.3; execute the nominal workflow for reusable readiness-check interface; collect logs and evidence.</x:v>
      </x:c>
      <x:c r="J30" s="411" t="str">
        <x:v>Declared acceptance criteria pass and no existing regression test fails.</x:v>
      </x:c>
      <x:c r="K30" s="488" t="str">
        <x:v>Planned</x:v>
      </x:c>
      <x:c r="L30" s="488" t="str">
        <x:v>Not Run</x:v>
      </x:c>
      <x:c r="M30" s="488" t="str">
        <x:v>Critical</x:v>
      </x:c>
      <x:c r="N30" s="411" t="str">
        <x:v>ROS 2 Jazzy + Gazebo Harmonic</x:v>
      </x:c>
      <x:c r="O30" s="460"/>
      <x:c r="P30" s="411" t="str"/>
      <x:c r="Q30" s="411" t="str"/>
      <x:c r="R30" s="411" t="str"/>
      <x:c r="S30" s="411" t="str">
        <x:v>Devansh</x:v>
      </x:c>
      <x:c r="T30" s="411" t="str"/>
      <x:c r="U30" s="411" t="str">
        <x:v>tc_0026</x:v>
      </x:c>
      <x:c r="V30" s="373"/>
      <x:c r="W30" s="373"/>
      <x:c r="X30" s="373"/>
      <x:c r="Y30" s="373"/>
      <x:c r="Z30" s="373"/>
    </x:row>
    <x:row r="31">
      <x:c r="A31" s="411" t="str">
        <x:v>TC-0027</x:v>
      </x:c>
      <x:c r="B31" s="411" t="str">
        <x:v>v0.1.3</x:v>
      </x:c>
      <x:c r="C31" s="411" t="str">
        <x:v>Fault</x:v>
      </x:c>
      <x:c r="D31" s="411" t="str">
        <x:v>F-READY-001</x:v>
      </x:c>
      <x:c r="E31" s="411" t="str">
        <x:v>REQ-021</x:v>
      </x:c>
      <x:c r="F31" s="411" t="str">
        <x:v>Reusable readiness-check interface — failure/recovery path</x:v>
      </x:c>
      <x:c r="G31" s="411" t="str">
        <x:v>Verify safe behavior when the dependencies or inputs for reusable readiness-check interface fail.</x:v>
      </x:c>
      <x:c r="H31" s="411" t="str">
        <x:v>Fault injection or controlled dependency stub is available.</x:v>
      </x:c>
      <x:c r="I31" s="411" t="str">
        <x:v>Activate reusable readiness-check interface; inject a representative failure; observe state, logs, cleanup, and recovery.</x:v>
      </x:c>
      <x:c r="J31" s="411" t="str">
        <x:v>Failure is detected, unsafe behavior is prevented, cause is reported, and recovery follows policy.</x:v>
      </x:c>
      <x:c r="K31" s="488" t="str">
        <x:v>Planned</x:v>
      </x:c>
      <x:c r="L31" s="488" t="str">
        <x:v>Not Run</x:v>
      </x:c>
      <x:c r="M31" s="488" t="str">
        <x:v>Critical</x:v>
      </x:c>
      <x:c r="N31" s="411" t="str">
        <x:v>ROS 2 Jazzy + Gazebo Harmonic</x:v>
      </x:c>
      <x:c r="O31" s="460"/>
      <x:c r="P31" s="411" t="str"/>
      <x:c r="Q31" s="411" t="str"/>
      <x:c r="R31" s="411" t="str"/>
      <x:c r="S31" s="411" t="str">
        <x:v>Devansh</x:v>
      </x:c>
      <x:c r="T31" s="411" t="str"/>
      <x:c r="U31" s="411" t="str">
        <x:v>tc_0027</x:v>
      </x:c>
      <x:c r="V31" s="373"/>
      <x:c r="W31" s="373"/>
      <x:c r="X31" s="373"/>
      <x:c r="Y31" s="373"/>
      <x:c r="Z31" s="373"/>
    </x:row>
    <x:row r="32">
      <x:c r="A32" s="411" t="str">
        <x:v>TC-0028</x:v>
      </x:c>
      <x:c r="B32" s="411" t="str">
        <x:v>v0.1.3</x:v>
      </x:c>
      <x:c r="C32" s="411" t="str">
        <x:v>Integration</x:v>
      </x:c>
      <x:c r="D32" s="411" t="str">
        <x:v>F-READY-002</x:v>
      </x:c>
      <x:c r="E32" s="411" t="str">
        <x:v>REQ-022</x:v>
      </x:c>
      <x:c r="F32" s="411" t="str">
        <x:v>Simulation clock check — nominal acceptance</x:v>
      </x:c>
      <x:c r="G32" s="411" t="str">
        <x:v>Verify that simulation clock check satisfies its declared acceptance criteria.</x:v>
      </x:c>
      <x:c r="H32" s="411" t="str">
        <x:v>Required dependencies and test fixtures are available.</x:v>
      </x:c>
      <x:c r="I32" s="411" t="str">
        <x:v>Configure the platform for v0.1.3; execute the nominal workflow for simulation clock check; collect logs and evidence.</x:v>
      </x:c>
      <x:c r="J32" s="411" t="str">
        <x:v>Declared acceptance criteria pass and no existing regression test fails.</x:v>
      </x:c>
      <x:c r="K32" s="488" t="str">
        <x:v>Planned</x:v>
      </x:c>
      <x:c r="L32" s="488" t="str">
        <x:v>Not Run</x:v>
      </x:c>
      <x:c r="M32" s="488" t="str">
        <x:v>Critical</x:v>
      </x:c>
      <x:c r="N32" s="411" t="str">
        <x:v>ROS 2 Jazzy + Gazebo Harmonic</x:v>
      </x:c>
      <x:c r="O32" s="460"/>
      <x:c r="P32" s="411" t="str"/>
      <x:c r="Q32" s="411" t="str"/>
      <x:c r="R32" s="411" t="str"/>
      <x:c r="S32" s="411" t="str">
        <x:v>Devansh</x:v>
      </x:c>
      <x:c r="T32" s="411" t="str"/>
      <x:c r="U32" s="411" t="str">
        <x:v>tc_0028</x:v>
      </x:c>
      <x:c r="V32" s="373"/>
      <x:c r="W32" s="373"/>
      <x:c r="X32" s="373"/>
      <x:c r="Y32" s="373"/>
      <x:c r="Z32" s="373"/>
    </x:row>
    <x:row r="33">
      <x:c r="A33" s="411" t="str">
        <x:v>TC-0029</x:v>
      </x:c>
      <x:c r="B33" s="411" t="str">
        <x:v>v0.1.3</x:v>
      </x:c>
      <x:c r="C33" s="411" t="str">
        <x:v>Fault</x:v>
      </x:c>
      <x:c r="D33" s="411" t="str">
        <x:v>F-READY-002</x:v>
      </x:c>
      <x:c r="E33" s="411" t="str">
        <x:v>REQ-022</x:v>
      </x:c>
      <x:c r="F33" s="411" t="str">
        <x:v>Simulation clock check — failure/recovery path</x:v>
      </x:c>
      <x:c r="G33" s="411" t="str">
        <x:v>Verify safe behavior when the dependencies or inputs for simulation clock check fail.</x:v>
      </x:c>
      <x:c r="H33" s="411" t="str">
        <x:v>Fault injection or controlled dependency stub is available.</x:v>
      </x:c>
      <x:c r="I33" s="411" t="str">
        <x:v>Activate simulation clock check; inject a representative failure; observe state, logs, cleanup, and recovery.</x:v>
      </x:c>
      <x:c r="J33" s="411" t="str">
        <x:v>Failure is detected, unsafe behavior is prevented, cause is reported, and recovery follows policy.</x:v>
      </x:c>
      <x:c r="K33" s="488" t="str">
        <x:v>Planned</x:v>
      </x:c>
      <x:c r="L33" s="488" t="str">
        <x:v>Not Run</x:v>
      </x:c>
      <x:c r="M33" s="488" t="str">
        <x:v>Critical</x:v>
      </x:c>
      <x:c r="N33" s="411" t="str">
        <x:v>ROS 2 Jazzy + Gazebo Harmonic</x:v>
      </x:c>
      <x:c r="O33" s="460"/>
      <x:c r="P33" s="411" t="str"/>
      <x:c r="Q33" s="411" t="str"/>
      <x:c r="R33" s="411" t="str"/>
      <x:c r="S33" s="411" t="str">
        <x:v>Devansh</x:v>
      </x:c>
      <x:c r="T33" s="411" t="str"/>
      <x:c r="U33" s="411" t="str">
        <x:v>tc_0029</x:v>
      </x:c>
      <x:c r="V33" s="373"/>
      <x:c r="W33" s="373"/>
      <x:c r="X33" s="373"/>
      <x:c r="Y33" s="373"/>
      <x:c r="Z33" s="373"/>
    </x:row>
    <x:row r="34">
      <x:c r="A34" s="411" t="str">
        <x:v>TC-0030</x:v>
      </x:c>
      <x:c r="B34" s="411" t="str">
        <x:v>v0.1.3</x:v>
      </x:c>
      <x:c r="C34" s="411" t="str">
        <x:v>Integration</x:v>
      </x:c>
      <x:c r="D34" s="411" t="str">
        <x:v>F-READY-003</x:v>
      </x:c>
      <x:c r="E34" s="411" t="str">
        <x:v>REQ-023</x:v>
      </x:c>
      <x:c r="F34" s="411" t="str">
        <x:v>Topic existence and freshness check — nominal acceptance</x:v>
      </x:c>
      <x:c r="G34" s="411" t="str">
        <x:v>Verify that topic existence and freshness check satisfies its declared acceptance criteria.</x:v>
      </x:c>
      <x:c r="H34" s="411" t="str">
        <x:v>Required dependencies and test fixtures are available.</x:v>
      </x:c>
      <x:c r="I34" s="411" t="str">
        <x:v>Configure the platform for v0.1.3; execute the nominal workflow for topic existence and freshness check; collect logs and evidence.</x:v>
      </x:c>
      <x:c r="J34" s="411" t="str">
        <x:v>Declared acceptance criteria pass and no existing regression test fails.</x:v>
      </x:c>
      <x:c r="K34" s="488" t="str">
        <x:v>Planned</x:v>
      </x:c>
      <x:c r="L34" s="488" t="str">
        <x:v>Not Run</x:v>
      </x:c>
      <x:c r="M34" s="488" t="str">
        <x:v>Critical</x:v>
      </x:c>
      <x:c r="N34" s="411" t="str">
        <x:v>ROS 2 Jazzy + Gazebo Harmonic</x:v>
      </x:c>
      <x:c r="O34" s="460"/>
      <x:c r="P34" s="411" t="str"/>
      <x:c r="Q34" s="411" t="str"/>
      <x:c r="R34" s="411" t="str"/>
      <x:c r="S34" s="411" t="str">
        <x:v>Devansh</x:v>
      </x:c>
      <x:c r="T34" s="411" t="str"/>
      <x:c r="U34" s="411" t="str">
        <x:v>tc_0030</x:v>
      </x:c>
      <x:c r="V34" s="373"/>
      <x:c r="W34" s="373"/>
      <x:c r="X34" s="373"/>
      <x:c r="Y34" s="373"/>
      <x:c r="Z34" s="373"/>
    </x:row>
    <x:row r="35">
      <x:c r="A35" s="411" t="str">
        <x:v>TC-0031</x:v>
      </x:c>
      <x:c r="B35" s="411" t="str">
        <x:v>v0.1.3</x:v>
      </x:c>
      <x:c r="C35" s="411" t="str">
        <x:v>Fault</x:v>
      </x:c>
      <x:c r="D35" s="411" t="str">
        <x:v>F-READY-003</x:v>
      </x:c>
      <x:c r="E35" s="411" t="str">
        <x:v>REQ-023</x:v>
      </x:c>
      <x:c r="F35" s="411" t="str">
        <x:v>Topic existence and freshness check — failure/recovery path</x:v>
      </x:c>
      <x:c r="G35" s="411" t="str">
        <x:v>Verify safe behavior when the dependencies or inputs for topic existence and freshness check fail.</x:v>
      </x:c>
      <x:c r="H35" s="411" t="str">
        <x:v>Fault injection or controlled dependency stub is available.</x:v>
      </x:c>
      <x:c r="I35" s="411" t="str">
        <x:v>Activate topic existence and freshness check; inject a representative failure; observe state, logs, cleanup, and recovery.</x:v>
      </x:c>
      <x:c r="J35" s="411" t="str">
        <x:v>Failure is detected, unsafe behavior is prevented, cause is reported, and recovery follows policy.</x:v>
      </x:c>
      <x:c r="K35" s="488" t="str">
        <x:v>Planned</x:v>
      </x:c>
      <x:c r="L35" s="488" t="str">
        <x:v>Not Run</x:v>
      </x:c>
      <x:c r="M35" s="488" t="str">
        <x:v>Critical</x:v>
      </x:c>
      <x:c r="N35" s="411" t="str">
        <x:v>ROS 2 Jazzy + Gazebo Harmonic</x:v>
      </x:c>
      <x:c r="O35" s="460"/>
      <x:c r="P35" s="411" t="str"/>
      <x:c r="Q35" s="411" t="str"/>
      <x:c r="R35" s="411" t="str"/>
      <x:c r="S35" s="411" t="str">
        <x:v>Devansh</x:v>
      </x:c>
      <x:c r="T35" s="411" t="str"/>
      <x:c r="U35" s="411" t="str">
        <x:v>tc_0031</x:v>
      </x:c>
      <x:c r="V35" s="373"/>
      <x:c r="W35" s="373"/>
      <x:c r="X35" s="373"/>
      <x:c r="Y35" s="373"/>
      <x:c r="Z35" s="373"/>
    </x:row>
    <x:row r="36">
      <x:c r="A36" s="411" t="str">
        <x:v>TC-0032</x:v>
      </x:c>
      <x:c r="B36" s="411" t="str">
        <x:v>v0.1.3</x:v>
      </x:c>
      <x:c r="C36" s="411" t="str">
        <x:v>Integration</x:v>
      </x:c>
      <x:c r="D36" s="411" t="str">
        <x:v>F-READY-004</x:v>
      </x:c>
      <x:c r="E36" s="411" t="str">
        <x:v>REQ-024</x:v>
      </x:c>
      <x:c r="F36" s="411" t="str">
        <x:v>TF existence and freshness check — nominal acceptance</x:v>
      </x:c>
      <x:c r="G36" s="411" t="str">
        <x:v>Verify that tf existence and freshness check satisfies its declared acceptance criteria.</x:v>
      </x:c>
      <x:c r="H36" s="411" t="str">
        <x:v>Required dependencies and test fixtures are available.</x:v>
      </x:c>
      <x:c r="I36" s="411" t="str">
        <x:v>Configure the platform for v0.1.3; execute the nominal workflow for tf existence and freshness check; collect logs and evidence.</x:v>
      </x:c>
      <x:c r="J36" s="411" t="str">
        <x:v>Declared acceptance criteria pass and no existing regression test fails.</x:v>
      </x:c>
      <x:c r="K36" s="488" t="str">
        <x:v>Planned</x:v>
      </x:c>
      <x:c r="L36" s="488" t="str">
        <x:v>Not Run</x:v>
      </x:c>
      <x:c r="M36" s="488" t="str">
        <x:v>Critical</x:v>
      </x:c>
      <x:c r="N36" s="411" t="str">
        <x:v>ROS 2 Jazzy + Gazebo Harmonic</x:v>
      </x:c>
      <x:c r="O36" s="460"/>
      <x:c r="P36" s="411" t="str"/>
      <x:c r="Q36" s="411" t="str"/>
      <x:c r="R36" s="411" t="str"/>
      <x:c r="S36" s="411" t="str">
        <x:v>Devansh</x:v>
      </x:c>
      <x:c r="T36" s="411" t="str"/>
      <x:c r="U36" s="411" t="str">
        <x:v>tc_0032</x:v>
      </x:c>
      <x:c r="V36" s="373"/>
      <x:c r="W36" s="373"/>
      <x:c r="X36" s="373"/>
      <x:c r="Y36" s="373"/>
      <x:c r="Z36" s="373"/>
    </x:row>
    <x:row r="37">
      <x:c r="A37" s="411" t="str">
        <x:v>TC-0033</x:v>
      </x:c>
      <x:c r="B37" s="411" t="str">
        <x:v>v0.1.3</x:v>
      </x:c>
      <x:c r="C37" s="411" t="str">
        <x:v>Fault</x:v>
      </x:c>
      <x:c r="D37" s="411" t="str">
        <x:v>F-READY-004</x:v>
      </x:c>
      <x:c r="E37" s="411" t="str">
        <x:v>REQ-024</x:v>
      </x:c>
      <x:c r="F37" s="411" t="str">
        <x:v>TF existence and freshness check — failure/recovery path</x:v>
      </x:c>
      <x:c r="G37" s="411" t="str">
        <x:v>Verify safe behavior when the dependencies or inputs for tf existence and freshness check fail.</x:v>
      </x:c>
      <x:c r="H37" s="411" t="str">
        <x:v>Fault injection or controlled dependency stub is available.</x:v>
      </x:c>
      <x:c r="I37" s="411" t="str">
        <x:v>Activate tf existence and freshness check; inject a representative failure; observe state, logs, cleanup, and recovery.</x:v>
      </x:c>
      <x:c r="J37" s="411" t="str">
        <x:v>Failure is detected, unsafe behavior is prevented, cause is reported, and recovery follows policy.</x:v>
      </x:c>
      <x:c r="K37" s="488" t="str">
        <x:v>Planned</x:v>
      </x:c>
      <x:c r="L37" s="488" t="str">
        <x:v>Not Run</x:v>
      </x:c>
      <x:c r="M37" s="488" t="str">
        <x:v>Critical</x:v>
      </x:c>
      <x:c r="N37" s="411" t="str">
        <x:v>ROS 2 Jazzy + Gazebo Harmonic</x:v>
      </x:c>
      <x:c r="O37" s="460"/>
      <x:c r="P37" s="411" t="str"/>
      <x:c r="Q37" s="411" t="str"/>
      <x:c r="R37" s="411" t="str"/>
      <x:c r="S37" s="411" t="str">
        <x:v>Devansh</x:v>
      </x:c>
      <x:c r="T37" s="411" t="str"/>
      <x:c r="U37" s="411" t="str">
        <x:v>tc_0033</x:v>
      </x:c>
      <x:c r="V37" s="373"/>
      <x:c r="W37" s="373"/>
      <x:c r="X37" s="373"/>
      <x:c r="Y37" s="373"/>
      <x:c r="Z37" s="373"/>
    </x:row>
    <x:row r="38">
      <x:c r="A38" s="411" t="str">
        <x:v>TC-0034</x:v>
      </x:c>
      <x:c r="B38" s="411" t="str">
        <x:v>v0.1.3</x:v>
      </x:c>
      <x:c r="C38" s="411" t="str">
        <x:v>Unit</x:v>
      </x:c>
      <x:c r="D38" s="411" t="str">
        <x:v>F-READY-005</x:v>
      </x:c>
      <x:c r="E38" s="411" t="str">
        <x:v>REQ-025</x:v>
      </x:c>
      <x:c r="F38" s="411" t="str">
        <x:v>Service availability check — nominal acceptance</x:v>
      </x:c>
      <x:c r="G38" s="411" t="str">
        <x:v>Verify that service availability check satisfies its declared acceptance criteria.</x:v>
      </x:c>
      <x:c r="H38" s="411" t="str">
        <x:v>Required dependencies and test fixtures are available.</x:v>
      </x:c>
      <x:c r="I38" s="411" t="str">
        <x:v>Configure the platform for v0.1.3; execute the nominal workflow for service availability check; collect logs and evidence.</x:v>
      </x:c>
      <x:c r="J38" s="411" t="str">
        <x:v>Declared acceptance criteria pass and no existing regression test fails.</x:v>
      </x:c>
      <x:c r="K38" s="488" t="str">
        <x:v>Planned</x:v>
      </x:c>
      <x:c r="L38" s="488" t="str">
        <x:v>Not Run</x:v>
      </x:c>
      <x:c r="M38" s="488" t="str">
        <x:v>High</x:v>
      </x:c>
      <x:c r="N38" s="411" t="str">
        <x:v>ROS 2 Jazzy + Gazebo Harmonic</x:v>
      </x:c>
      <x:c r="O38" s="460"/>
      <x:c r="P38" s="411" t="str"/>
      <x:c r="Q38" s="411" t="str"/>
      <x:c r="R38" s="411" t="str"/>
      <x:c r="S38" s="411" t="str">
        <x:v>Devansh</x:v>
      </x:c>
      <x:c r="T38" s="411" t="str"/>
      <x:c r="U38" s="411" t="str">
        <x:v>tc_0034</x:v>
      </x:c>
      <x:c r="V38" s="373"/>
      <x:c r="W38" s="373"/>
      <x:c r="X38" s="373"/>
      <x:c r="Y38" s="373"/>
      <x:c r="Z38" s="373"/>
    </x:row>
    <x:row r="39">
      <x:c r="A39" s="411" t="str">
        <x:v>TC-0035</x:v>
      </x:c>
      <x:c r="B39" s="411" t="str">
        <x:v>v0.1.3</x:v>
      </x:c>
      <x:c r="C39" s="411" t="str">
        <x:v>Unit</x:v>
      </x:c>
      <x:c r="D39" s="411" t="str">
        <x:v>F-READY-006</x:v>
      </x:c>
      <x:c r="E39" s="411" t="str">
        <x:v>REQ-026</x:v>
      </x:c>
      <x:c r="F39" s="411" t="str">
        <x:v>Action server availability check — nominal acceptance</x:v>
      </x:c>
      <x:c r="G39" s="411" t="str">
        <x:v>Verify that action server availability check satisfies its declared acceptance criteria.</x:v>
      </x:c>
      <x:c r="H39" s="411" t="str">
        <x:v>Required dependencies and test fixtures are available.</x:v>
      </x:c>
      <x:c r="I39" s="411" t="str">
        <x:v>Configure the platform for v0.1.3; execute the nominal workflow for action server availability check; collect logs and evidence.</x:v>
      </x:c>
      <x:c r="J39" s="411" t="str">
        <x:v>Declared acceptance criteria pass and no existing regression test fails.</x:v>
      </x:c>
      <x:c r="K39" s="488" t="str">
        <x:v>Planned</x:v>
      </x:c>
      <x:c r="L39" s="488" t="str">
        <x:v>Not Run</x:v>
      </x:c>
      <x:c r="M39" s="488" t="str">
        <x:v>High</x:v>
      </x:c>
      <x:c r="N39" s="411" t="str">
        <x:v>ROS 2 Jazzy + Gazebo Harmonic</x:v>
      </x:c>
      <x:c r="O39" s="460"/>
      <x:c r="P39" s="411" t="str"/>
      <x:c r="Q39" s="411" t="str"/>
      <x:c r="R39" s="411" t="str"/>
      <x:c r="S39" s="411" t="str">
        <x:v>Devansh</x:v>
      </x:c>
      <x:c r="T39" s="411" t="str"/>
      <x:c r="U39" s="411" t="str">
        <x:v>tc_0035</x:v>
      </x:c>
      <x:c r="V39" s="373"/>
      <x:c r="W39" s="373"/>
      <x:c r="X39" s="373"/>
      <x:c r="Y39" s="373"/>
      <x:c r="Z39" s="373"/>
    </x:row>
    <x:row r="40">
      <x:c r="A40" s="411" t="str">
        <x:v>TC-0036</x:v>
      </x:c>
      <x:c r="B40" s="411" t="str">
        <x:v>v0.1.3</x:v>
      </x:c>
      <x:c r="C40" s="411" t="str">
        <x:v>Integration</x:v>
      </x:c>
      <x:c r="D40" s="411" t="str">
        <x:v>F-READY-007</x:v>
      </x:c>
      <x:c r="E40" s="411" t="str">
        <x:v>REQ-027</x:v>
      </x:c>
      <x:c r="F40" s="411" t="str">
        <x:v>Controller-state check — nominal acceptance</x:v>
      </x:c>
      <x:c r="G40" s="411" t="str">
        <x:v>Verify that controller-state check satisfies its declared acceptance criteria.</x:v>
      </x:c>
      <x:c r="H40" s="411" t="str">
        <x:v>Required dependencies and test fixtures are available.</x:v>
      </x:c>
      <x:c r="I40" s="411" t="str">
        <x:v>Configure the platform for v0.1.3; execute the nominal workflow for controller-state check; collect logs and evidence.</x:v>
      </x:c>
      <x:c r="J40" s="411" t="str">
        <x:v>Declared acceptance criteria pass and no existing regression test fails.</x:v>
      </x:c>
      <x:c r="K40" s="488" t="str">
        <x:v>Planned</x:v>
      </x:c>
      <x:c r="L40" s="488" t="str">
        <x:v>Not Run</x:v>
      </x:c>
      <x:c r="M40" s="488" t="str">
        <x:v>Critical</x:v>
      </x:c>
      <x:c r="N40" s="411" t="str">
        <x:v>ROS 2 Jazzy + Gazebo Harmonic</x:v>
      </x:c>
      <x:c r="O40" s="460"/>
      <x:c r="P40" s="411" t="str"/>
      <x:c r="Q40" s="411" t="str"/>
      <x:c r="R40" s="411" t="str"/>
      <x:c r="S40" s="411" t="str">
        <x:v>Devansh</x:v>
      </x:c>
      <x:c r="T40" s="411" t="str"/>
      <x:c r="U40" s="411" t="str">
        <x:v>tc_0036</x:v>
      </x:c>
      <x:c r="V40" s="373"/>
      <x:c r="W40" s="373"/>
      <x:c r="X40" s="373"/>
      <x:c r="Y40" s="373"/>
      <x:c r="Z40" s="373"/>
    </x:row>
    <x:row r="41">
      <x:c r="A41" s="411" t="str">
        <x:v>TC-0037</x:v>
      </x:c>
      <x:c r="B41" s="411" t="str">
        <x:v>v0.1.3</x:v>
      </x:c>
      <x:c r="C41" s="411" t="str">
        <x:v>Fault</x:v>
      </x:c>
      <x:c r="D41" s="411" t="str">
        <x:v>F-READY-007</x:v>
      </x:c>
      <x:c r="E41" s="411" t="str">
        <x:v>REQ-027</x:v>
      </x:c>
      <x:c r="F41" s="411" t="str">
        <x:v>Controller-state check — failure/recovery path</x:v>
      </x:c>
      <x:c r="G41" s="411" t="str">
        <x:v>Verify safe behavior when the dependencies or inputs for controller-state check fail.</x:v>
      </x:c>
      <x:c r="H41" s="411" t="str">
        <x:v>Fault injection or controlled dependency stub is available.</x:v>
      </x:c>
      <x:c r="I41" s="411" t="str">
        <x:v>Activate controller-state check; inject a representative failure; observe state, logs, cleanup, and recovery.</x:v>
      </x:c>
      <x:c r="J41" s="411" t="str">
        <x:v>Failure is detected, unsafe behavior is prevented, cause is reported, and recovery follows policy.</x:v>
      </x:c>
      <x:c r="K41" s="488" t="str">
        <x:v>Planned</x:v>
      </x:c>
      <x:c r="L41" s="488" t="str">
        <x:v>Not Run</x:v>
      </x:c>
      <x:c r="M41" s="488" t="str">
        <x:v>Critical</x:v>
      </x:c>
      <x:c r="N41" s="411" t="str">
        <x:v>ROS 2 Jazzy + Gazebo Harmonic</x:v>
      </x:c>
      <x:c r="O41" s="460"/>
      <x:c r="P41" s="411" t="str"/>
      <x:c r="Q41" s="411" t="str"/>
      <x:c r="R41" s="411" t="str"/>
      <x:c r="S41" s="411" t="str">
        <x:v>Devansh</x:v>
      </x:c>
      <x:c r="T41" s="411" t="str"/>
      <x:c r="U41" s="411" t="str">
        <x:v>tc_0037</x:v>
      </x:c>
      <x:c r="V41" s="373"/>
      <x:c r="W41" s="373"/>
      <x:c r="X41" s="373"/>
      <x:c r="Y41" s="373"/>
      <x:c r="Z41" s="373"/>
    </x:row>
    <x:row r="42">
      <x:c r="A42" s="411" t="str">
        <x:v>TC-0038</x:v>
      </x:c>
      <x:c r="B42" s="411" t="str">
        <x:v>v0.1.3</x:v>
      </x:c>
      <x:c r="C42" s="411" t="str">
        <x:v>Unit</x:v>
      </x:c>
      <x:c r="D42" s="411" t="str">
        <x:v>F-READY-008</x:v>
      </x:c>
      <x:c r="E42" s="411" t="str">
        <x:v>REQ-028</x:v>
      </x:c>
      <x:c r="F42" s="411" t="str">
        <x:v>Map and localization check — nominal acceptance</x:v>
      </x:c>
      <x:c r="G42" s="411" t="str">
        <x:v>Verify that map and localization check satisfies its declared acceptance criteria.</x:v>
      </x:c>
      <x:c r="H42" s="411" t="str">
        <x:v>Required dependencies and test fixtures are available.</x:v>
      </x:c>
      <x:c r="I42" s="411" t="str">
        <x:v>Configure the platform for v0.1.3; execute the nominal workflow for map and localization check; collect logs and evidence.</x:v>
      </x:c>
      <x:c r="J42" s="411" t="str">
        <x:v>Declared acceptance criteria pass and no existing regression test fails.</x:v>
      </x:c>
      <x:c r="K42" s="488" t="str">
        <x:v>Planned</x:v>
      </x:c>
      <x:c r="L42" s="488" t="str">
        <x:v>Not Run</x:v>
      </x:c>
      <x:c r="M42" s="488" t="str">
        <x:v>High</x:v>
      </x:c>
      <x:c r="N42" s="411" t="str">
        <x:v>ROS 2 Jazzy + Gazebo Harmonic</x:v>
      </x:c>
      <x:c r="O42" s="460"/>
      <x:c r="P42" s="411" t="str"/>
      <x:c r="Q42" s="411" t="str"/>
      <x:c r="R42" s="411" t="str"/>
      <x:c r="S42" s="411" t="str">
        <x:v>Devansh</x:v>
      </x:c>
      <x:c r="T42" s="411" t="str"/>
      <x:c r="U42" s="411" t="str">
        <x:v>tc_0038</x:v>
      </x:c>
      <x:c r="V42" s="373"/>
      <x:c r="W42" s="373"/>
      <x:c r="X42" s="373"/>
      <x:c r="Y42" s="373"/>
      <x:c r="Z42" s="373"/>
    </x:row>
    <x:row r="43">
      <x:c r="A43" s="411" t="str">
        <x:v>TC-0039</x:v>
      </x:c>
      <x:c r="B43" s="411" t="str">
        <x:v>v0.1.3</x:v>
      </x:c>
      <x:c r="C43" s="411" t="str">
        <x:v>Integration</x:v>
      </x:c>
      <x:c r="D43" s="411" t="str">
        <x:v>F-READY-009</x:v>
      </x:c>
      <x:c r="E43" s="411" t="str">
        <x:v>REQ-029</x:v>
      </x:c>
      <x:c r="F43" s="411" t="str">
        <x:v>Aggregated readiness report — nominal acceptance</x:v>
      </x:c>
      <x:c r="G43" s="411" t="str">
        <x:v>Verify that aggregated readiness report satisfies its declared acceptance criteria.</x:v>
      </x:c>
      <x:c r="H43" s="411" t="str">
        <x:v>Required dependencies and test fixtures are available.</x:v>
      </x:c>
      <x:c r="I43" s="411" t="str">
        <x:v>Configure the platform for v0.1.3; execute the nominal workflow for aggregated readiness report; collect logs and evidence.</x:v>
      </x:c>
      <x:c r="J43" s="411" t="str">
        <x:v>Declared acceptance criteria pass and no existing regression test fails.</x:v>
      </x:c>
      <x:c r="K43" s="488" t="str">
        <x:v>Planned</x:v>
      </x:c>
      <x:c r="L43" s="488" t="str">
        <x:v>Not Run</x:v>
      </x:c>
      <x:c r="M43" s="488" t="str">
        <x:v>Critical</x:v>
      </x:c>
      <x:c r="N43" s="411" t="str">
        <x:v>ROS 2 Jazzy + Gazebo Harmonic</x:v>
      </x:c>
      <x:c r="O43" s="460"/>
      <x:c r="P43" s="411" t="str"/>
      <x:c r="Q43" s="411" t="str"/>
      <x:c r="R43" s="411" t="str"/>
      <x:c r="S43" s="411" t="str">
        <x:v>Devansh</x:v>
      </x:c>
      <x:c r="T43" s="411" t="str"/>
      <x:c r="U43" s="411" t="str">
        <x:v>tc_0039</x:v>
      </x:c>
      <x:c r="V43" s="373"/>
      <x:c r="W43" s="373"/>
      <x:c r="X43" s="373"/>
      <x:c r="Y43" s="373"/>
      <x:c r="Z43" s="373"/>
    </x:row>
    <x:row r="44">
      <x:c r="A44" s="411" t="str">
        <x:v>TC-0040</x:v>
      </x:c>
      <x:c r="B44" s="411" t="str">
        <x:v>v0.1.3</x:v>
      </x:c>
      <x:c r="C44" s="411" t="str">
        <x:v>Fault</x:v>
      </x:c>
      <x:c r="D44" s="411" t="str">
        <x:v>F-READY-009</x:v>
      </x:c>
      <x:c r="E44" s="411" t="str">
        <x:v>REQ-029</x:v>
      </x:c>
      <x:c r="F44" s="411" t="str">
        <x:v>Aggregated readiness report — failure/recovery path</x:v>
      </x:c>
      <x:c r="G44" s="411" t="str">
        <x:v>Verify safe behavior when the dependencies or inputs for aggregated readiness report fail.</x:v>
      </x:c>
      <x:c r="H44" s="411" t="str">
        <x:v>Fault injection or controlled dependency stub is available.</x:v>
      </x:c>
      <x:c r="I44" s="411" t="str">
        <x:v>Activate aggregated readiness report; inject a representative failure; observe state, logs, cleanup, and recovery.</x:v>
      </x:c>
      <x:c r="J44" s="411" t="str">
        <x:v>Failure is detected, unsafe behavior is prevented, cause is reported, and recovery follows policy.</x:v>
      </x:c>
      <x:c r="K44" s="488" t="str">
        <x:v>Planned</x:v>
      </x:c>
      <x:c r="L44" s="488" t="str">
        <x:v>Not Run</x:v>
      </x:c>
      <x:c r="M44" s="488" t="str">
        <x:v>Critical</x:v>
      </x:c>
      <x:c r="N44" s="411" t="str">
        <x:v>ROS 2 Jazzy + Gazebo Harmonic</x:v>
      </x:c>
      <x:c r="O44" s="460"/>
      <x:c r="P44" s="411" t="str"/>
      <x:c r="Q44" s="411" t="str"/>
      <x:c r="R44" s="411" t="str"/>
      <x:c r="S44" s="411" t="str">
        <x:v>Devansh</x:v>
      </x:c>
      <x:c r="T44" s="411" t="str"/>
      <x:c r="U44" s="411" t="str">
        <x:v>tc_0040</x:v>
      </x:c>
      <x:c r="V44" s="373"/>
      <x:c r="W44" s="373"/>
      <x:c r="X44" s="373"/>
      <x:c r="Y44" s="373"/>
      <x:c r="Z44" s="373"/>
    </x:row>
    <x:row r="45">
      <x:c r="A45" s="411" t="str">
        <x:v>TC-0041</x:v>
      </x:c>
      <x:c r="B45" s="411" t="str">
        <x:v>v0.1.3</x:v>
      </x:c>
      <x:c r="C45" s="411" t="str">
        <x:v>Integration</x:v>
      </x:c>
      <x:c r="D45" s="411" t="str">
        <x:v>F-READY-010</x:v>
      </x:c>
      <x:c r="E45" s="411" t="str">
        <x:v>REQ-030</x:v>
      </x:c>
      <x:c r="F45" s="411" t="str">
        <x:v>Remove blind startup TimerActions — nominal acceptance</x:v>
      </x:c>
      <x:c r="G45" s="411" t="str">
        <x:v>Verify that remove blind startup timeractions satisfies its declared acceptance criteria.</x:v>
      </x:c>
      <x:c r="H45" s="411" t="str">
        <x:v>Required dependencies and test fixtures are available.</x:v>
      </x:c>
      <x:c r="I45" s="411" t="str">
        <x:v>Configure the platform for v0.1.3; execute the nominal workflow for remove blind startup timeractions; collect logs and evidence.</x:v>
      </x:c>
      <x:c r="J45" s="411" t="str">
        <x:v>Declared acceptance criteria pass and no existing regression test fails.</x:v>
      </x:c>
      <x:c r="K45" s="488" t="str">
        <x:v>Planned</x:v>
      </x:c>
      <x:c r="L45" s="488" t="str">
        <x:v>Not Run</x:v>
      </x:c>
      <x:c r="M45" s="488" t="str">
        <x:v>Critical</x:v>
      </x:c>
      <x:c r="N45" s="411" t="str">
        <x:v>ROS 2 Jazzy + Gazebo Harmonic</x:v>
      </x:c>
      <x:c r="O45" s="460"/>
      <x:c r="P45" s="411" t="str"/>
      <x:c r="Q45" s="411" t="str"/>
      <x:c r="R45" s="411" t="str"/>
      <x:c r="S45" s="411" t="str">
        <x:v>Devansh</x:v>
      </x:c>
      <x:c r="T45" s="411" t="str"/>
      <x:c r="U45" s="411" t="str">
        <x:v>tc_0041</x:v>
      </x:c>
      <x:c r="V45" s="373"/>
      <x:c r="W45" s="373"/>
      <x:c r="X45" s="373"/>
      <x:c r="Y45" s="373"/>
      <x:c r="Z45" s="373"/>
    </x:row>
    <x:row r="46">
      <x:c r="A46" s="411" t="str">
        <x:v>TC-0042</x:v>
      </x:c>
      <x:c r="B46" s="411" t="str">
        <x:v>v0.1.3</x:v>
      </x:c>
      <x:c r="C46" s="411" t="str">
        <x:v>Fault</x:v>
      </x:c>
      <x:c r="D46" s="411" t="str">
        <x:v>F-READY-010</x:v>
      </x:c>
      <x:c r="E46" s="411" t="str">
        <x:v>REQ-030</x:v>
      </x:c>
      <x:c r="F46" s="411" t="str">
        <x:v>Remove blind startup TimerActions — failure/recovery path</x:v>
      </x:c>
      <x:c r="G46" s="411" t="str">
        <x:v>Verify safe behavior when the dependencies or inputs for remove blind startup timeractions fail.</x:v>
      </x:c>
      <x:c r="H46" s="411" t="str">
        <x:v>Fault injection or controlled dependency stub is available.</x:v>
      </x:c>
      <x:c r="I46" s="411" t="str">
        <x:v>Activate remove blind startup timeractions; inject a representative failure; observe state, logs, cleanup, and recovery.</x:v>
      </x:c>
      <x:c r="J46" s="411" t="str">
        <x:v>Failure is detected, unsafe behavior is prevented, cause is reported, and recovery follows policy.</x:v>
      </x:c>
      <x:c r="K46" s="488" t="str">
        <x:v>Planned</x:v>
      </x:c>
      <x:c r="L46" s="488" t="str">
        <x:v>Not Run</x:v>
      </x:c>
      <x:c r="M46" s="488" t="str">
        <x:v>Critical</x:v>
      </x:c>
      <x:c r="N46" s="411" t="str">
        <x:v>ROS 2 Jazzy + Gazebo Harmonic</x:v>
      </x:c>
      <x:c r="O46" s="460"/>
      <x:c r="P46" s="411" t="str"/>
      <x:c r="Q46" s="411" t="str"/>
      <x:c r="R46" s="411" t="str"/>
      <x:c r="S46" s="411" t="str">
        <x:v>Devansh</x:v>
      </x:c>
      <x:c r="T46" s="411" t="str"/>
      <x:c r="U46" s="411" t="str">
        <x:v>tc_0042</x:v>
      </x:c>
      <x:c r="V46" s="373"/>
      <x:c r="W46" s="373"/>
      <x:c r="X46" s="373"/>
      <x:c r="Y46" s="373"/>
      <x:c r="Z46" s="373"/>
    </x:row>
    <x:row r="47">
      <x:c r="A47" s="411" t="str">
        <x:v>TC-0043</x:v>
      </x:c>
      <x:c r="B47" s="411" t="str">
        <x:v>v0.1.4</x:v>
      </x:c>
      <x:c r="C47" s="411" t="str">
        <x:v>Integration</x:v>
      </x:c>
      <x:c r="D47" s="411" t="str">
        <x:v>F-MODE-001</x:v>
      </x:c>
      <x:c r="E47" s="411" t="str">
        <x:v>REQ-031</x:v>
      </x:c>
      <x:c r="F47" s="411" t="str">
        <x:v>Mode dependency graph — nominal acceptance</x:v>
      </x:c>
      <x:c r="G47" s="411" t="str">
        <x:v>Verify that mode dependency graph satisfies its declared acceptance criteria.</x:v>
      </x:c>
      <x:c r="H47" s="411" t="str">
        <x:v>Required dependencies and test fixtures are available.</x:v>
      </x:c>
      <x:c r="I47" s="411" t="str">
        <x:v>Configure the platform for v0.1.4; execute the nominal workflow for mode dependency graph; collect logs and evidence.</x:v>
      </x:c>
      <x:c r="J47" s="411" t="str">
        <x:v>Declared acceptance criteria pass and no existing regression test fails.</x:v>
      </x:c>
      <x:c r="K47" s="488" t="str">
        <x:v>Planned</x:v>
      </x:c>
      <x:c r="L47" s="488" t="str">
        <x:v>Not Run</x:v>
      </x:c>
      <x:c r="M47" s="488" t="str">
        <x:v>Critical</x:v>
      </x:c>
      <x:c r="N47" s="411" t="str">
        <x:v>ROS 2 Jazzy + Gazebo Harmonic</x:v>
      </x:c>
      <x:c r="O47" s="460"/>
      <x:c r="P47" s="411" t="str"/>
      <x:c r="Q47" s="411" t="str"/>
      <x:c r="R47" s="411" t="str"/>
      <x:c r="S47" s="411" t="str">
        <x:v>Devansh</x:v>
      </x:c>
      <x:c r="T47" s="411" t="str"/>
      <x:c r="U47" s="411" t="str">
        <x:v>tc_0043</x:v>
      </x:c>
      <x:c r="V47" s="373"/>
      <x:c r="W47" s="373"/>
      <x:c r="X47" s="373"/>
      <x:c r="Y47" s="373"/>
      <x:c r="Z47" s="373"/>
    </x:row>
    <x:row r="48">
      <x:c r="A48" s="411" t="str">
        <x:v>TC-0044</x:v>
      </x:c>
      <x:c r="B48" s="411" t="str">
        <x:v>v0.1.4</x:v>
      </x:c>
      <x:c r="C48" s="411" t="str">
        <x:v>Fault</x:v>
      </x:c>
      <x:c r="D48" s="411" t="str">
        <x:v>F-MODE-001</x:v>
      </x:c>
      <x:c r="E48" s="411" t="str">
        <x:v>REQ-031</x:v>
      </x:c>
      <x:c r="F48" s="411" t="str">
        <x:v>Mode dependency graph — failure/recovery path</x:v>
      </x:c>
      <x:c r="G48" s="411" t="str">
        <x:v>Verify safe behavior when the dependencies or inputs for mode dependency graph fail.</x:v>
      </x:c>
      <x:c r="H48" s="411" t="str">
        <x:v>Fault injection or controlled dependency stub is available.</x:v>
      </x:c>
      <x:c r="I48" s="411" t="str">
        <x:v>Activate mode dependency graph; inject a representative failure; observe state, logs, cleanup, and recovery.</x:v>
      </x:c>
      <x:c r="J48" s="411" t="str">
        <x:v>Failure is detected, unsafe behavior is prevented, cause is reported, and recovery follows policy.</x:v>
      </x:c>
      <x:c r="K48" s="488" t="str">
        <x:v>Planned</x:v>
      </x:c>
      <x:c r="L48" s="488" t="str">
        <x:v>Not Run</x:v>
      </x:c>
      <x:c r="M48" s="488" t="str">
        <x:v>Critical</x:v>
      </x:c>
      <x:c r="N48" s="411" t="str">
        <x:v>ROS 2 Jazzy + Gazebo Harmonic</x:v>
      </x:c>
      <x:c r="O48" s="460"/>
      <x:c r="P48" s="411" t="str"/>
      <x:c r="Q48" s="411" t="str"/>
      <x:c r="R48" s="411" t="str"/>
      <x:c r="S48" s="411" t="str">
        <x:v>Devansh</x:v>
      </x:c>
      <x:c r="T48" s="411" t="str"/>
      <x:c r="U48" s="411" t="str">
        <x:v>tc_0044</x:v>
      </x:c>
      <x:c r="V48" s="373"/>
      <x:c r="W48" s="373"/>
      <x:c r="X48" s="373"/>
      <x:c r="Y48" s="373"/>
      <x:c r="Z48" s="373"/>
    </x:row>
    <x:row r="49">
      <x:c r="A49" s="411" t="str">
        <x:v>TC-0045</x:v>
      </x:c>
      <x:c r="B49" s="411" t="str">
        <x:v>v0.1.4</x:v>
      </x:c>
      <x:c r="C49" s="411" t="str">
        <x:v>Unit</x:v>
      </x:c>
      <x:c r="D49" s="411" t="str">
        <x:v>F-MODE-002</x:v>
      </x:c>
      <x:c r="E49" s="411" t="str">
        <x:v>REQ-032</x:v>
      </x:c>
      <x:c r="F49" s="411" t="str">
        <x:v>Mapping activation gate — nominal acceptance</x:v>
      </x:c>
      <x:c r="G49" s="411" t="str">
        <x:v>Verify that mapping activation gate satisfies its declared acceptance criteria.</x:v>
      </x:c>
      <x:c r="H49" s="411" t="str">
        <x:v>Required dependencies and test fixtures are available.</x:v>
      </x:c>
      <x:c r="I49" s="411" t="str">
        <x:v>Configure the platform for v0.1.4; execute the nominal workflow for mapping activation gate; collect logs and evidence.</x:v>
      </x:c>
      <x:c r="J49" s="411" t="str">
        <x:v>Declared acceptance criteria pass and no existing regression test fails.</x:v>
      </x:c>
      <x:c r="K49" s="488" t="str">
        <x:v>Planned</x:v>
      </x:c>
      <x:c r="L49" s="488" t="str">
        <x:v>Not Run</x:v>
      </x:c>
      <x:c r="M49" s="488" t="str">
        <x:v>High</x:v>
      </x:c>
      <x:c r="N49" s="411" t="str">
        <x:v>ROS 2 Jazzy + Gazebo Harmonic</x:v>
      </x:c>
      <x:c r="O49" s="460"/>
      <x:c r="P49" s="411" t="str"/>
      <x:c r="Q49" s="411" t="str"/>
      <x:c r="R49" s="411" t="str"/>
      <x:c r="S49" s="411" t="str">
        <x:v>Devansh</x:v>
      </x:c>
      <x:c r="T49" s="411" t="str"/>
      <x:c r="U49" s="411" t="str">
        <x:v>tc_0045</x:v>
      </x:c>
      <x:c r="V49" s="373"/>
      <x:c r="W49" s="373"/>
      <x:c r="X49" s="373"/>
      <x:c r="Y49" s="373"/>
      <x:c r="Z49" s="373"/>
    </x:row>
    <x:row r="50">
      <x:c r="A50" s="411" t="str">
        <x:v>TC-0046</x:v>
      </x:c>
      <x:c r="B50" s="411" t="str">
        <x:v>v0.1.4</x:v>
      </x:c>
      <x:c r="C50" s="411" t="str">
        <x:v>Integration</x:v>
      </x:c>
      <x:c r="D50" s="411" t="str">
        <x:v>F-MODE-003</x:v>
      </x:c>
      <x:c r="E50" s="411" t="str">
        <x:v>REQ-033</x:v>
      </x:c>
      <x:c r="F50" s="411" t="str">
        <x:v>Localization activation gate — nominal acceptance</x:v>
      </x:c>
      <x:c r="G50" s="411" t="str">
        <x:v>Verify that localization activation gate satisfies its declared acceptance criteria.</x:v>
      </x:c>
      <x:c r="H50" s="411" t="str">
        <x:v>Required dependencies and test fixtures are available.</x:v>
      </x:c>
      <x:c r="I50" s="411" t="str">
        <x:v>Configure the platform for v0.1.4; execute the nominal workflow for localization activation gate; collect logs and evidence.</x:v>
      </x:c>
      <x:c r="J50" s="411" t="str">
        <x:v>Declared acceptance criteria pass and no existing regression test fails.</x:v>
      </x:c>
      <x:c r="K50" s="488" t="str">
        <x:v>Planned</x:v>
      </x:c>
      <x:c r="L50" s="488" t="str">
        <x:v>Not Run</x:v>
      </x:c>
      <x:c r="M50" s="488" t="str">
        <x:v>Critical</x:v>
      </x:c>
      <x:c r="N50" s="411" t="str">
        <x:v>ROS 2 Jazzy + Gazebo Harmonic</x:v>
      </x:c>
      <x:c r="O50" s="460"/>
      <x:c r="P50" s="411" t="str"/>
      <x:c r="Q50" s="411" t="str"/>
      <x:c r="R50" s="411" t="str"/>
      <x:c r="S50" s="411" t="str">
        <x:v>Devansh</x:v>
      </x:c>
      <x:c r="T50" s="411" t="str"/>
      <x:c r="U50" s="411" t="str">
        <x:v>tc_0046</x:v>
      </x:c>
      <x:c r="V50" s="373"/>
      <x:c r="W50" s="373"/>
      <x:c r="X50" s="373"/>
      <x:c r="Y50" s="373"/>
      <x:c r="Z50" s="373"/>
    </x:row>
    <x:row r="51">
      <x:c r="A51" s="411" t="str">
        <x:v>TC-0047</x:v>
      </x:c>
      <x:c r="B51" s="411" t="str">
        <x:v>v0.1.4</x:v>
      </x:c>
      <x:c r="C51" s="411" t="str">
        <x:v>Fault</x:v>
      </x:c>
      <x:c r="D51" s="411" t="str">
        <x:v>F-MODE-003</x:v>
      </x:c>
      <x:c r="E51" s="411" t="str">
        <x:v>REQ-033</x:v>
      </x:c>
      <x:c r="F51" s="411" t="str">
        <x:v>Localization activation gate — failure/recovery path</x:v>
      </x:c>
      <x:c r="G51" s="411" t="str">
        <x:v>Verify safe behavior when the dependencies or inputs for localization activation gate fail.</x:v>
      </x:c>
      <x:c r="H51" s="411" t="str">
        <x:v>Fault injection or controlled dependency stub is available.</x:v>
      </x:c>
      <x:c r="I51" s="411" t="str">
        <x:v>Activate localization activation gate; inject a representative failure; observe state, logs, cleanup, and recovery.</x:v>
      </x:c>
      <x:c r="J51" s="411" t="str">
        <x:v>Failure is detected, unsafe behavior is prevented, cause is reported, and recovery follows policy.</x:v>
      </x:c>
      <x:c r="K51" s="488" t="str">
        <x:v>Planned</x:v>
      </x:c>
      <x:c r="L51" s="488" t="str">
        <x:v>Not Run</x:v>
      </x:c>
      <x:c r="M51" s="488" t="str">
        <x:v>Critical</x:v>
      </x:c>
      <x:c r="N51" s="411" t="str">
        <x:v>ROS 2 Jazzy + Gazebo Harmonic</x:v>
      </x:c>
      <x:c r="O51" s="460"/>
      <x:c r="P51" s="411" t="str"/>
      <x:c r="Q51" s="411" t="str"/>
      <x:c r="R51" s="411" t="str"/>
      <x:c r="S51" s="411" t="str">
        <x:v>Devansh</x:v>
      </x:c>
      <x:c r="T51" s="411" t="str"/>
      <x:c r="U51" s="411" t="str">
        <x:v>tc_0047</x:v>
      </x:c>
      <x:c r="V51" s="373"/>
      <x:c r="W51" s="373"/>
      <x:c r="X51" s="373"/>
      <x:c r="Y51" s="373"/>
      <x:c r="Z51" s="373"/>
    </x:row>
    <x:row r="52">
      <x:c r="A52" s="411" t="str">
        <x:v>TC-0048</x:v>
      </x:c>
      <x:c r="B52" s="411" t="str">
        <x:v>v0.1.4</x:v>
      </x:c>
      <x:c r="C52" s="411" t="str">
        <x:v>Integration</x:v>
      </x:c>
      <x:c r="D52" s="411" t="str">
        <x:v>F-MODE-004</x:v>
      </x:c>
      <x:c r="E52" s="411" t="str">
        <x:v>REQ-034</x:v>
      </x:c>
      <x:c r="F52" s="411" t="str">
        <x:v>Navigation activation gate — nominal acceptance</x:v>
      </x:c>
      <x:c r="G52" s="411" t="str">
        <x:v>Verify that navigation activation gate satisfies its declared acceptance criteria.</x:v>
      </x:c>
      <x:c r="H52" s="411" t="str">
        <x:v>Required dependencies and test fixtures are available.</x:v>
      </x:c>
      <x:c r="I52" s="411" t="str">
        <x:v>Configure the platform for v0.1.4; execute the nominal workflow for navigation activation gate; collect logs and evidence.</x:v>
      </x:c>
      <x:c r="J52" s="411" t="str">
        <x:v>Declared acceptance criteria pass and no existing regression test fails.</x:v>
      </x:c>
      <x:c r="K52" s="488" t="str">
        <x:v>Planned</x:v>
      </x:c>
      <x:c r="L52" s="488" t="str">
        <x:v>Not Run</x:v>
      </x:c>
      <x:c r="M52" s="488" t="str">
        <x:v>Critical</x:v>
      </x:c>
      <x:c r="N52" s="411" t="str">
        <x:v>ROS 2 Jazzy + Gazebo Harmonic</x:v>
      </x:c>
      <x:c r="O52" s="460"/>
      <x:c r="P52" s="411" t="str"/>
      <x:c r="Q52" s="411" t="str"/>
      <x:c r="R52" s="411" t="str"/>
      <x:c r="S52" s="411" t="str">
        <x:v>Devansh</x:v>
      </x:c>
      <x:c r="T52" s="411" t="str"/>
      <x:c r="U52" s="411" t="str">
        <x:v>tc_0048</x:v>
      </x:c>
      <x:c r="V52" s="373"/>
      <x:c r="W52" s="373"/>
      <x:c r="X52" s="373"/>
      <x:c r="Y52" s="373"/>
      <x:c r="Z52" s="373"/>
    </x:row>
    <x:row r="53">
      <x:c r="A53" s="411" t="str">
        <x:v>TC-0049</x:v>
      </x:c>
      <x:c r="B53" s="411" t="str">
        <x:v>v0.1.4</x:v>
      </x:c>
      <x:c r="C53" s="411" t="str">
        <x:v>Fault</x:v>
      </x:c>
      <x:c r="D53" s="411" t="str">
        <x:v>F-MODE-004</x:v>
      </x:c>
      <x:c r="E53" s="411" t="str">
        <x:v>REQ-034</x:v>
      </x:c>
      <x:c r="F53" s="411" t="str">
        <x:v>Navigation activation gate — failure/recovery path</x:v>
      </x:c>
      <x:c r="G53" s="411" t="str">
        <x:v>Verify safe behavior when the dependencies or inputs for navigation activation gate fail.</x:v>
      </x:c>
      <x:c r="H53" s="411" t="str">
        <x:v>Fault injection or controlled dependency stub is available.</x:v>
      </x:c>
      <x:c r="I53" s="411" t="str">
        <x:v>Activate navigation activation gate; inject a representative failure; observe state, logs, cleanup, and recovery.</x:v>
      </x:c>
      <x:c r="J53" s="411" t="str">
        <x:v>Failure is detected, unsafe behavior is prevented, cause is reported, and recovery follows policy.</x:v>
      </x:c>
      <x:c r="K53" s="488" t="str">
        <x:v>Planned</x:v>
      </x:c>
      <x:c r="L53" s="488" t="str">
        <x:v>Not Run</x:v>
      </x:c>
      <x:c r="M53" s="488" t="str">
        <x:v>Critical</x:v>
      </x:c>
      <x:c r="N53" s="411" t="str">
        <x:v>ROS 2 Jazzy + Gazebo Harmonic</x:v>
      </x:c>
      <x:c r="O53" s="460"/>
      <x:c r="P53" s="411" t="str"/>
      <x:c r="Q53" s="411" t="str"/>
      <x:c r="R53" s="411" t="str"/>
      <x:c r="S53" s="411" t="str">
        <x:v>Devansh</x:v>
      </x:c>
      <x:c r="T53" s="411" t="str"/>
      <x:c r="U53" s="411" t="str">
        <x:v>tc_0049</x:v>
      </x:c>
      <x:c r="V53" s="373"/>
      <x:c r="W53" s="373"/>
      <x:c r="X53" s="373"/>
      <x:c r="Y53" s="373"/>
      <x:c r="Z53" s="373"/>
    </x:row>
    <x:row r="54">
      <x:c r="A54" s="411" t="str">
        <x:v>TC-0050</x:v>
      </x:c>
      <x:c r="B54" s="411" t="str">
        <x:v>v0.1.4</x:v>
      </x:c>
      <x:c r="C54" s="411" t="str">
        <x:v>Integration</x:v>
      </x:c>
      <x:c r="D54" s="411" t="str">
        <x:v>F-MODE-005</x:v>
      </x:c>
      <x:c r="E54" s="411" t="str">
        <x:v>REQ-035</x:v>
      </x:c>
      <x:c r="F54" s="411" t="str">
        <x:v>Transition rollback — nominal acceptance</x:v>
      </x:c>
      <x:c r="G54" s="411" t="str">
        <x:v>Verify that transition rollback satisfies its declared acceptance criteria.</x:v>
      </x:c>
      <x:c r="H54" s="411" t="str">
        <x:v>Required dependencies and test fixtures are available.</x:v>
      </x:c>
      <x:c r="I54" s="411" t="str">
        <x:v>Configure the platform for v0.1.4; execute the nominal workflow for transition rollback; collect logs and evidence.</x:v>
      </x:c>
      <x:c r="J54" s="411" t="str">
        <x:v>Declared acceptance criteria pass and no existing regression test fails.</x:v>
      </x:c>
      <x:c r="K54" s="488" t="str">
        <x:v>Planned</x:v>
      </x:c>
      <x:c r="L54" s="488" t="str">
        <x:v>Not Run</x:v>
      </x:c>
      <x:c r="M54" s="488" t="str">
        <x:v>Critical</x:v>
      </x:c>
      <x:c r="N54" s="411" t="str">
        <x:v>ROS 2 Jazzy + Gazebo Harmonic</x:v>
      </x:c>
      <x:c r="O54" s="460"/>
      <x:c r="P54" s="411" t="str"/>
      <x:c r="Q54" s="411" t="str"/>
      <x:c r="R54" s="411" t="str"/>
      <x:c r="S54" s="411" t="str">
        <x:v>Devansh</x:v>
      </x:c>
      <x:c r="T54" s="411" t="str"/>
      <x:c r="U54" s="411" t="str">
        <x:v>tc_0050</x:v>
      </x:c>
      <x:c r="V54" s="373"/>
      <x:c r="W54" s="373"/>
      <x:c r="X54" s="373"/>
      <x:c r="Y54" s="373"/>
      <x:c r="Z54" s="373"/>
    </x:row>
    <x:row r="55">
      <x:c r="A55" s="411" t="str">
        <x:v>TC-0051</x:v>
      </x:c>
      <x:c r="B55" s="411" t="str">
        <x:v>v0.1.4</x:v>
      </x:c>
      <x:c r="C55" s="411" t="str">
        <x:v>Fault</x:v>
      </x:c>
      <x:c r="D55" s="411" t="str">
        <x:v>F-MODE-005</x:v>
      </x:c>
      <x:c r="E55" s="411" t="str">
        <x:v>REQ-035</x:v>
      </x:c>
      <x:c r="F55" s="411" t="str">
        <x:v>Transition rollback — failure/recovery path</x:v>
      </x:c>
      <x:c r="G55" s="411" t="str">
        <x:v>Verify safe behavior when the dependencies or inputs for transition rollback fail.</x:v>
      </x:c>
      <x:c r="H55" s="411" t="str">
        <x:v>Fault injection or controlled dependency stub is available.</x:v>
      </x:c>
      <x:c r="I55" s="411" t="str">
        <x:v>Activate transition rollback; inject a representative failure; observe state, logs, cleanup, and recovery.</x:v>
      </x:c>
      <x:c r="J55" s="411" t="str">
        <x:v>Failure is detected, unsafe behavior is prevented, cause is reported, and recovery follows policy.</x:v>
      </x:c>
      <x:c r="K55" s="488" t="str">
        <x:v>Planned</x:v>
      </x:c>
      <x:c r="L55" s="488" t="str">
        <x:v>Not Run</x:v>
      </x:c>
      <x:c r="M55" s="488" t="str">
        <x:v>Critical</x:v>
      </x:c>
      <x:c r="N55" s="411" t="str">
        <x:v>ROS 2 Jazzy + Gazebo Harmonic</x:v>
      </x:c>
      <x:c r="O55" s="460"/>
      <x:c r="P55" s="411" t="str"/>
      <x:c r="Q55" s="411" t="str"/>
      <x:c r="R55" s="411" t="str"/>
      <x:c r="S55" s="411" t="str">
        <x:v>Devansh</x:v>
      </x:c>
      <x:c r="T55" s="411" t="str"/>
      <x:c r="U55" s="411" t="str">
        <x:v>tc_0051</x:v>
      </x:c>
      <x:c r="V55" s="373"/>
      <x:c r="W55" s="373"/>
      <x:c r="X55" s="373"/>
      <x:c r="Y55" s="373"/>
      <x:c r="Z55" s="373"/>
    </x:row>
    <x:row r="56">
      <x:c r="A56" s="411" t="str">
        <x:v>TC-0052</x:v>
      </x:c>
      <x:c r="B56" s="411" t="str">
        <x:v>v0.1.4</x:v>
      </x:c>
      <x:c r="C56" s="411" t="str">
        <x:v>Unit</x:v>
      </x:c>
      <x:c r="D56" s="411" t="str">
        <x:v>F-MODE-006</x:v>
      </x:c>
      <x:c r="E56" s="411" t="str">
        <x:v>REQ-036</x:v>
      </x:c>
      <x:c r="F56" s="411" t="str">
        <x:v>Active-goal transition handling — nominal acceptance</x:v>
      </x:c>
      <x:c r="G56" s="411" t="str">
        <x:v>Verify that active-goal transition handling satisfies its declared acceptance criteria.</x:v>
      </x:c>
      <x:c r="H56" s="411" t="str">
        <x:v>Required dependencies and test fixtures are available.</x:v>
      </x:c>
      <x:c r="I56" s="411" t="str">
        <x:v>Configure the platform for v0.1.4; execute the nominal workflow for active-goal transition handling; collect logs and evidence.</x:v>
      </x:c>
      <x:c r="J56" s="411" t="str">
        <x:v>Declared acceptance criteria pass and no existing regression test fails.</x:v>
      </x:c>
      <x:c r="K56" s="488" t="str">
        <x:v>Planned</x:v>
      </x:c>
      <x:c r="L56" s="488" t="str">
        <x:v>Not Run</x:v>
      </x:c>
      <x:c r="M56" s="488" t="str">
        <x:v>High</x:v>
      </x:c>
      <x:c r="N56" s="411" t="str">
        <x:v>ROS 2 Jazzy + Gazebo Harmonic</x:v>
      </x:c>
      <x:c r="O56" s="460"/>
      <x:c r="P56" s="411" t="str"/>
      <x:c r="Q56" s="411" t="str"/>
      <x:c r="R56" s="411" t="str"/>
      <x:c r="S56" s="411" t="str">
        <x:v>Devansh</x:v>
      </x:c>
      <x:c r="T56" s="411" t="str"/>
      <x:c r="U56" s="411" t="str">
        <x:v>tc_0052</x:v>
      </x:c>
      <x:c r="V56" s="373"/>
      <x:c r="W56" s="373"/>
      <x:c r="X56" s="373"/>
      <x:c r="Y56" s="373"/>
      <x:c r="Z56" s="373"/>
    </x:row>
    <x:row r="57">
      <x:c r="A57" s="411" t="str">
        <x:v>TC-0053</x:v>
      </x:c>
      <x:c r="B57" s="411" t="str">
        <x:v>v0.1.4</x:v>
      </x:c>
      <x:c r="C57" s="411" t="str">
        <x:v>Integration</x:v>
      </x:c>
      <x:c r="D57" s="411" t="str">
        <x:v>F-MODE-007</x:v>
      </x:c>
      <x:c r="E57" s="411" t="str">
        <x:v>REQ-037</x:v>
      </x:c>
      <x:c r="F57" s="411" t="str">
        <x:v>Dependency-loss degradation — nominal acceptance</x:v>
      </x:c>
      <x:c r="G57" s="411" t="str">
        <x:v>Verify that dependency-loss degradation satisfies its declared acceptance criteria.</x:v>
      </x:c>
      <x:c r="H57" s="411" t="str">
        <x:v>Required dependencies and test fixtures are available.</x:v>
      </x:c>
      <x:c r="I57" s="411" t="str">
        <x:v>Configure the platform for v0.1.4; execute the nominal workflow for dependency-loss degradation; collect logs and evidence.</x:v>
      </x:c>
      <x:c r="J57" s="411" t="str">
        <x:v>Declared acceptance criteria pass and no existing regression test fails.</x:v>
      </x:c>
      <x:c r="K57" s="488" t="str">
        <x:v>Planned</x:v>
      </x:c>
      <x:c r="L57" s="488" t="str">
        <x:v>Not Run</x:v>
      </x:c>
      <x:c r="M57" s="488" t="str">
        <x:v>Critical</x:v>
      </x:c>
      <x:c r="N57" s="411" t="str">
        <x:v>ROS 2 Jazzy + Gazebo Harmonic</x:v>
      </x:c>
      <x:c r="O57" s="460"/>
      <x:c r="P57" s="411" t="str"/>
      <x:c r="Q57" s="411" t="str"/>
      <x:c r="R57" s="411" t="str"/>
      <x:c r="S57" s="411" t="str">
        <x:v>Devansh</x:v>
      </x:c>
      <x:c r="T57" s="411" t="str"/>
      <x:c r="U57" s="411" t="str">
        <x:v>tc_0053</x:v>
      </x:c>
      <x:c r="V57" s="373"/>
      <x:c r="W57" s="373"/>
      <x:c r="X57" s="373"/>
      <x:c r="Y57" s="373"/>
      <x:c r="Z57" s="373"/>
    </x:row>
    <x:row r="58">
      <x:c r="A58" s="411" t="str">
        <x:v>TC-0054</x:v>
      </x:c>
      <x:c r="B58" s="411" t="str">
        <x:v>v0.1.4</x:v>
      </x:c>
      <x:c r="C58" s="411" t="str">
        <x:v>Fault</x:v>
      </x:c>
      <x:c r="D58" s="411" t="str">
        <x:v>F-MODE-007</x:v>
      </x:c>
      <x:c r="E58" s="411" t="str">
        <x:v>REQ-037</x:v>
      </x:c>
      <x:c r="F58" s="411" t="str">
        <x:v>Dependency-loss degradation — failure/recovery path</x:v>
      </x:c>
      <x:c r="G58" s="411" t="str">
        <x:v>Verify safe behavior when the dependencies or inputs for dependency-loss degradation fail.</x:v>
      </x:c>
      <x:c r="H58" s="411" t="str">
        <x:v>Fault injection or controlled dependency stub is available.</x:v>
      </x:c>
      <x:c r="I58" s="411" t="str">
        <x:v>Activate dependency-loss degradation; inject a representative failure; observe state, logs, cleanup, and recovery.</x:v>
      </x:c>
      <x:c r="J58" s="411" t="str">
        <x:v>Failure is detected, unsafe behavior is prevented, cause is reported, and recovery follows policy.</x:v>
      </x:c>
      <x:c r="K58" s="488" t="str">
        <x:v>Planned</x:v>
      </x:c>
      <x:c r="L58" s="488" t="str">
        <x:v>Not Run</x:v>
      </x:c>
      <x:c r="M58" s="488" t="str">
        <x:v>Critical</x:v>
      </x:c>
      <x:c r="N58" s="411" t="str">
        <x:v>ROS 2 Jazzy + Gazebo Harmonic</x:v>
      </x:c>
      <x:c r="O58" s="460"/>
      <x:c r="P58" s="411" t="str"/>
      <x:c r="Q58" s="411" t="str"/>
      <x:c r="R58" s="411" t="str"/>
      <x:c r="S58" s="411" t="str">
        <x:v>Devansh</x:v>
      </x:c>
      <x:c r="T58" s="411" t="str"/>
      <x:c r="U58" s="411" t="str">
        <x:v>tc_0054</x:v>
      </x:c>
      <x:c r="V58" s="373"/>
      <x:c r="W58" s="373"/>
      <x:c r="X58" s="373"/>
      <x:c r="Y58" s="373"/>
      <x:c r="Z58" s="373"/>
    </x:row>
    <x:row r="59">
      <x:c r="A59" s="411" t="str">
        <x:v>TC-0055</x:v>
      </x:c>
      <x:c r="B59" s="411" t="str">
        <x:v>v0.1.4</x:v>
      </x:c>
      <x:c r="C59" s="411" t="str">
        <x:v>Integration</x:v>
      </x:c>
      <x:c r="D59" s="411" t="str">
        <x:v>F-MODE-008</x:v>
      </x:c>
      <x:c r="E59" s="411" t="str">
        <x:v>REQ-038</x:v>
      </x:c>
      <x:c r="F59" s="411" t="str">
        <x:v>Manual override preservation — nominal acceptance</x:v>
      </x:c>
      <x:c r="G59" s="411" t="str">
        <x:v>Verify that manual override preservation satisfies its declared acceptance criteria.</x:v>
      </x:c>
      <x:c r="H59" s="411" t="str">
        <x:v>Required dependencies and test fixtures are available.</x:v>
      </x:c>
      <x:c r="I59" s="411" t="str">
        <x:v>Configure the platform for v0.1.4; execute the nominal workflow for manual override preservation; collect logs and evidence.</x:v>
      </x:c>
      <x:c r="J59" s="411" t="str">
        <x:v>Declared acceptance criteria pass and no existing regression test fails.</x:v>
      </x:c>
      <x:c r="K59" s="488" t="str">
        <x:v>Planned</x:v>
      </x:c>
      <x:c r="L59" s="488" t="str">
        <x:v>Not Run</x:v>
      </x:c>
      <x:c r="M59" s="488" t="str">
        <x:v>Critical</x:v>
      </x:c>
      <x:c r="N59" s="411" t="str">
        <x:v>ROS 2 Jazzy + Gazebo Harmonic</x:v>
      </x:c>
      <x:c r="O59" s="460"/>
      <x:c r="P59" s="411" t="str"/>
      <x:c r="Q59" s="411" t="str"/>
      <x:c r="R59" s="411" t="str"/>
      <x:c r="S59" s="411" t="str">
        <x:v>Devansh</x:v>
      </x:c>
      <x:c r="T59" s="411" t="str"/>
      <x:c r="U59" s="411" t="str">
        <x:v>tc_0055</x:v>
      </x:c>
      <x:c r="V59" s="373"/>
      <x:c r="W59" s="373"/>
      <x:c r="X59" s="373"/>
      <x:c r="Y59" s="373"/>
      <x:c r="Z59" s="373"/>
    </x:row>
    <x:row r="60">
      <x:c r="A60" s="411" t="str">
        <x:v>TC-0056</x:v>
      </x:c>
      <x:c r="B60" s="411" t="str">
        <x:v>v0.1.4</x:v>
      </x:c>
      <x:c r="C60" s="411" t="str">
        <x:v>Fault</x:v>
      </x:c>
      <x:c r="D60" s="411" t="str">
        <x:v>F-MODE-008</x:v>
      </x:c>
      <x:c r="E60" s="411" t="str">
        <x:v>REQ-038</x:v>
      </x:c>
      <x:c r="F60" s="411" t="str">
        <x:v>Manual override preservation — failure/recovery path</x:v>
      </x:c>
      <x:c r="G60" s="411" t="str">
        <x:v>Verify safe behavior when the dependencies or inputs for manual override preservation fail.</x:v>
      </x:c>
      <x:c r="H60" s="411" t="str">
        <x:v>Fault injection or controlled dependency stub is available.</x:v>
      </x:c>
      <x:c r="I60" s="411" t="str">
        <x:v>Activate manual override preservation; inject a representative failure; observe state, logs, cleanup, and recovery.</x:v>
      </x:c>
      <x:c r="J60" s="411" t="str">
        <x:v>Failure is detected, unsafe behavior is prevented, cause is reported, and recovery follows policy.</x:v>
      </x:c>
      <x:c r="K60" s="488" t="str">
        <x:v>Planned</x:v>
      </x:c>
      <x:c r="L60" s="488" t="str">
        <x:v>Not Run</x:v>
      </x:c>
      <x:c r="M60" s="488" t="str">
        <x:v>Critical</x:v>
      </x:c>
      <x:c r="N60" s="411" t="str">
        <x:v>ROS 2 Jazzy + Gazebo Harmonic</x:v>
      </x:c>
      <x:c r="O60" s="460"/>
      <x:c r="P60" s="411" t="str"/>
      <x:c r="Q60" s="411" t="str"/>
      <x:c r="R60" s="411" t="str"/>
      <x:c r="S60" s="411" t="str">
        <x:v>Devansh</x:v>
      </x:c>
      <x:c r="T60" s="411" t="str"/>
      <x:c r="U60" s="411" t="str">
        <x:v>tc_0056</x:v>
      </x:c>
      <x:c r="V60" s="373"/>
      <x:c r="W60" s="373"/>
      <x:c r="X60" s="373"/>
      <x:c r="Y60" s="373"/>
      <x:c r="Z60" s="373"/>
    </x:row>
    <x:row r="61">
      <x:c r="A61" s="411" t="str">
        <x:v>TC-0057</x:v>
      </x:c>
      <x:c r="B61" s="411" t="str">
        <x:v>v0.1.5</x:v>
      </x:c>
      <x:c r="C61" s="411" t="str">
        <x:v>Integration</x:v>
      </x:c>
      <x:c r="D61" s="411" t="str">
        <x:v>F-SENS-001</x:v>
      </x:c>
      <x:c r="E61" s="411" t="str">
        <x:v>REQ-039</x:v>
      </x:c>
      <x:c r="F61" s="411" t="str">
        <x:v>Simulated IMU integration — nominal acceptance</x:v>
      </x:c>
      <x:c r="G61" s="411" t="str">
        <x:v>Verify that simulated imu integration satisfies its declared acceptance criteria.</x:v>
      </x:c>
      <x:c r="H61" s="411" t="str">
        <x:v>Required dependencies and test fixtures are available.</x:v>
      </x:c>
      <x:c r="I61" s="411" t="str">
        <x:v>Configure the platform for v0.1.5; execute the nominal workflow for simulated imu integration; collect logs and evidence.</x:v>
      </x:c>
      <x:c r="J61" s="411" t="str">
        <x:v>Declared acceptance criteria pass and no existing regression test fails.</x:v>
      </x:c>
      <x:c r="K61" s="488" t="str">
        <x:v>Planned</x:v>
      </x:c>
      <x:c r="L61" s="488" t="str">
        <x:v>Not Run</x:v>
      </x:c>
      <x:c r="M61" s="488" t="str">
        <x:v>Critical</x:v>
      </x:c>
      <x:c r="N61" s="411" t="str">
        <x:v>ROS 2 Jazzy + Gazebo Harmonic</x:v>
      </x:c>
      <x:c r="O61" s="460"/>
      <x:c r="P61" s="411" t="str"/>
      <x:c r="Q61" s="411" t="str"/>
      <x:c r="R61" s="411" t="str"/>
      <x:c r="S61" s="411" t="str">
        <x:v>Devansh</x:v>
      </x:c>
      <x:c r="T61" s="411" t="str"/>
      <x:c r="U61" s="411" t="str">
        <x:v>tc_0057</x:v>
      </x:c>
      <x:c r="V61" s="373"/>
      <x:c r="W61" s="373"/>
      <x:c r="X61" s="373"/>
      <x:c r="Y61" s="373"/>
      <x:c r="Z61" s="373"/>
    </x:row>
    <x:row r="62">
      <x:c r="A62" s="411" t="str">
        <x:v>TC-0058</x:v>
      </x:c>
      <x:c r="B62" s="411" t="str">
        <x:v>v0.1.5</x:v>
      </x:c>
      <x:c r="C62" s="411" t="str">
        <x:v>Fault</x:v>
      </x:c>
      <x:c r="D62" s="411" t="str">
        <x:v>F-SENS-001</x:v>
      </x:c>
      <x:c r="E62" s="411" t="str">
        <x:v>REQ-039</x:v>
      </x:c>
      <x:c r="F62" s="411" t="str">
        <x:v>Simulated IMU integration — failure/recovery path</x:v>
      </x:c>
      <x:c r="G62" s="411" t="str">
        <x:v>Verify safe behavior when the dependencies or inputs for simulated imu integration fail.</x:v>
      </x:c>
      <x:c r="H62" s="411" t="str">
        <x:v>Fault injection or controlled dependency stub is available.</x:v>
      </x:c>
      <x:c r="I62" s="411" t="str">
        <x:v>Activate simulated imu integration; inject a representative failure; observe state, logs, cleanup, and recovery.</x:v>
      </x:c>
      <x:c r="J62" s="411" t="str">
        <x:v>Failure is detected, unsafe behavior is prevented, cause is reported, and recovery follows policy.</x:v>
      </x:c>
      <x:c r="K62" s="488" t="str">
        <x:v>Planned</x:v>
      </x:c>
      <x:c r="L62" s="488" t="str">
        <x:v>Not Run</x:v>
      </x:c>
      <x:c r="M62" s="488" t="str">
        <x:v>Critical</x:v>
      </x:c>
      <x:c r="N62" s="411" t="str">
        <x:v>ROS 2 Jazzy + Gazebo Harmonic</x:v>
      </x:c>
      <x:c r="O62" s="460"/>
      <x:c r="P62" s="411" t="str"/>
      <x:c r="Q62" s="411" t="str"/>
      <x:c r="R62" s="411" t="str"/>
      <x:c r="S62" s="411" t="str">
        <x:v>Devansh</x:v>
      </x:c>
      <x:c r="T62" s="411" t="str"/>
      <x:c r="U62" s="411" t="str">
        <x:v>tc_0058</x:v>
      </x:c>
      <x:c r="V62" s="373"/>
      <x:c r="W62" s="373"/>
      <x:c r="X62" s="373"/>
      <x:c r="Y62" s="373"/>
      <x:c r="Z62" s="373"/>
    </x:row>
    <x:row r="63">
      <x:c r="A63" s="411" t="str">
        <x:v>TC-0059</x:v>
      </x:c>
      <x:c r="B63" s="411" t="str">
        <x:v>v0.1.5</x:v>
      </x:c>
      <x:c r="C63" s="411" t="str">
        <x:v>Unit</x:v>
      </x:c>
      <x:c r="D63" s="411" t="str">
        <x:v>F-SENS-002</x:v>
      </x:c>
      <x:c r="E63" s="411" t="str">
        <x:v>REQ-040</x:v>
      </x:c>
      <x:c r="F63" s="411" t="str">
        <x:v>IMU health monitor — nominal acceptance</x:v>
      </x:c>
      <x:c r="G63" s="411" t="str">
        <x:v>Verify that imu health monitor satisfies its declared acceptance criteria.</x:v>
      </x:c>
      <x:c r="H63" s="411" t="str">
        <x:v>Required dependencies and test fixtures are available.</x:v>
      </x:c>
      <x:c r="I63" s="411" t="str">
        <x:v>Configure the platform for v0.1.5; execute the nominal workflow for imu health monitor; collect logs and evidence.</x:v>
      </x:c>
      <x:c r="J63" s="411" t="str">
        <x:v>Declared acceptance criteria pass and no existing regression test fails.</x:v>
      </x:c>
      <x:c r="K63" s="488" t="str">
        <x:v>Planned</x:v>
      </x:c>
      <x:c r="L63" s="488" t="str">
        <x:v>Not Run</x:v>
      </x:c>
      <x:c r="M63" s="488" t="str">
        <x:v>High</x:v>
      </x:c>
      <x:c r="N63" s="411" t="str">
        <x:v>ROS 2 Jazzy + Gazebo Harmonic</x:v>
      </x:c>
      <x:c r="O63" s="460"/>
      <x:c r="P63" s="411" t="str"/>
      <x:c r="Q63" s="411" t="str"/>
      <x:c r="R63" s="411" t="str"/>
      <x:c r="S63" s="411" t="str">
        <x:v>Devansh</x:v>
      </x:c>
      <x:c r="T63" s="411" t="str"/>
      <x:c r="U63" s="411" t="str">
        <x:v>tc_0059</x:v>
      </x:c>
      <x:c r="V63" s="373"/>
      <x:c r="W63" s="373"/>
      <x:c r="X63" s="373"/>
      <x:c r="Y63" s="373"/>
      <x:c r="Z63" s="373"/>
    </x:row>
    <x:row r="64">
      <x:c r="A64" s="411" t="str">
        <x:v>TC-0060</x:v>
      </x:c>
      <x:c r="B64" s="411" t="str">
        <x:v>v0.1.5</x:v>
      </x:c>
      <x:c r="C64" s="411" t="str">
        <x:v>Integration</x:v>
      </x:c>
      <x:c r="D64" s="411" t="str">
        <x:v>F-SENS-003</x:v>
      </x:c>
      <x:c r="E64" s="411" t="str">
        <x:v>REQ-041</x:v>
      </x:c>
      <x:c r="F64" s="411" t="str">
        <x:v>LiDAR health monitor — nominal acceptance</x:v>
      </x:c>
      <x:c r="G64" s="411" t="str">
        <x:v>Verify that lidar health monitor satisfies its declared acceptance criteria.</x:v>
      </x:c>
      <x:c r="H64" s="411" t="str">
        <x:v>Required dependencies and test fixtures are available.</x:v>
      </x:c>
      <x:c r="I64" s="411" t="str">
        <x:v>Configure the platform for v0.1.5; execute the nominal workflow for lidar health monitor; collect logs and evidence.</x:v>
      </x:c>
      <x:c r="J64" s="411" t="str">
        <x:v>Declared acceptance criteria pass and no existing regression test fails.</x:v>
      </x:c>
      <x:c r="K64" s="488" t="str">
        <x:v>Planned</x:v>
      </x:c>
      <x:c r="L64" s="488" t="str">
        <x:v>Not Run</x:v>
      </x:c>
      <x:c r="M64" s="488" t="str">
        <x:v>Critical</x:v>
      </x:c>
      <x:c r="N64" s="411" t="str">
        <x:v>ROS 2 Jazzy + Gazebo Harmonic</x:v>
      </x:c>
      <x:c r="O64" s="460"/>
      <x:c r="P64" s="411" t="str"/>
      <x:c r="Q64" s="411" t="str"/>
      <x:c r="R64" s="411" t="str"/>
      <x:c r="S64" s="411" t="str">
        <x:v>Devansh</x:v>
      </x:c>
      <x:c r="T64" s="411" t="str"/>
      <x:c r="U64" s="411" t="str">
        <x:v>tc_0060</x:v>
      </x:c>
      <x:c r="V64" s="373"/>
      <x:c r="W64" s="373"/>
      <x:c r="X64" s="373"/>
      <x:c r="Y64" s="373"/>
      <x:c r="Z64" s="373"/>
    </x:row>
    <x:row r="65">
      <x:c r="A65" s="411" t="str">
        <x:v>TC-0061</x:v>
      </x:c>
      <x:c r="B65" s="411" t="str">
        <x:v>v0.1.5</x:v>
      </x:c>
      <x:c r="C65" s="411" t="str">
        <x:v>Fault</x:v>
      </x:c>
      <x:c r="D65" s="411" t="str">
        <x:v>F-SENS-003</x:v>
      </x:c>
      <x:c r="E65" s="411" t="str">
        <x:v>REQ-041</x:v>
      </x:c>
      <x:c r="F65" s="411" t="str">
        <x:v>LiDAR health monitor — failure/recovery path</x:v>
      </x:c>
      <x:c r="G65" s="411" t="str">
        <x:v>Verify safe behavior when the dependencies or inputs for lidar health monitor fail.</x:v>
      </x:c>
      <x:c r="H65" s="411" t="str">
        <x:v>Fault injection or controlled dependency stub is available.</x:v>
      </x:c>
      <x:c r="I65" s="411" t="str">
        <x:v>Activate lidar health monitor; inject a representative failure; observe state, logs, cleanup, and recovery.</x:v>
      </x:c>
      <x:c r="J65" s="411" t="str">
        <x:v>Failure is detected, unsafe behavior is prevented, cause is reported, and recovery follows policy.</x:v>
      </x:c>
      <x:c r="K65" s="488" t="str">
        <x:v>Planned</x:v>
      </x:c>
      <x:c r="L65" s="488" t="str">
        <x:v>Not Run</x:v>
      </x:c>
      <x:c r="M65" s="488" t="str">
        <x:v>Critical</x:v>
      </x:c>
      <x:c r="N65" s="411" t="str">
        <x:v>ROS 2 Jazzy + Gazebo Harmonic</x:v>
      </x:c>
      <x:c r="O65" s="460"/>
      <x:c r="P65" s="411" t="str"/>
      <x:c r="Q65" s="411" t="str"/>
      <x:c r="R65" s="411" t="str"/>
      <x:c r="S65" s="411" t="str">
        <x:v>Devansh</x:v>
      </x:c>
      <x:c r="T65" s="411" t="str"/>
      <x:c r="U65" s="411" t="str">
        <x:v>tc_0061</x:v>
      </x:c>
      <x:c r="V65" s="373"/>
      <x:c r="W65" s="373"/>
      <x:c r="X65" s="373"/>
      <x:c r="Y65" s="373"/>
      <x:c r="Z65" s="373"/>
    </x:row>
    <x:row r="66">
      <x:c r="A66" s="411" t="str">
        <x:v>TC-0062</x:v>
      </x:c>
      <x:c r="B66" s="411" t="str">
        <x:v>v0.1.5</x:v>
      </x:c>
      <x:c r="C66" s="411" t="str">
        <x:v>Unit</x:v>
      </x:c>
      <x:c r="D66" s="411" t="str">
        <x:v>F-SENS-004</x:v>
      </x:c>
      <x:c r="E66" s="411" t="str">
        <x:v>REQ-042</x:v>
      </x:c>
      <x:c r="F66" s="411" t="str">
        <x:v>Odometry health monitor — nominal acceptance</x:v>
      </x:c>
      <x:c r="G66" s="411" t="str">
        <x:v>Verify that odometry health monitor satisfies its declared acceptance criteria.</x:v>
      </x:c>
      <x:c r="H66" s="411" t="str">
        <x:v>Required dependencies and test fixtures are available.</x:v>
      </x:c>
      <x:c r="I66" s="411" t="str">
        <x:v>Configure the platform for v0.1.5; execute the nominal workflow for odometry health monitor; collect logs and evidence.</x:v>
      </x:c>
      <x:c r="J66" s="411" t="str">
        <x:v>Declared acceptance criteria pass and no existing regression test fails.</x:v>
      </x:c>
      <x:c r="K66" s="488" t="str">
        <x:v>Planned</x:v>
      </x:c>
      <x:c r="L66" s="488" t="str">
        <x:v>Not Run</x:v>
      </x:c>
      <x:c r="M66" s="488" t="str">
        <x:v>High</x:v>
      </x:c>
      <x:c r="N66" s="411" t="str">
        <x:v>ROS 2 Jazzy + Gazebo Harmonic</x:v>
      </x:c>
      <x:c r="O66" s="460"/>
      <x:c r="P66" s="411" t="str"/>
      <x:c r="Q66" s="411" t="str"/>
      <x:c r="R66" s="411" t="str"/>
      <x:c r="S66" s="411" t="str">
        <x:v>Devansh</x:v>
      </x:c>
      <x:c r="T66" s="411" t="str"/>
      <x:c r="U66" s="411" t="str">
        <x:v>tc_0062</x:v>
      </x:c>
      <x:c r="V66" s="373"/>
      <x:c r="W66" s="373"/>
      <x:c r="X66" s="373"/>
      <x:c r="Y66" s="373"/>
      <x:c r="Z66" s="373"/>
    </x:row>
    <x:row r="67">
      <x:c r="A67" s="411" t="str">
        <x:v>TC-0063</x:v>
      </x:c>
      <x:c r="B67" s="411" t="str">
        <x:v>v0.1.5</x:v>
      </x:c>
      <x:c r="C67" s="411" t="str">
        <x:v>Integration</x:v>
      </x:c>
      <x:c r="D67" s="411" t="str">
        <x:v>F-TF-001</x:v>
      </x:c>
      <x:c r="E67" s="411" t="str">
        <x:v>REQ-043</x:v>
      </x:c>
      <x:c r="F67" s="411" t="str">
        <x:v>TF ownership registry — nominal acceptance</x:v>
      </x:c>
      <x:c r="G67" s="411" t="str">
        <x:v>Verify that tf ownership registry satisfies its declared acceptance criteria.</x:v>
      </x:c>
      <x:c r="H67" s="411" t="str">
        <x:v>Required dependencies and test fixtures are available.</x:v>
      </x:c>
      <x:c r="I67" s="411" t="str">
        <x:v>Configure the platform for v0.1.5; execute the nominal workflow for tf ownership registry; collect logs and evidence.</x:v>
      </x:c>
      <x:c r="J67" s="411" t="str">
        <x:v>Declared acceptance criteria pass and no existing regression test fails.</x:v>
      </x:c>
      <x:c r="K67" s="488" t="str">
        <x:v>Planned</x:v>
      </x:c>
      <x:c r="L67" s="488" t="str">
        <x:v>Not Run</x:v>
      </x:c>
      <x:c r="M67" s="488" t="str">
        <x:v>Critical</x:v>
      </x:c>
      <x:c r="N67" s="411" t="str">
        <x:v>ROS 2 Jazzy + Gazebo Harmonic</x:v>
      </x:c>
      <x:c r="O67" s="460"/>
      <x:c r="P67" s="411" t="str"/>
      <x:c r="Q67" s="411" t="str"/>
      <x:c r="R67" s="411" t="str"/>
      <x:c r="S67" s="411" t="str">
        <x:v>Devansh</x:v>
      </x:c>
      <x:c r="T67" s="411" t="str"/>
      <x:c r="U67" s="411" t="str">
        <x:v>tc_0063</x:v>
      </x:c>
      <x:c r="V67" s="373"/>
      <x:c r="W67" s="373"/>
      <x:c r="X67" s="373"/>
      <x:c r="Y67" s="373"/>
      <x:c r="Z67" s="373"/>
    </x:row>
    <x:row r="68">
      <x:c r="A68" s="411" t="str">
        <x:v>TC-0064</x:v>
      </x:c>
      <x:c r="B68" s="411" t="str">
        <x:v>v0.1.5</x:v>
      </x:c>
      <x:c r="C68" s="411" t="str">
        <x:v>Fault</x:v>
      </x:c>
      <x:c r="D68" s="411" t="str">
        <x:v>F-TF-001</x:v>
      </x:c>
      <x:c r="E68" s="411" t="str">
        <x:v>REQ-043</x:v>
      </x:c>
      <x:c r="F68" s="411" t="str">
        <x:v>TF ownership registry — failure/recovery path</x:v>
      </x:c>
      <x:c r="G68" s="411" t="str">
        <x:v>Verify safe behavior when the dependencies or inputs for tf ownership registry fail.</x:v>
      </x:c>
      <x:c r="H68" s="411" t="str">
        <x:v>Fault injection or controlled dependency stub is available.</x:v>
      </x:c>
      <x:c r="I68" s="411" t="str">
        <x:v>Activate tf ownership registry; inject a representative failure; observe state, logs, cleanup, and recovery.</x:v>
      </x:c>
      <x:c r="J68" s="411" t="str">
        <x:v>Failure is detected, unsafe behavior is prevented, cause is reported, and recovery follows policy.</x:v>
      </x:c>
      <x:c r="K68" s="488" t="str">
        <x:v>Planned</x:v>
      </x:c>
      <x:c r="L68" s="488" t="str">
        <x:v>Not Run</x:v>
      </x:c>
      <x:c r="M68" s="488" t="str">
        <x:v>Critical</x:v>
      </x:c>
      <x:c r="N68" s="411" t="str">
        <x:v>ROS 2 Jazzy + Gazebo Harmonic</x:v>
      </x:c>
      <x:c r="O68" s="460"/>
      <x:c r="P68" s="411" t="str"/>
      <x:c r="Q68" s="411" t="str"/>
      <x:c r="R68" s="411" t="str"/>
      <x:c r="S68" s="411" t="str">
        <x:v>Devansh</x:v>
      </x:c>
      <x:c r="T68" s="411" t="str"/>
      <x:c r="U68" s="411" t="str">
        <x:v>tc_0064</x:v>
      </x:c>
      <x:c r="V68" s="373"/>
      <x:c r="W68" s="373"/>
      <x:c r="X68" s="373"/>
      <x:c r="Y68" s="373"/>
      <x:c r="Z68" s="373"/>
    </x:row>
    <x:row r="69">
      <x:c r="A69" s="411" t="str">
        <x:v>TC-0065</x:v>
      </x:c>
      <x:c r="B69" s="411" t="str">
        <x:v>v0.1.5</x:v>
      </x:c>
      <x:c r="C69" s="411" t="str">
        <x:v>Integration</x:v>
      </x:c>
      <x:c r="D69" s="411" t="str">
        <x:v>F-TF-002</x:v>
      </x:c>
      <x:c r="E69" s="411" t="str">
        <x:v>REQ-044</x:v>
      </x:c>
      <x:c r="F69" s="411" t="str">
        <x:v>Duplicate TF authority detection — nominal acceptance</x:v>
      </x:c>
      <x:c r="G69" s="411" t="str">
        <x:v>Verify that duplicate tf authority detection satisfies its declared acceptance criteria.</x:v>
      </x:c>
      <x:c r="H69" s="411" t="str">
        <x:v>Required dependencies and test fixtures are available.</x:v>
      </x:c>
      <x:c r="I69" s="411" t="str">
        <x:v>Configure the platform for v0.1.5; execute the nominal workflow for duplicate tf authority detection; collect logs and evidence.</x:v>
      </x:c>
      <x:c r="J69" s="411" t="str">
        <x:v>Declared acceptance criteria pass and no existing regression test fails.</x:v>
      </x:c>
      <x:c r="K69" s="488" t="str">
        <x:v>Planned</x:v>
      </x:c>
      <x:c r="L69" s="488" t="str">
        <x:v>Not Run</x:v>
      </x:c>
      <x:c r="M69" s="488" t="str">
        <x:v>Critical</x:v>
      </x:c>
      <x:c r="N69" s="411" t="str">
        <x:v>ROS 2 Jazzy + Gazebo Harmonic</x:v>
      </x:c>
      <x:c r="O69" s="460"/>
      <x:c r="P69" s="411" t="str"/>
      <x:c r="Q69" s="411" t="str"/>
      <x:c r="R69" s="411" t="str"/>
      <x:c r="S69" s="411" t="str">
        <x:v>Devansh</x:v>
      </x:c>
      <x:c r="T69" s="411" t="str"/>
      <x:c r="U69" s="411" t="str">
        <x:v>tc_0065</x:v>
      </x:c>
      <x:c r="V69" s="373"/>
      <x:c r="W69" s="373"/>
      <x:c r="X69" s="373"/>
      <x:c r="Y69" s="373"/>
      <x:c r="Z69" s="373"/>
    </x:row>
    <x:row r="70">
      <x:c r="A70" s="411" t="str">
        <x:v>TC-0066</x:v>
      </x:c>
      <x:c r="B70" s="411" t="str">
        <x:v>v0.1.5</x:v>
      </x:c>
      <x:c r="C70" s="411" t="str">
        <x:v>Fault</x:v>
      </x:c>
      <x:c r="D70" s="411" t="str">
        <x:v>F-TF-002</x:v>
      </x:c>
      <x:c r="E70" s="411" t="str">
        <x:v>REQ-044</x:v>
      </x:c>
      <x:c r="F70" s="411" t="str">
        <x:v>Duplicate TF authority detection — failure/recovery path</x:v>
      </x:c>
      <x:c r="G70" s="411" t="str">
        <x:v>Verify safe behavior when the dependencies or inputs for duplicate tf authority detection fail.</x:v>
      </x:c>
      <x:c r="H70" s="411" t="str">
        <x:v>Fault injection or controlled dependency stub is available.</x:v>
      </x:c>
      <x:c r="I70" s="411" t="str">
        <x:v>Activate duplicate tf authority detection; inject a representative failure; observe state, logs, cleanup, and recovery.</x:v>
      </x:c>
      <x:c r="J70" s="411" t="str">
        <x:v>Failure is detected, unsafe behavior is prevented, cause is reported, and recovery follows policy.</x:v>
      </x:c>
      <x:c r="K70" s="488" t="str">
        <x:v>Planned</x:v>
      </x:c>
      <x:c r="L70" s="488" t="str">
        <x:v>Not Run</x:v>
      </x:c>
      <x:c r="M70" s="488" t="str">
        <x:v>Critical</x:v>
      </x:c>
      <x:c r="N70" s="411" t="str">
        <x:v>ROS 2 Jazzy + Gazebo Harmonic</x:v>
      </x:c>
      <x:c r="O70" s="460"/>
      <x:c r="P70" s="411" t="str"/>
      <x:c r="Q70" s="411" t="str"/>
      <x:c r="R70" s="411" t="str"/>
      <x:c r="S70" s="411" t="str">
        <x:v>Devansh</x:v>
      </x:c>
      <x:c r="T70" s="411" t="str"/>
      <x:c r="U70" s="411" t="str">
        <x:v>tc_0066</x:v>
      </x:c>
      <x:c r="V70" s="373"/>
      <x:c r="W70" s="373"/>
      <x:c r="X70" s="373"/>
      <x:c r="Y70" s="373"/>
      <x:c r="Z70" s="373"/>
    </x:row>
    <x:row r="71">
      <x:c r="A71" s="411" t="str">
        <x:v>TC-0067</x:v>
      </x:c>
      <x:c r="B71" s="411" t="str">
        <x:v>v0.1.5</x:v>
      </x:c>
      <x:c r="C71" s="411" t="str">
        <x:v>Unit</x:v>
      </x:c>
      <x:c r="D71" s="411" t="str">
        <x:v>F-TF-003</x:v>
      </x:c>
      <x:c r="E71" s="411" t="str">
        <x:v>REQ-045</x:v>
      </x:c>
      <x:c r="F71" s="411" t="str">
        <x:v>TF continuity checks — nominal acceptance</x:v>
      </x:c>
      <x:c r="G71" s="411" t="str">
        <x:v>Verify that tf continuity checks satisfies its declared acceptance criteria.</x:v>
      </x:c>
      <x:c r="H71" s="411" t="str">
        <x:v>Required dependencies and test fixtures are available.</x:v>
      </x:c>
      <x:c r="I71" s="411" t="str">
        <x:v>Configure the platform for v0.1.5; execute the nominal workflow for tf continuity checks; collect logs and evidence.</x:v>
      </x:c>
      <x:c r="J71" s="411" t="str">
        <x:v>Declared acceptance criteria pass and no existing regression test fails.</x:v>
      </x:c>
      <x:c r="K71" s="488" t="str">
        <x:v>Planned</x:v>
      </x:c>
      <x:c r="L71" s="488" t="str">
        <x:v>Not Run</x:v>
      </x:c>
      <x:c r="M71" s="488" t="str">
        <x:v>High</x:v>
      </x:c>
      <x:c r="N71" s="411" t="str">
        <x:v>ROS 2 Jazzy + Gazebo Harmonic</x:v>
      </x:c>
      <x:c r="O71" s="460"/>
      <x:c r="P71" s="411" t="str"/>
      <x:c r="Q71" s="411" t="str"/>
      <x:c r="R71" s="411" t="str"/>
      <x:c r="S71" s="411" t="str">
        <x:v>Devansh</x:v>
      </x:c>
      <x:c r="T71" s="411" t="str"/>
      <x:c r="U71" s="411" t="str">
        <x:v>tc_0067</x:v>
      </x:c>
      <x:c r="V71" s="373"/>
      <x:c r="W71" s="373"/>
      <x:c r="X71" s="373"/>
      <x:c r="Y71" s="373"/>
      <x:c r="Z71" s="373"/>
    </x:row>
    <x:row r="72">
      <x:c r="A72" s="411" t="str">
        <x:v>TC-0068</x:v>
      </x:c>
      <x:c r="B72" s="411" t="str">
        <x:v>v0.1.5</x:v>
      </x:c>
      <x:c r="C72" s="411" t="str">
        <x:v>Configuration</x:v>
      </x:c>
      <x:c r="D72" s="411" t="str">
        <x:v>F-SENS-005</x:v>
      </x:c>
      <x:c r="E72" s="411" t="str">
        <x:v>REQ-046</x:v>
      </x:c>
      <x:c r="F72" s="411" t="str">
        <x:v>Sensor validation plots — nominal acceptance</x:v>
      </x:c>
      <x:c r="G72" s="411" t="str">
        <x:v>Verify that sensor validation plots satisfies its declared acceptance criteria.</x:v>
      </x:c>
      <x:c r="H72" s="411" t="str">
        <x:v>Required dependencies and test fixtures are available.</x:v>
      </x:c>
      <x:c r="I72" s="411" t="str">
        <x:v>Configure the platform for v0.1.5; execute the nominal workflow for sensor validation plots; collect logs and evidence.</x:v>
      </x:c>
      <x:c r="J72" s="411" t="str">
        <x:v>Declared acceptance criteria pass and no existing regression test fails.</x:v>
      </x:c>
      <x:c r="K72" s="488" t="str">
        <x:v>Planned</x:v>
      </x:c>
      <x:c r="L72" s="488" t="str">
        <x:v>Not Run</x:v>
      </x:c>
      <x:c r="M72" s="488" t="str">
        <x:v>Medium</x:v>
      </x:c>
      <x:c r="N72" s="411" t="str">
        <x:v>ROS 2 Jazzy + Gazebo Harmonic</x:v>
      </x:c>
      <x:c r="O72" s="460"/>
      <x:c r="P72" s="411" t="str"/>
      <x:c r="Q72" s="411" t="str"/>
      <x:c r="R72" s="411" t="str"/>
      <x:c r="S72" s="411" t="str">
        <x:v>Devansh</x:v>
      </x:c>
      <x:c r="T72" s="411" t="str"/>
      <x:c r="U72" s="411" t="str">
        <x:v>tc_0068</x:v>
      </x:c>
      <x:c r="V72" s="373"/>
      <x:c r="W72" s="373"/>
      <x:c r="X72" s="373"/>
      <x:c r="Y72" s="373"/>
      <x:c r="Z72" s="373"/>
    </x:row>
    <x:row r="73">
      <x:c r="A73" s="411" t="str">
        <x:v>TC-0069</x:v>
      </x:c>
      <x:c r="B73" s="411" t="str">
        <x:v>v0.1.6</x:v>
      </x:c>
      <x:c r="C73" s="411" t="str">
        <x:v>Integration</x:v>
      </x:c>
      <x:c r="D73" s="411" t="str">
        <x:v>F-EKF-001</x:v>
      </x:c>
      <x:c r="E73" s="411" t="str">
        <x:v>REQ-047</x:v>
      </x:c>
      <x:c r="F73" s="411" t="str">
        <x:v>robot_localization EKF configuration — nominal acceptance</x:v>
      </x:c>
      <x:c r="G73" s="411" t="str">
        <x:v>Verify that robot_localization ekf configuration satisfies its declared acceptance criteria.</x:v>
      </x:c>
      <x:c r="H73" s="411" t="str">
        <x:v>Required dependencies and test fixtures are available.</x:v>
      </x:c>
      <x:c r="I73" s="411" t="str">
        <x:v>Configure the platform for v0.1.6; execute the nominal workflow for robot_localization ekf configuration; collect logs and evidence.</x:v>
      </x:c>
      <x:c r="J73" s="411" t="str">
        <x:v>Declared acceptance criteria pass and no existing regression test fails.</x:v>
      </x:c>
      <x:c r="K73" s="488" t="str">
        <x:v>Planned</x:v>
      </x:c>
      <x:c r="L73" s="488" t="str">
        <x:v>Not Run</x:v>
      </x:c>
      <x:c r="M73" s="488" t="str">
        <x:v>Critical</x:v>
      </x:c>
      <x:c r="N73" s="411" t="str">
        <x:v>ROS 2 Jazzy + Gazebo Harmonic</x:v>
      </x:c>
      <x:c r="O73" s="460"/>
      <x:c r="P73" s="411" t="str"/>
      <x:c r="Q73" s="411" t="str"/>
      <x:c r="R73" s="411" t="str"/>
      <x:c r="S73" s="411" t="str">
        <x:v>Devansh</x:v>
      </x:c>
      <x:c r="T73" s="411" t="str"/>
      <x:c r="U73" s="411" t="str">
        <x:v>tc_0069</x:v>
      </x:c>
      <x:c r="V73" s="373"/>
      <x:c r="W73" s="373"/>
      <x:c r="X73" s="373"/>
      <x:c r="Y73" s="373"/>
      <x:c r="Z73" s="373"/>
    </x:row>
    <x:row r="74">
      <x:c r="A74" s="411" t="str">
        <x:v>TC-0070</x:v>
      </x:c>
      <x:c r="B74" s="411" t="str">
        <x:v>v0.1.6</x:v>
      </x:c>
      <x:c r="C74" s="411" t="str">
        <x:v>Fault</x:v>
      </x:c>
      <x:c r="D74" s="411" t="str">
        <x:v>F-EKF-001</x:v>
      </x:c>
      <x:c r="E74" s="411" t="str">
        <x:v>REQ-047</x:v>
      </x:c>
      <x:c r="F74" s="411" t="str">
        <x:v>robot_localization EKF configuration — failure/recovery path</x:v>
      </x:c>
      <x:c r="G74" s="411" t="str">
        <x:v>Verify safe behavior when the dependencies or inputs for robot_localization ekf configuration fail.</x:v>
      </x:c>
      <x:c r="H74" s="411" t="str">
        <x:v>Fault injection or controlled dependency stub is available.</x:v>
      </x:c>
      <x:c r="I74" s="411" t="str">
        <x:v>Activate robot_localization ekf configuration; inject a representative failure; observe state, logs, cleanup, and recovery.</x:v>
      </x:c>
      <x:c r="J74" s="411" t="str">
        <x:v>Failure is detected, unsafe behavior is prevented, cause is reported, and recovery follows policy.</x:v>
      </x:c>
      <x:c r="K74" s="488" t="str">
        <x:v>Planned</x:v>
      </x:c>
      <x:c r="L74" s="488" t="str">
        <x:v>Not Run</x:v>
      </x:c>
      <x:c r="M74" s="488" t="str">
        <x:v>Critical</x:v>
      </x:c>
      <x:c r="N74" s="411" t="str">
        <x:v>ROS 2 Jazzy + Gazebo Harmonic</x:v>
      </x:c>
      <x:c r="O74" s="460"/>
      <x:c r="P74" s="411" t="str"/>
      <x:c r="Q74" s="411" t="str"/>
      <x:c r="R74" s="411" t="str"/>
      <x:c r="S74" s="411" t="str">
        <x:v>Devansh</x:v>
      </x:c>
      <x:c r="T74" s="411" t="str"/>
      <x:c r="U74" s="411" t="str">
        <x:v>tc_0070</x:v>
      </x:c>
      <x:c r="V74" s="373"/>
      <x:c r="W74" s="373"/>
      <x:c r="X74" s="373"/>
      <x:c r="Y74" s="373"/>
      <x:c r="Z74" s="373"/>
    </x:row>
    <x:row r="75">
      <x:c r="A75" s="411" t="str">
        <x:v>TC-0071</x:v>
      </x:c>
      <x:c r="B75" s="411" t="str">
        <x:v>v0.1.6</x:v>
      </x:c>
      <x:c r="C75" s="411" t="str">
        <x:v>Integration</x:v>
      </x:c>
      <x:c r="D75" s="411" t="str">
        <x:v>F-EKF-002</x:v>
      </x:c>
      <x:c r="E75" s="411" t="str">
        <x:v>REQ-048</x:v>
      </x:c>
      <x:c r="F75" s="411" t="str">
        <x:v>Measurement-state selection — nominal acceptance</x:v>
      </x:c>
      <x:c r="G75" s="411" t="str">
        <x:v>Verify that measurement-state selection satisfies its declared acceptance criteria.</x:v>
      </x:c>
      <x:c r="H75" s="411" t="str">
        <x:v>Required dependencies and test fixtures are available.</x:v>
      </x:c>
      <x:c r="I75" s="411" t="str">
        <x:v>Configure the platform for v0.1.6; execute the nominal workflow for measurement-state selection; collect logs and evidence.</x:v>
      </x:c>
      <x:c r="J75" s="411" t="str">
        <x:v>Declared acceptance criteria pass and no existing regression test fails.</x:v>
      </x:c>
      <x:c r="K75" s="488" t="str">
        <x:v>Planned</x:v>
      </x:c>
      <x:c r="L75" s="488" t="str">
        <x:v>Not Run</x:v>
      </x:c>
      <x:c r="M75" s="488" t="str">
        <x:v>Critical</x:v>
      </x:c>
      <x:c r="N75" s="411" t="str">
        <x:v>ROS 2 Jazzy + Gazebo Harmonic</x:v>
      </x:c>
      <x:c r="O75" s="460"/>
      <x:c r="P75" s="411" t="str"/>
      <x:c r="Q75" s="411" t="str"/>
      <x:c r="R75" s="411" t="str"/>
      <x:c r="S75" s="411" t="str">
        <x:v>Devansh</x:v>
      </x:c>
      <x:c r="T75" s="411" t="str"/>
      <x:c r="U75" s="411" t="str">
        <x:v>tc_0071</x:v>
      </x:c>
      <x:c r="V75" s="373"/>
      <x:c r="W75" s="373"/>
      <x:c r="X75" s="373"/>
      <x:c r="Y75" s="373"/>
      <x:c r="Z75" s="373"/>
    </x:row>
    <x:row r="76">
      <x:c r="A76" s="411" t="str">
        <x:v>TC-0072</x:v>
      </x:c>
      <x:c r="B76" s="411" t="str">
        <x:v>v0.1.6</x:v>
      </x:c>
      <x:c r="C76" s="411" t="str">
        <x:v>Fault</x:v>
      </x:c>
      <x:c r="D76" s="411" t="str">
        <x:v>F-EKF-002</x:v>
      </x:c>
      <x:c r="E76" s="411" t="str">
        <x:v>REQ-048</x:v>
      </x:c>
      <x:c r="F76" s="411" t="str">
        <x:v>Measurement-state selection — failure/recovery path</x:v>
      </x:c>
      <x:c r="G76" s="411" t="str">
        <x:v>Verify safe behavior when the dependencies or inputs for measurement-state selection fail.</x:v>
      </x:c>
      <x:c r="H76" s="411" t="str">
        <x:v>Fault injection or controlled dependency stub is available.</x:v>
      </x:c>
      <x:c r="I76" s="411" t="str">
        <x:v>Activate measurement-state selection; inject a representative failure; observe state, logs, cleanup, and recovery.</x:v>
      </x:c>
      <x:c r="J76" s="411" t="str">
        <x:v>Failure is detected, unsafe behavior is prevented, cause is reported, and recovery follows policy.</x:v>
      </x:c>
      <x:c r="K76" s="488" t="str">
        <x:v>Planned</x:v>
      </x:c>
      <x:c r="L76" s="488" t="str">
        <x:v>Not Run</x:v>
      </x:c>
      <x:c r="M76" s="488" t="str">
        <x:v>Critical</x:v>
      </x:c>
      <x:c r="N76" s="411" t="str">
        <x:v>ROS 2 Jazzy + Gazebo Harmonic</x:v>
      </x:c>
      <x:c r="O76" s="460"/>
      <x:c r="P76" s="411" t="str"/>
      <x:c r="Q76" s="411" t="str"/>
      <x:c r="R76" s="411" t="str"/>
      <x:c r="S76" s="411" t="str">
        <x:v>Devansh</x:v>
      </x:c>
      <x:c r="T76" s="411" t="str"/>
      <x:c r="U76" s="411" t="str">
        <x:v>tc_0072</x:v>
      </x:c>
      <x:c r="V76" s="373"/>
      <x:c r="W76" s="373"/>
      <x:c r="X76" s="373"/>
      <x:c r="Y76" s="373"/>
      <x:c r="Z76" s="373"/>
    </x:row>
    <x:row r="77">
      <x:c r="A77" s="411" t="str">
        <x:v>TC-0073</x:v>
      </x:c>
      <x:c r="B77" s="411" t="str">
        <x:v>v0.1.6</x:v>
      </x:c>
      <x:c r="C77" s="411" t="str">
        <x:v>Unit</x:v>
      </x:c>
      <x:c r="D77" s="411" t="str">
        <x:v>F-EKF-003</x:v>
      </x:c>
      <x:c r="E77" s="411" t="str">
        <x:v>REQ-049</x:v>
      </x:c>
      <x:c r="F77" s="411" t="str">
        <x:v>Covariance and rejection policy — nominal acceptance</x:v>
      </x:c>
      <x:c r="G77" s="411" t="str">
        <x:v>Verify that covariance and rejection policy satisfies its declared acceptance criteria.</x:v>
      </x:c>
      <x:c r="H77" s="411" t="str">
        <x:v>Required dependencies and test fixtures are available.</x:v>
      </x:c>
      <x:c r="I77" s="411" t="str">
        <x:v>Configure the platform for v0.1.6; execute the nominal workflow for covariance and rejection policy; collect logs and evidence.</x:v>
      </x:c>
      <x:c r="J77" s="411" t="str">
        <x:v>Declared acceptance criteria pass and no existing regression test fails.</x:v>
      </x:c>
      <x:c r="K77" s="488" t="str">
        <x:v>Planned</x:v>
      </x:c>
      <x:c r="L77" s="488" t="str">
        <x:v>Not Run</x:v>
      </x:c>
      <x:c r="M77" s="488" t="str">
        <x:v>High</x:v>
      </x:c>
      <x:c r="N77" s="411" t="str">
        <x:v>ROS 2 Jazzy + Gazebo Harmonic</x:v>
      </x:c>
      <x:c r="O77" s="460"/>
      <x:c r="P77" s="411" t="str"/>
      <x:c r="Q77" s="411" t="str"/>
      <x:c r="R77" s="411" t="str"/>
      <x:c r="S77" s="411" t="str">
        <x:v>Devansh</x:v>
      </x:c>
      <x:c r="T77" s="411" t="str"/>
      <x:c r="U77" s="411" t="str">
        <x:v>tc_0073</x:v>
      </x:c>
      <x:c r="V77" s="373"/>
      <x:c r="W77" s="373"/>
      <x:c r="X77" s="373"/>
      <x:c r="Y77" s="373"/>
      <x:c r="Z77" s="373"/>
    </x:row>
    <x:row r="78">
      <x:c r="A78" s="411" t="str">
        <x:v>TC-0074</x:v>
      </x:c>
      <x:c r="B78" s="411" t="str">
        <x:v>v0.1.6</x:v>
      </x:c>
      <x:c r="C78" s="411" t="str">
        <x:v>Integration</x:v>
      </x:c>
      <x:c r="D78" s="411" t="str">
        <x:v>F-EKF-004</x:v>
      </x:c>
      <x:c r="E78" s="411" t="str">
        <x:v>REQ-050</x:v>
      </x:c>
      <x:c r="F78" s="411" t="str">
        <x:v>EKF TF ownership switch — nominal acceptance</x:v>
      </x:c>
      <x:c r="G78" s="411" t="str">
        <x:v>Verify that ekf tf ownership switch satisfies its declared acceptance criteria.</x:v>
      </x:c>
      <x:c r="H78" s="411" t="str">
        <x:v>Required dependencies and test fixtures are available.</x:v>
      </x:c>
      <x:c r="I78" s="411" t="str">
        <x:v>Configure the platform for v0.1.6; execute the nominal workflow for ekf tf ownership switch; collect logs and evidence.</x:v>
      </x:c>
      <x:c r="J78" s="411" t="str">
        <x:v>Declared acceptance criteria pass and no existing regression test fails.</x:v>
      </x:c>
      <x:c r="K78" s="488" t="str">
        <x:v>Planned</x:v>
      </x:c>
      <x:c r="L78" s="488" t="str">
        <x:v>Not Run</x:v>
      </x:c>
      <x:c r="M78" s="488" t="str">
        <x:v>Critical</x:v>
      </x:c>
      <x:c r="N78" s="411" t="str">
        <x:v>ROS 2 Jazzy + Gazebo Harmonic</x:v>
      </x:c>
      <x:c r="O78" s="460"/>
      <x:c r="P78" s="411" t="str"/>
      <x:c r="Q78" s="411" t="str"/>
      <x:c r="R78" s="411" t="str"/>
      <x:c r="S78" s="411" t="str">
        <x:v>Devansh</x:v>
      </x:c>
      <x:c r="T78" s="411" t="str"/>
      <x:c r="U78" s="411" t="str">
        <x:v>tc_0074</x:v>
      </x:c>
      <x:c r="V78" s="373"/>
      <x:c r="W78" s="373"/>
      <x:c r="X78" s="373"/>
      <x:c r="Y78" s="373"/>
      <x:c r="Z78" s="373"/>
    </x:row>
    <x:row r="79">
      <x:c r="A79" s="411" t="str">
        <x:v>TC-0075</x:v>
      </x:c>
      <x:c r="B79" s="411" t="str">
        <x:v>v0.1.6</x:v>
      </x:c>
      <x:c r="C79" s="411" t="str">
        <x:v>Fault</x:v>
      </x:c>
      <x:c r="D79" s="411" t="str">
        <x:v>F-EKF-004</x:v>
      </x:c>
      <x:c r="E79" s="411" t="str">
        <x:v>REQ-050</x:v>
      </x:c>
      <x:c r="F79" s="411" t="str">
        <x:v>EKF TF ownership switch — failure/recovery path</x:v>
      </x:c>
      <x:c r="G79" s="411" t="str">
        <x:v>Verify safe behavior when the dependencies or inputs for ekf tf ownership switch fail.</x:v>
      </x:c>
      <x:c r="H79" s="411" t="str">
        <x:v>Fault injection or controlled dependency stub is available.</x:v>
      </x:c>
      <x:c r="I79" s="411" t="str">
        <x:v>Activate ekf tf ownership switch; inject a representative failure; observe state, logs, cleanup, and recovery.</x:v>
      </x:c>
      <x:c r="J79" s="411" t="str">
        <x:v>Failure is detected, unsafe behavior is prevented, cause is reported, and recovery follows policy.</x:v>
      </x:c>
      <x:c r="K79" s="488" t="str">
        <x:v>Planned</x:v>
      </x:c>
      <x:c r="L79" s="488" t="str">
        <x:v>Not Run</x:v>
      </x:c>
      <x:c r="M79" s="488" t="str">
        <x:v>Critical</x:v>
      </x:c>
      <x:c r="N79" s="411" t="str">
        <x:v>ROS 2 Jazzy + Gazebo Harmonic</x:v>
      </x:c>
      <x:c r="O79" s="460"/>
      <x:c r="P79" s="411" t="str"/>
      <x:c r="Q79" s="411" t="str"/>
      <x:c r="R79" s="411" t="str"/>
      <x:c r="S79" s="411" t="str">
        <x:v>Devansh</x:v>
      </x:c>
      <x:c r="T79" s="411" t="str"/>
      <x:c r="U79" s="411" t="str">
        <x:v>tc_0075</x:v>
      </x:c>
      <x:c r="V79" s="373"/>
      <x:c r="W79" s="373"/>
      <x:c r="X79" s="373"/>
      <x:c r="Y79" s="373"/>
      <x:c r="Z79" s="373"/>
    </x:row>
    <x:row r="80">
      <x:c r="A80" s="411" t="str">
        <x:v>TC-0076</x:v>
      </x:c>
      <x:c r="B80" s="411" t="str">
        <x:v>v0.1.6</x:v>
      </x:c>
      <x:c r="C80" s="411" t="str">
        <x:v>Unit</x:v>
      </x:c>
      <x:c r="D80" s="411" t="str">
        <x:v>F-EKF-005</x:v>
      </x:c>
      <x:c r="E80" s="411" t="str">
        <x:v>REQ-051</x:v>
      </x:c>
      <x:c r="F80" s="411" t="str">
        <x:v>Raw/fused/ground-truth logging — nominal acceptance</x:v>
      </x:c>
      <x:c r="G80" s="411" t="str">
        <x:v>Verify that raw/fused/ground-truth logging satisfies its declared acceptance criteria.</x:v>
      </x:c>
      <x:c r="H80" s="411" t="str">
        <x:v>Required dependencies and test fixtures are available.</x:v>
      </x:c>
      <x:c r="I80" s="411" t="str">
        <x:v>Configure the platform for v0.1.6; execute the nominal workflow for raw/fused/ground-truth logging; collect logs and evidence.</x:v>
      </x:c>
      <x:c r="J80" s="411" t="str">
        <x:v>Declared acceptance criteria pass and no existing regression test fails.</x:v>
      </x:c>
      <x:c r="K80" s="488" t="str">
        <x:v>Planned</x:v>
      </x:c>
      <x:c r="L80" s="488" t="str">
        <x:v>Not Run</x:v>
      </x:c>
      <x:c r="M80" s="488" t="str">
        <x:v>High</x:v>
      </x:c>
      <x:c r="N80" s="411" t="str">
        <x:v>ROS 2 Jazzy + Gazebo Harmonic</x:v>
      </x:c>
      <x:c r="O80" s="460"/>
      <x:c r="P80" s="411" t="str"/>
      <x:c r="Q80" s="411" t="str"/>
      <x:c r="R80" s="411" t="str"/>
      <x:c r="S80" s="411" t="str">
        <x:v>Devansh</x:v>
      </x:c>
      <x:c r="T80" s="411" t="str"/>
      <x:c r="U80" s="411" t="str">
        <x:v>tc_0076</x:v>
      </x:c>
      <x:c r="V80" s="373"/>
      <x:c r="W80" s="373"/>
      <x:c r="X80" s="373"/>
      <x:c r="Y80" s="373"/>
      <x:c r="Z80" s="373"/>
    </x:row>
    <x:row r="81">
      <x:c r="A81" s="411" t="str">
        <x:v>TC-0077</x:v>
      </x:c>
      <x:c r="B81" s="411" t="str">
        <x:v>v0.1.6</x:v>
      </x:c>
      <x:c r="C81" s="411" t="str">
        <x:v>Integration</x:v>
      </x:c>
      <x:c r="D81" s="411" t="str">
        <x:v>F-EKF-006</x:v>
      </x:c>
      <x:c r="E81" s="411" t="str">
        <x:v>REQ-052</x:v>
      </x:c>
      <x:c r="F81" s="411" t="str">
        <x:v>EKF motion benchmark — nominal acceptance</x:v>
      </x:c>
      <x:c r="G81" s="411" t="str">
        <x:v>Verify that ekf motion benchmark satisfies its declared acceptance criteria.</x:v>
      </x:c>
      <x:c r="H81" s="411" t="str">
        <x:v>Required dependencies and test fixtures are available.</x:v>
      </x:c>
      <x:c r="I81" s="411" t="str">
        <x:v>Configure the platform for v0.1.6; execute the nominal workflow for ekf motion benchmark; collect logs and evidence.</x:v>
      </x:c>
      <x:c r="J81" s="411" t="str">
        <x:v>Declared acceptance criteria pass and no existing regression test fails.</x:v>
      </x:c>
      <x:c r="K81" s="488" t="str">
        <x:v>Planned</x:v>
      </x:c>
      <x:c r="L81" s="488" t="str">
        <x:v>Not Run</x:v>
      </x:c>
      <x:c r="M81" s="488" t="str">
        <x:v>Critical</x:v>
      </x:c>
      <x:c r="N81" s="411" t="str">
        <x:v>ROS 2 Jazzy + Gazebo Harmonic</x:v>
      </x:c>
      <x:c r="O81" s="460"/>
      <x:c r="P81" s="411" t="str"/>
      <x:c r="Q81" s="411" t="str"/>
      <x:c r="R81" s="411" t="str"/>
      <x:c r="S81" s="411" t="str">
        <x:v>Devansh</x:v>
      </x:c>
      <x:c r="T81" s="411" t="str"/>
      <x:c r="U81" s="411" t="str">
        <x:v>tc_0077</x:v>
      </x:c>
      <x:c r="V81" s="373"/>
      <x:c r="W81" s="373"/>
      <x:c r="X81" s="373"/>
      <x:c r="Y81" s="373"/>
      <x:c r="Z81" s="373"/>
    </x:row>
    <x:row r="82">
      <x:c r="A82" s="411" t="str">
        <x:v>TC-0078</x:v>
      </x:c>
      <x:c r="B82" s="411" t="str">
        <x:v>v0.1.6</x:v>
      </x:c>
      <x:c r="C82" s="411" t="str">
        <x:v>Fault</x:v>
      </x:c>
      <x:c r="D82" s="411" t="str">
        <x:v>F-EKF-006</x:v>
      </x:c>
      <x:c r="E82" s="411" t="str">
        <x:v>REQ-052</x:v>
      </x:c>
      <x:c r="F82" s="411" t="str">
        <x:v>EKF motion benchmark — failure/recovery path</x:v>
      </x:c>
      <x:c r="G82" s="411" t="str">
        <x:v>Verify safe behavior when the dependencies or inputs for ekf motion benchmark fail.</x:v>
      </x:c>
      <x:c r="H82" s="411" t="str">
        <x:v>Fault injection or controlled dependency stub is available.</x:v>
      </x:c>
      <x:c r="I82" s="411" t="str">
        <x:v>Activate ekf motion benchmark; inject a representative failure; observe state, logs, cleanup, and recovery.</x:v>
      </x:c>
      <x:c r="J82" s="411" t="str">
        <x:v>Failure is detected, unsafe behavior is prevented, cause is reported, and recovery follows policy.</x:v>
      </x:c>
      <x:c r="K82" s="488" t="str">
        <x:v>Planned</x:v>
      </x:c>
      <x:c r="L82" s="488" t="str">
        <x:v>Not Run</x:v>
      </x:c>
      <x:c r="M82" s="488" t="str">
        <x:v>Critical</x:v>
      </x:c>
      <x:c r="N82" s="411" t="str">
        <x:v>ROS 2 Jazzy + Gazebo Harmonic</x:v>
      </x:c>
      <x:c r="O82" s="460"/>
      <x:c r="P82" s="411" t="str"/>
      <x:c r="Q82" s="411" t="str"/>
      <x:c r="R82" s="411" t="str"/>
      <x:c r="S82" s="411" t="str">
        <x:v>Devansh</x:v>
      </x:c>
      <x:c r="T82" s="411" t="str"/>
      <x:c r="U82" s="411" t="str">
        <x:v>tc_0078</x:v>
      </x:c>
      <x:c r="V82" s="373"/>
      <x:c r="W82" s="373"/>
      <x:c r="X82" s="373"/>
      <x:c r="Y82" s="373"/>
      <x:c r="Z82" s="373"/>
    </x:row>
    <x:row r="83">
      <x:c r="A83" s="411" t="str">
        <x:v>TC-0079</x:v>
      </x:c>
      <x:c r="B83" s="411" t="str">
        <x:v>v0.1.6</x:v>
      </x:c>
      <x:c r="C83" s="411" t="str">
        <x:v>Unit</x:v>
      </x:c>
      <x:c r="D83" s="411" t="str">
        <x:v>F-EKF-007</x:v>
      </x:c>
      <x:c r="E83" s="411" t="str">
        <x:v>REQ-053</x:v>
      </x:c>
      <x:c r="F83" s="411" t="str">
        <x:v>EKF dropout and timestamp tests — nominal acceptance</x:v>
      </x:c>
      <x:c r="G83" s="411" t="str">
        <x:v>Verify that ekf dropout and timestamp tests satisfies its declared acceptance criteria.</x:v>
      </x:c>
      <x:c r="H83" s="411" t="str">
        <x:v>Required dependencies and test fixtures are available.</x:v>
      </x:c>
      <x:c r="I83" s="411" t="str">
        <x:v>Configure the platform for v0.1.6; execute the nominal workflow for ekf dropout and timestamp tests; collect logs and evidence.</x:v>
      </x:c>
      <x:c r="J83" s="411" t="str">
        <x:v>Declared acceptance criteria pass and no existing regression test fails.</x:v>
      </x:c>
      <x:c r="K83" s="488" t="str">
        <x:v>Planned</x:v>
      </x:c>
      <x:c r="L83" s="488" t="str">
        <x:v>Not Run</x:v>
      </x:c>
      <x:c r="M83" s="488" t="str">
        <x:v>High</x:v>
      </x:c>
      <x:c r="N83" s="411" t="str">
        <x:v>ROS 2 Jazzy + Gazebo Harmonic</x:v>
      </x:c>
      <x:c r="O83" s="460"/>
      <x:c r="P83" s="411" t="str"/>
      <x:c r="Q83" s="411" t="str"/>
      <x:c r="R83" s="411" t="str"/>
      <x:c r="S83" s="411" t="str">
        <x:v>Devansh</x:v>
      </x:c>
      <x:c r="T83" s="411" t="str"/>
      <x:c r="U83" s="411" t="str">
        <x:v>tc_0079</x:v>
      </x:c>
      <x:c r="V83" s="373"/>
      <x:c r="W83" s="373"/>
      <x:c r="X83" s="373"/>
      <x:c r="Y83" s="373"/>
      <x:c r="Z83" s="373"/>
    </x:row>
    <x:row r="84">
      <x:c r="A84" s="411" t="str">
        <x:v>TC-0080</x:v>
      </x:c>
      <x:c r="B84" s="411" t="str">
        <x:v>v0.1.6</x:v>
      </x:c>
      <x:c r="C84" s="411" t="str">
        <x:v>Unit</x:v>
      </x:c>
      <x:c r="D84" s="411" t="str">
        <x:v>F-EKF-008</x:v>
      </x:c>
      <x:c r="E84" s="411" t="str">
        <x:v>REQ-054</x:v>
      </x:c>
      <x:c r="F84" s="411" t="str">
        <x:v>Odometry comparison report — nominal acceptance</x:v>
      </x:c>
      <x:c r="G84" s="411" t="str">
        <x:v>Verify that odometry comparison report satisfies its declared acceptance criteria.</x:v>
      </x:c>
      <x:c r="H84" s="411" t="str">
        <x:v>Required dependencies and test fixtures are available.</x:v>
      </x:c>
      <x:c r="I84" s="411" t="str">
        <x:v>Configure the platform for v0.1.6; execute the nominal workflow for odometry comparison report; collect logs and evidence.</x:v>
      </x:c>
      <x:c r="J84" s="411" t="str">
        <x:v>Declared acceptance criteria pass and no existing regression test fails.</x:v>
      </x:c>
      <x:c r="K84" s="488" t="str">
        <x:v>Planned</x:v>
      </x:c>
      <x:c r="L84" s="488" t="str">
        <x:v>Not Run</x:v>
      </x:c>
      <x:c r="M84" s="488" t="str">
        <x:v>High</x:v>
      </x:c>
      <x:c r="N84" s="411" t="str">
        <x:v>ROS 2 Jazzy + Gazebo Harmonic</x:v>
      </x:c>
      <x:c r="O84" s="460"/>
      <x:c r="P84" s="411" t="str"/>
      <x:c r="Q84" s="411" t="str"/>
      <x:c r="R84" s="411" t="str"/>
      <x:c r="S84" s="411" t="str">
        <x:v>Devansh</x:v>
      </x:c>
      <x:c r="T84" s="411" t="str"/>
      <x:c r="U84" s="411" t="str">
        <x:v>tc_0080</x:v>
      </x:c>
      <x:c r="V84" s="373"/>
      <x:c r="W84" s="373"/>
      <x:c r="X84" s="373"/>
      <x:c r="Y84" s="373"/>
      <x:c r="Z84" s="373"/>
    </x:row>
    <x:row r="85">
      <x:c r="A85" s="411" t="str">
        <x:v>TC-0081</x:v>
      </x:c>
      <x:c r="B85" s="411" t="str">
        <x:v>v0.1.7</x:v>
      </x:c>
      <x:c r="C85" s="411" t="str">
        <x:v>Unit</x:v>
      </x:c>
      <x:c r="D85" s="411" t="str">
        <x:v>F-RVIZ-001</x:v>
      </x:c>
      <x:c r="E85" s="411" t="str">
        <x:v>REQ-055</x:v>
      </x:c>
      <x:c r="F85" s="411" t="str">
        <x:v>Mapping debug profile — nominal acceptance</x:v>
      </x:c>
      <x:c r="G85" s="411" t="str">
        <x:v>Verify that mapping debug profile satisfies its declared acceptance criteria.</x:v>
      </x:c>
      <x:c r="H85" s="411" t="str">
        <x:v>Required dependencies and test fixtures are available.</x:v>
      </x:c>
      <x:c r="I85" s="411" t="str">
        <x:v>Configure the platform for v0.1.7; execute the nominal workflow for mapping debug profile; collect logs and evidence.</x:v>
      </x:c>
      <x:c r="J85" s="411" t="str">
        <x:v>Declared acceptance criteria pass and no existing regression test fails.</x:v>
      </x:c>
      <x:c r="K85" s="488" t="str">
        <x:v>Planned</x:v>
      </x:c>
      <x:c r="L85" s="488" t="str">
        <x:v>Not Run</x:v>
      </x:c>
      <x:c r="M85" s="488" t="str">
        <x:v>High</x:v>
      </x:c>
      <x:c r="N85" s="411" t="str">
        <x:v>ROS 2 Jazzy + Gazebo Harmonic</x:v>
      </x:c>
      <x:c r="O85" s="460"/>
      <x:c r="P85" s="411" t="str"/>
      <x:c r="Q85" s="411" t="str"/>
      <x:c r="R85" s="411" t="str"/>
      <x:c r="S85" s="411" t="str">
        <x:v>Devansh</x:v>
      </x:c>
      <x:c r="T85" s="411" t="str"/>
      <x:c r="U85" s="411" t="str">
        <x:v>tc_0081</x:v>
      </x:c>
      <x:c r="V85" s="373"/>
      <x:c r="W85" s="373"/>
      <x:c r="X85" s="373"/>
      <x:c r="Y85" s="373"/>
      <x:c r="Z85" s="373"/>
    </x:row>
    <x:row r="86">
      <x:c r="A86" s="411" t="str">
        <x:v>TC-0082</x:v>
      </x:c>
      <x:c r="B86" s="411" t="str">
        <x:v>v0.1.7</x:v>
      </x:c>
      <x:c r="C86" s="411" t="str">
        <x:v>Unit</x:v>
      </x:c>
      <x:c r="D86" s="411" t="str">
        <x:v>F-RVIZ-002</x:v>
      </x:c>
      <x:c r="E86" s="411" t="str">
        <x:v>REQ-056</x:v>
      </x:c>
      <x:c r="F86" s="411" t="str">
        <x:v>Localization debug profile — nominal acceptance</x:v>
      </x:c>
      <x:c r="G86" s="411" t="str">
        <x:v>Verify that localization debug profile satisfies its declared acceptance criteria.</x:v>
      </x:c>
      <x:c r="H86" s="411" t="str">
        <x:v>Required dependencies and test fixtures are available.</x:v>
      </x:c>
      <x:c r="I86" s="411" t="str">
        <x:v>Configure the platform for v0.1.7; execute the nominal workflow for localization debug profile; collect logs and evidence.</x:v>
      </x:c>
      <x:c r="J86" s="411" t="str">
        <x:v>Declared acceptance criteria pass and no existing regression test fails.</x:v>
      </x:c>
      <x:c r="K86" s="488" t="str">
        <x:v>Planned</x:v>
      </x:c>
      <x:c r="L86" s="488" t="str">
        <x:v>Not Run</x:v>
      </x:c>
      <x:c r="M86" s="488" t="str">
        <x:v>High</x:v>
      </x:c>
      <x:c r="N86" s="411" t="str">
        <x:v>ROS 2 Jazzy + Gazebo Harmonic</x:v>
      </x:c>
      <x:c r="O86" s="460"/>
      <x:c r="P86" s="411" t="str"/>
      <x:c r="Q86" s="411" t="str"/>
      <x:c r="R86" s="411" t="str"/>
      <x:c r="S86" s="411" t="str">
        <x:v>Devansh</x:v>
      </x:c>
      <x:c r="T86" s="411" t="str"/>
      <x:c r="U86" s="411" t="str">
        <x:v>tc_0082</x:v>
      </x:c>
      <x:c r="V86" s="373"/>
      <x:c r="W86" s="373"/>
      <x:c r="X86" s="373"/>
      <x:c r="Y86" s="373"/>
      <x:c r="Z86" s="373"/>
    </x:row>
    <x:row r="87">
      <x:c r="A87" s="411" t="str">
        <x:v>TC-0083</x:v>
      </x:c>
      <x:c r="B87" s="411" t="str">
        <x:v>v0.1.7</x:v>
      </x:c>
      <x:c r="C87" s="411" t="str">
        <x:v>Unit</x:v>
      </x:c>
      <x:c r="D87" s="411" t="str">
        <x:v>F-RVIZ-003</x:v>
      </x:c>
      <x:c r="E87" s="411" t="str">
        <x:v>REQ-057</x:v>
      </x:c>
      <x:c r="F87" s="411" t="str">
        <x:v>Navigation debug profile — nominal acceptance</x:v>
      </x:c>
      <x:c r="G87" s="411" t="str">
        <x:v>Verify that navigation debug profile satisfies its declared acceptance criteria.</x:v>
      </x:c>
      <x:c r="H87" s="411" t="str">
        <x:v>Required dependencies and test fixtures are available.</x:v>
      </x:c>
      <x:c r="I87" s="411" t="str">
        <x:v>Configure the platform for v0.1.7; execute the nominal workflow for navigation debug profile; collect logs and evidence.</x:v>
      </x:c>
      <x:c r="J87" s="411" t="str">
        <x:v>Declared acceptance criteria pass and no existing regression test fails.</x:v>
      </x:c>
      <x:c r="K87" s="488" t="str">
        <x:v>Planned</x:v>
      </x:c>
      <x:c r="L87" s="488" t="str">
        <x:v>Not Run</x:v>
      </x:c>
      <x:c r="M87" s="488" t="str">
        <x:v>High</x:v>
      </x:c>
      <x:c r="N87" s="411" t="str">
        <x:v>ROS 2 Jazzy + Gazebo Harmonic</x:v>
      </x:c>
      <x:c r="O87" s="460"/>
      <x:c r="P87" s="411" t="str"/>
      <x:c r="Q87" s="411" t="str"/>
      <x:c r="R87" s="411" t="str"/>
      <x:c r="S87" s="411" t="str">
        <x:v>Devansh</x:v>
      </x:c>
      <x:c r="T87" s="411" t="str"/>
      <x:c r="U87" s="411" t="str">
        <x:v>tc_0083</x:v>
      </x:c>
      <x:c r="V87" s="373"/>
      <x:c r="W87" s="373"/>
      <x:c r="X87" s="373"/>
      <x:c r="Y87" s="373"/>
      <x:c r="Z87" s="373"/>
    </x:row>
    <x:row r="88">
      <x:c r="A88" s="411" t="str">
        <x:v>TC-0084</x:v>
      </x:c>
      <x:c r="B88" s="411" t="str">
        <x:v>v0.1.7</x:v>
      </x:c>
      <x:c r="C88" s="411" t="str">
        <x:v>Configuration</x:v>
      </x:c>
      <x:c r="D88" s="411" t="str">
        <x:v>F-RVIZ-004</x:v>
      </x:c>
      <x:c r="E88" s="411" t="str">
        <x:v>REQ-058</x:v>
      </x:c>
      <x:c r="F88" s="411" t="str">
        <x:v>Ground-truth and estimated-path overlays — nominal acceptance</x:v>
      </x:c>
      <x:c r="G88" s="411" t="str">
        <x:v>Verify that ground-truth and estimated-path overlays satisfies its declared acceptance criteria.</x:v>
      </x:c>
      <x:c r="H88" s="411" t="str">
        <x:v>Required dependencies and test fixtures are available.</x:v>
      </x:c>
      <x:c r="I88" s="411" t="str">
        <x:v>Configure the platform for v0.1.7; execute the nominal workflow for ground-truth and estimated-path overlays; collect logs and evidence.</x:v>
      </x:c>
      <x:c r="J88" s="411" t="str">
        <x:v>Declared acceptance criteria pass and no existing regression test fails.</x:v>
      </x:c>
      <x:c r="K88" s="488" t="str">
        <x:v>Planned</x:v>
      </x:c>
      <x:c r="L88" s="488" t="str">
        <x:v>Not Run</x:v>
      </x:c>
      <x:c r="M88" s="488" t="str">
        <x:v>Medium</x:v>
      </x:c>
      <x:c r="N88" s="411" t="str">
        <x:v>ROS 2 Jazzy + Gazebo Harmonic</x:v>
      </x:c>
      <x:c r="O88" s="460"/>
      <x:c r="P88" s="411" t="str"/>
      <x:c r="Q88" s="411" t="str"/>
      <x:c r="R88" s="411" t="str"/>
      <x:c r="S88" s="411" t="str">
        <x:v>Devansh</x:v>
      </x:c>
      <x:c r="T88" s="411" t="str"/>
      <x:c r="U88" s="411" t="str">
        <x:v>tc_0084</x:v>
      </x:c>
      <x:c r="V88" s="373"/>
      <x:c r="W88" s="373"/>
      <x:c r="X88" s="373"/>
      <x:c r="Y88" s="373"/>
      <x:c r="Z88" s="373"/>
    </x:row>
    <x:row r="89">
      <x:c r="A89" s="411" t="str">
        <x:v>TC-0085</x:v>
      </x:c>
      <x:c r="B89" s="411" t="str">
        <x:v>v0.1.7</x:v>
      </x:c>
      <x:c r="C89" s="411" t="str">
        <x:v>Configuration</x:v>
      </x:c>
      <x:c r="D89" s="411" t="str">
        <x:v>F-RVIZ-005</x:v>
      </x:c>
      <x:c r="E89" s="411" t="str">
        <x:v>REQ-059</x:v>
      </x:c>
      <x:c r="F89" s="411" t="str">
        <x:v>RViz debugging guide — nominal acceptance</x:v>
      </x:c>
      <x:c r="G89" s="411" t="str">
        <x:v>Verify that rviz debugging guide satisfies its declared acceptance criteria.</x:v>
      </x:c>
      <x:c r="H89" s="411" t="str">
        <x:v>Required dependencies and test fixtures are available.</x:v>
      </x:c>
      <x:c r="I89" s="411" t="str">
        <x:v>Configure the platform for v0.1.7; execute the nominal workflow for rviz debugging guide; collect logs and evidence.</x:v>
      </x:c>
      <x:c r="J89" s="411" t="str">
        <x:v>Declared acceptance criteria pass and no existing regression test fails.</x:v>
      </x:c>
      <x:c r="K89" s="488" t="str">
        <x:v>Planned</x:v>
      </x:c>
      <x:c r="L89" s="488" t="str">
        <x:v>Not Run</x:v>
      </x:c>
      <x:c r="M89" s="488" t="str">
        <x:v>Medium</x:v>
      </x:c>
      <x:c r="N89" s="411" t="str">
        <x:v>ROS 2 Jazzy + Gazebo Harmonic</x:v>
      </x:c>
      <x:c r="O89" s="460"/>
      <x:c r="P89" s="411" t="str"/>
      <x:c r="Q89" s="411" t="str"/>
      <x:c r="R89" s="411" t="str"/>
      <x:c r="S89" s="411" t="str">
        <x:v>Devansh</x:v>
      </x:c>
      <x:c r="T89" s="411" t="str"/>
      <x:c r="U89" s="411" t="str">
        <x:v>tc_0085</x:v>
      </x:c>
      <x:c r="V89" s="373"/>
      <x:c r="W89" s="373"/>
      <x:c r="X89" s="373"/>
      <x:c r="Y89" s="373"/>
      <x:c r="Z89" s="373"/>
    </x:row>
    <x:row r="90">
      <x:c r="A90" s="411" t="str">
        <x:v>TC-0086</x:v>
      </x:c>
      <x:c r="B90" s="411" t="str">
        <x:v>v0.1.8</x:v>
      </x:c>
      <x:c r="C90" s="411" t="str">
        <x:v>Integration</x:v>
      </x:c>
      <x:c r="D90" s="411" t="str">
        <x:v>F-SLAM-001</x:v>
      </x:c>
      <x:c r="E90" s="411" t="str">
        <x:v>REQ-060</x:v>
      </x:c>
      <x:c r="F90" s="411" t="str">
        <x:v>Controlled mapping benchmark — nominal acceptance</x:v>
      </x:c>
      <x:c r="G90" s="411" t="str">
        <x:v>Verify that controlled mapping benchmark satisfies its declared acceptance criteria.</x:v>
      </x:c>
      <x:c r="H90" s="411" t="str">
        <x:v>Required dependencies and test fixtures are available.</x:v>
      </x:c>
      <x:c r="I90" s="411" t="str">
        <x:v>Configure the platform for v0.1.8; execute the nominal workflow for controlled mapping benchmark; collect logs and evidence.</x:v>
      </x:c>
      <x:c r="J90" s="411" t="str">
        <x:v>Declared acceptance criteria pass and no existing regression test fails.</x:v>
      </x:c>
      <x:c r="K90" s="488" t="str">
        <x:v>Planned</x:v>
      </x:c>
      <x:c r="L90" s="488" t="str">
        <x:v>Not Run</x:v>
      </x:c>
      <x:c r="M90" s="488" t="str">
        <x:v>Critical</x:v>
      </x:c>
      <x:c r="N90" s="411" t="str">
        <x:v>ROS 2 Jazzy + Gazebo Harmonic</x:v>
      </x:c>
      <x:c r="O90" s="460"/>
      <x:c r="P90" s="411" t="str"/>
      <x:c r="Q90" s="411" t="str"/>
      <x:c r="R90" s="411" t="str"/>
      <x:c r="S90" s="411" t="str">
        <x:v>Devansh</x:v>
      </x:c>
      <x:c r="T90" s="411" t="str"/>
      <x:c r="U90" s="411" t="str">
        <x:v>tc_0086</x:v>
      </x:c>
      <x:c r="V90" s="373"/>
      <x:c r="W90" s="373"/>
      <x:c r="X90" s="373"/>
      <x:c r="Y90" s="373"/>
      <x:c r="Z90" s="373"/>
    </x:row>
    <x:row r="91">
      <x:c r="A91" s="411" t="str">
        <x:v>TC-0087</x:v>
      </x:c>
      <x:c r="B91" s="411" t="str">
        <x:v>v0.1.8</x:v>
      </x:c>
      <x:c r="C91" s="411" t="str">
        <x:v>Fault</x:v>
      </x:c>
      <x:c r="D91" s="411" t="str">
        <x:v>F-SLAM-001</x:v>
      </x:c>
      <x:c r="E91" s="411" t="str">
        <x:v>REQ-060</x:v>
      </x:c>
      <x:c r="F91" s="411" t="str">
        <x:v>Controlled mapping benchmark — failure/recovery path</x:v>
      </x:c>
      <x:c r="G91" s="411" t="str">
        <x:v>Verify safe behavior when the dependencies or inputs for controlled mapping benchmark fail.</x:v>
      </x:c>
      <x:c r="H91" s="411" t="str">
        <x:v>Fault injection or controlled dependency stub is available.</x:v>
      </x:c>
      <x:c r="I91" s="411" t="str">
        <x:v>Activate controlled mapping benchmark; inject a representative failure; observe state, logs, cleanup, and recovery.</x:v>
      </x:c>
      <x:c r="J91" s="411" t="str">
        <x:v>Failure is detected, unsafe behavior is prevented, cause is reported, and recovery follows policy.</x:v>
      </x:c>
      <x:c r="K91" s="488" t="str">
        <x:v>Planned</x:v>
      </x:c>
      <x:c r="L91" s="488" t="str">
        <x:v>Not Run</x:v>
      </x:c>
      <x:c r="M91" s="488" t="str">
        <x:v>Critical</x:v>
      </x:c>
      <x:c r="N91" s="411" t="str">
        <x:v>ROS 2 Jazzy + Gazebo Harmonic</x:v>
      </x:c>
      <x:c r="O91" s="460"/>
      <x:c r="P91" s="411" t="str"/>
      <x:c r="Q91" s="411" t="str"/>
      <x:c r="R91" s="411" t="str"/>
      <x:c r="S91" s="411" t="str">
        <x:v>Devansh</x:v>
      </x:c>
      <x:c r="T91" s="411" t="str"/>
      <x:c r="U91" s="411" t="str">
        <x:v>tc_0087</x:v>
      </x:c>
      <x:c r="V91" s="373"/>
      <x:c r="W91" s="373"/>
      <x:c r="X91" s="373"/>
      <x:c r="Y91" s="373"/>
      <x:c r="Z91" s="373"/>
    </x:row>
    <x:row r="92">
      <x:c r="A92" s="411" t="str">
        <x:v>TC-0088</x:v>
      </x:c>
      <x:c r="B92" s="411" t="str">
        <x:v>v0.1.8</x:v>
      </x:c>
      <x:c r="C92" s="411" t="str">
        <x:v>Unit</x:v>
      </x:c>
      <x:c r="D92" s="411" t="str">
        <x:v>F-SLAM-002</x:v>
      </x:c>
      <x:c r="E92" s="411" t="str">
        <x:v>REQ-061</x:v>
      </x:c>
      <x:c r="F92" s="411" t="str">
        <x:v>SLAM parameter experiment log — nominal acceptance</x:v>
      </x:c>
      <x:c r="G92" s="411" t="str">
        <x:v>Verify that slam parameter experiment log satisfies its declared acceptance criteria.</x:v>
      </x:c>
      <x:c r="H92" s="411" t="str">
        <x:v>Required dependencies and test fixtures are available.</x:v>
      </x:c>
      <x:c r="I92" s="411" t="str">
        <x:v>Configure the platform for v0.1.8; execute the nominal workflow for slam parameter experiment log; collect logs and evidence.</x:v>
      </x:c>
      <x:c r="J92" s="411" t="str">
        <x:v>Declared acceptance criteria pass and no existing regression test fails.</x:v>
      </x:c>
      <x:c r="K92" s="488" t="str">
        <x:v>Planned</x:v>
      </x:c>
      <x:c r="L92" s="488" t="str">
        <x:v>Not Run</x:v>
      </x:c>
      <x:c r="M92" s="488" t="str">
        <x:v>High</x:v>
      </x:c>
      <x:c r="N92" s="411" t="str">
        <x:v>ROS 2 Jazzy + Gazebo Harmonic</x:v>
      </x:c>
      <x:c r="O92" s="460"/>
      <x:c r="P92" s="411" t="str"/>
      <x:c r="Q92" s="411" t="str"/>
      <x:c r="R92" s="411" t="str"/>
      <x:c r="S92" s="411" t="str">
        <x:v>Devansh</x:v>
      </x:c>
      <x:c r="T92" s="411" t="str"/>
      <x:c r="U92" s="411" t="str">
        <x:v>tc_0088</x:v>
      </x:c>
      <x:c r="V92" s="373"/>
      <x:c r="W92" s="373"/>
      <x:c r="X92" s="373"/>
      <x:c r="Y92" s="373"/>
      <x:c r="Z92" s="373"/>
    </x:row>
    <x:row r="93">
      <x:c r="A93" s="411" t="str">
        <x:v>TC-0089</x:v>
      </x:c>
      <x:c r="B93" s="411" t="str">
        <x:v>v0.1.8</x:v>
      </x:c>
      <x:c r="C93" s="411" t="str">
        <x:v>Integration</x:v>
      </x:c>
      <x:c r="D93" s="411" t="str">
        <x:v>F-SLAM-003</x:v>
      </x:c>
      <x:c r="E93" s="411" t="str">
        <x:v>REQ-062</x:v>
      </x:c>
      <x:c r="F93" s="411" t="str">
        <x:v>Map quality metrics — nominal acceptance</x:v>
      </x:c>
      <x:c r="G93" s="411" t="str">
        <x:v>Verify that map quality metrics satisfies its declared acceptance criteria.</x:v>
      </x:c>
      <x:c r="H93" s="411" t="str">
        <x:v>Required dependencies and test fixtures are available.</x:v>
      </x:c>
      <x:c r="I93" s="411" t="str">
        <x:v>Configure the platform for v0.1.8; execute the nominal workflow for map quality metrics; collect logs and evidence.</x:v>
      </x:c>
      <x:c r="J93" s="411" t="str">
        <x:v>Declared acceptance criteria pass and no existing regression test fails.</x:v>
      </x:c>
      <x:c r="K93" s="488" t="str">
        <x:v>Planned</x:v>
      </x:c>
      <x:c r="L93" s="488" t="str">
        <x:v>Not Run</x:v>
      </x:c>
      <x:c r="M93" s="488" t="str">
        <x:v>Critical</x:v>
      </x:c>
      <x:c r="N93" s="411" t="str">
        <x:v>ROS 2 Jazzy + Gazebo Harmonic</x:v>
      </x:c>
      <x:c r="O93" s="460"/>
      <x:c r="P93" s="411" t="str"/>
      <x:c r="Q93" s="411" t="str"/>
      <x:c r="R93" s="411" t="str"/>
      <x:c r="S93" s="411" t="str">
        <x:v>Devansh</x:v>
      </x:c>
      <x:c r="T93" s="411" t="str"/>
      <x:c r="U93" s="411" t="str">
        <x:v>tc_0089</x:v>
      </x:c>
      <x:c r="V93" s="373"/>
      <x:c r="W93" s="373"/>
      <x:c r="X93" s="373"/>
      <x:c r="Y93" s="373"/>
      <x:c r="Z93" s="373"/>
    </x:row>
    <x:row r="94">
      <x:c r="A94" s="411" t="str">
        <x:v>TC-0090</x:v>
      </x:c>
      <x:c r="B94" s="411" t="str">
        <x:v>v0.1.8</x:v>
      </x:c>
      <x:c r="C94" s="411" t="str">
        <x:v>Fault</x:v>
      </x:c>
      <x:c r="D94" s="411" t="str">
        <x:v>F-SLAM-003</x:v>
      </x:c>
      <x:c r="E94" s="411" t="str">
        <x:v>REQ-062</x:v>
      </x:c>
      <x:c r="F94" s="411" t="str">
        <x:v>Map quality metrics — failure/recovery path</x:v>
      </x:c>
      <x:c r="G94" s="411" t="str">
        <x:v>Verify safe behavior when the dependencies or inputs for map quality metrics fail.</x:v>
      </x:c>
      <x:c r="H94" s="411" t="str">
        <x:v>Fault injection or controlled dependency stub is available.</x:v>
      </x:c>
      <x:c r="I94" s="411" t="str">
        <x:v>Activate map quality metrics; inject a representative failure; observe state, logs, cleanup, and recovery.</x:v>
      </x:c>
      <x:c r="J94" s="411" t="str">
        <x:v>Failure is detected, unsafe behavior is prevented, cause is reported, and recovery follows policy.</x:v>
      </x:c>
      <x:c r="K94" s="488" t="str">
        <x:v>Planned</x:v>
      </x:c>
      <x:c r="L94" s="488" t="str">
        <x:v>Not Run</x:v>
      </x:c>
      <x:c r="M94" s="488" t="str">
        <x:v>Critical</x:v>
      </x:c>
      <x:c r="N94" s="411" t="str">
        <x:v>ROS 2 Jazzy + Gazebo Harmonic</x:v>
      </x:c>
      <x:c r="O94" s="460"/>
      <x:c r="P94" s="411" t="str"/>
      <x:c r="Q94" s="411" t="str"/>
      <x:c r="R94" s="411" t="str"/>
      <x:c r="S94" s="411" t="str">
        <x:v>Devansh</x:v>
      </x:c>
      <x:c r="T94" s="411" t="str"/>
      <x:c r="U94" s="411" t="str">
        <x:v>tc_0090</x:v>
      </x:c>
      <x:c r="V94" s="373"/>
      <x:c r="W94" s="373"/>
      <x:c r="X94" s="373"/>
      <x:c r="Y94" s="373"/>
      <x:c r="Z94" s="373"/>
    </x:row>
    <x:row r="95">
      <x:c r="A95" s="411" t="str">
        <x:v>TC-0091</x:v>
      </x:c>
      <x:c r="B95" s="411" t="str">
        <x:v>v0.1.8</x:v>
      </x:c>
      <x:c r="C95" s="411" t="str">
        <x:v>Unit</x:v>
      </x:c>
      <x:c r="D95" s="411" t="str">
        <x:v>F-SLAM-004</x:v>
      </x:c>
      <x:c r="E95" s="411" t="str">
        <x:v>REQ-063</x:v>
      </x:c>
      <x:c r="F95" s="411" t="str">
        <x:v>Input-processing tuning — nominal acceptance</x:v>
      </x:c>
      <x:c r="G95" s="411" t="str">
        <x:v>Verify that input-processing tuning satisfies its declared acceptance criteria.</x:v>
      </x:c>
      <x:c r="H95" s="411" t="str">
        <x:v>Required dependencies and test fixtures are available.</x:v>
      </x:c>
      <x:c r="I95" s="411" t="str">
        <x:v>Configure the platform for v0.1.8; execute the nominal workflow for input-processing tuning; collect logs and evidence.</x:v>
      </x:c>
      <x:c r="J95" s="411" t="str">
        <x:v>Declared acceptance criteria pass and no existing regression test fails.</x:v>
      </x:c>
      <x:c r="K95" s="488" t="str">
        <x:v>Planned</x:v>
      </x:c>
      <x:c r="L95" s="488" t="str">
        <x:v>Not Run</x:v>
      </x:c>
      <x:c r="M95" s="488" t="str">
        <x:v>High</x:v>
      </x:c>
      <x:c r="N95" s="411" t="str">
        <x:v>ROS 2 Jazzy + Gazebo Harmonic</x:v>
      </x:c>
      <x:c r="O95" s="460"/>
      <x:c r="P95" s="411" t="str"/>
      <x:c r="Q95" s="411" t="str"/>
      <x:c r="R95" s="411" t="str"/>
      <x:c r="S95" s="411" t="str">
        <x:v>Devansh</x:v>
      </x:c>
      <x:c r="T95" s="411" t="str"/>
      <x:c r="U95" s="411" t="str">
        <x:v>tc_0091</x:v>
      </x:c>
      <x:c r="V95" s="373"/>
      <x:c r="W95" s="373"/>
      <x:c r="X95" s="373"/>
      <x:c r="Y95" s="373"/>
      <x:c r="Z95" s="373"/>
    </x:row>
    <x:row r="96">
      <x:c r="A96" s="411" t="str">
        <x:v>TC-0092</x:v>
      </x:c>
      <x:c r="B96" s="411" t="str">
        <x:v>v0.1.8</x:v>
      </x:c>
      <x:c r="C96" s="411" t="str">
        <x:v>Unit</x:v>
      </x:c>
      <x:c r="D96" s="411" t="str">
        <x:v>F-SLAM-005</x:v>
      </x:c>
      <x:c r="E96" s="411" t="str">
        <x:v>REQ-064</x:v>
      </x:c>
      <x:c r="F96" s="411" t="str">
        <x:v>Motion-threshold tuning — nominal acceptance</x:v>
      </x:c>
      <x:c r="G96" s="411" t="str">
        <x:v>Verify that motion-threshold tuning satisfies its declared acceptance criteria.</x:v>
      </x:c>
      <x:c r="H96" s="411" t="str">
        <x:v>Required dependencies and test fixtures are available.</x:v>
      </x:c>
      <x:c r="I96" s="411" t="str">
        <x:v>Configure the platform for v0.1.8; execute the nominal workflow for motion-threshold tuning; collect logs and evidence.</x:v>
      </x:c>
      <x:c r="J96" s="411" t="str">
        <x:v>Declared acceptance criteria pass and no existing regression test fails.</x:v>
      </x:c>
      <x:c r="K96" s="488" t="str">
        <x:v>Planned</x:v>
      </x:c>
      <x:c r="L96" s="488" t="str">
        <x:v>Not Run</x:v>
      </x:c>
      <x:c r="M96" s="488" t="str">
        <x:v>High</x:v>
      </x:c>
      <x:c r="N96" s="411" t="str">
        <x:v>ROS 2 Jazzy + Gazebo Harmonic</x:v>
      </x:c>
      <x:c r="O96" s="460"/>
      <x:c r="P96" s="411" t="str"/>
      <x:c r="Q96" s="411" t="str"/>
      <x:c r="R96" s="411" t="str"/>
      <x:c r="S96" s="411" t="str">
        <x:v>Devansh</x:v>
      </x:c>
      <x:c r="T96" s="411" t="str"/>
      <x:c r="U96" s="411" t="str">
        <x:v>tc_0092</x:v>
      </x:c>
      <x:c r="V96" s="373"/>
      <x:c r="W96" s="373"/>
      <x:c r="X96" s="373"/>
      <x:c r="Y96" s="373"/>
      <x:c r="Z96" s="373"/>
    </x:row>
    <x:row r="97">
      <x:c r="A97" s="411" t="str">
        <x:v>TC-0093</x:v>
      </x:c>
      <x:c r="B97" s="411" t="str">
        <x:v>v0.1.8</x:v>
      </x:c>
      <x:c r="C97" s="411" t="str">
        <x:v>Unit</x:v>
      </x:c>
      <x:c r="D97" s="411" t="str">
        <x:v>F-SLAM-006</x:v>
      </x:c>
      <x:c r="E97" s="411" t="str">
        <x:v>REQ-065</x:v>
      </x:c>
      <x:c r="F97" s="411" t="str">
        <x:v>Scan matching and loop-closure tuning — nominal acceptance</x:v>
      </x:c>
      <x:c r="G97" s="411" t="str">
        <x:v>Verify that scan matching and loop-closure tuning satisfies its declared acceptance criteria.</x:v>
      </x:c>
      <x:c r="H97" s="411" t="str">
        <x:v>Required dependencies and test fixtures are available.</x:v>
      </x:c>
      <x:c r="I97" s="411" t="str">
        <x:v>Configure the platform for v0.1.8; execute the nominal workflow for scan matching and loop-closure tuning; collect logs and evidence.</x:v>
      </x:c>
      <x:c r="J97" s="411" t="str">
        <x:v>Declared acceptance criteria pass and no existing regression test fails.</x:v>
      </x:c>
      <x:c r="K97" s="488" t="str">
        <x:v>Planned</x:v>
      </x:c>
      <x:c r="L97" s="488" t="str">
        <x:v>Not Run</x:v>
      </x:c>
      <x:c r="M97" s="488" t="str">
        <x:v>High</x:v>
      </x:c>
      <x:c r="N97" s="411" t="str">
        <x:v>ROS 2 Jazzy + Gazebo Harmonic</x:v>
      </x:c>
      <x:c r="O97" s="460"/>
      <x:c r="P97" s="411" t="str"/>
      <x:c r="Q97" s="411" t="str"/>
      <x:c r="R97" s="411" t="str"/>
      <x:c r="S97" s="411" t="str">
        <x:v>Devansh</x:v>
      </x:c>
      <x:c r="T97" s="411" t="str"/>
      <x:c r="U97" s="411" t="str">
        <x:v>tc_0093</x:v>
      </x:c>
      <x:c r="V97" s="373"/>
      <x:c r="W97" s="373"/>
      <x:c r="X97" s="373"/>
      <x:c r="Y97" s="373"/>
      <x:c r="Z97" s="373"/>
    </x:row>
    <x:row r="98">
      <x:c r="A98" s="411" t="str">
        <x:v>TC-0094</x:v>
      </x:c>
      <x:c r="B98" s="411" t="str">
        <x:v>v0.1.8</x:v>
      </x:c>
      <x:c r="C98" s="411" t="str">
        <x:v>Integration</x:v>
      </x:c>
      <x:c r="D98" s="411" t="str">
        <x:v>F-SLAM-007</x:v>
      </x:c>
      <x:c r="E98" s="411" t="str">
        <x:v>REQ-066</x:v>
      </x:c>
      <x:c r="F98" s="411" t="str">
        <x:v>Mapping degradation scenarios — nominal acceptance</x:v>
      </x:c>
      <x:c r="G98" s="411" t="str">
        <x:v>Verify that mapping degradation scenarios satisfies its declared acceptance criteria.</x:v>
      </x:c>
      <x:c r="H98" s="411" t="str">
        <x:v>Required dependencies and test fixtures are available.</x:v>
      </x:c>
      <x:c r="I98" s="411" t="str">
        <x:v>Configure the platform for v0.1.8; execute the nominal workflow for mapping degradation scenarios; collect logs and evidence.</x:v>
      </x:c>
      <x:c r="J98" s="411" t="str">
        <x:v>Declared acceptance criteria pass and no existing regression test fails.</x:v>
      </x:c>
      <x:c r="K98" s="488" t="str">
        <x:v>Planned</x:v>
      </x:c>
      <x:c r="L98" s="488" t="str">
        <x:v>Not Run</x:v>
      </x:c>
      <x:c r="M98" s="488" t="str">
        <x:v>Critical</x:v>
      </x:c>
      <x:c r="N98" s="411" t="str">
        <x:v>ROS 2 Jazzy + Gazebo Harmonic</x:v>
      </x:c>
      <x:c r="O98" s="460"/>
      <x:c r="P98" s="411" t="str"/>
      <x:c r="Q98" s="411" t="str"/>
      <x:c r="R98" s="411" t="str"/>
      <x:c r="S98" s="411" t="str">
        <x:v>Devansh</x:v>
      </x:c>
      <x:c r="T98" s="411" t="str"/>
      <x:c r="U98" s="411" t="str">
        <x:v>tc_0094</x:v>
      </x:c>
      <x:c r="V98" s="373"/>
      <x:c r="W98" s="373"/>
      <x:c r="X98" s="373"/>
      <x:c r="Y98" s="373"/>
      <x:c r="Z98" s="373"/>
    </x:row>
    <x:row r="99">
      <x:c r="A99" s="411" t="str">
        <x:v>TC-0095</x:v>
      </x:c>
      <x:c r="B99" s="411" t="str">
        <x:v>v0.1.8</x:v>
      </x:c>
      <x:c r="C99" s="411" t="str">
        <x:v>Fault</x:v>
      </x:c>
      <x:c r="D99" s="411" t="str">
        <x:v>F-SLAM-007</x:v>
      </x:c>
      <x:c r="E99" s="411" t="str">
        <x:v>REQ-066</x:v>
      </x:c>
      <x:c r="F99" s="411" t="str">
        <x:v>Mapping degradation scenarios — failure/recovery path</x:v>
      </x:c>
      <x:c r="G99" s="411" t="str">
        <x:v>Verify safe behavior when the dependencies or inputs for mapping degradation scenarios fail.</x:v>
      </x:c>
      <x:c r="H99" s="411" t="str">
        <x:v>Fault injection or controlled dependency stub is available.</x:v>
      </x:c>
      <x:c r="I99" s="411" t="str">
        <x:v>Activate mapping degradation scenarios; inject a representative failure; observe state, logs, cleanup, and recovery.</x:v>
      </x:c>
      <x:c r="J99" s="411" t="str">
        <x:v>Failure is detected, unsafe behavior is prevented, cause is reported, and recovery follows policy.</x:v>
      </x:c>
      <x:c r="K99" s="488" t="str">
        <x:v>Planned</x:v>
      </x:c>
      <x:c r="L99" s="488" t="str">
        <x:v>Not Run</x:v>
      </x:c>
      <x:c r="M99" s="488" t="str">
        <x:v>Critical</x:v>
      </x:c>
      <x:c r="N99" s="411" t="str">
        <x:v>ROS 2 Jazzy + Gazebo Harmonic</x:v>
      </x:c>
      <x:c r="O99" s="460"/>
      <x:c r="P99" s="411" t="str"/>
      <x:c r="Q99" s="411" t="str"/>
      <x:c r="R99" s="411" t="str"/>
      <x:c r="S99" s="411" t="str">
        <x:v>Devansh</x:v>
      </x:c>
      <x:c r="T99" s="411" t="str"/>
      <x:c r="U99" s="411" t="str">
        <x:v>tc_0095</x:v>
      </x:c>
      <x:c r="V99" s="373"/>
      <x:c r="W99" s="373"/>
      <x:c r="X99" s="373"/>
      <x:c r="Y99" s="373"/>
      <x:c r="Z99" s="373"/>
    </x:row>
    <x:row r="100">
      <x:c r="A100" s="411" t="str">
        <x:v>TC-0096</x:v>
      </x:c>
      <x:c r="B100" s="411" t="str">
        <x:v>v0.1.8</x:v>
      </x:c>
      <x:c r="C100" s="411" t="str">
        <x:v>Integration</x:v>
      </x:c>
      <x:c r="D100" s="411" t="str">
        <x:v>F-SLAM-008</x:v>
      </x:c>
      <x:c r="E100" s="411" t="str">
        <x:v>REQ-067</x:v>
      </x:c>
      <x:c r="F100" s="411" t="str">
        <x:v>Selected SLAM profile — nominal acceptance</x:v>
      </x:c>
      <x:c r="G100" s="411" t="str">
        <x:v>Verify that selected slam profile satisfies its declared acceptance criteria.</x:v>
      </x:c>
      <x:c r="H100" s="411" t="str">
        <x:v>Required dependencies and test fixtures are available.</x:v>
      </x:c>
      <x:c r="I100" s="411" t="str">
        <x:v>Configure the platform for v0.1.8; execute the nominal workflow for selected slam profile; collect logs and evidence.</x:v>
      </x:c>
      <x:c r="J100" s="411" t="str">
        <x:v>Declared acceptance criteria pass and no existing regression test fails.</x:v>
      </x:c>
      <x:c r="K100" s="488" t="str">
        <x:v>Planned</x:v>
      </x:c>
      <x:c r="L100" s="488" t="str">
        <x:v>Not Run</x:v>
      </x:c>
      <x:c r="M100" s="488" t="str">
        <x:v>Critical</x:v>
      </x:c>
      <x:c r="N100" s="411" t="str">
        <x:v>ROS 2 Jazzy + Gazebo Harmonic</x:v>
      </x:c>
      <x:c r="O100" s="460"/>
      <x:c r="P100" s="411" t="str"/>
      <x:c r="Q100" s="411" t="str"/>
      <x:c r="R100" s="411" t="str"/>
      <x:c r="S100" s="411" t="str">
        <x:v>Devansh</x:v>
      </x:c>
      <x:c r="T100" s="411" t="str"/>
      <x:c r="U100" s="411" t="str">
        <x:v>tc_0096</x:v>
      </x:c>
      <x:c r="V100" s="373"/>
      <x:c r="W100" s="373"/>
      <x:c r="X100" s="373"/>
      <x:c r="Y100" s="373"/>
      <x:c r="Z100" s="373"/>
    </x:row>
    <x:row r="101">
      <x:c r="A101" s="411" t="str">
        <x:v>TC-0097</x:v>
      </x:c>
      <x:c r="B101" s="411" t="str">
        <x:v>v0.1.8</x:v>
      </x:c>
      <x:c r="C101" s="411" t="str">
        <x:v>Fault</x:v>
      </x:c>
      <x:c r="D101" s="411" t="str">
        <x:v>F-SLAM-008</x:v>
      </x:c>
      <x:c r="E101" s="411" t="str">
        <x:v>REQ-067</x:v>
      </x:c>
      <x:c r="F101" s="411" t="str">
        <x:v>Selected SLAM profile — failure/recovery path</x:v>
      </x:c>
      <x:c r="G101" s="411" t="str">
        <x:v>Verify safe behavior when the dependencies or inputs for selected slam profile fail.</x:v>
      </x:c>
      <x:c r="H101" s="411" t="str">
        <x:v>Fault injection or controlled dependency stub is available.</x:v>
      </x:c>
      <x:c r="I101" s="411" t="str">
        <x:v>Activate selected slam profile; inject a representative failure; observe state, logs, cleanup, and recovery.</x:v>
      </x:c>
      <x:c r="J101" s="411" t="str">
        <x:v>Failure is detected, unsafe behavior is prevented, cause is reported, and recovery follows policy.</x:v>
      </x:c>
      <x:c r="K101" s="488" t="str">
        <x:v>Planned</x:v>
      </x:c>
      <x:c r="L101" s="488" t="str">
        <x:v>Not Run</x:v>
      </x:c>
      <x:c r="M101" s="488" t="str">
        <x:v>Critical</x:v>
      </x:c>
      <x:c r="N101" s="411" t="str">
        <x:v>ROS 2 Jazzy + Gazebo Harmonic</x:v>
      </x:c>
      <x:c r="O101" s="460"/>
      <x:c r="P101" s="411" t="str"/>
      <x:c r="Q101" s="411" t="str"/>
      <x:c r="R101" s="411" t="str"/>
      <x:c r="S101" s="411" t="str">
        <x:v>Devansh</x:v>
      </x:c>
      <x:c r="T101" s="411" t="str"/>
      <x:c r="U101" s="411" t="str">
        <x:v>tc_0097</x:v>
      </x:c>
      <x:c r="V101" s="373"/>
      <x:c r="W101" s="373"/>
      <x:c r="X101" s="373"/>
      <x:c r="Y101" s="373"/>
      <x:c r="Z101" s="373"/>
    </x:row>
    <x:row r="102">
      <x:c r="A102" s="411" t="str">
        <x:v>TC-0098</x:v>
      </x:c>
      <x:c r="B102" s="411" t="str">
        <x:v>v0.1.9</x:v>
      </x:c>
      <x:c r="C102" s="411" t="str">
        <x:v>Integration</x:v>
      </x:c>
      <x:c r="D102" s="411" t="str">
        <x:v>F-AMCL-001</x:v>
      </x:c>
      <x:c r="E102" s="411" t="str">
        <x:v>REQ-068</x:v>
      </x:c>
      <x:c r="F102" s="411" t="str">
        <x:v>AMCL benchmark harness — nominal acceptance</x:v>
      </x:c>
      <x:c r="G102" s="411" t="str">
        <x:v>Verify that amcl benchmark harness satisfies its declared acceptance criteria.</x:v>
      </x:c>
      <x:c r="H102" s="411" t="str">
        <x:v>Required dependencies and test fixtures are available.</x:v>
      </x:c>
      <x:c r="I102" s="411" t="str">
        <x:v>Configure the platform for v0.1.9; execute the nominal workflow for amcl benchmark harness; collect logs and evidence.</x:v>
      </x:c>
      <x:c r="J102" s="411" t="str">
        <x:v>Declared acceptance criteria pass and no existing regression test fails.</x:v>
      </x:c>
      <x:c r="K102" s="488" t="str">
        <x:v>Planned</x:v>
      </x:c>
      <x:c r="L102" s="488" t="str">
        <x:v>Not Run</x:v>
      </x:c>
      <x:c r="M102" s="488" t="str">
        <x:v>Critical</x:v>
      </x:c>
      <x:c r="N102" s="411" t="str">
        <x:v>ROS 2 Jazzy + Gazebo Harmonic</x:v>
      </x:c>
      <x:c r="O102" s="460"/>
      <x:c r="P102" s="411" t="str"/>
      <x:c r="Q102" s="411" t="str"/>
      <x:c r="R102" s="411" t="str"/>
      <x:c r="S102" s="411" t="str">
        <x:v>Devansh</x:v>
      </x:c>
      <x:c r="T102" s="411" t="str"/>
      <x:c r="U102" s="411" t="str">
        <x:v>tc_0098</x:v>
      </x:c>
      <x:c r="V102" s="373"/>
      <x:c r="W102" s="373"/>
      <x:c r="X102" s="373"/>
      <x:c r="Y102" s="373"/>
      <x:c r="Z102" s="373"/>
    </x:row>
    <x:row r="103">
      <x:c r="A103" s="411" t="str">
        <x:v>TC-0099</x:v>
      </x:c>
      <x:c r="B103" s="411" t="str">
        <x:v>v0.1.9</x:v>
      </x:c>
      <x:c r="C103" s="411" t="str">
        <x:v>Fault</x:v>
      </x:c>
      <x:c r="D103" s="411" t="str">
        <x:v>F-AMCL-001</x:v>
      </x:c>
      <x:c r="E103" s="411" t="str">
        <x:v>REQ-068</x:v>
      </x:c>
      <x:c r="F103" s="411" t="str">
        <x:v>AMCL benchmark harness — failure/recovery path</x:v>
      </x:c>
      <x:c r="G103" s="411" t="str">
        <x:v>Verify safe behavior when the dependencies or inputs for amcl benchmark harness fail.</x:v>
      </x:c>
      <x:c r="H103" s="411" t="str">
        <x:v>Fault injection or controlled dependency stub is available.</x:v>
      </x:c>
      <x:c r="I103" s="411" t="str">
        <x:v>Activate amcl benchmark harness; inject a representative failure; observe state, logs, cleanup, and recovery.</x:v>
      </x:c>
      <x:c r="J103" s="411" t="str">
        <x:v>Failure is detected, unsafe behavior is prevented, cause is reported, and recovery follows policy.</x:v>
      </x:c>
      <x:c r="K103" s="488" t="str">
        <x:v>Planned</x:v>
      </x:c>
      <x:c r="L103" s="488" t="str">
        <x:v>Not Run</x:v>
      </x:c>
      <x:c r="M103" s="488" t="str">
        <x:v>Critical</x:v>
      </x:c>
      <x:c r="N103" s="411" t="str">
        <x:v>ROS 2 Jazzy + Gazebo Harmonic</x:v>
      </x:c>
      <x:c r="O103" s="460"/>
      <x:c r="P103" s="411" t="str"/>
      <x:c r="Q103" s="411" t="str"/>
      <x:c r="R103" s="411" t="str"/>
      <x:c r="S103" s="411" t="str">
        <x:v>Devansh</x:v>
      </x:c>
      <x:c r="T103" s="411" t="str"/>
      <x:c r="U103" s="411" t="str">
        <x:v>tc_0099</x:v>
      </x:c>
      <x:c r="V103" s="373"/>
      <x:c r="W103" s="373"/>
      <x:c r="X103" s="373"/>
      <x:c r="Y103" s="373"/>
      <x:c r="Z103" s="373"/>
    </x:row>
    <x:row r="104">
      <x:c r="A104" s="411" t="str">
        <x:v>TC-0100</x:v>
      </x:c>
      <x:c r="B104" s="411" t="str">
        <x:v>v0.1.9</x:v>
      </x:c>
      <x:c r="C104" s="411" t="str">
        <x:v>Unit</x:v>
      </x:c>
      <x:c r="D104" s="411" t="str">
        <x:v>F-AMCL-002</x:v>
      </x:c>
      <x:c r="E104" s="411" t="str">
        <x:v>REQ-069</x:v>
      </x:c>
      <x:c r="F104" s="411" t="str">
        <x:v>Initial-pose validation — nominal acceptance</x:v>
      </x:c>
      <x:c r="G104" s="411" t="str">
        <x:v>Verify that initial-pose validation satisfies its declared acceptance criteria.</x:v>
      </x:c>
      <x:c r="H104" s="411" t="str">
        <x:v>Required dependencies and test fixtures are available.</x:v>
      </x:c>
      <x:c r="I104" s="411" t="str">
        <x:v>Configure the platform for v0.1.9; execute the nominal workflow for initial-pose validation; collect logs and evidence.</x:v>
      </x:c>
      <x:c r="J104" s="411" t="str">
        <x:v>Declared acceptance criteria pass and no existing regression test fails.</x:v>
      </x:c>
      <x:c r="K104" s="488" t="str">
        <x:v>Planned</x:v>
      </x:c>
      <x:c r="L104" s="488" t="str">
        <x:v>Not Run</x:v>
      </x:c>
      <x:c r="M104" s="488" t="str">
        <x:v>High</x:v>
      </x:c>
      <x:c r="N104" s="411" t="str">
        <x:v>ROS 2 Jazzy + Gazebo Harmonic</x:v>
      </x:c>
      <x:c r="O104" s="460"/>
      <x:c r="P104" s="411" t="str"/>
      <x:c r="Q104" s="411" t="str"/>
      <x:c r="R104" s="411" t="str"/>
      <x:c r="S104" s="411" t="str">
        <x:v>Devansh</x:v>
      </x:c>
      <x:c r="T104" s="411" t="str"/>
      <x:c r="U104" s="411" t="str">
        <x:v>tc_0100</x:v>
      </x:c>
      <x:c r="V104" s="373"/>
      <x:c r="W104" s="373"/>
      <x:c r="X104" s="373"/>
      <x:c r="Y104" s="373"/>
      <x:c r="Z104" s="373"/>
    </x:row>
    <x:row r="105">
      <x:c r="A105" s="411" t="str">
        <x:v>TC-0101</x:v>
      </x:c>
      <x:c r="B105" s="411" t="str">
        <x:v>v0.1.9</x:v>
      </x:c>
      <x:c r="C105" s="411" t="str">
        <x:v>Integration</x:v>
      </x:c>
      <x:c r="D105" s="411" t="str">
        <x:v>F-AMCL-003</x:v>
      </x:c>
      <x:c r="E105" s="411" t="str">
        <x:v>REQ-070</x:v>
      </x:c>
      <x:c r="F105" s="411" t="str">
        <x:v>Convergence and recovery detection — nominal acceptance</x:v>
      </x:c>
      <x:c r="G105" s="411" t="str">
        <x:v>Verify that convergence and recovery detection satisfies its declared acceptance criteria.</x:v>
      </x:c>
      <x:c r="H105" s="411" t="str">
        <x:v>Required dependencies and test fixtures are available.</x:v>
      </x:c>
      <x:c r="I105" s="411" t="str">
        <x:v>Configure the platform for v0.1.9; execute the nominal workflow for convergence and recovery detection; collect logs and evidence.</x:v>
      </x:c>
      <x:c r="J105" s="411" t="str">
        <x:v>Declared acceptance criteria pass and no existing regression test fails.</x:v>
      </x:c>
      <x:c r="K105" s="488" t="str">
        <x:v>Planned</x:v>
      </x:c>
      <x:c r="L105" s="488" t="str">
        <x:v>Not Run</x:v>
      </x:c>
      <x:c r="M105" s="488" t="str">
        <x:v>Critical</x:v>
      </x:c>
      <x:c r="N105" s="411" t="str">
        <x:v>ROS 2 Jazzy + Gazebo Harmonic</x:v>
      </x:c>
      <x:c r="O105" s="460"/>
      <x:c r="P105" s="411" t="str"/>
      <x:c r="Q105" s="411" t="str"/>
      <x:c r="R105" s="411" t="str"/>
      <x:c r="S105" s="411" t="str">
        <x:v>Devansh</x:v>
      </x:c>
      <x:c r="T105" s="411" t="str"/>
      <x:c r="U105" s="411" t="str">
        <x:v>tc_0101</x:v>
      </x:c>
      <x:c r="V105" s="373"/>
      <x:c r="W105" s="373"/>
      <x:c r="X105" s="373"/>
      <x:c r="Y105" s="373"/>
      <x:c r="Z105" s="373"/>
    </x:row>
    <x:row r="106">
      <x:c r="A106" s="411" t="str">
        <x:v>TC-0102</x:v>
      </x:c>
      <x:c r="B106" s="411" t="str">
        <x:v>v0.1.9</x:v>
      </x:c>
      <x:c r="C106" s="411" t="str">
        <x:v>Fault</x:v>
      </x:c>
      <x:c r="D106" s="411" t="str">
        <x:v>F-AMCL-003</x:v>
      </x:c>
      <x:c r="E106" s="411" t="str">
        <x:v>REQ-070</x:v>
      </x:c>
      <x:c r="F106" s="411" t="str">
        <x:v>Convergence and recovery detection — failure/recovery path</x:v>
      </x:c>
      <x:c r="G106" s="411" t="str">
        <x:v>Verify safe behavior when the dependencies or inputs for convergence and recovery detection fail.</x:v>
      </x:c>
      <x:c r="H106" s="411" t="str">
        <x:v>Fault injection or controlled dependency stub is available.</x:v>
      </x:c>
      <x:c r="I106" s="411" t="str">
        <x:v>Activate convergence and recovery detection; inject a representative failure; observe state, logs, cleanup, and recovery.</x:v>
      </x:c>
      <x:c r="J106" s="411" t="str">
        <x:v>Failure is detected, unsafe behavior is prevented, cause is reported, and recovery follows policy.</x:v>
      </x:c>
      <x:c r="K106" s="488" t="str">
        <x:v>Planned</x:v>
      </x:c>
      <x:c r="L106" s="488" t="str">
        <x:v>Not Run</x:v>
      </x:c>
      <x:c r="M106" s="488" t="str">
        <x:v>Critical</x:v>
      </x:c>
      <x:c r="N106" s="411" t="str">
        <x:v>ROS 2 Jazzy + Gazebo Harmonic</x:v>
      </x:c>
      <x:c r="O106" s="460"/>
      <x:c r="P106" s="411" t="str"/>
      <x:c r="Q106" s="411" t="str"/>
      <x:c r="R106" s="411" t="str"/>
      <x:c r="S106" s="411" t="str">
        <x:v>Devansh</x:v>
      </x:c>
      <x:c r="T106" s="411" t="str"/>
      <x:c r="U106" s="411" t="str">
        <x:v>tc_0102</x:v>
      </x:c>
      <x:c r="V106" s="373"/>
      <x:c r="W106" s="373"/>
      <x:c r="X106" s="373"/>
      <x:c r="Y106" s="373"/>
      <x:c r="Z106" s="373"/>
    </x:row>
    <x:row r="107">
      <x:c r="A107" s="411" t="str">
        <x:v>TC-0103</x:v>
      </x:c>
      <x:c r="B107" s="411" t="str">
        <x:v>v0.1.9</x:v>
      </x:c>
      <x:c r="C107" s="411" t="str">
        <x:v>Integration</x:v>
      </x:c>
      <x:c r="D107" s="411" t="str">
        <x:v>F-AMCL-004</x:v>
      </x:c>
      <x:c r="E107" s="411" t="str">
        <x:v>REQ-071</x:v>
      </x:c>
      <x:c r="F107" s="411" t="str">
        <x:v>Localization health state — nominal acceptance</x:v>
      </x:c>
      <x:c r="G107" s="411" t="str">
        <x:v>Verify that localization health state satisfies its declared acceptance criteria.</x:v>
      </x:c>
      <x:c r="H107" s="411" t="str">
        <x:v>Required dependencies and test fixtures are available.</x:v>
      </x:c>
      <x:c r="I107" s="411" t="str">
        <x:v>Configure the platform for v0.1.9; execute the nominal workflow for localization health state; collect logs and evidence.</x:v>
      </x:c>
      <x:c r="J107" s="411" t="str">
        <x:v>Declared acceptance criteria pass and no existing regression test fails.</x:v>
      </x:c>
      <x:c r="K107" s="488" t="str">
        <x:v>Planned</x:v>
      </x:c>
      <x:c r="L107" s="488" t="str">
        <x:v>Not Run</x:v>
      </x:c>
      <x:c r="M107" s="488" t="str">
        <x:v>Critical</x:v>
      </x:c>
      <x:c r="N107" s="411" t="str">
        <x:v>ROS 2 Jazzy + Gazebo Harmonic</x:v>
      </x:c>
      <x:c r="O107" s="460"/>
      <x:c r="P107" s="411" t="str"/>
      <x:c r="Q107" s="411" t="str"/>
      <x:c r="R107" s="411" t="str"/>
      <x:c r="S107" s="411" t="str">
        <x:v>Devansh</x:v>
      </x:c>
      <x:c r="T107" s="411" t="str"/>
      <x:c r="U107" s="411" t="str">
        <x:v>tc_0103</x:v>
      </x:c>
      <x:c r="V107" s="373"/>
      <x:c r="W107" s="373"/>
      <x:c r="X107" s="373"/>
      <x:c r="Y107" s="373"/>
      <x:c r="Z107" s="373"/>
    </x:row>
    <x:row r="108">
      <x:c r="A108" s="411" t="str">
        <x:v>TC-0104</x:v>
      </x:c>
      <x:c r="B108" s="411" t="str">
        <x:v>v0.1.9</x:v>
      </x:c>
      <x:c r="C108" s="411" t="str">
        <x:v>Fault</x:v>
      </x:c>
      <x:c r="D108" s="411" t="str">
        <x:v>F-AMCL-004</x:v>
      </x:c>
      <x:c r="E108" s="411" t="str">
        <x:v>REQ-071</x:v>
      </x:c>
      <x:c r="F108" s="411" t="str">
        <x:v>Localization health state — failure/recovery path</x:v>
      </x:c>
      <x:c r="G108" s="411" t="str">
        <x:v>Verify safe behavior when the dependencies or inputs for localization health state fail.</x:v>
      </x:c>
      <x:c r="H108" s="411" t="str">
        <x:v>Fault injection or controlled dependency stub is available.</x:v>
      </x:c>
      <x:c r="I108" s="411" t="str">
        <x:v>Activate localization health state; inject a representative failure; observe state, logs, cleanup, and recovery.</x:v>
      </x:c>
      <x:c r="J108" s="411" t="str">
        <x:v>Failure is detected, unsafe behavior is prevented, cause is reported, and recovery follows policy.</x:v>
      </x:c>
      <x:c r="K108" s="488" t="str">
        <x:v>Planned</x:v>
      </x:c>
      <x:c r="L108" s="488" t="str">
        <x:v>Not Run</x:v>
      </x:c>
      <x:c r="M108" s="488" t="str">
        <x:v>Critical</x:v>
      </x:c>
      <x:c r="N108" s="411" t="str">
        <x:v>ROS 2 Jazzy + Gazebo Harmonic</x:v>
      </x:c>
      <x:c r="O108" s="460"/>
      <x:c r="P108" s="411" t="str"/>
      <x:c r="Q108" s="411" t="str"/>
      <x:c r="R108" s="411" t="str"/>
      <x:c r="S108" s="411" t="str">
        <x:v>Devansh</x:v>
      </x:c>
      <x:c r="T108" s="411" t="str"/>
      <x:c r="U108" s="411" t="str">
        <x:v>tc_0104</x:v>
      </x:c>
      <x:c r="V108" s="373"/>
      <x:c r="W108" s="373"/>
      <x:c r="X108" s="373"/>
      <x:c r="Y108" s="373"/>
      <x:c r="Z108" s="373"/>
    </x:row>
    <x:row r="109">
      <x:c r="A109" s="411" t="str">
        <x:v>TC-0105</x:v>
      </x:c>
      <x:c r="B109" s="411" t="str">
        <x:v>v0.1.9</x:v>
      </x:c>
      <x:c r="C109" s="411" t="str">
        <x:v>Unit</x:v>
      </x:c>
      <x:c r="D109" s="411" t="str">
        <x:v>F-AMCL-005</x:v>
      </x:c>
      <x:c r="E109" s="411" t="str">
        <x:v>REQ-072</x:v>
      </x:c>
      <x:c r="F109" s="411" t="str">
        <x:v>Particle and sensor-model tuning — nominal acceptance</x:v>
      </x:c>
      <x:c r="G109" s="411" t="str">
        <x:v>Verify that particle and sensor-model tuning satisfies its declared acceptance criteria.</x:v>
      </x:c>
      <x:c r="H109" s="411" t="str">
        <x:v>Required dependencies and test fixtures are available.</x:v>
      </x:c>
      <x:c r="I109" s="411" t="str">
        <x:v>Configure the platform for v0.1.9; execute the nominal workflow for particle and sensor-model tuning; collect logs and evidence.</x:v>
      </x:c>
      <x:c r="J109" s="411" t="str">
        <x:v>Declared acceptance criteria pass and no existing regression test fails.</x:v>
      </x:c>
      <x:c r="K109" s="488" t="str">
        <x:v>Planned</x:v>
      </x:c>
      <x:c r="L109" s="488" t="str">
        <x:v>Not Run</x:v>
      </x:c>
      <x:c r="M109" s="488" t="str">
        <x:v>High</x:v>
      </x:c>
      <x:c r="N109" s="411" t="str">
        <x:v>ROS 2 Jazzy + Gazebo Harmonic</x:v>
      </x:c>
      <x:c r="O109" s="460"/>
      <x:c r="P109" s="411" t="str"/>
      <x:c r="Q109" s="411" t="str"/>
      <x:c r="R109" s="411" t="str"/>
      <x:c r="S109" s="411" t="str">
        <x:v>Devansh</x:v>
      </x:c>
      <x:c r="T109" s="411" t="str"/>
      <x:c r="U109" s="411" t="str">
        <x:v>tc_0105</x:v>
      </x:c>
      <x:c r="V109" s="373"/>
      <x:c r="W109" s="373"/>
      <x:c r="X109" s="373"/>
      <x:c r="Y109" s="373"/>
      <x:c r="Z109" s="373"/>
    </x:row>
    <x:row r="110">
      <x:c r="A110" s="411" t="str">
        <x:v>TC-0106</x:v>
      </x:c>
      <x:c r="B110" s="411" t="str">
        <x:v>v0.1.9</x:v>
      </x:c>
      <x:c r="C110" s="411" t="str">
        <x:v>Integration</x:v>
      </x:c>
      <x:c r="D110" s="411" t="str">
        <x:v>F-AMCL-006</x:v>
      </x:c>
      <x:c r="E110" s="411" t="str">
        <x:v>REQ-073</x:v>
      </x:c>
      <x:c r="F110" s="411" t="str">
        <x:v>Localization recovery scenarios — nominal acceptance</x:v>
      </x:c>
      <x:c r="G110" s="411" t="str">
        <x:v>Verify that localization recovery scenarios satisfies its declared acceptance criteria.</x:v>
      </x:c>
      <x:c r="H110" s="411" t="str">
        <x:v>Required dependencies and test fixtures are available.</x:v>
      </x:c>
      <x:c r="I110" s="411" t="str">
        <x:v>Configure the platform for v0.1.9; execute the nominal workflow for localization recovery scenarios; collect logs and evidence.</x:v>
      </x:c>
      <x:c r="J110" s="411" t="str">
        <x:v>Declared acceptance criteria pass and no existing regression test fails.</x:v>
      </x:c>
      <x:c r="K110" s="488" t="str">
        <x:v>Planned</x:v>
      </x:c>
      <x:c r="L110" s="488" t="str">
        <x:v>Not Run</x:v>
      </x:c>
      <x:c r="M110" s="488" t="str">
        <x:v>Critical</x:v>
      </x:c>
      <x:c r="N110" s="411" t="str">
        <x:v>ROS 2 Jazzy + Gazebo Harmonic</x:v>
      </x:c>
      <x:c r="O110" s="460"/>
      <x:c r="P110" s="411" t="str"/>
      <x:c r="Q110" s="411" t="str"/>
      <x:c r="R110" s="411" t="str"/>
      <x:c r="S110" s="411" t="str">
        <x:v>Devansh</x:v>
      </x:c>
      <x:c r="T110" s="411" t="str"/>
      <x:c r="U110" s="411" t="str">
        <x:v>tc_0106</x:v>
      </x:c>
      <x:c r="V110" s="373"/>
      <x:c r="W110" s="373"/>
      <x:c r="X110" s="373"/>
      <x:c r="Y110" s="373"/>
      <x:c r="Z110" s="373"/>
    </x:row>
    <x:row r="111">
      <x:c r="A111" s="411" t="str">
        <x:v>TC-0107</x:v>
      </x:c>
      <x:c r="B111" s="411" t="str">
        <x:v>v0.1.9</x:v>
      </x:c>
      <x:c r="C111" s="411" t="str">
        <x:v>Fault</x:v>
      </x:c>
      <x:c r="D111" s="411" t="str">
        <x:v>F-AMCL-006</x:v>
      </x:c>
      <x:c r="E111" s="411" t="str">
        <x:v>REQ-073</x:v>
      </x:c>
      <x:c r="F111" s="411" t="str">
        <x:v>Localization recovery scenarios — failure/recovery path</x:v>
      </x:c>
      <x:c r="G111" s="411" t="str">
        <x:v>Verify safe behavior when the dependencies or inputs for localization recovery scenarios fail.</x:v>
      </x:c>
      <x:c r="H111" s="411" t="str">
        <x:v>Fault injection or controlled dependency stub is available.</x:v>
      </x:c>
      <x:c r="I111" s="411" t="str">
        <x:v>Activate localization recovery scenarios; inject a representative failure; observe state, logs, cleanup, and recovery.</x:v>
      </x:c>
      <x:c r="J111" s="411" t="str">
        <x:v>Failure is detected, unsafe behavior is prevented, cause is reported, and recovery follows policy.</x:v>
      </x:c>
      <x:c r="K111" s="488" t="str">
        <x:v>Planned</x:v>
      </x:c>
      <x:c r="L111" s="488" t="str">
        <x:v>Not Run</x:v>
      </x:c>
      <x:c r="M111" s="488" t="str">
        <x:v>Critical</x:v>
      </x:c>
      <x:c r="N111" s="411" t="str">
        <x:v>ROS 2 Jazzy + Gazebo Harmonic</x:v>
      </x:c>
      <x:c r="O111" s="460"/>
      <x:c r="P111" s="411" t="str"/>
      <x:c r="Q111" s="411" t="str"/>
      <x:c r="R111" s="411" t="str"/>
      <x:c r="S111" s="411" t="str">
        <x:v>Devansh</x:v>
      </x:c>
      <x:c r="T111" s="411" t="str"/>
      <x:c r="U111" s="411" t="str">
        <x:v>tc_0107</x:v>
      </x:c>
      <x:c r="V111" s="373"/>
      <x:c r="W111" s="373"/>
      <x:c r="X111" s="373"/>
      <x:c r="Y111" s="373"/>
      <x:c r="Z111" s="373"/>
    </x:row>
    <x:row r="112">
      <x:c r="A112" s="411" t="str">
        <x:v>TC-0108</x:v>
      </x:c>
      <x:c r="B112" s="411" t="str">
        <x:v>v0.1.9</x:v>
      </x:c>
      <x:c r="C112" s="411" t="str">
        <x:v>Integration</x:v>
      </x:c>
      <x:c r="D112" s="411" t="str">
        <x:v>F-AMCL-007</x:v>
      </x:c>
      <x:c r="E112" s="411" t="str">
        <x:v>REQ-074</x:v>
      </x:c>
      <x:c r="F112" s="411" t="str">
        <x:v>Selected AMCL profile — nominal acceptance</x:v>
      </x:c>
      <x:c r="G112" s="411" t="str">
        <x:v>Verify that selected amcl profile satisfies its declared acceptance criteria.</x:v>
      </x:c>
      <x:c r="H112" s="411" t="str">
        <x:v>Required dependencies and test fixtures are available.</x:v>
      </x:c>
      <x:c r="I112" s="411" t="str">
        <x:v>Configure the platform for v0.1.9; execute the nominal workflow for selected amcl profile; collect logs and evidence.</x:v>
      </x:c>
      <x:c r="J112" s="411" t="str">
        <x:v>Declared acceptance criteria pass and no existing regression test fails.</x:v>
      </x:c>
      <x:c r="K112" s="488" t="str">
        <x:v>Planned</x:v>
      </x:c>
      <x:c r="L112" s="488" t="str">
        <x:v>Not Run</x:v>
      </x:c>
      <x:c r="M112" s="488" t="str">
        <x:v>Critical</x:v>
      </x:c>
      <x:c r="N112" s="411" t="str">
        <x:v>ROS 2 Jazzy + Gazebo Harmonic</x:v>
      </x:c>
      <x:c r="O112" s="460"/>
      <x:c r="P112" s="411" t="str"/>
      <x:c r="Q112" s="411" t="str"/>
      <x:c r="R112" s="411" t="str"/>
      <x:c r="S112" s="411" t="str">
        <x:v>Devansh</x:v>
      </x:c>
      <x:c r="T112" s="411" t="str"/>
      <x:c r="U112" s="411" t="str">
        <x:v>tc_0108</x:v>
      </x:c>
      <x:c r="V112" s="373"/>
      <x:c r="W112" s="373"/>
      <x:c r="X112" s="373"/>
      <x:c r="Y112" s="373"/>
      <x:c r="Z112" s="373"/>
    </x:row>
    <x:row r="113">
      <x:c r="A113" s="411" t="str">
        <x:v>TC-0109</x:v>
      </x:c>
      <x:c r="B113" s="411" t="str">
        <x:v>v0.1.9</x:v>
      </x:c>
      <x:c r="C113" s="411" t="str">
        <x:v>Fault</x:v>
      </x:c>
      <x:c r="D113" s="411" t="str">
        <x:v>F-AMCL-007</x:v>
      </x:c>
      <x:c r="E113" s="411" t="str">
        <x:v>REQ-074</x:v>
      </x:c>
      <x:c r="F113" s="411" t="str">
        <x:v>Selected AMCL profile — failure/recovery path</x:v>
      </x:c>
      <x:c r="G113" s="411" t="str">
        <x:v>Verify safe behavior when the dependencies or inputs for selected amcl profile fail.</x:v>
      </x:c>
      <x:c r="H113" s="411" t="str">
        <x:v>Fault injection or controlled dependency stub is available.</x:v>
      </x:c>
      <x:c r="I113" s="411" t="str">
        <x:v>Activate selected amcl profile; inject a representative failure; observe state, logs, cleanup, and recovery.</x:v>
      </x:c>
      <x:c r="J113" s="411" t="str">
        <x:v>Failure is detected, unsafe behavior is prevented, cause is reported, and recovery follows policy.</x:v>
      </x:c>
      <x:c r="K113" s="488" t="str">
        <x:v>Planned</x:v>
      </x:c>
      <x:c r="L113" s="488" t="str">
        <x:v>Not Run</x:v>
      </x:c>
      <x:c r="M113" s="488" t="str">
        <x:v>Critical</x:v>
      </x:c>
      <x:c r="N113" s="411" t="str">
        <x:v>ROS 2 Jazzy + Gazebo Harmonic</x:v>
      </x:c>
      <x:c r="O113" s="460"/>
      <x:c r="P113" s="411" t="str"/>
      <x:c r="Q113" s="411" t="str"/>
      <x:c r="R113" s="411" t="str"/>
      <x:c r="S113" s="411" t="str">
        <x:v>Devansh</x:v>
      </x:c>
      <x:c r="T113" s="411" t="str"/>
      <x:c r="U113" s="411" t="str">
        <x:v>tc_0109</x:v>
      </x:c>
      <x:c r="V113" s="373"/>
      <x:c r="W113" s="373"/>
      <x:c r="X113" s="373"/>
      <x:c r="Y113" s="373"/>
      <x:c r="Z113" s="373"/>
    </x:row>
    <x:row r="114">
      <x:c r="A114" s="411" t="str">
        <x:v>TC-0110</x:v>
      </x:c>
      <x:c r="B114" s="411" t="str">
        <x:v>v0.1.10</x:v>
      </x:c>
      <x:c r="C114" s="411" t="str">
        <x:v>Integration</x:v>
      </x:c>
      <x:c r="D114" s="411" t="str">
        <x:v>F-NAV-001</x:v>
      </x:c>
      <x:c r="E114" s="411" t="str">
        <x:v>REQ-075</x:v>
      </x:c>
      <x:c r="F114" s="411" t="str">
        <x:v>Nav2 server readiness — nominal acceptance</x:v>
      </x:c>
      <x:c r="G114" s="411" t="str">
        <x:v>Verify that nav2 server readiness satisfies its declared acceptance criteria.</x:v>
      </x:c>
      <x:c r="H114" s="411" t="str">
        <x:v>Required dependencies and test fixtures are available.</x:v>
      </x:c>
      <x:c r="I114" s="411" t="str">
        <x:v>Configure the platform for v0.1.10; execute the nominal workflow for nav2 server readiness; collect logs and evidence.</x:v>
      </x:c>
      <x:c r="J114" s="411" t="str">
        <x:v>Declared acceptance criteria pass and no existing regression test fails.</x:v>
      </x:c>
      <x:c r="K114" s="488" t="str">
        <x:v>Planned</x:v>
      </x:c>
      <x:c r="L114" s="488" t="str">
        <x:v>Not Run</x:v>
      </x:c>
      <x:c r="M114" s="488" t="str">
        <x:v>Critical</x:v>
      </x:c>
      <x:c r="N114" s="411" t="str">
        <x:v>ROS 2 Jazzy + Gazebo Harmonic</x:v>
      </x:c>
      <x:c r="O114" s="460"/>
      <x:c r="P114" s="411" t="str"/>
      <x:c r="Q114" s="411" t="str"/>
      <x:c r="R114" s="411" t="str"/>
      <x:c r="S114" s="411" t="str">
        <x:v>Devansh</x:v>
      </x:c>
      <x:c r="T114" s="411" t="str"/>
      <x:c r="U114" s="411" t="str">
        <x:v>tc_0110</x:v>
      </x:c>
      <x:c r="V114" s="373"/>
      <x:c r="W114" s="373"/>
      <x:c r="X114" s="373"/>
      <x:c r="Y114" s="373"/>
      <x:c r="Z114" s="373"/>
    </x:row>
    <x:row r="115">
      <x:c r="A115" s="411" t="str">
        <x:v>TC-0111</x:v>
      </x:c>
      <x:c r="B115" s="411" t="str">
        <x:v>v0.1.10</x:v>
      </x:c>
      <x:c r="C115" s="411" t="str">
        <x:v>Fault</x:v>
      </x:c>
      <x:c r="D115" s="411" t="str">
        <x:v>F-NAV-001</x:v>
      </x:c>
      <x:c r="E115" s="411" t="str">
        <x:v>REQ-075</x:v>
      </x:c>
      <x:c r="F115" s="411" t="str">
        <x:v>Nav2 server readiness — failure/recovery path</x:v>
      </x:c>
      <x:c r="G115" s="411" t="str">
        <x:v>Verify safe behavior when the dependencies or inputs for nav2 server readiness fail.</x:v>
      </x:c>
      <x:c r="H115" s="411" t="str">
        <x:v>Fault injection or controlled dependency stub is available.</x:v>
      </x:c>
      <x:c r="I115" s="411" t="str">
        <x:v>Activate nav2 server readiness; inject a representative failure; observe state, logs, cleanup, and recovery.</x:v>
      </x:c>
      <x:c r="J115" s="411" t="str">
        <x:v>Failure is detected, unsafe behavior is prevented, cause is reported, and recovery follows policy.</x:v>
      </x:c>
      <x:c r="K115" s="488" t="str">
        <x:v>Planned</x:v>
      </x:c>
      <x:c r="L115" s="488" t="str">
        <x:v>Not Run</x:v>
      </x:c>
      <x:c r="M115" s="488" t="str">
        <x:v>Critical</x:v>
      </x:c>
      <x:c r="N115" s="411" t="str">
        <x:v>ROS 2 Jazzy + Gazebo Harmonic</x:v>
      </x:c>
      <x:c r="O115" s="460"/>
      <x:c r="P115" s="411" t="str"/>
      <x:c r="Q115" s="411" t="str"/>
      <x:c r="R115" s="411" t="str"/>
      <x:c r="S115" s="411" t="str">
        <x:v>Devansh</x:v>
      </x:c>
      <x:c r="T115" s="411" t="str"/>
      <x:c r="U115" s="411" t="str">
        <x:v>tc_0111</x:v>
      </x:c>
      <x:c r="V115" s="373"/>
      <x:c r="W115" s="373"/>
      <x:c r="X115" s="373"/>
      <x:c r="Y115" s="373"/>
      <x:c r="Z115" s="373"/>
    </x:row>
    <x:row r="116">
      <x:c r="A116" s="411" t="str">
        <x:v>TC-0112</x:v>
      </x:c>
      <x:c r="B116" s="411" t="str">
        <x:v>v0.1.10</x:v>
      </x:c>
      <x:c r="C116" s="411" t="str">
        <x:v>Integration</x:v>
      </x:c>
      <x:c r="D116" s="411" t="str">
        <x:v>F-NAV-002</x:v>
      </x:c>
      <x:c r="E116" s="411" t="str">
        <x:v>REQ-076</x:v>
      </x:c>
      <x:c r="F116" s="411" t="str">
        <x:v>Costmap health checks — nominal acceptance</x:v>
      </x:c>
      <x:c r="G116" s="411" t="str">
        <x:v>Verify that costmap health checks satisfies its declared acceptance criteria.</x:v>
      </x:c>
      <x:c r="H116" s="411" t="str">
        <x:v>Required dependencies and test fixtures are available.</x:v>
      </x:c>
      <x:c r="I116" s="411" t="str">
        <x:v>Configure the platform for v0.1.10; execute the nominal workflow for costmap health checks; collect logs and evidence.</x:v>
      </x:c>
      <x:c r="J116" s="411" t="str">
        <x:v>Declared acceptance criteria pass and no existing regression test fails.</x:v>
      </x:c>
      <x:c r="K116" s="488" t="str">
        <x:v>Planned</x:v>
      </x:c>
      <x:c r="L116" s="488" t="str">
        <x:v>Not Run</x:v>
      </x:c>
      <x:c r="M116" s="488" t="str">
        <x:v>Critical</x:v>
      </x:c>
      <x:c r="N116" s="411" t="str">
        <x:v>ROS 2 Jazzy + Gazebo Harmonic</x:v>
      </x:c>
      <x:c r="O116" s="460"/>
      <x:c r="P116" s="411" t="str"/>
      <x:c r="Q116" s="411" t="str"/>
      <x:c r="R116" s="411" t="str"/>
      <x:c r="S116" s="411" t="str">
        <x:v>Devansh</x:v>
      </x:c>
      <x:c r="T116" s="411" t="str"/>
      <x:c r="U116" s="411" t="str">
        <x:v>tc_0112</x:v>
      </x:c>
      <x:c r="V116" s="373"/>
      <x:c r="W116" s="373"/>
      <x:c r="X116" s="373"/>
      <x:c r="Y116" s="373"/>
      <x:c r="Z116" s="373"/>
    </x:row>
    <x:row r="117">
      <x:c r="A117" s="411" t="str">
        <x:v>TC-0113</x:v>
      </x:c>
      <x:c r="B117" s="411" t="str">
        <x:v>v0.1.10</x:v>
      </x:c>
      <x:c r="C117" s="411" t="str">
        <x:v>Fault</x:v>
      </x:c>
      <x:c r="D117" s="411" t="str">
        <x:v>F-NAV-002</x:v>
      </x:c>
      <x:c r="E117" s="411" t="str">
        <x:v>REQ-076</x:v>
      </x:c>
      <x:c r="F117" s="411" t="str">
        <x:v>Costmap health checks — failure/recovery path</x:v>
      </x:c>
      <x:c r="G117" s="411" t="str">
        <x:v>Verify safe behavior when the dependencies or inputs for costmap health checks fail.</x:v>
      </x:c>
      <x:c r="H117" s="411" t="str">
        <x:v>Fault injection or controlled dependency stub is available.</x:v>
      </x:c>
      <x:c r="I117" s="411" t="str">
        <x:v>Activate costmap health checks; inject a representative failure; observe state, logs, cleanup, and recovery.</x:v>
      </x:c>
      <x:c r="J117" s="411" t="str">
        <x:v>Failure is detected, unsafe behavior is prevented, cause is reported, and recovery follows policy.</x:v>
      </x:c>
      <x:c r="K117" s="488" t="str">
        <x:v>Planned</x:v>
      </x:c>
      <x:c r="L117" s="488" t="str">
        <x:v>Not Run</x:v>
      </x:c>
      <x:c r="M117" s="488" t="str">
        <x:v>Critical</x:v>
      </x:c>
      <x:c r="N117" s="411" t="str">
        <x:v>ROS 2 Jazzy + Gazebo Harmonic</x:v>
      </x:c>
      <x:c r="O117" s="460"/>
      <x:c r="P117" s="411" t="str"/>
      <x:c r="Q117" s="411" t="str"/>
      <x:c r="R117" s="411" t="str"/>
      <x:c r="S117" s="411" t="str">
        <x:v>Devansh</x:v>
      </x:c>
      <x:c r="T117" s="411" t="str"/>
      <x:c r="U117" s="411" t="str">
        <x:v>tc_0113</x:v>
      </x:c>
      <x:c r="V117" s="373"/>
      <x:c r="W117" s="373"/>
      <x:c r="X117" s="373"/>
      <x:c r="Y117" s="373"/>
      <x:c r="Z117" s="373"/>
    </x:row>
    <x:row r="118">
      <x:c r="A118" s="411" t="str">
        <x:v>TC-0114</x:v>
      </x:c>
      <x:c r="B118" s="411" t="str">
        <x:v>v0.1.10</x:v>
      </x:c>
      <x:c r="C118" s="411" t="str">
        <x:v>Integration</x:v>
      </x:c>
      <x:c r="D118" s="411" t="str">
        <x:v>F-NAV-003</x:v>
      </x:c>
      <x:c r="E118" s="411" t="str">
        <x:v>REQ-077</x:v>
      </x:c>
      <x:c r="F118" s="411" t="str">
        <x:v>Goal timeout and cancellation policy — nominal acceptance</x:v>
      </x:c>
      <x:c r="G118" s="411" t="str">
        <x:v>Verify that goal timeout and cancellation policy satisfies its declared acceptance criteria.</x:v>
      </x:c>
      <x:c r="H118" s="411" t="str">
        <x:v>Required dependencies and test fixtures are available.</x:v>
      </x:c>
      <x:c r="I118" s="411" t="str">
        <x:v>Configure the platform for v0.1.10; execute the nominal workflow for goal timeout and cancellation policy; collect logs and evidence.</x:v>
      </x:c>
      <x:c r="J118" s="411" t="str">
        <x:v>Declared acceptance criteria pass and no existing regression test fails.</x:v>
      </x:c>
      <x:c r="K118" s="488" t="str">
        <x:v>Planned</x:v>
      </x:c>
      <x:c r="L118" s="488" t="str">
        <x:v>Not Run</x:v>
      </x:c>
      <x:c r="M118" s="488" t="str">
        <x:v>Critical</x:v>
      </x:c>
      <x:c r="N118" s="411" t="str">
        <x:v>ROS 2 Jazzy + Gazebo Harmonic</x:v>
      </x:c>
      <x:c r="O118" s="460"/>
      <x:c r="P118" s="411" t="str"/>
      <x:c r="Q118" s="411" t="str"/>
      <x:c r="R118" s="411" t="str"/>
      <x:c r="S118" s="411" t="str">
        <x:v>Devansh</x:v>
      </x:c>
      <x:c r="T118" s="411" t="str"/>
      <x:c r="U118" s="411" t="str">
        <x:v>tc_0114</x:v>
      </x:c>
      <x:c r="V118" s="373"/>
      <x:c r="W118" s="373"/>
      <x:c r="X118" s="373"/>
      <x:c r="Y118" s="373"/>
      <x:c r="Z118" s="373"/>
    </x:row>
    <x:row r="119">
      <x:c r="A119" s="411" t="str">
        <x:v>TC-0115</x:v>
      </x:c>
      <x:c r="B119" s="411" t="str">
        <x:v>v0.1.10</x:v>
      </x:c>
      <x:c r="C119" s="411" t="str">
        <x:v>Fault</x:v>
      </x:c>
      <x:c r="D119" s="411" t="str">
        <x:v>F-NAV-003</x:v>
      </x:c>
      <x:c r="E119" s="411" t="str">
        <x:v>REQ-077</x:v>
      </x:c>
      <x:c r="F119" s="411" t="str">
        <x:v>Goal timeout and cancellation policy — failure/recovery path</x:v>
      </x:c>
      <x:c r="G119" s="411" t="str">
        <x:v>Verify safe behavior when the dependencies or inputs for goal timeout and cancellation policy fail.</x:v>
      </x:c>
      <x:c r="H119" s="411" t="str">
        <x:v>Fault injection or controlled dependency stub is available.</x:v>
      </x:c>
      <x:c r="I119" s="411" t="str">
        <x:v>Activate goal timeout and cancellation policy; inject a representative failure; observe state, logs, cleanup, and recovery.</x:v>
      </x:c>
      <x:c r="J119" s="411" t="str">
        <x:v>Failure is detected, unsafe behavior is prevented, cause is reported, and recovery follows policy.</x:v>
      </x:c>
      <x:c r="K119" s="488" t="str">
        <x:v>Planned</x:v>
      </x:c>
      <x:c r="L119" s="488" t="str">
        <x:v>Not Run</x:v>
      </x:c>
      <x:c r="M119" s="488" t="str">
        <x:v>Critical</x:v>
      </x:c>
      <x:c r="N119" s="411" t="str">
        <x:v>ROS 2 Jazzy + Gazebo Harmonic</x:v>
      </x:c>
      <x:c r="O119" s="460"/>
      <x:c r="P119" s="411" t="str"/>
      <x:c r="Q119" s="411" t="str"/>
      <x:c r="R119" s="411" t="str"/>
      <x:c r="S119" s="411" t="str">
        <x:v>Devansh</x:v>
      </x:c>
      <x:c r="T119" s="411" t="str"/>
      <x:c r="U119" s="411" t="str">
        <x:v>tc_0115</x:v>
      </x:c>
      <x:c r="V119" s="373"/>
      <x:c r="W119" s="373"/>
      <x:c r="X119" s="373"/>
      <x:c r="Y119" s="373"/>
      <x:c r="Z119" s="373"/>
    </x:row>
    <x:row r="120">
      <x:c r="A120" s="411" t="str">
        <x:v>TC-0116</x:v>
      </x:c>
      <x:c r="B120" s="411" t="str">
        <x:v>v0.1.10</x:v>
      </x:c>
      <x:c r="C120" s="411" t="str">
        <x:v>Unit</x:v>
      </x:c>
      <x:c r="D120" s="411" t="str">
        <x:v>F-NAV-004</x:v>
      </x:c>
      <x:c r="E120" s="411" t="str">
        <x:v>REQ-078</x:v>
      </x:c>
      <x:c r="F120" s="411" t="str">
        <x:v>Planner/controller tuning — nominal acceptance</x:v>
      </x:c>
      <x:c r="G120" s="411" t="str">
        <x:v>Verify that planner/controller tuning satisfies its declared acceptance criteria.</x:v>
      </x:c>
      <x:c r="H120" s="411" t="str">
        <x:v>Required dependencies and test fixtures are available.</x:v>
      </x:c>
      <x:c r="I120" s="411" t="str">
        <x:v>Configure the platform for v0.1.10; execute the nominal workflow for planner/controller tuning; collect logs and evidence.</x:v>
      </x:c>
      <x:c r="J120" s="411" t="str">
        <x:v>Declared acceptance criteria pass and no existing regression test fails.</x:v>
      </x:c>
      <x:c r="K120" s="488" t="str">
        <x:v>Planned</x:v>
      </x:c>
      <x:c r="L120" s="488" t="str">
        <x:v>Not Run</x:v>
      </x:c>
      <x:c r="M120" s="488" t="str">
        <x:v>High</x:v>
      </x:c>
      <x:c r="N120" s="411" t="str">
        <x:v>ROS 2 Jazzy + Gazebo Harmonic</x:v>
      </x:c>
      <x:c r="O120" s="460"/>
      <x:c r="P120" s="411" t="str"/>
      <x:c r="Q120" s="411" t="str"/>
      <x:c r="R120" s="411" t="str"/>
      <x:c r="S120" s="411" t="str">
        <x:v>Devansh</x:v>
      </x:c>
      <x:c r="T120" s="411" t="str"/>
      <x:c r="U120" s="411" t="str">
        <x:v>tc_0116</x:v>
      </x:c>
      <x:c r="V120" s="373"/>
      <x:c r="W120" s="373"/>
      <x:c r="X120" s="373"/>
      <x:c r="Y120" s="373"/>
      <x:c r="Z120" s="373"/>
    </x:row>
    <x:row r="121">
      <x:c r="A121" s="411" t="str">
        <x:v>TC-0117</x:v>
      </x:c>
      <x:c r="B121" s="411" t="str">
        <x:v>v0.1.10</x:v>
      </x:c>
      <x:c r="C121" s="411" t="str">
        <x:v>Unit</x:v>
      </x:c>
      <x:c r="D121" s="411" t="str">
        <x:v>F-NAV-005</x:v>
      </x:c>
      <x:c r="E121" s="411" t="str">
        <x:v>REQ-079</x:v>
      </x:c>
      <x:c r="F121" s="411" t="str">
        <x:v>Costmap and footprint tuning — nominal acceptance</x:v>
      </x:c>
      <x:c r="G121" s="411" t="str">
        <x:v>Verify that costmap and footprint tuning satisfies its declared acceptance criteria.</x:v>
      </x:c>
      <x:c r="H121" s="411" t="str">
        <x:v>Required dependencies and test fixtures are available.</x:v>
      </x:c>
      <x:c r="I121" s="411" t="str">
        <x:v>Configure the platform for v0.1.10; execute the nominal workflow for costmap and footprint tuning; collect logs and evidence.</x:v>
      </x:c>
      <x:c r="J121" s="411" t="str">
        <x:v>Declared acceptance criteria pass and no existing regression test fails.</x:v>
      </x:c>
      <x:c r="K121" s="488" t="str">
        <x:v>Planned</x:v>
      </x:c>
      <x:c r="L121" s="488" t="str">
        <x:v>Not Run</x:v>
      </x:c>
      <x:c r="M121" s="488" t="str">
        <x:v>High</x:v>
      </x:c>
      <x:c r="N121" s="411" t="str">
        <x:v>ROS 2 Jazzy + Gazebo Harmonic</x:v>
      </x:c>
      <x:c r="O121" s="460"/>
      <x:c r="P121" s="411" t="str"/>
      <x:c r="Q121" s="411" t="str"/>
      <x:c r="R121" s="411" t="str"/>
      <x:c r="S121" s="411" t="str">
        <x:v>Devansh</x:v>
      </x:c>
      <x:c r="T121" s="411" t="str"/>
      <x:c r="U121" s="411" t="str">
        <x:v>tc_0117</x:v>
      </x:c>
      <x:c r="V121" s="373"/>
      <x:c r="W121" s="373"/>
      <x:c r="X121" s="373"/>
      <x:c r="Y121" s="373"/>
      <x:c r="Z121" s="373"/>
    </x:row>
    <x:row r="122">
      <x:c r="A122" s="411" t="str">
        <x:v>TC-0118</x:v>
      </x:c>
      <x:c r="B122" s="411" t="str">
        <x:v>v0.1.10</x:v>
      </x:c>
      <x:c r="C122" s="411" t="str">
        <x:v>Integration</x:v>
      </x:c>
      <x:c r="D122" s="411" t="str">
        <x:v>F-NAV-006</x:v>
      </x:c>
      <x:c r="E122" s="411" t="str">
        <x:v>REQ-080</x:v>
      </x:c>
      <x:c r="F122" s="411" t="str">
        <x:v>Navigation scenario suite — nominal acceptance</x:v>
      </x:c>
      <x:c r="G122" s="411" t="str">
        <x:v>Verify that navigation scenario suite satisfies its declared acceptance criteria.</x:v>
      </x:c>
      <x:c r="H122" s="411" t="str">
        <x:v>Required dependencies and test fixtures are available.</x:v>
      </x:c>
      <x:c r="I122" s="411" t="str">
        <x:v>Configure the platform for v0.1.10; execute the nominal workflow for navigation scenario suite; collect logs and evidence.</x:v>
      </x:c>
      <x:c r="J122" s="411" t="str">
        <x:v>Declared acceptance criteria pass and no existing regression test fails.</x:v>
      </x:c>
      <x:c r="K122" s="488" t="str">
        <x:v>Planned</x:v>
      </x:c>
      <x:c r="L122" s="488" t="str">
        <x:v>Not Run</x:v>
      </x:c>
      <x:c r="M122" s="488" t="str">
        <x:v>Critical</x:v>
      </x:c>
      <x:c r="N122" s="411" t="str">
        <x:v>ROS 2 Jazzy + Gazebo Harmonic</x:v>
      </x:c>
      <x:c r="O122" s="460"/>
      <x:c r="P122" s="411" t="str"/>
      <x:c r="Q122" s="411" t="str"/>
      <x:c r="R122" s="411" t="str"/>
      <x:c r="S122" s="411" t="str">
        <x:v>Devansh</x:v>
      </x:c>
      <x:c r="T122" s="411" t="str"/>
      <x:c r="U122" s="411" t="str">
        <x:v>tc_0118</x:v>
      </x:c>
      <x:c r="V122" s="373"/>
      <x:c r="W122" s="373"/>
      <x:c r="X122" s="373"/>
      <x:c r="Y122" s="373"/>
      <x:c r="Z122" s="373"/>
    </x:row>
    <x:row r="123">
      <x:c r="A123" s="411" t="str">
        <x:v>TC-0119</x:v>
      </x:c>
      <x:c r="B123" s="411" t="str">
        <x:v>v0.1.10</x:v>
      </x:c>
      <x:c r="C123" s="411" t="str">
        <x:v>Fault</x:v>
      </x:c>
      <x:c r="D123" s="411" t="str">
        <x:v>F-NAV-006</x:v>
      </x:c>
      <x:c r="E123" s="411" t="str">
        <x:v>REQ-080</x:v>
      </x:c>
      <x:c r="F123" s="411" t="str">
        <x:v>Navigation scenario suite — failure/recovery path</x:v>
      </x:c>
      <x:c r="G123" s="411" t="str">
        <x:v>Verify safe behavior when the dependencies or inputs for navigation scenario suite fail.</x:v>
      </x:c>
      <x:c r="H123" s="411" t="str">
        <x:v>Fault injection or controlled dependency stub is available.</x:v>
      </x:c>
      <x:c r="I123" s="411" t="str">
        <x:v>Activate navigation scenario suite; inject a representative failure; observe state, logs, cleanup, and recovery.</x:v>
      </x:c>
      <x:c r="J123" s="411" t="str">
        <x:v>Failure is detected, unsafe behavior is prevented, cause is reported, and recovery follows policy.</x:v>
      </x:c>
      <x:c r="K123" s="488" t="str">
        <x:v>Planned</x:v>
      </x:c>
      <x:c r="L123" s="488" t="str">
        <x:v>Not Run</x:v>
      </x:c>
      <x:c r="M123" s="488" t="str">
        <x:v>Critical</x:v>
      </x:c>
      <x:c r="N123" s="411" t="str">
        <x:v>ROS 2 Jazzy + Gazebo Harmonic</x:v>
      </x:c>
      <x:c r="O123" s="460"/>
      <x:c r="P123" s="411" t="str"/>
      <x:c r="Q123" s="411" t="str"/>
      <x:c r="R123" s="411" t="str"/>
      <x:c r="S123" s="411" t="str">
        <x:v>Devansh</x:v>
      </x:c>
      <x:c r="T123" s="411" t="str"/>
      <x:c r="U123" s="411" t="str">
        <x:v>tc_0119</x:v>
      </x:c>
      <x:c r="V123" s="373"/>
      <x:c r="W123" s="373"/>
      <x:c r="X123" s="373"/>
      <x:c r="Y123" s="373"/>
      <x:c r="Z123" s="373"/>
    </x:row>
    <x:row r="124">
      <x:c r="A124" s="411" t="str">
        <x:v>TC-0120</x:v>
      </x:c>
      <x:c r="B124" s="411" t="str">
        <x:v>v0.1.10</x:v>
      </x:c>
      <x:c r="C124" s="411" t="str">
        <x:v>Integration</x:v>
      </x:c>
      <x:c r="D124" s="411" t="str">
        <x:v>F-NAV-007</x:v>
      </x:c>
      <x:c r="E124" s="411" t="str">
        <x:v>REQ-081</x:v>
      </x:c>
      <x:c r="F124" s="411" t="str">
        <x:v>Navigation metrics report — nominal acceptance</x:v>
      </x:c>
      <x:c r="G124" s="411" t="str">
        <x:v>Verify that navigation metrics report satisfies its declared acceptance criteria.</x:v>
      </x:c>
      <x:c r="H124" s="411" t="str">
        <x:v>Required dependencies and test fixtures are available.</x:v>
      </x:c>
      <x:c r="I124" s="411" t="str">
        <x:v>Configure the platform for v0.1.10; execute the nominal workflow for navigation metrics report; collect logs and evidence.</x:v>
      </x:c>
      <x:c r="J124" s="411" t="str">
        <x:v>Declared acceptance criteria pass and no existing regression test fails.</x:v>
      </x:c>
      <x:c r="K124" s="488" t="str">
        <x:v>Planned</x:v>
      </x:c>
      <x:c r="L124" s="488" t="str">
        <x:v>Not Run</x:v>
      </x:c>
      <x:c r="M124" s="488" t="str">
        <x:v>Critical</x:v>
      </x:c>
      <x:c r="N124" s="411" t="str">
        <x:v>ROS 2 Jazzy + Gazebo Harmonic</x:v>
      </x:c>
      <x:c r="O124" s="460"/>
      <x:c r="P124" s="411" t="str"/>
      <x:c r="Q124" s="411" t="str"/>
      <x:c r="R124" s="411" t="str"/>
      <x:c r="S124" s="411" t="str">
        <x:v>Devansh</x:v>
      </x:c>
      <x:c r="T124" s="411" t="str"/>
      <x:c r="U124" s="411" t="str">
        <x:v>tc_0120</x:v>
      </x:c>
      <x:c r="V124" s="373"/>
      <x:c r="W124" s="373"/>
      <x:c r="X124" s="373"/>
      <x:c r="Y124" s="373"/>
      <x:c r="Z124" s="373"/>
    </x:row>
    <x:row r="125">
      <x:c r="A125" s="411" t="str">
        <x:v>TC-0121</x:v>
      </x:c>
      <x:c r="B125" s="411" t="str">
        <x:v>v0.1.10</x:v>
      </x:c>
      <x:c r="C125" s="411" t="str">
        <x:v>Fault</x:v>
      </x:c>
      <x:c r="D125" s="411" t="str">
        <x:v>F-NAV-007</x:v>
      </x:c>
      <x:c r="E125" s="411" t="str">
        <x:v>REQ-081</x:v>
      </x:c>
      <x:c r="F125" s="411" t="str">
        <x:v>Navigation metrics report — failure/recovery path</x:v>
      </x:c>
      <x:c r="G125" s="411" t="str">
        <x:v>Verify safe behavior when the dependencies or inputs for navigation metrics report fail.</x:v>
      </x:c>
      <x:c r="H125" s="411" t="str">
        <x:v>Fault injection or controlled dependency stub is available.</x:v>
      </x:c>
      <x:c r="I125" s="411" t="str">
        <x:v>Activate navigation metrics report; inject a representative failure; observe state, logs, cleanup, and recovery.</x:v>
      </x:c>
      <x:c r="J125" s="411" t="str">
        <x:v>Failure is detected, unsafe behavior is prevented, cause is reported, and recovery follows policy.</x:v>
      </x:c>
      <x:c r="K125" s="488" t="str">
        <x:v>Planned</x:v>
      </x:c>
      <x:c r="L125" s="488" t="str">
        <x:v>Not Run</x:v>
      </x:c>
      <x:c r="M125" s="488" t="str">
        <x:v>Critical</x:v>
      </x:c>
      <x:c r="N125" s="411" t="str">
        <x:v>ROS 2 Jazzy + Gazebo Harmonic</x:v>
      </x:c>
      <x:c r="O125" s="460"/>
      <x:c r="P125" s="411" t="str"/>
      <x:c r="Q125" s="411" t="str"/>
      <x:c r="R125" s="411" t="str"/>
      <x:c r="S125" s="411" t="str">
        <x:v>Devansh</x:v>
      </x:c>
      <x:c r="T125" s="411" t="str"/>
      <x:c r="U125" s="411" t="str">
        <x:v>tc_0121</x:v>
      </x:c>
      <x:c r="V125" s="373"/>
      <x:c r="W125" s="373"/>
      <x:c r="X125" s="373"/>
      <x:c r="Y125" s="373"/>
      <x:c r="Z125" s="373"/>
    </x:row>
    <x:row r="126">
      <x:c r="A126" s="411" t="str">
        <x:v>TC-0122</x:v>
      </x:c>
      <x:c r="B126" s="411" t="str">
        <x:v>v0.1.10</x:v>
      </x:c>
      <x:c r="C126" s="411" t="str">
        <x:v>Unit</x:v>
      </x:c>
      <x:c r="D126" s="411" t="str">
        <x:v>F-NAV-008</x:v>
      </x:c>
      <x:c r="E126" s="411" t="str">
        <x:v>REQ-082</x:v>
      </x:c>
      <x:c r="F126" s="411" t="str">
        <x:v>Navigation recovery verification — nominal acceptance</x:v>
      </x:c>
      <x:c r="G126" s="411" t="str">
        <x:v>Verify that navigation recovery verification satisfies its declared acceptance criteria.</x:v>
      </x:c>
      <x:c r="H126" s="411" t="str">
        <x:v>Required dependencies and test fixtures are available.</x:v>
      </x:c>
      <x:c r="I126" s="411" t="str">
        <x:v>Configure the platform for v0.1.10; execute the nominal workflow for navigation recovery verification; collect logs and evidence.</x:v>
      </x:c>
      <x:c r="J126" s="411" t="str">
        <x:v>Declared acceptance criteria pass and no existing regression test fails.</x:v>
      </x:c>
      <x:c r="K126" s="488" t="str">
        <x:v>Planned</x:v>
      </x:c>
      <x:c r="L126" s="488" t="str">
        <x:v>Not Run</x:v>
      </x:c>
      <x:c r="M126" s="488" t="str">
        <x:v>High</x:v>
      </x:c>
      <x:c r="N126" s="411" t="str">
        <x:v>ROS 2 Jazzy + Gazebo Harmonic</x:v>
      </x:c>
      <x:c r="O126" s="460"/>
      <x:c r="P126" s="411" t="str"/>
      <x:c r="Q126" s="411" t="str"/>
      <x:c r="R126" s="411" t="str"/>
      <x:c r="S126" s="411" t="str">
        <x:v>Devansh</x:v>
      </x:c>
      <x:c r="T126" s="411" t="str"/>
      <x:c r="U126" s="411" t="str">
        <x:v>tc_0122</x:v>
      </x:c>
      <x:c r="V126" s="373"/>
      <x:c r="W126" s="373"/>
      <x:c r="X126" s="373"/>
      <x:c r="Y126" s="373"/>
      <x:c r="Z126" s="373"/>
    </x:row>
    <x:row r="127">
      <x:c r="A127" s="411" t="str">
        <x:v>TC-0123</x:v>
      </x:c>
      <x:c r="B127" s="411" t="str">
        <x:v>v0.1.11</x:v>
      </x:c>
      <x:c r="C127" s="411" t="str">
        <x:v>Integration</x:v>
      </x:c>
      <x:c r="D127" s="411" t="str">
        <x:v>F-FAULT-001</x:v>
      </x:c>
      <x:c r="E127" s="411" t="str">
        <x:v>REQ-083</x:v>
      </x:c>
      <x:c r="F127" s="411" t="str">
        <x:v>Fault-injection framework — nominal acceptance</x:v>
      </x:c>
      <x:c r="G127" s="411" t="str">
        <x:v>Verify that fault-injection framework satisfies its declared acceptance criteria.</x:v>
      </x:c>
      <x:c r="H127" s="411" t="str">
        <x:v>Required dependencies and test fixtures are available.</x:v>
      </x:c>
      <x:c r="I127" s="411" t="str">
        <x:v>Configure the platform for v0.1.11; execute the nominal workflow for fault-injection framework; collect logs and evidence.</x:v>
      </x:c>
      <x:c r="J127" s="411" t="str">
        <x:v>Declared acceptance criteria pass and no existing regression test fails.</x:v>
      </x:c>
      <x:c r="K127" s="488" t="str">
        <x:v>Planned</x:v>
      </x:c>
      <x:c r="L127" s="488" t="str">
        <x:v>Not Run</x:v>
      </x:c>
      <x:c r="M127" s="488" t="str">
        <x:v>Critical</x:v>
      </x:c>
      <x:c r="N127" s="411" t="str">
        <x:v>ROS 2 Jazzy + Gazebo Harmonic</x:v>
      </x:c>
      <x:c r="O127" s="460"/>
      <x:c r="P127" s="411" t="str"/>
      <x:c r="Q127" s="411" t="str"/>
      <x:c r="R127" s="411" t="str"/>
      <x:c r="S127" s="411" t="str">
        <x:v>Devansh</x:v>
      </x:c>
      <x:c r="T127" s="411" t="str"/>
      <x:c r="U127" s="411" t="str">
        <x:v>tc_0123</x:v>
      </x:c>
      <x:c r="V127" s="373"/>
      <x:c r="W127" s="373"/>
      <x:c r="X127" s="373"/>
      <x:c r="Y127" s="373"/>
      <x:c r="Z127" s="373"/>
    </x:row>
    <x:row r="128">
      <x:c r="A128" s="411" t="str">
        <x:v>TC-0124</x:v>
      </x:c>
      <x:c r="B128" s="411" t="str">
        <x:v>v0.1.11</x:v>
      </x:c>
      <x:c r="C128" s="411" t="str">
        <x:v>Fault</x:v>
      </x:c>
      <x:c r="D128" s="411" t="str">
        <x:v>F-FAULT-001</x:v>
      </x:c>
      <x:c r="E128" s="411" t="str">
        <x:v>REQ-083</x:v>
      </x:c>
      <x:c r="F128" s="411" t="str">
        <x:v>Fault-injection framework — failure/recovery path</x:v>
      </x:c>
      <x:c r="G128" s="411" t="str">
        <x:v>Verify safe behavior when the dependencies or inputs for fault-injection framework fail.</x:v>
      </x:c>
      <x:c r="H128" s="411" t="str">
        <x:v>Fault injection or controlled dependency stub is available.</x:v>
      </x:c>
      <x:c r="I128" s="411" t="str">
        <x:v>Activate fault-injection framework; inject a representative failure; observe state, logs, cleanup, and recovery.</x:v>
      </x:c>
      <x:c r="J128" s="411" t="str">
        <x:v>Failure is detected, unsafe behavior is prevented, cause is reported, and recovery follows policy.</x:v>
      </x:c>
      <x:c r="K128" s="488" t="str">
        <x:v>Planned</x:v>
      </x:c>
      <x:c r="L128" s="488" t="str">
        <x:v>Not Run</x:v>
      </x:c>
      <x:c r="M128" s="488" t="str">
        <x:v>Critical</x:v>
      </x:c>
      <x:c r="N128" s="411" t="str">
        <x:v>ROS 2 Jazzy + Gazebo Harmonic</x:v>
      </x:c>
      <x:c r="O128" s="460"/>
      <x:c r="P128" s="411" t="str"/>
      <x:c r="Q128" s="411" t="str"/>
      <x:c r="R128" s="411" t="str"/>
      <x:c r="S128" s="411" t="str">
        <x:v>Devansh</x:v>
      </x:c>
      <x:c r="T128" s="411" t="str"/>
      <x:c r="U128" s="411" t="str">
        <x:v>tc_0124</x:v>
      </x:c>
      <x:c r="V128" s="373"/>
      <x:c r="W128" s="373"/>
      <x:c r="X128" s="373"/>
      <x:c r="Y128" s="373"/>
      <x:c r="Z128" s="373"/>
    </x:row>
    <x:row r="129">
      <x:c r="A129" s="411" t="str">
        <x:v>TC-0125</x:v>
      </x:c>
      <x:c r="B129" s="411" t="str">
        <x:v>v0.1.11</x:v>
      </x:c>
      <x:c r="C129" s="411" t="str">
        <x:v>Integration</x:v>
      </x:c>
      <x:c r="D129" s="411" t="str">
        <x:v>F-FAULT-002</x:v>
      </x:c>
      <x:c r="E129" s="411" t="str">
        <x:v>REQ-084</x:v>
      </x:c>
      <x:c r="F129" s="411" t="str">
        <x:v>Sensor fault library — nominal acceptance</x:v>
      </x:c>
      <x:c r="G129" s="411" t="str">
        <x:v>Verify that sensor fault library satisfies its declared acceptance criteria.</x:v>
      </x:c>
      <x:c r="H129" s="411" t="str">
        <x:v>Required dependencies and test fixtures are available.</x:v>
      </x:c>
      <x:c r="I129" s="411" t="str">
        <x:v>Configure the platform for v0.1.11; execute the nominal workflow for sensor fault library; collect logs and evidence.</x:v>
      </x:c>
      <x:c r="J129" s="411" t="str">
        <x:v>Declared acceptance criteria pass and no existing regression test fails.</x:v>
      </x:c>
      <x:c r="K129" s="488" t="str">
        <x:v>Planned</x:v>
      </x:c>
      <x:c r="L129" s="488" t="str">
        <x:v>Not Run</x:v>
      </x:c>
      <x:c r="M129" s="488" t="str">
        <x:v>Critical</x:v>
      </x:c>
      <x:c r="N129" s="411" t="str">
        <x:v>ROS 2 Jazzy + Gazebo Harmonic</x:v>
      </x:c>
      <x:c r="O129" s="460"/>
      <x:c r="P129" s="411" t="str"/>
      <x:c r="Q129" s="411" t="str"/>
      <x:c r="R129" s="411" t="str"/>
      <x:c r="S129" s="411" t="str">
        <x:v>Devansh</x:v>
      </x:c>
      <x:c r="T129" s="411" t="str"/>
      <x:c r="U129" s="411" t="str">
        <x:v>tc_0125</x:v>
      </x:c>
      <x:c r="V129" s="373"/>
      <x:c r="W129" s="373"/>
      <x:c r="X129" s="373"/>
      <x:c r="Y129" s="373"/>
      <x:c r="Z129" s="373"/>
    </x:row>
    <x:row r="130">
      <x:c r="A130" s="411" t="str">
        <x:v>TC-0126</x:v>
      </x:c>
      <x:c r="B130" s="411" t="str">
        <x:v>v0.1.11</x:v>
      </x:c>
      <x:c r="C130" s="411" t="str">
        <x:v>Fault</x:v>
      </x:c>
      <x:c r="D130" s="411" t="str">
        <x:v>F-FAULT-002</x:v>
      </x:c>
      <x:c r="E130" s="411" t="str">
        <x:v>REQ-084</x:v>
      </x:c>
      <x:c r="F130" s="411" t="str">
        <x:v>Sensor fault library — failure/recovery path</x:v>
      </x:c>
      <x:c r="G130" s="411" t="str">
        <x:v>Verify safe behavior when the dependencies or inputs for sensor fault library fail.</x:v>
      </x:c>
      <x:c r="H130" s="411" t="str">
        <x:v>Fault injection or controlled dependency stub is available.</x:v>
      </x:c>
      <x:c r="I130" s="411" t="str">
        <x:v>Activate sensor fault library; inject a representative failure; observe state, logs, cleanup, and recovery.</x:v>
      </x:c>
      <x:c r="J130" s="411" t="str">
        <x:v>Failure is detected, unsafe behavior is prevented, cause is reported, and recovery follows policy.</x:v>
      </x:c>
      <x:c r="K130" s="488" t="str">
        <x:v>Planned</x:v>
      </x:c>
      <x:c r="L130" s="488" t="str">
        <x:v>Not Run</x:v>
      </x:c>
      <x:c r="M130" s="488" t="str">
        <x:v>Critical</x:v>
      </x:c>
      <x:c r="N130" s="411" t="str">
        <x:v>ROS 2 Jazzy + Gazebo Harmonic</x:v>
      </x:c>
      <x:c r="O130" s="460"/>
      <x:c r="P130" s="411" t="str"/>
      <x:c r="Q130" s="411" t="str"/>
      <x:c r="R130" s="411" t="str"/>
      <x:c r="S130" s="411" t="str">
        <x:v>Devansh</x:v>
      </x:c>
      <x:c r="T130" s="411" t="str"/>
      <x:c r="U130" s="411" t="str">
        <x:v>tc_0126</x:v>
      </x:c>
      <x:c r="V130" s="373"/>
      <x:c r="W130" s="373"/>
      <x:c r="X130" s="373"/>
      <x:c r="Y130" s="373"/>
      <x:c r="Z130" s="373"/>
    </x:row>
    <x:row r="131">
      <x:c r="A131" s="411" t="str">
        <x:v>TC-0127</x:v>
      </x:c>
      <x:c r="B131" s="411" t="str">
        <x:v>v0.1.11</x:v>
      </x:c>
      <x:c r="C131" s="411" t="str">
        <x:v>Integration</x:v>
      </x:c>
      <x:c r="D131" s="411" t="str">
        <x:v>F-FAULT-003</x:v>
      </x:c>
      <x:c r="E131" s="411" t="str">
        <x:v>REQ-085</x:v>
      </x:c>
      <x:c r="F131" s="411" t="str">
        <x:v>State/TF/controller fault library — nominal acceptance</x:v>
      </x:c>
      <x:c r="G131" s="411" t="str">
        <x:v>Verify that state/tf/controller fault library satisfies its declared acceptance criteria.</x:v>
      </x:c>
      <x:c r="H131" s="411" t="str">
        <x:v>Required dependencies and test fixtures are available.</x:v>
      </x:c>
      <x:c r="I131" s="411" t="str">
        <x:v>Configure the platform for v0.1.11; execute the nominal workflow for state/tf/controller fault library; collect logs and evidence.</x:v>
      </x:c>
      <x:c r="J131" s="411" t="str">
        <x:v>Declared acceptance criteria pass and no existing regression test fails.</x:v>
      </x:c>
      <x:c r="K131" s="488" t="str">
        <x:v>Planned</x:v>
      </x:c>
      <x:c r="L131" s="488" t="str">
        <x:v>Not Run</x:v>
      </x:c>
      <x:c r="M131" s="488" t="str">
        <x:v>Critical</x:v>
      </x:c>
      <x:c r="N131" s="411" t="str">
        <x:v>ROS 2 Jazzy + Gazebo Harmonic</x:v>
      </x:c>
      <x:c r="O131" s="460"/>
      <x:c r="P131" s="411" t="str"/>
      <x:c r="Q131" s="411" t="str"/>
      <x:c r="R131" s="411" t="str"/>
      <x:c r="S131" s="411" t="str">
        <x:v>Devansh</x:v>
      </x:c>
      <x:c r="T131" s="411" t="str"/>
      <x:c r="U131" s="411" t="str">
        <x:v>tc_0127</x:v>
      </x:c>
      <x:c r="V131" s="373"/>
      <x:c r="W131" s="373"/>
      <x:c r="X131" s="373"/>
      <x:c r="Y131" s="373"/>
      <x:c r="Z131" s="373"/>
    </x:row>
    <x:row r="132">
      <x:c r="A132" s="411" t="str">
        <x:v>TC-0128</x:v>
      </x:c>
      <x:c r="B132" s="411" t="str">
        <x:v>v0.1.11</x:v>
      </x:c>
      <x:c r="C132" s="411" t="str">
        <x:v>Fault</x:v>
      </x:c>
      <x:c r="D132" s="411" t="str">
        <x:v>F-FAULT-003</x:v>
      </x:c>
      <x:c r="E132" s="411" t="str">
        <x:v>REQ-085</x:v>
      </x:c>
      <x:c r="F132" s="411" t="str">
        <x:v>State/TF/controller fault library — failure/recovery path</x:v>
      </x:c>
      <x:c r="G132" s="411" t="str">
        <x:v>Verify safe behavior when the dependencies or inputs for state/tf/controller fault library fail.</x:v>
      </x:c>
      <x:c r="H132" s="411" t="str">
        <x:v>Fault injection or controlled dependency stub is available.</x:v>
      </x:c>
      <x:c r="I132" s="411" t="str">
        <x:v>Activate state/tf/controller fault library; inject a representative failure; observe state, logs, cleanup, and recovery.</x:v>
      </x:c>
      <x:c r="J132" s="411" t="str">
        <x:v>Failure is detected, unsafe behavior is prevented, cause is reported, and recovery follows policy.</x:v>
      </x:c>
      <x:c r="K132" s="488" t="str">
        <x:v>Planned</x:v>
      </x:c>
      <x:c r="L132" s="488" t="str">
        <x:v>Not Run</x:v>
      </x:c>
      <x:c r="M132" s="488" t="str">
        <x:v>Critical</x:v>
      </x:c>
      <x:c r="N132" s="411" t="str">
        <x:v>ROS 2 Jazzy + Gazebo Harmonic</x:v>
      </x:c>
      <x:c r="O132" s="460"/>
      <x:c r="P132" s="411" t="str"/>
      <x:c r="Q132" s="411" t="str"/>
      <x:c r="R132" s="411" t="str"/>
      <x:c r="S132" s="411" t="str">
        <x:v>Devansh</x:v>
      </x:c>
      <x:c r="T132" s="411" t="str"/>
      <x:c r="U132" s="411" t="str">
        <x:v>tc_0128</x:v>
      </x:c>
      <x:c r="V132" s="373"/>
      <x:c r="W132" s="373"/>
      <x:c r="X132" s="373"/>
      <x:c r="Y132" s="373"/>
      <x:c r="Z132" s="373"/>
    </x:row>
    <x:row r="133">
      <x:c r="A133" s="411" t="str">
        <x:v>TC-0129</x:v>
      </x:c>
      <x:c r="B133" s="411" t="str">
        <x:v>v0.1.11</x:v>
      </x:c>
      <x:c r="C133" s="411" t="str">
        <x:v>Integration</x:v>
      </x:c>
      <x:c r="D133" s="411" t="str">
        <x:v>F-E2E-001</x:v>
      </x:c>
      <x:c r="E133" s="411" t="str">
        <x:v>REQ-086</x:v>
      </x:c>
      <x:c r="F133" s="411" t="str">
        <x:v>End-to-end verification runner — nominal acceptance</x:v>
      </x:c>
      <x:c r="G133" s="411" t="str">
        <x:v>Verify that end-to-end verification runner satisfies its declared acceptance criteria.</x:v>
      </x:c>
      <x:c r="H133" s="411" t="str">
        <x:v>Required dependencies and test fixtures are available.</x:v>
      </x:c>
      <x:c r="I133" s="411" t="str">
        <x:v>Configure the platform for v0.1.11; execute the nominal workflow for end-to-end verification runner; collect logs and evidence.</x:v>
      </x:c>
      <x:c r="J133" s="411" t="str">
        <x:v>Declared acceptance criteria pass and no existing regression test fails.</x:v>
      </x:c>
      <x:c r="K133" s="488" t="str">
        <x:v>Planned</x:v>
      </x:c>
      <x:c r="L133" s="488" t="str">
        <x:v>Not Run</x:v>
      </x:c>
      <x:c r="M133" s="488" t="str">
        <x:v>Critical</x:v>
      </x:c>
      <x:c r="N133" s="411" t="str">
        <x:v>ROS 2 Jazzy + Gazebo Harmonic</x:v>
      </x:c>
      <x:c r="O133" s="460"/>
      <x:c r="P133" s="411" t="str"/>
      <x:c r="Q133" s="411" t="str"/>
      <x:c r="R133" s="411" t="str"/>
      <x:c r="S133" s="411" t="str">
        <x:v>Devansh</x:v>
      </x:c>
      <x:c r="T133" s="411" t="str"/>
      <x:c r="U133" s="411" t="str">
        <x:v>tc_0129</x:v>
      </x:c>
      <x:c r="V133" s="373"/>
      <x:c r="W133" s="373"/>
      <x:c r="X133" s="373"/>
      <x:c r="Y133" s="373"/>
      <x:c r="Z133" s="373"/>
    </x:row>
    <x:row r="134">
      <x:c r="A134" s="411" t="str">
        <x:v>TC-0130</x:v>
      </x:c>
      <x:c r="B134" s="411" t="str">
        <x:v>v0.1.11</x:v>
      </x:c>
      <x:c r="C134" s="411" t="str">
        <x:v>Fault</x:v>
      </x:c>
      <x:c r="D134" s="411" t="str">
        <x:v>F-E2E-001</x:v>
      </x:c>
      <x:c r="E134" s="411" t="str">
        <x:v>REQ-086</x:v>
      </x:c>
      <x:c r="F134" s="411" t="str">
        <x:v>End-to-end verification runner — failure/recovery path</x:v>
      </x:c>
      <x:c r="G134" s="411" t="str">
        <x:v>Verify safe behavior when the dependencies or inputs for end-to-end verification runner fail.</x:v>
      </x:c>
      <x:c r="H134" s="411" t="str">
        <x:v>Fault injection or controlled dependency stub is available.</x:v>
      </x:c>
      <x:c r="I134" s="411" t="str">
        <x:v>Activate end-to-end verification runner; inject a representative failure; observe state, logs, cleanup, and recovery.</x:v>
      </x:c>
      <x:c r="J134" s="411" t="str">
        <x:v>Failure is detected, unsafe behavior is prevented, cause is reported, and recovery follows policy.</x:v>
      </x:c>
      <x:c r="K134" s="488" t="str">
        <x:v>Planned</x:v>
      </x:c>
      <x:c r="L134" s="488" t="str">
        <x:v>Not Run</x:v>
      </x:c>
      <x:c r="M134" s="488" t="str">
        <x:v>Critical</x:v>
      </x:c>
      <x:c r="N134" s="411" t="str">
        <x:v>ROS 2 Jazzy + Gazebo Harmonic</x:v>
      </x:c>
      <x:c r="O134" s="460"/>
      <x:c r="P134" s="411" t="str"/>
      <x:c r="Q134" s="411" t="str"/>
      <x:c r="R134" s="411" t="str"/>
      <x:c r="S134" s="411" t="str">
        <x:v>Devansh</x:v>
      </x:c>
      <x:c r="T134" s="411" t="str"/>
      <x:c r="U134" s="411" t="str">
        <x:v>tc_0130</x:v>
      </x:c>
      <x:c r="V134" s="373"/>
      <x:c r="W134" s="373"/>
      <x:c r="X134" s="373"/>
      <x:c r="Y134" s="373"/>
      <x:c r="Z134" s="373"/>
    </x:row>
    <x:row r="135">
      <x:c r="A135" s="411" t="str">
        <x:v>TC-0131</x:v>
      </x:c>
      <x:c r="B135" s="411" t="str">
        <x:v>v0.1.11</x:v>
      </x:c>
      <x:c r="C135" s="411" t="str">
        <x:v>Integration</x:v>
      </x:c>
      <x:c r="D135" s="411" t="str">
        <x:v>F-SAFE-001</x:v>
      </x:c>
      <x:c r="E135" s="411" t="str">
        <x:v>REQ-087</x:v>
      </x:c>
      <x:c r="F135" s="411" t="str">
        <x:v>Safety regression suite — nominal acceptance</x:v>
      </x:c>
      <x:c r="G135" s="411" t="str">
        <x:v>Verify that safety regression suite satisfies its declared acceptance criteria.</x:v>
      </x:c>
      <x:c r="H135" s="411" t="str">
        <x:v>Required dependencies and test fixtures are available.</x:v>
      </x:c>
      <x:c r="I135" s="411" t="str">
        <x:v>Configure the platform for v0.1.11; execute the nominal workflow for safety regression suite; collect logs and evidence.</x:v>
      </x:c>
      <x:c r="J135" s="411" t="str">
        <x:v>Declared acceptance criteria pass and no existing regression test fails.</x:v>
      </x:c>
      <x:c r="K135" s="488" t="str">
        <x:v>Planned</x:v>
      </x:c>
      <x:c r="L135" s="488" t="str">
        <x:v>Not Run</x:v>
      </x:c>
      <x:c r="M135" s="488" t="str">
        <x:v>Critical</x:v>
      </x:c>
      <x:c r="N135" s="411" t="str">
        <x:v>ROS 2 Jazzy + Gazebo Harmonic</x:v>
      </x:c>
      <x:c r="O135" s="460"/>
      <x:c r="P135" s="411" t="str"/>
      <x:c r="Q135" s="411" t="str"/>
      <x:c r="R135" s="411" t="str"/>
      <x:c r="S135" s="411" t="str">
        <x:v>Devansh</x:v>
      </x:c>
      <x:c r="T135" s="411" t="str"/>
      <x:c r="U135" s="411" t="str">
        <x:v>tc_0131</x:v>
      </x:c>
      <x:c r="V135" s="373"/>
      <x:c r="W135" s="373"/>
      <x:c r="X135" s="373"/>
      <x:c r="Y135" s="373"/>
      <x:c r="Z135" s="373"/>
    </x:row>
    <x:row r="136">
      <x:c r="A136" s="411" t="str">
        <x:v>TC-0132</x:v>
      </x:c>
      <x:c r="B136" s="411" t="str">
        <x:v>v0.1.11</x:v>
      </x:c>
      <x:c r="C136" s="411" t="str">
        <x:v>Fault</x:v>
      </x:c>
      <x:c r="D136" s="411" t="str">
        <x:v>F-SAFE-001</x:v>
      </x:c>
      <x:c r="E136" s="411" t="str">
        <x:v>REQ-087</x:v>
      </x:c>
      <x:c r="F136" s="411" t="str">
        <x:v>Safety regression suite — failure/recovery path</x:v>
      </x:c>
      <x:c r="G136" s="411" t="str">
        <x:v>Verify safe behavior when the dependencies or inputs for safety regression suite fail.</x:v>
      </x:c>
      <x:c r="H136" s="411" t="str">
        <x:v>Fault injection or controlled dependency stub is available.</x:v>
      </x:c>
      <x:c r="I136" s="411" t="str">
        <x:v>Activate safety regression suite; inject a representative failure; observe state, logs, cleanup, and recovery.</x:v>
      </x:c>
      <x:c r="J136" s="411" t="str">
        <x:v>Failure is detected, unsafe behavior is prevented, cause is reported, and recovery follows policy.</x:v>
      </x:c>
      <x:c r="K136" s="488" t="str">
        <x:v>Planned</x:v>
      </x:c>
      <x:c r="L136" s="488" t="str">
        <x:v>Not Run</x:v>
      </x:c>
      <x:c r="M136" s="488" t="str">
        <x:v>Critical</x:v>
      </x:c>
      <x:c r="N136" s="411" t="str">
        <x:v>ROS 2 Jazzy + Gazebo Harmonic</x:v>
      </x:c>
      <x:c r="O136" s="460"/>
      <x:c r="P136" s="411" t="str"/>
      <x:c r="Q136" s="411" t="str"/>
      <x:c r="R136" s="411" t="str"/>
      <x:c r="S136" s="411" t="str">
        <x:v>Devansh</x:v>
      </x:c>
      <x:c r="T136" s="411" t="str"/>
      <x:c r="U136" s="411" t="str">
        <x:v>tc_0132</x:v>
      </x:c>
      <x:c r="V136" s="373"/>
      <x:c r="W136" s="373"/>
      <x:c r="X136" s="373"/>
      <x:c r="Y136" s="373"/>
      <x:c r="Z136" s="373"/>
    </x:row>
    <x:row r="137">
      <x:c r="A137" s="411" t="str">
        <x:v>TC-0133</x:v>
      </x:c>
      <x:c r="B137" s="411" t="str">
        <x:v>v0.1.11</x:v>
      </x:c>
      <x:c r="C137" s="411" t="str">
        <x:v>Unit</x:v>
      </x:c>
      <x:c r="D137" s="411" t="str">
        <x:v>F-REC-001</x:v>
      </x:c>
      <x:c r="E137" s="411" t="str">
        <x:v>REQ-088</x:v>
      </x:c>
      <x:c r="F137" s="411" t="str">
        <x:v>Recovery readiness verification — nominal acceptance</x:v>
      </x:c>
      <x:c r="G137" s="411" t="str">
        <x:v>Verify that recovery readiness verification satisfies its declared acceptance criteria.</x:v>
      </x:c>
      <x:c r="H137" s="411" t="str">
        <x:v>Required dependencies and test fixtures are available.</x:v>
      </x:c>
      <x:c r="I137" s="411" t="str">
        <x:v>Configure the platform for v0.1.11; execute the nominal workflow for recovery readiness verification; collect logs and evidence.</x:v>
      </x:c>
      <x:c r="J137" s="411" t="str">
        <x:v>Declared acceptance criteria pass and no existing regression test fails.</x:v>
      </x:c>
      <x:c r="K137" s="488" t="str">
        <x:v>Planned</x:v>
      </x:c>
      <x:c r="L137" s="488" t="str">
        <x:v>Not Run</x:v>
      </x:c>
      <x:c r="M137" s="488" t="str">
        <x:v>High</x:v>
      </x:c>
      <x:c r="N137" s="411" t="str">
        <x:v>ROS 2 Jazzy + Gazebo Harmonic</x:v>
      </x:c>
      <x:c r="O137" s="460"/>
      <x:c r="P137" s="411" t="str"/>
      <x:c r="Q137" s="411" t="str"/>
      <x:c r="R137" s="411" t="str"/>
      <x:c r="S137" s="411" t="str">
        <x:v>Devansh</x:v>
      </x:c>
      <x:c r="T137" s="411" t="str"/>
      <x:c r="U137" s="411" t="str">
        <x:v>tc_0133</x:v>
      </x:c>
      <x:c r="V137" s="373"/>
      <x:c r="W137" s="373"/>
      <x:c r="X137" s="373"/>
      <x:c r="Y137" s="373"/>
      <x:c r="Z137" s="373"/>
    </x:row>
    <x:row r="138">
      <x:c r="A138" s="411" t="str">
        <x:v>TC-0134</x:v>
      </x:c>
      <x:c r="B138" s="411" t="str">
        <x:v>v0.1.11</x:v>
      </x:c>
      <x:c r="C138" s="411" t="str">
        <x:v>Unit</x:v>
      </x:c>
      <x:c r="D138" s="411" t="str">
        <x:v>F-EVID-001</x:v>
      </x:c>
      <x:c r="E138" s="411" t="str">
        <x:v>REQ-089</x:v>
      </x:c>
      <x:c r="F138" s="411" t="str">
        <x:v>Automated evidence package — nominal acceptance</x:v>
      </x:c>
      <x:c r="G138" s="411" t="str">
        <x:v>Verify that automated evidence package satisfies its declared acceptance criteria.</x:v>
      </x:c>
      <x:c r="H138" s="411" t="str">
        <x:v>Required dependencies and test fixtures are available.</x:v>
      </x:c>
      <x:c r="I138" s="411" t="str">
        <x:v>Configure the platform for v0.1.11; execute the nominal workflow for automated evidence package; collect logs and evidence.</x:v>
      </x:c>
      <x:c r="J138" s="411" t="str">
        <x:v>Declared acceptance criteria pass and no existing regression test fails.</x:v>
      </x:c>
      <x:c r="K138" s="488" t="str">
        <x:v>Planned</x:v>
      </x:c>
      <x:c r="L138" s="488" t="str">
        <x:v>Not Run</x:v>
      </x:c>
      <x:c r="M138" s="488" t="str">
        <x:v>High</x:v>
      </x:c>
      <x:c r="N138" s="411" t="str">
        <x:v>ROS 2 Jazzy + Gazebo Harmonic</x:v>
      </x:c>
      <x:c r="O138" s="460"/>
      <x:c r="P138" s="411" t="str"/>
      <x:c r="Q138" s="411" t="str"/>
      <x:c r="R138" s="411" t="str"/>
      <x:c r="S138" s="411" t="str">
        <x:v>Devansh</x:v>
      </x:c>
      <x:c r="T138" s="411" t="str"/>
      <x:c r="U138" s="411" t="str">
        <x:v>tc_0134</x:v>
      </x:c>
      <x:c r="V138" s="373"/>
      <x:c r="W138" s="373"/>
      <x:c r="X138" s="373"/>
      <x:c r="Y138" s="373"/>
      <x:c r="Z138" s="373"/>
    </x:row>
    <x:row r="139">
      <x:c r="A139" s="411" t="str">
        <x:v>TC-0135</x:v>
      </x:c>
      <x:c r="B139" s="411" t="str">
        <x:v>v0.1.12</x:v>
      </x:c>
      <x:c r="C139" s="411" t="str">
        <x:v>Integration</x:v>
      </x:c>
      <x:c r="D139" s="411" t="str">
        <x:v>F-CI-001</x:v>
      </x:c>
      <x:c r="E139" s="411" t="str">
        <x:v>REQ-090</x:v>
      </x:c>
      <x:c r="F139" s="411" t="str">
        <x:v>Pull-request CI tier — nominal acceptance</x:v>
      </x:c>
      <x:c r="G139" s="411" t="str">
        <x:v>Verify that pull-request ci tier satisfies its declared acceptance criteria.</x:v>
      </x:c>
      <x:c r="H139" s="411" t="str">
        <x:v>Required dependencies and test fixtures are available.</x:v>
      </x:c>
      <x:c r="I139" s="411" t="str">
        <x:v>Configure the platform for v0.1.12; execute the nominal workflow for pull-request ci tier; collect logs and evidence.</x:v>
      </x:c>
      <x:c r="J139" s="411" t="str">
        <x:v>Declared acceptance criteria pass and no existing regression test fails.</x:v>
      </x:c>
      <x:c r="K139" s="488" t="str">
        <x:v>Planned</x:v>
      </x:c>
      <x:c r="L139" s="488" t="str">
        <x:v>Not Run</x:v>
      </x:c>
      <x:c r="M139" s="488" t="str">
        <x:v>Critical</x:v>
      </x:c>
      <x:c r="N139" s="411" t="str">
        <x:v>ROS 2 Jazzy + Gazebo Harmonic</x:v>
      </x:c>
      <x:c r="O139" s="460"/>
      <x:c r="P139" s="411" t="str"/>
      <x:c r="Q139" s="411" t="str"/>
      <x:c r="R139" s="411" t="str"/>
      <x:c r="S139" s="411" t="str">
        <x:v>Devansh</x:v>
      </x:c>
      <x:c r="T139" s="411" t="str"/>
      <x:c r="U139" s="411" t="str">
        <x:v>tc_0135</x:v>
      </x:c>
      <x:c r="V139" s="373"/>
      <x:c r="W139" s="373"/>
      <x:c r="X139" s="373"/>
      <x:c r="Y139" s="373"/>
      <x:c r="Z139" s="373"/>
    </x:row>
    <x:row r="140">
      <x:c r="A140" s="411" t="str">
        <x:v>TC-0136</x:v>
      </x:c>
      <x:c r="B140" s="411" t="str">
        <x:v>v0.1.12</x:v>
      </x:c>
      <x:c r="C140" s="411" t="str">
        <x:v>Fault</x:v>
      </x:c>
      <x:c r="D140" s="411" t="str">
        <x:v>F-CI-001</x:v>
      </x:c>
      <x:c r="E140" s="411" t="str">
        <x:v>REQ-090</x:v>
      </x:c>
      <x:c r="F140" s="411" t="str">
        <x:v>Pull-request CI tier — failure/recovery path</x:v>
      </x:c>
      <x:c r="G140" s="411" t="str">
        <x:v>Verify safe behavior when the dependencies or inputs for pull-request ci tier fail.</x:v>
      </x:c>
      <x:c r="H140" s="411" t="str">
        <x:v>Fault injection or controlled dependency stub is available.</x:v>
      </x:c>
      <x:c r="I140" s="411" t="str">
        <x:v>Activate pull-request ci tier; inject a representative failure; observe state, logs, cleanup, and recovery.</x:v>
      </x:c>
      <x:c r="J140" s="411" t="str">
        <x:v>Failure is detected, unsafe behavior is prevented, cause is reported, and recovery follows policy.</x:v>
      </x:c>
      <x:c r="K140" s="488" t="str">
        <x:v>Planned</x:v>
      </x:c>
      <x:c r="L140" s="488" t="str">
        <x:v>Not Run</x:v>
      </x:c>
      <x:c r="M140" s="488" t="str">
        <x:v>Critical</x:v>
      </x:c>
      <x:c r="N140" s="411" t="str">
        <x:v>ROS 2 Jazzy + Gazebo Harmonic</x:v>
      </x:c>
      <x:c r="O140" s="460"/>
      <x:c r="P140" s="411" t="str"/>
      <x:c r="Q140" s="411" t="str"/>
      <x:c r="R140" s="411" t="str"/>
      <x:c r="S140" s="411" t="str">
        <x:v>Devansh</x:v>
      </x:c>
      <x:c r="T140" s="411" t="str"/>
      <x:c r="U140" s="411" t="str">
        <x:v>tc_0136</x:v>
      </x:c>
      <x:c r="V140" s="373"/>
      <x:c r="W140" s="373"/>
      <x:c r="X140" s="373"/>
      <x:c r="Y140" s="373"/>
      <x:c r="Z140" s="373"/>
    </x:row>
    <x:row r="141">
      <x:c r="A141" s="411" t="str">
        <x:v>TC-0137</x:v>
      </x:c>
      <x:c r="B141" s="411" t="str">
        <x:v>v0.1.12</x:v>
      </x:c>
      <x:c r="C141" s="411" t="str">
        <x:v>Integration</x:v>
      </x:c>
      <x:c r="D141" s="411" t="str">
        <x:v>F-CI-002</x:v>
      </x:c>
      <x:c r="E141" s="411" t="str">
        <x:v>REQ-091</x:v>
      </x:c>
      <x:c r="F141" s="411" t="str">
        <x:v>Simulation smoke CI tier — nominal acceptance</x:v>
      </x:c>
      <x:c r="G141" s="411" t="str">
        <x:v>Verify that simulation smoke ci tier satisfies its declared acceptance criteria.</x:v>
      </x:c>
      <x:c r="H141" s="411" t="str">
        <x:v>Required dependencies and test fixtures are available.</x:v>
      </x:c>
      <x:c r="I141" s="411" t="str">
        <x:v>Configure the platform for v0.1.12; execute the nominal workflow for simulation smoke ci tier; collect logs and evidence.</x:v>
      </x:c>
      <x:c r="J141" s="411" t="str">
        <x:v>Declared acceptance criteria pass and no existing regression test fails.</x:v>
      </x:c>
      <x:c r="K141" s="488" t="str">
        <x:v>Planned</x:v>
      </x:c>
      <x:c r="L141" s="488" t="str">
        <x:v>Not Run</x:v>
      </x:c>
      <x:c r="M141" s="488" t="str">
        <x:v>Critical</x:v>
      </x:c>
      <x:c r="N141" s="411" t="str">
        <x:v>ROS 2 Jazzy + Gazebo Harmonic</x:v>
      </x:c>
      <x:c r="O141" s="460"/>
      <x:c r="P141" s="411" t="str"/>
      <x:c r="Q141" s="411" t="str"/>
      <x:c r="R141" s="411" t="str"/>
      <x:c r="S141" s="411" t="str">
        <x:v>Devansh</x:v>
      </x:c>
      <x:c r="T141" s="411" t="str"/>
      <x:c r="U141" s="411" t="str">
        <x:v>tc_0137</x:v>
      </x:c>
      <x:c r="V141" s="373"/>
      <x:c r="W141" s="373"/>
      <x:c r="X141" s="373"/>
      <x:c r="Y141" s="373"/>
      <x:c r="Z141" s="373"/>
    </x:row>
    <x:row r="142">
      <x:c r="A142" s="411" t="str">
        <x:v>TC-0138</x:v>
      </x:c>
      <x:c r="B142" s="411" t="str">
        <x:v>v0.1.12</x:v>
      </x:c>
      <x:c r="C142" s="411" t="str">
        <x:v>Fault</x:v>
      </x:c>
      <x:c r="D142" s="411" t="str">
        <x:v>F-CI-002</x:v>
      </x:c>
      <x:c r="E142" s="411" t="str">
        <x:v>REQ-091</x:v>
      </x:c>
      <x:c r="F142" s="411" t="str">
        <x:v>Simulation smoke CI tier — failure/recovery path</x:v>
      </x:c>
      <x:c r="G142" s="411" t="str">
        <x:v>Verify safe behavior when the dependencies or inputs for simulation smoke ci tier fail.</x:v>
      </x:c>
      <x:c r="H142" s="411" t="str">
        <x:v>Fault injection or controlled dependency stub is available.</x:v>
      </x:c>
      <x:c r="I142" s="411" t="str">
        <x:v>Activate simulation smoke ci tier; inject a representative failure; observe state, logs, cleanup, and recovery.</x:v>
      </x:c>
      <x:c r="J142" s="411" t="str">
        <x:v>Failure is detected, unsafe behavior is prevented, cause is reported, and recovery follows policy.</x:v>
      </x:c>
      <x:c r="K142" s="488" t="str">
        <x:v>Planned</x:v>
      </x:c>
      <x:c r="L142" s="488" t="str">
        <x:v>Not Run</x:v>
      </x:c>
      <x:c r="M142" s="488" t="str">
        <x:v>Critical</x:v>
      </x:c>
      <x:c r="N142" s="411" t="str">
        <x:v>ROS 2 Jazzy + Gazebo Harmonic</x:v>
      </x:c>
      <x:c r="O142" s="460"/>
      <x:c r="P142" s="411" t="str"/>
      <x:c r="Q142" s="411" t="str"/>
      <x:c r="R142" s="411" t="str"/>
      <x:c r="S142" s="411" t="str">
        <x:v>Devansh</x:v>
      </x:c>
      <x:c r="T142" s="411" t="str"/>
      <x:c r="U142" s="411" t="str">
        <x:v>tc_0138</x:v>
      </x:c>
      <x:c r="V142" s="373"/>
      <x:c r="W142" s="373"/>
      <x:c r="X142" s="373"/>
      <x:c r="Y142" s="373"/>
      <x:c r="Z142" s="373"/>
    </x:row>
    <x:row r="143">
      <x:c r="A143" s="411" t="str">
        <x:v>TC-0139</x:v>
      </x:c>
      <x:c r="B143" s="411" t="str">
        <x:v>v0.1.12</x:v>
      </x:c>
      <x:c r="C143" s="411" t="str">
        <x:v>Unit</x:v>
      </x:c>
      <x:c r="D143" s="411" t="str">
        <x:v>F-CI-003</x:v>
      </x:c>
      <x:c r="E143" s="411" t="str">
        <x:v>REQ-092</x:v>
      </x:c>
      <x:c r="F143" s="411" t="str">
        <x:v>Full regression tier — nominal acceptance</x:v>
      </x:c>
      <x:c r="G143" s="411" t="str">
        <x:v>Verify that full regression tier satisfies its declared acceptance criteria.</x:v>
      </x:c>
      <x:c r="H143" s="411" t="str">
        <x:v>Required dependencies and test fixtures are available.</x:v>
      </x:c>
      <x:c r="I143" s="411" t="str">
        <x:v>Configure the platform for v0.1.12; execute the nominal workflow for full regression tier; collect logs and evidence.</x:v>
      </x:c>
      <x:c r="J143" s="411" t="str">
        <x:v>Declared acceptance criteria pass and no existing regression test fails.</x:v>
      </x:c>
      <x:c r="K143" s="488" t="str">
        <x:v>Planned</x:v>
      </x:c>
      <x:c r="L143" s="488" t="str">
        <x:v>Not Run</x:v>
      </x:c>
      <x:c r="M143" s="488" t="str">
        <x:v>High</x:v>
      </x:c>
      <x:c r="N143" s="411" t="str">
        <x:v>ROS 2 Jazzy + Gazebo Harmonic</x:v>
      </x:c>
      <x:c r="O143" s="460"/>
      <x:c r="P143" s="411" t="str"/>
      <x:c r="Q143" s="411" t="str"/>
      <x:c r="R143" s="411" t="str"/>
      <x:c r="S143" s="411" t="str">
        <x:v>Devansh</x:v>
      </x:c>
      <x:c r="T143" s="411" t="str"/>
      <x:c r="U143" s="411" t="str">
        <x:v>tc_0139</x:v>
      </x:c>
      <x:c r="V143" s="373"/>
      <x:c r="W143" s="373"/>
      <x:c r="X143" s="373"/>
      <x:c r="Y143" s="373"/>
      <x:c r="Z143" s="373"/>
    </x:row>
    <x:row r="144">
      <x:c r="A144" s="411" t="str">
        <x:v>TC-0140</x:v>
      </x:c>
      <x:c r="B144" s="411" t="str">
        <x:v>v0.1.12</x:v>
      </x:c>
      <x:c r="C144" s="411" t="str">
        <x:v>Unit</x:v>
      </x:c>
      <x:c r="D144" s="411" t="str">
        <x:v>F-DOC-001</x:v>
      </x:c>
      <x:c r="E144" s="411" t="str">
        <x:v>REQ-093</x:v>
      </x:c>
      <x:c r="F144" s="411" t="str">
        <x:v>Release 2 documentation set — nominal acceptance</x:v>
      </x:c>
      <x:c r="G144" s="411" t="str">
        <x:v>Verify that release 2 documentation set satisfies its declared acceptance criteria.</x:v>
      </x:c>
      <x:c r="H144" s="411" t="str">
        <x:v>Required dependencies and test fixtures are available.</x:v>
      </x:c>
      <x:c r="I144" s="411" t="str">
        <x:v>Configure the platform for v0.1.12; execute the nominal workflow for release 2 documentation set; collect logs and evidence.</x:v>
      </x:c>
      <x:c r="J144" s="411" t="str">
        <x:v>Declared acceptance criteria pass and no existing regression test fails.</x:v>
      </x:c>
      <x:c r="K144" s="488" t="str">
        <x:v>Planned</x:v>
      </x:c>
      <x:c r="L144" s="488" t="str">
        <x:v>Not Run</x:v>
      </x:c>
      <x:c r="M144" s="488" t="str">
        <x:v>High</x:v>
      </x:c>
      <x:c r="N144" s="411" t="str">
        <x:v>ROS 2 Jazzy + Gazebo Harmonic</x:v>
      </x:c>
      <x:c r="O144" s="460"/>
      <x:c r="P144" s="411" t="str"/>
      <x:c r="Q144" s="411" t="str"/>
      <x:c r="R144" s="411" t="str"/>
      <x:c r="S144" s="411" t="str">
        <x:v>Devansh</x:v>
      </x:c>
      <x:c r="T144" s="411" t="str"/>
      <x:c r="U144" s="411" t="str">
        <x:v>tc_0140</x:v>
      </x:c>
      <x:c r="V144" s="373"/>
      <x:c r="W144" s="373"/>
      <x:c r="X144" s="373"/>
      <x:c r="Y144" s="373"/>
      <x:c r="Z144" s="373"/>
    </x:row>
    <x:row r="145">
      <x:c r="A145" s="411" t="str">
        <x:v>TC-0141</x:v>
      </x:c>
      <x:c r="B145" s="411" t="str">
        <x:v>v0.1.12</x:v>
      </x:c>
      <x:c r="C145" s="411" t="str">
        <x:v>Integration</x:v>
      </x:c>
      <x:c r="D145" s="411" t="str">
        <x:v>F-TRACE-001</x:v>
      </x:c>
      <x:c r="E145" s="411" t="str">
        <x:v>REQ-094</x:v>
      </x:c>
      <x:c r="F145" s="411" t="str">
        <x:v>Requirement-test-evidence traceability — nominal acceptance</x:v>
      </x:c>
      <x:c r="G145" s="411" t="str">
        <x:v>Verify that requirement-test-evidence traceability satisfies its declared acceptance criteria.</x:v>
      </x:c>
      <x:c r="H145" s="411" t="str">
        <x:v>Required dependencies and test fixtures are available.</x:v>
      </x:c>
      <x:c r="I145" s="411" t="str">
        <x:v>Configure the platform for v0.1.12; execute the nominal workflow for requirement-test-evidence traceability; collect logs and evidence.</x:v>
      </x:c>
      <x:c r="J145" s="411" t="str">
        <x:v>Declared acceptance criteria pass and no existing regression test fails.</x:v>
      </x:c>
      <x:c r="K145" s="488" t="str">
        <x:v>Planned</x:v>
      </x:c>
      <x:c r="L145" s="488" t="str">
        <x:v>Not Run</x:v>
      </x:c>
      <x:c r="M145" s="488" t="str">
        <x:v>Critical</x:v>
      </x:c>
      <x:c r="N145" s="411" t="str">
        <x:v>ROS 2 Jazzy + Gazebo Harmonic</x:v>
      </x:c>
      <x:c r="O145" s="460"/>
      <x:c r="P145" s="411" t="str"/>
      <x:c r="Q145" s="411" t="str"/>
      <x:c r="R145" s="411" t="str"/>
      <x:c r="S145" s="411" t="str">
        <x:v>Devansh</x:v>
      </x:c>
      <x:c r="T145" s="411" t="str"/>
      <x:c r="U145" s="411" t="str">
        <x:v>tc_0141</x:v>
      </x:c>
      <x:c r="V145" s="373"/>
      <x:c r="W145" s="373"/>
      <x:c r="X145" s="373"/>
      <x:c r="Y145" s="373"/>
      <x:c r="Z145" s="373"/>
    </x:row>
    <x:row r="146">
      <x:c r="A146" s="411" t="str">
        <x:v>TC-0142</x:v>
      </x:c>
      <x:c r="B146" s="411" t="str">
        <x:v>v0.1.12</x:v>
      </x:c>
      <x:c r="C146" s="411" t="str">
        <x:v>Fault</x:v>
      </x:c>
      <x:c r="D146" s="411" t="str">
        <x:v>F-TRACE-001</x:v>
      </x:c>
      <x:c r="E146" s="411" t="str">
        <x:v>REQ-094</x:v>
      </x:c>
      <x:c r="F146" s="411" t="str">
        <x:v>Requirement-test-evidence traceability — failure/recovery path</x:v>
      </x:c>
      <x:c r="G146" s="411" t="str">
        <x:v>Verify safe behavior when the dependencies or inputs for requirement-test-evidence traceability fail.</x:v>
      </x:c>
      <x:c r="H146" s="411" t="str">
        <x:v>Fault injection or controlled dependency stub is available.</x:v>
      </x:c>
      <x:c r="I146" s="411" t="str">
        <x:v>Activate requirement-test-evidence traceability; inject a representative failure; observe state, logs, cleanup, and recovery.</x:v>
      </x:c>
      <x:c r="J146" s="411" t="str">
        <x:v>Failure is detected, unsafe behavior is prevented, cause is reported, and recovery follows policy.</x:v>
      </x:c>
      <x:c r="K146" s="488" t="str">
        <x:v>Planned</x:v>
      </x:c>
      <x:c r="L146" s="488" t="str">
        <x:v>Not Run</x:v>
      </x:c>
      <x:c r="M146" s="488" t="str">
        <x:v>Critical</x:v>
      </x:c>
      <x:c r="N146" s="411" t="str">
        <x:v>ROS 2 Jazzy + Gazebo Harmonic</x:v>
      </x:c>
      <x:c r="O146" s="460"/>
      <x:c r="P146" s="411" t="str"/>
      <x:c r="Q146" s="411" t="str"/>
      <x:c r="R146" s="411" t="str"/>
      <x:c r="S146" s="411" t="str">
        <x:v>Devansh</x:v>
      </x:c>
      <x:c r="T146" s="411" t="str"/>
      <x:c r="U146" s="411" t="str">
        <x:v>tc_0142</x:v>
      </x:c>
      <x:c r="V146" s="373"/>
      <x:c r="W146" s="373"/>
      <x:c r="X146" s="373"/>
      <x:c r="Y146" s="373"/>
      <x:c r="Z146" s="373"/>
    </x:row>
    <x:row r="147">
      <x:c r="A147" s="411" t="str">
        <x:v>TC-0143</x:v>
      </x:c>
      <x:c r="B147" s="411" t="str">
        <x:v>v0.1.12</x:v>
      </x:c>
      <x:c r="C147" s="411" t="str">
        <x:v>Integration</x:v>
      </x:c>
      <x:c r="D147" s="411" t="str">
        <x:v>F-REPRO-001</x:v>
      </x:c>
      <x:c r="E147" s="411" t="str">
        <x:v>REQ-095</x:v>
      </x:c>
      <x:c r="F147" s="411" t="str">
        <x:v>Fresh-clone and Docker validation — nominal acceptance</x:v>
      </x:c>
      <x:c r="G147" s="411" t="str">
        <x:v>Verify that fresh-clone and docker validation satisfies its declared acceptance criteria.</x:v>
      </x:c>
      <x:c r="H147" s="411" t="str">
        <x:v>Required dependencies and test fixtures are available.</x:v>
      </x:c>
      <x:c r="I147" s="411" t="str">
        <x:v>Configure the platform for v0.1.12; execute the nominal workflow for fresh-clone and docker validation; collect logs and evidence.</x:v>
      </x:c>
      <x:c r="J147" s="411" t="str">
        <x:v>Declared acceptance criteria pass and no existing regression test fails.</x:v>
      </x:c>
      <x:c r="K147" s="488" t="str">
        <x:v>Planned</x:v>
      </x:c>
      <x:c r="L147" s="488" t="str">
        <x:v>Not Run</x:v>
      </x:c>
      <x:c r="M147" s="488" t="str">
        <x:v>Critical</x:v>
      </x:c>
      <x:c r="N147" s="411" t="str">
        <x:v>ROS 2 Jazzy + Gazebo Harmonic</x:v>
      </x:c>
      <x:c r="O147" s="460"/>
      <x:c r="P147" s="411" t="str"/>
      <x:c r="Q147" s="411" t="str"/>
      <x:c r="R147" s="411" t="str"/>
      <x:c r="S147" s="411" t="str">
        <x:v>Devansh</x:v>
      </x:c>
      <x:c r="T147" s="411" t="str"/>
      <x:c r="U147" s="411" t="str">
        <x:v>tc_0143</x:v>
      </x:c>
      <x:c r="V147" s="373"/>
      <x:c r="W147" s="373"/>
      <x:c r="X147" s="373"/>
      <x:c r="Y147" s="373"/>
      <x:c r="Z147" s="373"/>
    </x:row>
    <x:row r="148">
      <x:c r="A148" s="411" t="str">
        <x:v>TC-0144</x:v>
      </x:c>
      <x:c r="B148" s="411" t="str">
        <x:v>v0.1.12</x:v>
      </x:c>
      <x:c r="C148" s="411" t="str">
        <x:v>Fault</x:v>
      </x:c>
      <x:c r="D148" s="411" t="str">
        <x:v>F-REPRO-001</x:v>
      </x:c>
      <x:c r="E148" s="411" t="str">
        <x:v>REQ-095</x:v>
      </x:c>
      <x:c r="F148" s="411" t="str">
        <x:v>Fresh-clone and Docker validation — failure/recovery path</x:v>
      </x:c>
      <x:c r="G148" s="411" t="str">
        <x:v>Verify safe behavior when the dependencies or inputs for fresh-clone and docker validation fail.</x:v>
      </x:c>
      <x:c r="H148" s="411" t="str">
        <x:v>Fault injection or controlled dependency stub is available.</x:v>
      </x:c>
      <x:c r="I148" s="411" t="str">
        <x:v>Activate fresh-clone and docker validation; inject a representative failure; observe state, logs, cleanup, and recovery.</x:v>
      </x:c>
      <x:c r="J148" s="411" t="str">
        <x:v>Failure is detected, unsafe behavior is prevented, cause is reported, and recovery follows policy.</x:v>
      </x:c>
      <x:c r="K148" s="488" t="str">
        <x:v>Planned</x:v>
      </x:c>
      <x:c r="L148" s="488" t="str">
        <x:v>Not Run</x:v>
      </x:c>
      <x:c r="M148" s="488" t="str">
        <x:v>Critical</x:v>
      </x:c>
      <x:c r="N148" s="411" t="str">
        <x:v>ROS 2 Jazzy + Gazebo Harmonic</x:v>
      </x:c>
      <x:c r="O148" s="460"/>
      <x:c r="P148" s="411" t="str"/>
      <x:c r="Q148" s="411" t="str"/>
      <x:c r="R148" s="411" t="str"/>
      <x:c r="S148" s="411" t="str">
        <x:v>Devansh</x:v>
      </x:c>
      <x:c r="T148" s="411" t="str"/>
      <x:c r="U148" s="411" t="str">
        <x:v>tc_0144</x:v>
      </x:c>
      <x:c r="V148" s="373"/>
      <x:c r="W148" s="373"/>
      <x:c r="X148" s="373"/>
      <x:c r="Y148" s="373"/>
      <x:c r="Z148" s="373"/>
    </x:row>
    <x:row r="149">
      <x:c r="A149" s="411" t="str">
        <x:v>TC-0145</x:v>
      </x:c>
      <x:c r="B149" s="411" t="str">
        <x:v>v0.1.12</x:v>
      </x:c>
      <x:c r="C149" s="411" t="str">
        <x:v>Unit</x:v>
      </x:c>
      <x:c r="D149" s="411" t="str">
        <x:v>F-PERF-001</x:v>
      </x:c>
      <x:c r="E149" s="411" t="str">
        <x:v>REQ-096</x:v>
      </x:c>
      <x:c r="F149" s="411" t="str">
        <x:v>Performance baseline — nominal acceptance</x:v>
      </x:c>
      <x:c r="G149" s="411" t="str">
        <x:v>Verify that performance baseline satisfies its declared acceptance criteria.</x:v>
      </x:c>
      <x:c r="H149" s="411" t="str">
        <x:v>Required dependencies and test fixtures are available.</x:v>
      </x:c>
      <x:c r="I149" s="411" t="str">
        <x:v>Configure the platform for v0.1.12; execute the nominal workflow for performance baseline; collect logs and evidence.</x:v>
      </x:c>
      <x:c r="J149" s="411" t="str">
        <x:v>Declared acceptance criteria pass and no existing regression test fails.</x:v>
      </x:c>
      <x:c r="K149" s="488" t="str">
        <x:v>Planned</x:v>
      </x:c>
      <x:c r="L149" s="488" t="str">
        <x:v>Not Run</x:v>
      </x:c>
      <x:c r="M149" s="488" t="str">
        <x:v>High</x:v>
      </x:c>
      <x:c r="N149" s="411" t="str">
        <x:v>ROS 2 Jazzy + Gazebo Harmonic</x:v>
      </x:c>
      <x:c r="O149" s="460"/>
      <x:c r="P149" s="411" t="str"/>
      <x:c r="Q149" s="411" t="str"/>
      <x:c r="R149" s="411" t="str"/>
      <x:c r="S149" s="411" t="str">
        <x:v>Devansh</x:v>
      </x:c>
      <x:c r="T149" s="411" t="str"/>
      <x:c r="U149" s="411" t="str">
        <x:v>tc_0145</x:v>
      </x:c>
      <x:c r="V149" s="373"/>
      <x:c r="W149" s="373"/>
      <x:c r="X149" s="373"/>
      <x:c r="Y149" s="373"/>
      <x:c r="Z149" s="373"/>
    </x:row>
    <x:row r="150">
      <x:c r="A150" s="411" t="str">
        <x:v>TC-0146</x:v>
      </x:c>
      <x:c r="B150" s="411" t="str">
        <x:v>v0.1.12</x:v>
      </x:c>
      <x:c r="C150" s="411" t="str">
        <x:v>Integration</x:v>
      </x:c>
      <x:c r="D150" s="411" t="str">
        <x:v>F-REL-001</x:v>
      </x:c>
      <x:c r="E150" s="411" t="str">
        <x:v>REQ-097</x:v>
      </x:c>
      <x:c r="F150" s="411" t="str">
        <x:v>Release candidate checklist — nominal acceptance</x:v>
      </x:c>
      <x:c r="G150" s="411" t="str">
        <x:v>Verify that release candidate checklist satisfies its declared acceptance criteria.</x:v>
      </x:c>
      <x:c r="H150" s="411" t="str">
        <x:v>Required dependencies and test fixtures are available.</x:v>
      </x:c>
      <x:c r="I150" s="411" t="str">
        <x:v>Configure the platform for v0.1.12; execute the nominal workflow for release candidate checklist; collect logs and evidence.</x:v>
      </x:c>
      <x:c r="J150" s="411" t="str">
        <x:v>Declared acceptance criteria pass and no existing regression test fails.</x:v>
      </x:c>
      <x:c r="K150" s="488" t="str">
        <x:v>Planned</x:v>
      </x:c>
      <x:c r="L150" s="488" t="str">
        <x:v>Not Run</x:v>
      </x:c>
      <x:c r="M150" s="488" t="str">
        <x:v>Critical</x:v>
      </x:c>
      <x:c r="N150" s="411" t="str">
        <x:v>ROS 2 Jazzy + Gazebo Harmonic</x:v>
      </x:c>
      <x:c r="O150" s="460"/>
      <x:c r="P150" s="411" t="str"/>
      <x:c r="Q150" s="411" t="str"/>
      <x:c r="R150" s="411" t="str"/>
      <x:c r="S150" s="411" t="str">
        <x:v>Devansh</x:v>
      </x:c>
      <x:c r="T150" s="411" t="str"/>
      <x:c r="U150" s="411" t="str">
        <x:v>tc_0146</x:v>
      </x:c>
      <x:c r="V150" s="373"/>
      <x:c r="W150" s="373"/>
      <x:c r="X150" s="373"/>
      <x:c r="Y150" s="373"/>
      <x:c r="Z150" s="373"/>
    </x:row>
    <x:row r="151">
      <x:c r="A151" s="411" t="str">
        <x:v>TC-0147</x:v>
      </x:c>
      <x:c r="B151" s="411" t="str">
        <x:v>v0.1.12</x:v>
      </x:c>
      <x:c r="C151" s="411" t="str">
        <x:v>Fault</x:v>
      </x:c>
      <x:c r="D151" s="411" t="str">
        <x:v>F-REL-001</x:v>
      </x:c>
      <x:c r="E151" s="411" t="str">
        <x:v>REQ-097</x:v>
      </x:c>
      <x:c r="F151" s="411" t="str">
        <x:v>Release candidate checklist — failure/recovery path</x:v>
      </x:c>
      <x:c r="G151" s="411" t="str">
        <x:v>Verify safe behavior when the dependencies or inputs for release candidate checklist fail.</x:v>
      </x:c>
      <x:c r="H151" s="411" t="str">
        <x:v>Fault injection or controlled dependency stub is available.</x:v>
      </x:c>
      <x:c r="I151" s="411" t="str">
        <x:v>Activate release candidate checklist; inject a representative failure; observe state, logs, cleanup, and recovery.</x:v>
      </x:c>
      <x:c r="J151" s="411" t="str">
        <x:v>Failure is detected, unsafe behavior is prevented, cause is reported, and recovery follows policy.</x:v>
      </x:c>
      <x:c r="K151" s="488" t="str">
        <x:v>Planned</x:v>
      </x:c>
      <x:c r="L151" s="488" t="str">
        <x:v>Not Run</x:v>
      </x:c>
      <x:c r="M151" s="488" t="str">
        <x:v>Critical</x:v>
      </x:c>
      <x:c r="N151" s="411" t="str">
        <x:v>ROS 2 Jazzy + Gazebo Harmonic</x:v>
      </x:c>
      <x:c r="O151" s="460"/>
      <x:c r="P151" s="411" t="str"/>
      <x:c r="Q151" s="411" t="str"/>
      <x:c r="R151" s="411" t="str"/>
      <x:c r="S151" s="411" t="str">
        <x:v>Devansh</x:v>
      </x:c>
      <x:c r="T151" s="411" t="str"/>
      <x:c r="U151" s="411" t="str">
        <x:v>tc_0147</x:v>
      </x:c>
      <x:c r="V151" s="373"/>
      <x:c r="W151" s="373"/>
      <x:c r="X151" s="373"/>
      <x:c r="Y151" s="373"/>
      <x:c r="Z151" s="373"/>
    </x:row>
    <x:row r="152">
      <x:c r="A152" s="411" t="str">
        <x:v>TC-0148</x:v>
      </x:c>
      <x:c r="B152" s="411" t="str">
        <x:v>v0.2.0</x:v>
      </x:c>
      <x:c r="C152" s="411" t="str">
        <x:v>Integration</x:v>
      </x:c>
      <x:c r="D152" s="411" t="str">
        <x:v>F-REL-200</x:v>
      </x:c>
      <x:c r="E152" s="411" t="str">
        <x:v>REQ-098</x:v>
      </x:c>
      <x:c r="F152" s="411" t="str">
        <x:v>Reliable integration platform release — nominal acceptance</x:v>
      </x:c>
      <x:c r="G152" s="411" t="str">
        <x:v>Verify that reliable integration platform release satisfies its declared acceptance criteria.</x:v>
      </x:c>
      <x:c r="H152" s="411" t="str">
        <x:v>Required dependencies and test fixtures are available.</x:v>
      </x:c>
      <x:c r="I152" s="411" t="str">
        <x:v>Configure the platform for v0.2.0; execute the nominal workflow for reliable integration platform release; collect logs and evidence.</x:v>
      </x:c>
      <x:c r="J152" s="411" t="str">
        <x:v>Declared acceptance criteria pass and no existing regression test fails.</x:v>
      </x:c>
      <x:c r="K152" s="488" t="str">
        <x:v>Planned</x:v>
      </x:c>
      <x:c r="L152" s="488" t="str">
        <x:v>Not Run</x:v>
      </x:c>
      <x:c r="M152" s="488" t="str">
        <x:v>Critical</x:v>
      </x:c>
      <x:c r="N152" s="411" t="str">
        <x:v>ROS 2 Jazzy + Gazebo Harmonic</x:v>
      </x:c>
      <x:c r="O152" s="460"/>
      <x:c r="P152" s="411" t="str"/>
      <x:c r="Q152" s="411" t="str"/>
      <x:c r="R152" s="411" t="str"/>
      <x:c r="S152" s="411" t="str">
        <x:v>Devansh</x:v>
      </x:c>
      <x:c r="T152" s="411" t="str"/>
      <x:c r="U152" s="411" t="str">
        <x:v>tc_0148</x:v>
      </x:c>
      <x:c r="V152" s="373"/>
      <x:c r="W152" s="373"/>
      <x:c r="X152" s="373"/>
      <x:c r="Y152" s="373"/>
      <x:c r="Z152" s="373"/>
    </x:row>
    <x:row r="153">
      <x:c r="A153" s="411" t="str">
        <x:v>TC-0149</x:v>
      </x:c>
      <x:c r="B153" s="411" t="str">
        <x:v>v0.2.0</x:v>
      </x:c>
      <x:c r="C153" s="411" t="str">
        <x:v>Fault</x:v>
      </x:c>
      <x:c r="D153" s="411" t="str">
        <x:v>F-REL-200</x:v>
      </x:c>
      <x:c r="E153" s="411" t="str">
        <x:v>REQ-098</x:v>
      </x:c>
      <x:c r="F153" s="411" t="str">
        <x:v>Reliable integration platform release — failure/recovery path</x:v>
      </x:c>
      <x:c r="G153" s="411" t="str">
        <x:v>Verify safe behavior when the dependencies or inputs for reliable integration platform release fail.</x:v>
      </x:c>
      <x:c r="H153" s="411" t="str">
        <x:v>Fault injection or controlled dependency stub is available.</x:v>
      </x:c>
      <x:c r="I153" s="411" t="str">
        <x:v>Activate reliable integration platform release; inject a representative failure; observe state, logs, cleanup, and recovery.</x:v>
      </x:c>
      <x:c r="J153" s="411" t="str">
        <x:v>Failure is detected, unsafe behavior is prevented, cause is reported, and recovery follows policy.</x:v>
      </x:c>
      <x:c r="K153" s="488" t="str">
        <x:v>Planned</x:v>
      </x:c>
      <x:c r="L153" s="488" t="str">
        <x:v>Not Run</x:v>
      </x:c>
      <x:c r="M153" s="488" t="str">
        <x:v>Critical</x:v>
      </x:c>
      <x:c r="N153" s="411" t="str">
        <x:v>ROS 2 Jazzy + Gazebo Harmonic</x:v>
      </x:c>
      <x:c r="O153" s="460"/>
      <x:c r="P153" s="411" t="str"/>
      <x:c r="Q153" s="411" t="str"/>
      <x:c r="R153" s="411" t="str"/>
      <x:c r="S153" s="411" t="str">
        <x:v>Devansh</x:v>
      </x:c>
      <x:c r="T153" s="411" t="str"/>
      <x:c r="U153" s="411" t="str">
        <x:v>tc_0149</x:v>
      </x:c>
      <x:c r="V153" s="373"/>
      <x:c r="W153" s="373"/>
      <x:c r="X153" s="373"/>
      <x:c r="Y153" s="373"/>
      <x:c r="Z153" s="373"/>
    </x:row>
    <x:row r="154">
      <x:c r="A154" s="411" t="str">
        <x:v>TC-0150</x:v>
      </x:c>
      <x:c r="B154" s="411" t="str">
        <x:v>v0.2.1</x:v>
      </x:c>
      <x:c r="C154" s="411" t="str">
        <x:v>Integration</x:v>
      </x:c>
      <x:c r="D154" s="411" t="str">
        <x:v>F-LOG-001</x:v>
      </x:c>
      <x:c r="E154" s="411" t="str">
        <x:v>REQ-099</x:v>
      </x:c>
      <x:c r="F154" s="411" t="str">
        <x:v>Unified run and evidence schema — nominal acceptance</x:v>
      </x:c>
      <x:c r="G154" s="411" t="str">
        <x:v>Verify that unified run and evidence schema satisfies its declared acceptance criteria.</x:v>
      </x:c>
      <x:c r="H154" s="411" t="str">
        <x:v>Required dependencies and test fixtures are available.</x:v>
      </x:c>
      <x:c r="I154" s="411" t="str">
        <x:v>Configure the platform for v0.2.1; execute the nominal workflow for unified run and evidence schema; collect logs and evidence.</x:v>
      </x:c>
      <x:c r="J154" s="411" t="str">
        <x:v>Declared acceptance criteria pass and no existing regression test fails.</x:v>
      </x:c>
      <x:c r="K154" s="488" t="str">
        <x:v>Planned</x:v>
      </x:c>
      <x:c r="L154" s="488" t="str">
        <x:v>Not Run</x:v>
      </x:c>
      <x:c r="M154" s="488" t="str">
        <x:v>Critical</x:v>
      </x:c>
      <x:c r="N154" s="411" t="str">
        <x:v>ROS 2 Jazzy + Gazebo Harmonic</x:v>
      </x:c>
      <x:c r="O154" s="460"/>
      <x:c r="P154" s="411" t="str"/>
      <x:c r="Q154" s="411" t="str"/>
      <x:c r="R154" s="411" t="str"/>
      <x:c r="S154" s="411" t="str">
        <x:v>Devansh</x:v>
      </x:c>
      <x:c r="T154" s="411" t="str"/>
      <x:c r="U154" s="411" t="str">
        <x:v>tc_0150</x:v>
      </x:c>
      <x:c r="V154" s="373"/>
      <x:c r="W154" s="373"/>
      <x:c r="X154" s="373"/>
      <x:c r="Y154" s="373"/>
      <x:c r="Z154" s="373"/>
    </x:row>
    <x:row r="155">
      <x:c r="A155" s="411" t="str">
        <x:v>TC-0151</x:v>
      </x:c>
      <x:c r="B155" s="411" t="str">
        <x:v>v0.2.1</x:v>
      </x:c>
      <x:c r="C155" s="411" t="str">
        <x:v>Fault</x:v>
      </x:c>
      <x:c r="D155" s="411" t="str">
        <x:v>F-LOG-001</x:v>
      </x:c>
      <x:c r="E155" s="411" t="str">
        <x:v>REQ-099</x:v>
      </x:c>
      <x:c r="F155" s="411" t="str">
        <x:v>Unified run and evidence schema — failure/recovery path</x:v>
      </x:c>
      <x:c r="G155" s="411" t="str">
        <x:v>Verify safe behavior when the dependencies or inputs for unified run and evidence schema fail.</x:v>
      </x:c>
      <x:c r="H155" s="411" t="str">
        <x:v>Fault injection or controlled dependency stub is available.</x:v>
      </x:c>
      <x:c r="I155" s="411" t="str">
        <x:v>Activate unified run and evidence schema; inject a representative failure; observe state, logs, cleanup, and recovery.</x:v>
      </x:c>
      <x:c r="J155" s="411" t="str">
        <x:v>Failure is detected, unsafe behavior is prevented, cause is reported, and recovery follows policy.</x:v>
      </x:c>
      <x:c r="K155" s="488" t="str">
        <x:v>Planned</x:v>
      </x:c>
      <x:c r="L155" s="488" t="str">
        <x:v>Not Run</x:v>
      </x:c>
      <x:c r="M155" s="488" t="str">
        <x:v>Critical</x:v>
      </x:c>
      <x:c r="N155" s="411" t="str">
        <x:v>ROS 2 Jazzy + Gazebo Harmonic</x:v>
      </x:c>
      <x:c r="O155" s="460"/>
      <x:c r="P155" s="411" t="str"/>
      <x:c r="Q155" s="411" t="str"/>
      <x:c r="R155" s="411" t="str"/>
      <x:c r="S155" s="411" t="str">
        <x:v>Devansh</x:v>
      </x:c>
      <x:c r="T155" s="411" t="str"/>
      <x:c r="U155" s="411" t="str">
        <x:v>tc_0151</x:v>
      </x:c>
      <x:c r="V155" s="373"/>
      <x:c r="W155" s="373"/>
      <x:c r="X155" s="373"/>
      <x:c r="Y155" s="373"/>
      <x:c r="Z155" s="373"/>
    </x:row>
    <x:row r="156">
      <x:c r="A156" s="411" t="str">
        <x:v>TC-0152</x:v>
      </x:c>
      <x:c r="B156" s="411" t="str">
        <x:v>v0.2.1</x:v>
      </x:c>
      <x:c r="C156" s="411" t="str">
        <x:v>Unit</x:v>
      </x:c>
      <x:c r="D156" s="411" t="str">
        <x:v>F-LOG-002</x:v>
      </x:c>
      <x:c r="E156" s="411" t="str">
        <x:v>REQ-100</x:v>
      </x:c>
      <x:c r="F156" s="411" t="str">
        <x:v>Structured ROS/event logging — nominal acceptance</x:v>
      </x:c>
      <x:c r="G156" s="411" t="str">
        <x:v>Verify that structured ros/event logging satisfies its declared acceptance criteria.</x:v>
      </x:c>
      <x:c r="H156" s="411" t="str">
        <x:v>Required dependencies and test fixtures are available.</x:v>
      </x:c>
      <x:c r="I156" s="411" t="str">
        <x:v>Configure the platform for v0.2.1; execute the nominal workflow for structured ros/event logging; collect logs and evidence.</x:v>
      </x:c>
      <x:c r="J156" s="411" t="str">
        <x:v>Declared acceptance criteria pass and no existing regression test fails.</x:v>
      </x:c>
      <x:c r="K156" s="488" t="str">
        <x:v>Planned</x:v>
      </x:c>
      <x:c r="L156" s="488" t="str">
        <x:v>Not Run</x:v>
      </x:c>
      <x:c r="M156" s="488" t="str">
        <x:v>High</x:v>
      </x:c>
      <x:c r="N156" s="411" t="str">
        <x:v>ROS 2 Jazzy + Gazebo Harmonic</x:v>
      </x:c>
      <x:c r="O156" s="460"/>
      <x:c r="P156" s="411" t="str"/>
      <x:c r="Q156" s="411" t="str"/>
      <x:c r="R156" s="411" t="str"/>
      <x:c r="S156" s="411" t="str">
        <x:v>Devansh</x:v>
      </x:c>
      <x:c r="T156" s="411" t="str"/>
      <x:c r="U156" s="411" t="str">
        <x:v>tc_0152</x:v>
      </x:c>
      <x:c r="V156" s="373"/>
      <x:c r="W156" s="373"/>
      <x:c r="X156" s="373"/>
      <x:c r="Y156" s="373"/>
      <x:c r="Z156" s="373"/>
    </x:row>
    <x:row r="157">
      <x:c r="A157" s="411" t="str">
        <x:v>TC-0153</x:v>
      </x:c>
      <x:c r="B157" s="411" t="str">
        <x:v>v0.2.1</x:v>
      </x:c>
      <x:c r="C157" s="411" t="str">
        <x:v>Unit</x:v>
      </x:c>
      <x:c r="D157" s="411" t="str">
        <x:v>F-LOG-003</x:v>
      </x:c>
      <x:c r="E157" s="411" t="str">
        <x:v>REQ-101</x:v>
      </x:c>
      <x:c r="F157" s="411" t="str">
        <x:v>Schema validation — nominal acceptance</x:v>
      </x:c>
      <x:c r="G157" s="411" t="str">
        <x:v>Verify that schema validation satisfies its declared acceptance criteria.</x:v>
      </x:c>
      <x:c r="H157" s="411" t="str">
        <x:v>Required dependencies and test fixtures are available.</x:v>
      </x:c>
      <x:c r="I157" s="411" t="str">
        <x:v>Configure the platform for v0.2.1; execute the nominal workflow for schema validation; collect logs and evidence.</x:v>
      </x:c>
      <x:c r="J157" s="411" t="str">
        <x:v>Declared acceptance criteria pass and no existing regression test fails.</x:v>
      </x:c>
      <x:c r="K157" s="488" t="str">
        <x:v>Planned</x:v>
      </x:c>
      <x:c r="L157" s="488" t="str">
        <x:v>Not Run</x:v>
      </x:c>
      <x:c r="M157" s="488" t="str">
        <x:v>High</x:v>
      </x:c>
      <x:c r="N157" s="411" t="str">
        <x:v>ROS 2 Jazzy + Gazebo Harmonic</x:v>
      </x:c>
      <x:c r="O157" s="460"/>
      <x:c r="P157" s="411" t="str"/>
      <x:c r="Q157" s="411" t="str"/>
      <x:c r="R157" s="411" t="str"/>
      <x:c r="S157" s="411" t="str">
        <x:v>Devansh</x:v>
      </x:c>
      <x:c r="T157" s="411" t="str"/>
      <x:c r="U157" s="411" t="str">
        <x:v>tc_0153</x:v>
      </x:c>
      <x:c r="V157" s="373"/>
      <x:c r="W157" s="373"/>
      <x:c r="X157" s="373"/>
      <x:c r="Y157" s="373"/>
      <x:c r="Z157" s="373"/>
    </x:row>
    <x:row r="158">
      <x:c r="A158" s="411" t="str">
        <x:v>TC-0154</x:v>
      </x:c>
      <x:c r="B158" s="411" t="str">
        <x:v>v0.2.2</x:v>
      </x:c>
      <x:c r="C158" s="411" t="str">
        <x:v>Integration</x:v>
      </x:c>
      <x:c r="D158" s="411" t="str">
        <x:v>F-SCEN-001</x:v>
      </x:c>
      <x:c r="E158" s="411" t="str">
        <x:v>REQ-102</x:v>
      </x:c>
      <x:c r="F158" s="411" t="str">
        <x:v>Scenario definition schema — nominal acceptance</x:v>
      </x:c>
      <x:c r="G158" s="411" t="str">
        <x:v>Verify that scenario definition schema satisfies its declared acceptance criteria.</x:v>
      </x:c>
      <x:c r="H158" s="411" t="str">
        <x:v>Required dependencies and test fixtures are available.</x:v>
      </x:c>
      <x:c r="I158" s="411" t="str">
        <x:v>Configure the platform for v0.2.2; execute the nominal workflow for scenario definition schema; collect logs and evidence.</x:v>
      </x:c>
      <x:c r="J158" s="411" t="str">
        <x:v>Declared acceptance criteria pass and no existing regression test fails.</x:v>
      </x:c>
      <x:c r="K158" s="488" t="str">
        <x:v>Planned</x:v>
      </x:c>
      <x:c r="L158" s="488" t="str">
        <x:v>Not Run</x:v>
      </x:c>
      <x:c r="M158" s="488" t="str">
        <x:v>Critical</x:v>
      </x:c>
      <x:c r="N158" s="411" t="str">
        <x:v>ROS 2 Jazzy + Gazebo Harmonic</x:v>
      </x:c>
      <x:c r="O158" s="460"/>
      <x:c r="P158" s="411" t="str"/>
      <x:c r="Q158" s="411" t="str"/>
      <x:c r="R158" s="411" t="str"/>
      <x:c r="S158" s="411" t="str">
        <x:v>Devansh</x:v>
      </x:c>
      <x:c r="T158" s="411" t="str"/>
      <x:c r="U158" s="411" t="str">
        <x:v>tc_0154</x:v>
      </x:c>
      <x:c r="V158" s="373"/>
      <x:c r="W158" s="373"/>
      <x:c r="X158" s="373"/>
      <x:c r="Y158" s="373"/>
      <x:c r="Z158" s="373"/>
    </x:row>
    <x:row r="159">
      <x:c r="A159" s="411" t="str">
        <x:v>TC-0155</x:v>
      </x:c>
      <x:c r="B159" s="411" t="str">
        <x:v>v0.2.2</x:v>
      </x:c>
      <x:c r="C159" s="411" t="str">
        <x:v>Fault</x:v>
      </x:c>
      <x:c r="D159" s="411" t="str">
        <x:v>F-SCEN-001</x:v>
      </x:c>
      <x:c r="E159" s="411" t="str">
        <x:v>REQ-102</x:v>
      </x:c>
      <x:c r="F159" s="411" t="str">
        <x:v>Scenario definition schema — failure/recovery path</x:v>
      </x:c>
      <x:c r="G159" s="411" t="str">
        <x:v>Verify safe behavior when the dependencies or inputs for scenario definition schema fail.</x:v>
      </x:c>
      <x:c r="H159" s="411" t="str">
        <x:v>Fault injection or controlled dependency stub is available.</x:v>
      </x:c>
      <x:c r="I159" s="411" t="str">
        <x:v>Activate scenario definition schema; inject a representative failure; observe state, logs, cleanup, and recovery.</x:v>
      </x:c>
      <x:c r="J159" s="411" t="str">
        <x:v>Failure is detected, unsafe behavior is prevented, cause is reported, and recovery follows policy.</x:v>
      </x:c>
      <x:c r="K159" s="488" t="str">
        <x:v>Planned</x:v>
      </x:c>
      <x:c r="L159" s="488" t="str">
        <x:v>Not Run</x:v>
      </x:c>
      <x:c r="M159" s="488" t="str">
        <x:v>Critical</x:v>
      </x:c>
      <x:c r="N159" s="411" t="str">
        <x:v>ROS 2 Jazzy + Gazebo Harmonic</x:v>
      </x:c>
      <x:c r="O159" s="460"/>
      <x:c r="P159" s="411" t="str"/>
      <x:c r="Q159" s="411" t="str"/>
      <x:c r="R159" s="411" t="str"/>
      <x:c r="S159" s="411" t="str">
        <x:v>Devansh</x:v>
      </x:c>
      <x:c r="T159" s="411" t="str"/>
      <x:c r="U159" s="411" t="str">
        <x:v>tc_0155</x:v>
      </x:c>
      <x:c r="V159" s="373"/>
      <x:c r="W159" s="373"/>
      <x:c r="X159" s="373"/>
      <x:c r="Y159" s="373"/>
      <x:c r="Z159" s="373"/>
    </x:row>
    <x:row r="160">
      <x:c r="A160" s="411" t="str">
        <x:v>TC-0156</x:v>
      </x:c>
      <x:c r="B160" s="411" t="str">
        <x:v>v0.2.2</x:v>
      </x:c>
      <x:c r="C160" s="411" t="str">
        <x:v>Integration</x:v>
      </x:c>
      <x:c r="D160" s="411" t="str">
        <x:v>F-SCEN-002</x:v>
      </x:c>
      <x:c r="E160" s="411" t="str">
        <x:v>REQ-103</x:v>
      </x:c>
      <x:c r="F160" s="411" t="str">
        <x:v>CLI scenario runner — nominal acceptance</x:v>
      </x:c>
      <x:c r="G160" s="411" t="str">
        <x:v>Verify that cli scenario runner satisfies its declared acceptance criteria.</x:v>
      </x:c>
      <x:c r="H160" s="411" t="str">
        <x:v>Required dependencies and test fixtures are available.</x:v>
      </x:c>
      <x:c r="I160" s="411" t="str">
        <x:v>Configure the platform for v0.2.2; execute the nominal workflow for cli scenario runner; collect logs and evidence.</x:v>
      </x:c>
      <x:c r="J160" s="411" t="str">
        <x:v>Declared acceptance criteria pass and no existing regression test fails.</x:v>
      </x:c>
      <x:c r="K160" s="488" t="str">
        <x:v>Planned</x:v>
      </x:c>
      <x:c r="L160" s="488" t="str">
        <x:v>Not Run</x:v>
      </x:c>
      <x:c r="M160" s="488" t="str">
        <x:v>Critical</x:v>
      </x:c>
      <x:c r="N160" s="411" t="str">
        <x:v>ROS 2 Jazzy + Gazebo Harmonic</x:v>
      </x:c>
      <x:c r="O160" s="460"/>
      <x:c r="P160" s="411" t="str"/>
      <x:c r="Q160" s="411" t="str"/>
      <x:c r="R160" s="411" t="str"/>
      <x:c r="S160" s="411" t="str">
        <x:v>Devansh</x:v>
      </x:c>
      <x:c r="T160" s="411" t="str"/>
      <x:c r="U160" s="411" t="str">
        <x:v>tc_0156</x:v>
      </x:c>
      <x:c r="V160" s="373"/>
      <x:c r="W160" s="373"/>
      <x:c r="X160" s="373"/>
      <x:c r="Y160" s="373"/>
      <x:c r="Z160" s="373"/>
    </x:row>
    <x:row r="161">
      <x:c r="A161" s="411" t="str">
        <x:v>TC-0157</x:v>
      </x:c>
      <x:c r="B161" s="411" t="str">
        <x:v>v0.2.2</x:v>
      </x:c>
      <x:c r="C161" s="411" t="str">
        <x:v>Fault</x:v>
      </x:c>
      <x:c r="D161" s="411" t="str">
        <x:v>F-SCEN-002</x:v>
      </x:c>
      <x:c r="E161" s="411" t="str">
        <x:v>REQ-103</x:v>
      </x:c>
      <x:c r="F161" s="411" t="str">
        <x:v>CLI scenario runner — failure/recovery path</x:v>
      </x:c>
      <x:c r="G161" s="411" t="str">
        <x:v>Verify safe behavior when the dependencies or inputs for cli scenario runner fail.</x:v>
      </x:c>
      <x:c r="H161" s="411" t="str">
        <x:v>Fault injection or controlled dependency stub is available.</x:v>
      </x:c>
      <x:c r="I161" s="411" t="str">
        <x:v>Activate cli scenario runner; inject a representative failure; observe state, logs, cleanup, and recovery.</x:v>
      </x:c>
      <x:c r="J161" s="411" t="str">
        <x:v>Failure is detected, unsafe behavior is prevented, cause is reported, and recovery follows policy.</x:v>
      </x:c>
      <x:c r="K161" s="488" t="str">
        <x:v>Planned</x:v>
      </x:c>
      <x:c r="L161" s="488" t="str">
        <x:v>Not Run</x:v>
      </x:c>
      <x:c r="M161" s="488" t="str">
        <x:v>Critical</x:v>
      </x:c>
      <x:c r="N161" s="411" t="str">
        <x:v>ROS 2 Jazzy + Gazebo Harmonic</x:v>
      </x:c>
      <x:c r="O161" s="460"/>
      <x:c r="P161" s="411" t="str"/>
      <x:c r="Q161" s="411" t="str"/>
      <x:c r="R161" s="411" t="str"/>
      <x:c r="S161" s="411" t="str">
        <x:v>Devansh</x:v>
      </x:c>
      <x:c r="T161" s="411" t="str"/>
      <x:c r="U161" s="411" t="str">
        <x:v>tc_0157</x:v>
      </x:c>
      <x:c r="V161" s="373"/>
      <x:c r="W161" s="373"/>
      <x:c r="X161" s="373"/>
      <x:c r="Y161" s="373"/>
      <x:c r="Z161" s="373"/>
    </x:row>
    <x:row r="162">
      <x:c r="A162" s="411" t="str">
        <x:v>TC-0158</x:v>
      </x:c>
      <x:c r="B162" s="411" t="str">
        <x:v>v0.2.2</x:v>
      </x:c>
      <x:c r="C162" s="411" t="str">
        <x:v>Unit</x:v>
      </x:c>
      <x:c r="D162" s="411" t="str">
        <x:v>F-SCEN-003</x:v>
      </x:c>
      <x:c r="E162" s="411" t="str">
        <x:v>REQ-104</x:v>
      </x:c>
      <x:c r="F162" s="411" t="str">
        <x:v>Backend scenario service — nominal acceptance</x:v>
      </x:c>
      <x:c r="G162" s="411" t="str">
        <x:v>Verify that backend scenario service satisfies its declared acceptance criteria.</x:v>
      </x:c>
      <x:c r="H162" s="411" t="str">
        <x:v>Required dependencies and test fixtures are available.</x:v>
      </x:c>
      <x:c r="I162" s="411" t="str">
        <x:v>Configure the platform for v0.2.2; execute the nominal workflow for backend scenario service; collect logs and evidence.</x:v>
      </x:c>
      <x:c r="J162" s="411" t="str">
        <x:v>Declared acceptance criteria pass and no existing regression test fails.</x:v>
      </x:c>
      <x:c r="K162" s="488" t="str">
        <x:v>Planned</x:v>
      </x:c>
      <x:c r="L162" s="488" t="str">
        <x:v>Not Run</x:v>
      </x:c>
      <x:c r="M162" s="488" t="str">
        <x:v>High</x:v>
      </x:c>
      <x:c r="N162" s="411" t="str">
        <x:v>ROS 2 Jazzy + Gazebo Harmonic</x:v>
      </x:c>
      <x:c r="O162" s="460"/>
      <x:c r="P162" s="411" t="str"/>
      <x:c r="Q162" s="411" t="str"/>
      <x:c r="R162" s="411" t="str"/>
      <x:c r="S162" s="411" t="str">
        <x:v>Devansh</x:v>
      </x:c>
      <x:c r="T162" s="411" t="str"/>
      <x:c r="U162" s="411" t="str">
        <x:v>tc_0158</x:v>
      </x:c>
      <x:c r="V162" s="373"/>
      <x:c r="W162" s="373"/>
      <x:c r="X162" s="373"/>
      <x:c r="Y162" s="373"/>
      <x:c r="Z162" s="373"/>
    </x:row>
    <x:row r="163">
      <x:c r="A163" s="411" t="str">
        <x:v>TC-0159</x:v>
      </x:c>
      <x:c r="B163" s="411" t="str">
        <x:v>v0.2.2</x:v>
      </x:c>
      <x:c r="C163" s="411" t="str">
        <x:v>Integration</x:v>
      </x:c>
      <x:c r="D163" s="411" t="str">
        <x:v>F-SCEN-004</x:v>
      </x:c>
      <x:c r="E163" s="411" t="str">
        <x:v>REQ-105</x:v>
      </x:c>
      <x:c r="F163" s="411" t="str">
        <x:v>Clean scenario shutdown — nominal acceptance</x:v>
      </x:c>
      <x:c r="G163" s="411" t="str">
        <x:v>Verify that clean scenario shutdown satisfies its declared acceptance criteria.</x:v>
      </x:c>
      <x:c r="H163" s="411" t="str">
        <x:v>Required dependencies and test fixtures are available.</x:v>
      </x:c>
      <x:c r="I163" s="411" t="str">
        <x:v>Configure the platform for v0.2.2; execute the nominal workflow for clean scenario shutdown; collect logs and evidence.</x:v>
      </x:c>
      <x:c r="J163" s="411" t="str">
        <x:v>Declared acceptance criteria pass and no existing regression test fails.</x:v>
      </x:c>
      <x:c r="K163" s="488" t="str">
        <x:v>Planned</x:v>
      </x:c>
      <x:c r="L163" s="488" t="str">
        <x:v>Not Run</x:v>
      </x:c>
      <x:c r="M163" s="488" t="str">
        <x:v>Critical</x:v>
      </x:c>
      <x:c r="N163" s="411" t="str">
        <x:v>ROS 2 Jazzy + Gazebo Harmonic</x:v>
      </x:c>
      <x:c r="O163" s="460"/>
      <x:c r="P163" s="411" t="str"/>
      <x:c r="Q163" s="411" t="str"/>
      <x:c r="R163" s="411" t="str"/>
      <x:c r="S163" s="411" t="str">
        <x:v>Devansh</x:v>
      </x:c>
      <x:c r="T163" s="411" t="str"/>
      <x:c r="U163" s="411" t="str">
        <x:v>tc_0159</x:v>
      </x:c>
      <x:c r="V163" s="373"/>
      <x:c r="W163" s="373"/>
      <x:c r="X163" s="373"/>
      <x:c r="Y163" s="373"/>
      <x:c r="Z163" s="373"/>
    </x:row>
    <x:row r="164">
      <x:c r="A164" s="411" t="str">
        <x:v>TC-0160</x:v>
      </x:c>
      <x:c r="B164" s="411" t="str">
        <x:v>v0.2.2</x:v>
      </x:c>
      <x:c r="C164" s="411" t="str">
        <x:v>Fault</x:v>
      </x:c>
      <x:c r="D164" s="411" t="str">
        <x:v>F-SCEN-004</x:v>
      </x:c>
      <x:c r="E164" s="411" t="str">
        <x:v>REQ-105</x:v>
      </x:c>
      <x:c r="F164" s="411" t="str">
        <x:v>Clean scenario shutdown — failure/recovery path</x:v>
      </x:c>
      <x:c r="G164" s="411" t="str">
        <x:v>Verify safe behavior when the dependencies or inputs for clean scenario shutdown fail.</x:v>
      </x:c>
      <x:c r="H164" s="411" t="str">
        <x:v>Fault injection or controlled dependency stub is available.</x:v>
      </x:c>
      <x:c r="I164" s="411" t="str">
        <x:v>Activate clean scenario shutdown; inject a representative failure; observe state, logs, cleanup, and recovery.</x:v>
      </x:c>
      <x:c r="J164" s="411" t="str">
        <x:v>Failure is detected, unsafe behavior is prevented, cause is reported, and recovery follows policy.</x:v>
      </x:c>
      <x:c r="K164" s="488" t="str">
        <x:v>Planned</x:v>
      </x:c>
      <x:c r="L164" s="488" t="str">
        <x:v>Not Run</x:v>
      </x:c>
      <x:c r="M164" s="488" t="str">
        <x:v>Critical</x:v>
      </x:c>
      <x:c r="N164" s="411" t="str">
        <x:v>ROS 2 Jazzy + Gazebo Harmonic</x:v>
      </x:c>
      <x:c r="O164" s="460"/>
      <x:c r="P164" s="411" t="str"/>
      <x:c r="Q164" s="411" t="str"/>
      <x:c r="R164" s="411" t="str"/>
      <x:c r="S164" s="411" t="str">
        <x:v>Devansh</x:v>
      </x:c>
      <x:c r="T164" s="411" t="str"/>
      <x:c r="U164" s="411" t="str">
        <x:v>tc_0160</x:v>
      </x:c>
      <x:c r="V164" s="373"/>
      <x:c r="W164" s="373"/>
      <x:c r="X164" s="373"/>
      <x:c r="Y164" s="373"/>
      <x:c r="Z164" s="373"/>
    </x:row>
    <x:row r="165">
      <x:c r="A165" s="411" t="str">
        <x:v>TC-0161</x:v>
      </x:c>
      <x:c r="B165" s="411" t="str">
        <x:v>v0.2.3</x:v>
      </x:c>
      <x:c r="C165" s="411" t="str">
        <x:v>Integration</x:v>
      </x:c>
      <x:c r="D165" s="411" t="str">
        <x:v>F-MET-001</x:v>
      </x:c>
      <x:c r="E165" s="411" t="str">
        <x:v>REQ-106</x:v>
      </x:c>
      <x:c r="F165" s="411" t="str">
        <x:v>Localization metrics engine — nominal acceptance</x:v>
      </x:c>
      <x:c r="G165" s="411" t="str">
        <x:v>Verify that localization metrics engine satisfies its declared acceptance criteria.</x:v>
      </x:c>
      <x:c r="H165" s="411" t="str">
        <x:v>Required dependencies and test fixtures are available.</x:v>
      </x:c>
      <x:c r="I165" s="411" t="str">
        <x:v>Configure the platform for v0.2.3; execute the nominal workflow for localization metrics engine; collect logs and evidence.</x:v>
      </x:c>
      <x:c r="J165" s="411" t="str">
        <x:v>Declared acceptance criteria pass and no existing regression test fails.</x:v>
      </x:c>
      <x:c r="K165" s="488" t="str">
        <x:v>Planned</x:v>
      </x:c>
      <x:c r="L165" s="488" t="str">
        <x:v>Not Run</x:v>
      </x:c>
      <x:c r="M165" s="488" t="str">
        <x:v>Critical</x:v>
      </x:c>
      <x:c r="N165" s="411" t="str">
        <x:v>ROS 2 Jazzy + Gazebo Harmonic</x:v>
      </x:c>
      <x:c r="O165" s="460"/>
      <x:c r="P165" s="411" t="str"/>
      <x:c r="Q165" s="411" t="str"/>
      <x:c r="R165" s="411" t="str"/>
      <x:c r="S165" s="411" t="str">
        <x:v>Devansh</x:v>
      </x:c>
      <x:c r="T165" s="411" t="str"/>
      <x:c r="U165" s="411" t="str">
        <x:v>tc_0161</x:v>
      </x:c>
      <x:c r="V165" s="373"/>
      <x:c r="W165" s="373"/>
      <x:c r="X165" s="373"/>
      <x:c r="Y165" s="373"/>
      <x:c r="Z165" s="373"/>
    </x:row>
    <x:row r="166">
      <x:c r="A166" s="411" t="str">
        <x:v>TC-0162</x:v>
      </x:c>
      <x:c r="B166" s="411" t="str">
        <x:v>v0.2.3</x:v>
      </x:c>
      <x:c r="C166" s="411" t="str">
        <x:v>Fault</x:v>
      </x:c>
      <x:c r="D166" s="411" t="str">
        <x:v>F-MET-001</x:v>
      </x:c>
      <x:c r="E166" s="411" t="str">
        <x:v>REQ-106</x:v>
      </x:c>
      <x:c r="F166" s="411" t="str">
        <x:v>Localization metrics engine — failure/recovery path</x:v>
      </x:c>
      <x:c r="G166" s="411" t="str">
        <x:v>Verify safe behavior when the dependencies or inputs for localization metrics engine fail.</x:v>
      </x:c>
      <x:c r="H166" s="411" t="str">
        <x:v>Fault injection or controlled dependency stub is available.</x:v>
      </x:c>
      <x:c r="I166" s="411" t="str">
        <x:v>Activate localization metrics engine; inject a representative failure; observe state, logs, cleanup, and recovery.</x:v>
      </x:c>
      <x:c r="J166" s="411" t="str">
        <x:v>Failure is detected, unsafe behavior is prevented, cause is reported, and recovery follows policy.</x:v>
      </x:c>
      <x:c r="K166" s="488" t="str">
        <x:v>Planned</x:v>
      </x:c>
      <x:c r="L166" s="488" t="str">
        <x:v>Not Run</x:v>
      </x:c>
      <x:c r="M166" s="488" t="str">
        <x:v>Critical</x:v>
      </x:c>
      <x:c r="N166" s="411" t="str">
        <x:v>ROS 2 Jazzy + Gazebo Harmonic</x:v>
      </x:c>
      <x:c r="O166" s="460"/>
      <x:c r="P166" s="411" t="str"/>
      <x:c r="Q166" s="411" t="str"/>
      <x:c r="R166" s="411" t="str"/>
      <x:c r="S166" s="411" t="str">
        <x:v>Devansh</x:v>
      </x:c>
      <x:c r="T166" s="411" t="str"/>
      <x:c r="U166" s="411" t="str">
        <x:v>tc_0162</x:v>
      </x:c>
      <x:c r="V166" s="373"/>
      <x:c r="W166" s="373"/>
      <x:c r="X166" s="373"/>
      <x:c r="Y166" s="373"/>
      <x:c r="Z166" s="373"/>
    </x:row>
    <x:row r="167">
      <x:c r="A167" s="411" t="str">
        <x:v>TC-0163</x:v>
      </x:c>
      <x:c r="B167" s="411" t="str">
        <x:v>v0.2.3</x:v>
      </x:c>
      <x:c r="C167" s="411" t="str">
        <x:v>Integration</x:v>
      </x:c>
      <x:c r="D167" s="411" t="str">
        <x:v>F-MET-002</x:v>
      </x:c>
      <x:c r="E167" s="411" t="str">
        <x:v>REQ-107</x:v>
      </x:c>
      <x:c r="F167" s="411" t="str">
        <x:v>Navigation metrics engine — nominal acceptance</x:v>
      </x:c>
      <x:c r="G167" s="411" t="str">
        <x:v>Verify that navigation metrics engine satisfies its declared acceptance criteria.</x:v>
      </x:c>
      <x:c r="H167" s="411" t="str">
        <x:v>Required dependencies and test fixtures are available.</x:v>
      </x:c>
      <x:c r="I167" s="411" t="str">
        <x:v>Configure the platform for v0.2.3; execute the nominal workflow for navigation metrics engine; collect logs and evidence.</x:v>
      </x:c>
      <x:c r="J167" s="411" t="str">
        <x:v>Declared acceptance criteria pass and no existing regression test fails.</x:v>
      </x:c>
      <x:c r="K167" s="488" t="str">
        <x:v>Planned</x:v>
      </x:c>
      <x:c r="L167" s="488" t="str">
        <x:v>Not Run</x:v>
      </x:c>
      <x:c r="M167" s="488" t="str">
        <x:v>Critical</x:v>
      </x:c>
      <x:c r="N167" s="411" t="str">
        <x:v>ROS 2 Jazzy + Gazebo Harmonic</x:v>
      </x:c>
      <x:c r="O167" s="460"/>
      <x:c r="P167" s="411" t="str"/>
      <x:c r="Q167" s="411" t="str"/>
      <x:c r="R167" s="411" t="str"/>
      <x:c r="S167" s="411" t="str">
        <x:v>Devansh</x:v>
      </x:c>
      <x:c r="T167" s="411" t="str"/>
      <x:c r="U167" s="411" t="str">
        <x:v>tc_0163</x:v>
      </x:c>
      <x:c r="V167" s="373"/>
      <x:c r="W167" s="373"/>
      <x:c r="X167" s="373"/>
      <x:c r="Y167" s="373"/>
      <x:c r="Z167" s="373"/>
    </x:row>
    <x:row r="168">
      <x:c r="A168" s="411" t="str">
        <x:v>TC-0164</x:v>
      </x:c>
      <x:c r="B168" s="411" t="str">
        <x:v>v0.2.3</x:v>
      </x:c>
      <x:c r="C168" s="411" t="str">
        <x:v>Fault</x:v>
      </x:c>
      <x:c r="D168" s="411" t="str">
        <x:v>F-MET-002</x:v>
      </x:c>
      <x:c r="E168" s="411" t="str">
        <x:v>REQ-107</x:v>
      </x:c>
      <x:c r="F168" s="411" t="str">
        <x:v>Navigation metrics engine — failure/recovery path</x:v>
      </x:c>
      <x:c r="G168" s="411" t="str">
        <x:v>Verify safe behavior when the dependencies or inputs for navigation metrics engine fail.</x:v>
      </x:c>
      <x:c r="H168" s="411" t="str">
        <x:v>Fault injection or controlled dependency stub is available.</x:v>
      </x:c>
      <x:c r="I168" s="411" t="str">
        <x:v>Activate navigation metrics engine; inject a representative failure; observe state, logs, cleanup, and recovery.</x:v>
      </x:c>
      <x:c r="J168" s="411" t="str">
        <x:v>Failure is detected, unsafe behavior is prevented, cause is reported, and recovery follows policy.</x:v>
      </x:c>
      <x:c r="K168" s="488" t="str">
        <x:v>Planned</x:v>
      </x:c>
      <x:c r="L168" s="488" t="str">
        <x:v>Not Run</x:v>
      </x:c>
      <x:c r="M168" s="488" t="str">
        <x:v>Critical</x:v>
      </x:c>
      <x:c r="N168" s="411" t="str">
        <x:v>ROS 2 Jazzy + Gazebo Harmonic</x:v>
      </x:c>
      <x:c r="O168" s="460"/>
      <x:c r="P168" s="411" t="str"/>
      <x:c r="Q168" s="411" t="str"/>
      <x:c r="R168" s="411" t="str"/>
      <x:c r="S168" s="411" t="str">
        <x:v>Devansh</x:v>
      </x:c>
      <x:c r="T168" s="411" t="str"/>
      <x:c r="U168" s="411" t="str">
        <x:v>tc_0164</x:v>
      </x:c>
      <x:c r="V168" s="373"/>
      <x:c r="W168" s="373"/>
      <x:c r="X168" s="373"/>
      <x:c r="Y168" s="373"/>
      <x:c r="Z168" s="373"/>
    </x:row>
    <x:row r="169">
      <x:c r="A169" s="411" t="str">
        <x:v>TC-0165</x:v>
      </x:c>
      <x:c r="B169" s="411" t="str">
        <x:v>v0.2.3</x:v>
      </x:c>
      <x:c r="C169" s="411" t="str">
        <x:v>Unit</x:v>
      </x:c>
      <x:c r="D169" s="411" t="str">
        <x:v>F-MET-003</x:v>
      </x:c>
      <x:c r="E169" s="411" t="str">
        <x:v>REQ-108</x:v>
      </x:c>
      <x:c r="F169" s="411" t="str">
        <x:v>Safety and performance metrics — nominal acceptance</x:v>
      </x:c>
      <x:c r="G169" s="411" t="str">
        <x:v>Verify that safety and performance metrics satisfies its declared acceptance criteria.</x:v>
      </x:c>
      <x:c r="H169" s="411" t="str">
        <x:v>Required dependencies and test fixtures are available.</x:v>
      </x:c>
      <x:c r="I169" s="411" t="str">
        <x:v>Configure the platform for v0.2.3; execute the nominal workflow for safety and performance metrics; collect logs and evidence.</x:v>
      </x:c>
      <x:c r="J169" s="411" t="str">
        <x:v>Declared acceptance criteria pass and no existing regression test fails.</x:v>
      </x:c>
      <x:c r="K169" s="488" t="str">
        <x:v>Planned</x:v>
      </x:c>
      <x:c r="L169" s="488" t="str">
        <x:v>Not Run</x:v>
      </x:c>
      <x:c r="M169" s="488" t="str">
        <x:v>High</x:v>
      </x:c>
      <x:c r="N169" s="411" t="str">
        <x:v>ROS 2 Jazzy + Gazebo Harmonic</x:v>
      </x:c>
      <x:c r="O169" s="460"/>
      <x:c r="P169" s="411" t="str"/>
      <x:c r="Q169" s="411" t="str"/>
      <x:c r="R169" s="411" t="str"/>
      <x:c r="S169" s="411" t="str">
        <x:v>Devansh</x:v>
      </x:c>
      <x:c r="T169" s="411" t="str"/>
      <x:c r="U169" s="411" t="str">
        <x:v>tc_0165</x:v>
      </x:c>
      <x:c r="V169" s="373"/>
      <x:c r="W169" s="373"/>
      <x:c r="X169" s="373"/>
      <x:c r="Y169" s="373"/>
      <x:c r="Z169" s="373"/>
    </x:row>
    <x:row r="170">
      <x:c r="A170" s="411" t="str">
        <x:v>TC-0166</x:v>
      </x:c>
      <x:c r="B170" s="411" t="str">
        <x:v>v0.2.3</x:v>
      </x:c>
      <x:c r="C170" s="411" t="str">
        <x:v>Integration</x:v>
      </x:c>
      <x:c r="D170" s="411" t="str">
        <x:v>F-MET-004</x:v>
      </x:c>
      <x:c r="E170" s="411" t="str">
        <x:v>REQ-109</x:v>
      </x:c>
      <x:c r="F170" s="411" t="str">
        <x:v>Metric unit and reference tests — nominal acceptance</x:v>
      </x:c>
      <x:c r="G170" s="411" t="str">
        <x:v>Verify that metric unit and reference tests satisfies its declared acceptance criteria.</x:v>
      </x:c>
      <x:c r="H170" s="411" t="str">
        <x:v>Required dependencies and test fixtures are available.</x:v>
      </x:c>
      <x:c r="I170" s="411" t="str">
        <x:v>Configure the platform for v0.2.3; execute the nominal workflow for metric unit and reference tests; collect logs and evidence.</x:v>
      </x:c>
      <x:c r="J170" s="411" t="str">
        <x:v>Declared acceptance criteria pass and no existing regression test fails.</x:v>
      </x:c>
      <x:c r="K170" s="488" t="str">
        <x:v>Planned</x:v>
      </x:c>
      <x:c r="L170" s="488" t="str">
        <x:v>Not Run</x:v>
      </x:c>
      <x:c r="M170" s="488" t="str">
        <x:v>Critical</x:v>
      </x:c>
      <x:c r="N170" s="411" t="str">
        <x:v>ROS 2 Jazzy + Gazebo Harmonic</x:v>
      </x:c>
      <x:c r="O170" s="460"/>
      <x:c r="P170" s="411" t="str"/>
      <x:c r="Q170" s="411" t="str"/>
      <x:c r="R170" s="411" t="str"/>
      <x:c r="S170" s="411" t="str">
        <x:v>Devansh</x:v>
      </x:c>
      <x:c r="T170" s="411" t="str"/>
      <x:c r="U170" s="411" t="str">
        <x:v>tc_0166</x:v>
      </x:c>
      <x:c r="V170" s="373"/>
      <x:c r="W170" s="373"/>
      <x:c r="X170" s="373"/>
      <x:c r="Y170" s="373"/>
      <x:c r="Z170" s="373"/>
    </x:row>
    <x:row r="171">
      <x:c r="A171" s="411" t="str">
        <x:v>TC-0167</x:v>
      </x:c>
      <x:c r="B171" s="411" t="str">
        <x:v>v0.2.3</x:v>
      </x:c>
      <x:c r="C171" s="411" t="str">
        <x:v>Fault</x:v>
      </x:c>
      <x:c r="D171" s="411" t="str">
        <x:v>F-MET-004</x:v>
      </x:c>
      <x:c r="E171" s="411" t="str">
        <x:v>REQ-109</x:v>
      </x:c>
      <x:c r="F171" s="411" t="str">
        <x:v>Metric unit and reference tests — failure/recovery path</x:v>
      </x:c>
      <x:c r="G171" s="411" t="str">
        <x:v>Verify safe behavior when the dependencies or inputs for metric unit and reference tests fail.</x:v>
      </x:c>
      <x:c r="H171" s="411" t="str">
        <x:v>Fault injection or controlled dependency stub is available.</x:v>
      </x:c>
      <x:c r="I171" s="411" t="str">
        <x:v>Activate metric unit and reference tests; inject a representative failure; observe state, logs, cleanup, and recovery.</x:v>
      </x:c>
      <x:c r="J171" s="411" t="str">
        <x:v>Failure is detected, unsafe behavior is prevented, cause is reported, and recovery follows policy.</x:v>
      </x:c>
      <x:c r="K171" s="488" t="str">
        <x:v>Planned</x:v>
      </x:c>
      <x:c r="L171" s="488" t="str">
        <x:v>Not Run</x:v>
      </x:c>
      <x:c r="M171" s="488" t="str">
        <x:v>Critical</x:v>
      </x:c>
      <x:c r="N171" s="411" t="str">
        <x:v>ROS 2 Jazzy + Gazebo Harmonic</x:v>
      </x:c>
      <x:c r="O171" s="460"/>
      <x:c r="P171" s="411" t="str"/>
      <x:c r="Q171" s="411" t="str"/>
      <x:c r="R171" s="411" t="str"/>
      <x:c r="S171" s="411" t="str">
        <x:v>Devansh</x:v>
      </x:c>
      <x:c r="T171" s="411" t="str"/>
      <x:c r="U171" s="411" t="str">
        <x:v>tc_0167</x:v>
      </x:c>
      <x:c r="V171" s="373"/>
      <x:c r="W171" s="373"/>
      <x:c r="X171" s="373"/>
      <x:c r="Y171" s="373"/>
      <x:c r="Z171" s="373"/>
    </x:row>
    <x:row r="172">
      <x:c r="A172" s="411" t="str">
        <x:v>TC-0168</x:v>
      </x:c>
      <x:c r="B172" s="411" t="str">
        <x:v>v0.2.4</x:v>
      </x:c>
      <x:c r="C172" s="411" t="str">
        <x:v>Integration</x:v>
      </x:c>
      <x:c r="D172" s="411" t="str">
        <x:v>F-BATCH-001</x:v>
      </x:c>
      <x:c r="E172" s="411" t="str">
        <x:v>REQ-110</x:v>
      </x:c>
      <x:c r="F172" s="411" t="str">
        <x:v>Multi-seed batch runner — nominal acceptance</x:v>
      </x:c>
      <x:c r="G172" s="411" t="str">
        <x:v>Verify that multi-seed batch runner satisfies its declared acceptance criteria.</x:v>
      </x:c>
      <x:c r="H172" s="411" t="str">
        <x:v>Required dependencies and test fixtures are available.</x:v>
      </x:c>
      <x:c r="I172" s="411" t="str">
        <x:v>Configure the platform for v0.2.4; execute the nominal workflow for multi-seed batch runner; collect logs and evidence.</x:v>
      </x:c>
      <x:c r="J172" s="411" t="str">
        <x:v>Declared acceptance criteria pass and no existing regression test fails.</x:v>
      </x:c>
      <x:c r="K172" s="488" t="str">
        <x:v>Planned</x:v>
      </x:c>
      <x:c r="L172" s="488" t="str">
        <x:v>Not Run</x:v>
      </x:c>
      <x:c r="M172" s="488" t="str">
        <x:v>Critical</x:v>
      </x:c>
      <x:c r="N172" s="411" t="str">
        <x:v>ROS 2 Jazzy + Gazebo Harmonic</x:v>
      </x:c>
      <x:c r="O172" s="460"/>
      <x:c r="P172" s="411" t="str"/>
      <x:c r="Q172" s="411" t="str"/>
      <x:c r="R172" s="411" t="str"/>
      <x:c r="S172" s="411" t="str">
        <x:v>Devansh</x:v>
      </x:c>
      <x:c r="T172" s="411" t="str"/>
      <x:c r="U172" s="411" t="str">
        <x:v>tc_0168</x:v>
      </x:c>
      <x:c r="V172" s="373"/>
      <x:c r="W172" s="373"/>
      <x:c r="X172" s="373"/>
      <x:c r="Y172" s="373"/>
      <x:c r="Z172" s="373"/>
    </x:row>
    <x:row r="173">
      <x:c r="A173" s="411" t="str">
        <x:v>TC-0169</x:v>
      </x:c>
      <x:c r="B173" s="411" t="str">
        <x:v>v0.2.4</x:v>
      </x:c>
      <x:c r="C173" s="411" t="str">
        <x:v>Fault</x:v>
      </x:c>
      <x:c r="D173" s="411" t="str">
        <x:v>F-BATCH-001</x:v>
      </x:c>
      <x:c r="E173" s="411" t="str">
        <x:v>REQ-110</x:v>
      </x:c>
      <x:c r="F173" s="411" t="str">
        <x:v>Multi-seed batch runner — failure/recovery path</x:v>
      </x:c>
      <x:c r="G173" s="411" t="str">
        <x:v>Verify safe behavior when the dependencies or inputs for multi-seed batch runner fail.</x:v>
      </x:c>
      <x:c r="H173" s="411" t="str">
        <x:v>Fault injection or controlled dependency stub is available.</x:v>
      </x:c>
      <x:c r="I173" s="411" t="str">
        <x:v>Activate multi-seed batch runner; inject a representative failure; observe state, logs, cleanup, and recovery.</x:v>
      </x:c>
      <x:c r="J173" s="411" t="str">
        <x:v>Failure is detected, unsafe behavior is prevented, cause is reported, and recovery follows policy.</x:v>
      </x:c>
      <x:c r="K173" s="488" t="str">
        <x:v>Planned</x:v>
      </x:c>
      <x:c r="L173" s="488" t="str">
        <x:v>Not Run</x:v>
      </x:c>
      <x:c r="M173" s="488" t="str">
        <x:v>Critical</x:v>
      </x:c>
      <x:c r="N173" s="411" t="str">
        <x:v>ROS 2 Jazzy + Gazebo Harmonic</x:v>
      </x:c>
      <x:c r="O173" s="460"/>
      <x:c r="P173" s="411" t="str"/>
      <x:c r="Q173" s="411" t="str"/>
      <x:c r="R173" s="411" t="str"/>
      <x:c r="S173" s="411" t="str">
        <x:v>Devansh</x:v>
      </x:c>
      <x:c r="T173" s="411" t="str"/>
      <x:c r="U173" s="411" t="str">
        <x:v>tc_0169</x:v>
      </x:c>
      <x:c r="V173" s="373"/>
      <x:c r="W173" s="373"/>
      <x:c r="X173" s="373"/>
      <x:c r="Y173" s="373"/>
      <x:c r="Z173" s="373"/>
    </x:row>
    <x:row r="174">
      <x:c r="A174" s="411" t="str">
        <x:v>TC-0170</x:v>
      </x:c>
      <x:c r="B174" s="411" t="str">
        <x:v>v0.2.4</x:v>
      </x:c>
      <x:c r="C174" s="411" t="str">
        <x:v>Unit</x:v>
      </x:c>
      <x:c r="D174" s="411" t="str">
        <x:v>F-BATCH-002</x:v>
      </x:c>
      <x:c r="E174" s="411" t="str">
        <x:v>REQ-111</x:v>
      </x:c>
      <x:c r="F174" s="411" t="str">
        <x:v>Parameter sweep runner — nominal acceptance</x:v>
      </x:c>
      <x:c r="G174" s="411" t="str">
        <x:v>Verify that parameter sweep runner satisfies its declared acceptance criteria.</x:v>
      </x:c>
      <x:c r="H174" s="411" t="str">
        <x:v>Required dependencies and test fixtures are available.</x:v>
      </x:c>
      <x:c r="I174" s="411" t="str">
        <x:v>Configure the platform for v0.2.4; execute the nominal workflow for parameter sweep runner; collect logs and evidence.</x:v>
      </x:c>
      <x:c r="J174" s="411" t="str">
        <x:v>Declared acceptance criteria pass and no existing regression test fails.</x:v>
      </x:c>
      <x:c r="K174" s="488" t="str">
        <x:v>Planned</x:v>
      </x:c>
      <x:c r="L174" s="488" t="str">
        <x:v>Not Run</x:v>
      </x:c>
      <x:c r="M174" s="488" t="str">
        <x:v>High</x:v>
      </x:c>
      <x:c r="N174" s="411" t="str">
        <x:v>ROS 2 Jazzy + Gazebo Harmonic</x:v>
      </x:c>
      <x:c r="O174" s="460"/>
      <x:c r="P174" s="411" t="str"/>
      <x:c r="Q174" s="411" t="str"/>
      <x:c r="R174" s="411" t="str"/>
      <x:c r="S174" s="411" t="str">
        <x:v>Devansh</x:v>
      </x:c>
      <x:c r="T174" s="411" t="str"/>
      <x:c r="U174" s="411" t="str">
        <x:v>tc_0170</x:v>
      </x:c>
      <x:c r="V174" s="373"/>
      <x:c r="W174" s="373"/>
      <x:c r="X174" s="373"/>
      <x:c r="Y174" s="373"/>
      <x:c r="Z174" s="373"/>
    </x:row>
    <x:row r="175">
      <x:c r="A175" s="411" t="str">
        <x:v>TC-0171</x:v>
      </x:c>
      <x:c r="B175" s="411" t="str">
        <x:v>v0.2.4</x:v>
      </x:c>
      <x:c r="C175" s="411" t="str">
        <x:v>Unit</x:v>
      </x:c>
      <x:c r="D175" s="411" t="str">
        <x:v>F-BATCH-003</x:v>
      </x:c>
      <x:c r="E175" s="411" t="str">
        <x:v>REQ-112</x:v>
      </x:c>
      <x:c r="F175" s="411" t="str">
        <x:v>Noise/fault sweep runner — nominal acceptance</x:v>
      </x:c>
      <x:c r="G175" s="411" t="str">
        <x:v>Verify that noise/fault sweep runner satisfies its declared acceptance criteria.</x:v>
      </x:c>
      <x:c r="H175" s="411" t="str">
        <x:v>Required dependencies and test fixtures are available.</x:v>
      </x:c>
      <x:c r="I175" s="411" t="str">
        <x:v>Configure the platform for v0.2.4; execute the nominal workflow for noise/fault sweep runner; collect logs and evidence.</x:v>
      </x:c>
      <x:c r="J175" s="411" t="str">
        <x:v>Declared acceptance criteria pass and no existing regression test fails.</x:v>
      </x:c>
      <x:c r="K175" s="488" t="str">
        <x:v>Planned</x:v>
      </x:c>
      <x:c r="L175" s="488" t="str">
        <x:v>Not Run</x:v>
      </x:c>
      <x:c r="M175" s="488" t="str">
        <x:v>High</x:v>
      </x:c>
      <x:c r="N175" s="411" t="str">
        <x:v>ROS 2 Jazzy + Gazebo Harmonic</x:v>
      </x:c>
      <x:c r="O175" s="460"/>
      <x:c r="P175" s="411" t="str"/>
      <x:c r="Q175" s="411" t="str"/>
      <x:c r="R175" s="411" t="str"/>
      <x:c r="S175" s="411" t="str">
        <x:v>Devansh</x:v>
      </x:c>
      <x:c r="T175" s="411" t="str"/>
      <x:c r="U175" s="411" t="str">
        <x:v>tc_0171</x:v>
      </x:c>
      <x:c r="V175" s="373"/>
      <x:c r="W175" s="373"/>
      <x:c r="X175" s="373"/>
      <x:c r="Y175" s="373"/>
      <x:c r="Z175" s="373"/>
    </x:row>
    <x:row r="176">
      <x:c r="A176" s="411" t="str">
        <x:v>TC-0172</x:v>
      </x:c>
      <x:c r="B176" s="411" t="str">
        <x:v>v0.2.4</x:v>
      </x:c>
      <x:c r="C176" s="411" t="str">
        <x:v>Integration</x:v>
      </x:c>
      <x:c r="D176" s="411" t="str">
        <x:v>F-BATCH-004</x:v>
      </x:c>
      <x:c r="E176" s="411" t="str">
        <x:v>REQ-113</x:v>
      </x:c>
      <x:c r="F176" s="411" t="str">
        <x:v>Batch statistics — nominal acceptance</x:v>
      </x:c>
      <x:c r="G176" s="411" t="str">
        <x:v>Verify that batch statistics satisfies its declared acceptance criteria.</x:v>
      </x:c>
      <x:c r="H176" s="411" t="str">
        <x:v>Required dependencies and test fixtures are available.</x:v>
      </x:c>
      <x:c r="I176" s="411" t="str">
        <x:v>Configure the platform for v0.2.4; execute the nominal workflow for batch statistics; collect logs and evidence.</x:v>
      </x:c>
      <x:c r="J176" s="411" t="str">
        <x:v>Declared acceptance criteria pass and no existing regression test fails.</x:v>
      </x:c>
      <x:c r="K176" s="488" t="str">
        <x:v>Planned</x:v>
      </x:c>
      <x:c r="L176" s="488" t="str">
        <x:v>Not Run</x:v>
      </x:c>
      <x:c r="M176" s="488" t="str">
        <x:v>Critical</x:v>
      </x:c>
      <x:c r="N176" s="411" t="str">
        <x:v>ROS 2 Jazzy + Gazebo Harmonic</x:v>
      </x:c>
      <x:c r="O176" s="460"/>
      <x:c r="P176" s="411" t="str"/>
      <x:c r="Q176" s="411" t="str"/>
      <x:c r="R176" s="411" t="str"/>
      <x:c r="S176" s="411" t="str">
        <x:v>Devansh</x:v>
      </x:c>
      <x:c r="T176" s="411" t="str"/>
      <x:c r="U176" s="411" t="str">
        <x:v>tc_0172</x:v>
      </x:c>
      <x:c r="V176" s="373"/>
      <x:c r="W176" s="373"/>
      <x:c r="X176" s="373"/>
      <x:c r="Y176" s="373"/>
      <x:c r="Z176" s="373"/>
    </x:row>
    <x:row r="177">
      <x:c r="A177" s="411" t="str">
        <x:v>TC-0173</x:v>
      </x:c>
      <x:c r="B177" s="411" t="str">
        <x:v>v0.2.4</x:v>
      </x:c>
      <x:c r="C177" s="411" t="str">
        <x:v>Fault</x:v>
      </x:c>
      <x:c r="D177" s="411" t="str">
        <x:v>F-BATCH-004</x:v>
      </x:c>
      <x:c r="E177" s="411" t="str">
        <x:v>REQ-113</x:v>
      </x:c>
      <x:c r="F177" s="411" t="str">
        <x:v>Batch statistics — failure/recovery path</x:v>
      </x:c>
      <x:c r="G177" s="411" t="str">
        <x:v>Verify safe behavior when the dependencies or inputs for batch statistics fail.</x:v>
      </x:c>
      <x:c r="H177" s="411" t="str">
        <x:v>Fault injection or controlled dependency stub is available.</x:v>
      </x:c>
      <x:c r="I177" s="411" t="str">
        <x:v>Activate batch statistics; inject a representative failure; observe state, logs, cleanup, and recovery.</x:v>
      </x:c>
      <x:c r="J177" s="411" t="str">
        <x:v>Failure is detected, unsafe behavior is prevented, cause is reported, and recovery follows policy.</x:v>
      </x:c>
      <x:c r="K177" s="488" t="str">
        <x:v>Planned</x:v>
      </x:c>
      <x:c r="L177" s="488" t="str">
        <x:v>Not Run</x:v>
      </x:c>
      <x:c r="M177" s="488" t="str">
        <x:v>Critical</x:v>
      </x:c>
      <x:c r="N177" s="411" t="str">
        <x:v>ROS 2 Jazzy + Gazebo Harmonic</x:v>
      </x:c>
      <x:c r="O177" s="460"/>
      <x:c r="P177" s="411" t="str"/>
      <x:c r="Q177" s="411" t="str"/>
      <x:c r="R177" s="411" t="str"/>
      <x:c r="S177" s="411" t="str">
        <x:v>Devansh</x:v>
      </x:c>
      <x:c r="T177" s="411" t="str"/>
      <x:c r="U177" s="411" t="str">
        <x:v>tc_0173</x:v>
      </x:c>
      <x:c r="V177" s="373"/>
      <x:c r="W177" s="373"/>
      <x:c r="X177" s="373"/>
      <x:c r="Y177" s="373"/>
      <x:c r="Z177" s="373"/>
    </x:row>
    <x:row r="178">
      <x:c r="A178" s="411" t="str">
        <x:v>TC-0174</x:v>
      </x:c>
      <x:c r="B178" s="411" t="str">
        <x:v>v0.2.5</x:v>
      </x:c>
      <x:c r="C178" s="411" t="str">
        <x:v>Unit</x:v>
      </x:c>
      <x:c r="D178" s="411" t="str">
        <x:v>F-REPORT-001</x:v>
      </x:c>
      <x:c r="E178" s="411" t="str">
        <x:v>REQ-114</x:v>
      </x:c>
      <x:c r="F178" s="411" t="str">
        <x:v>CSV and JSON summaries — nominal acceptance</x:v>
      </x:c>
      <x:c r="G178" s="411" t="str">
        <x:v>Verify that csv and json summaries satisfies its declared acceptance criteria.</x:v>
      </x:c>
      <x:c r="H178" s="411" t="str">
        <x:v>Required dependencies and test fixtures are available.</x:v>
      </x:c>
      <x:c r="I178" s="411" t="str">
        <x:v>Configure the platform for v0.2.5; execute the nominal workflow for csv and json summaries; collect logs and evidence.</x:v>
      </x:c>
      <x:c r="J178" s="411" t="str">
        <x:v>Declared acceptance criteria pass and no existing regression test fails.</x:v>
      </x:c>
      <x:c r="K178" s="488" t="str">
        <x:v>Planned</x:v>
      </x:c>
      <x:c r="L178" s="488" t="str">
        <x:v>Not Run</x:v>
      </x:c>
      <x:c r="M178" s="488" t="str">
        <x:v>High</x:v>
      </x:c>
      <x:c r="N178" s="411" t="str">
        <x:v>ROS 2 Jazzy + Gazebo Harmonic</x:v>
      </x:c>
      <x:c r="O178" s="460"/>
      <x:c r="P178" s="411" t="str"/>
      <x:c r="Q178" s="411" t="str"/>
      <x:c r="R178" s="411" t="str"/>
      <x:c r="S178" s="411" t="str">
        <x:v>Devansh</x:v>
      </x:c>
      <x:c r="T178" s="411" t="str"/>
      <x:c r="U178" s="411" t="str">
        <x:v>tc_0174</x:v>
      </x:c>
      <x:c r="V178" s="373"/>
      <x:c r="W178" s="373"/>
      <x:c r="X178" s="373"/>
      <x:c r="Y178" s="373"/>
      <x:c r="Z178" s="373"/>
    </x:row>
    <x:row r="179">
      <x:c r="A179" s="411" t="str">
        <x:v>TC-0175</x:v>
      </x:c>
      <x:c r="B179" s="411" t="str">
        <x:v>v0.2.5</x:v>
      </x:c>
      <x:c r="C179" s="411" t="str">
        <x:v>Integration</x:v>
      </x:c>
      <x:c r="D179" s="411" t="str">
        <x:v>F-REPORT-002</x:v>
      </x:c>
      <x:c r="E179" s="411" t="str">
        <x:v>REQ-115</x:v>
      </x:c>
      <x:c r="F179" s="411" t="str">
        <x:v>Markdown and HTML reports — nominal acceptance</x:v>
      </x:c>
      <x:c r="G179" s="411" t="str">
        <x:v>Verify that markdown and html reports satisfies its declared acceptance criteria.</x:v>
      </x:c>
      <x:c r="H179" s="411" t="str">
        <x:v>Required dependencies and test fixtures are available.</x:v>
      </x:c>
      <x:c r="I179" s="411" t="str">
        <x:v>Configure the platform for v0.2.5; execute the nominal workflow for markdown and html reports; collect logs and evidence.</x:v>
      </x:c>
      <x:c r="J179" s="411" t="str">
        <x:v>Declared acceptance criteria pass and no existing regression test fails.</x:v>
      </x:c>
      <x:c r="K179" s="488" t="str">
        <x:v>Planned</x:v>
      </x:c>
      <x:c r="L179" s="488" t="str">
        <x:v>Not Run</x:v>
      </x:c>
      <x:c r="M179" s="488" t="str">
        <x:v>Critical</x:v>
      </x:c>
      <x:c r="N179" s="411" t="str">
        <x:v>ROS 2 Jazzy + Gazebo Harmonic</x:v>
      </x:c>
      <x:c r="O179" s="460"/>
      <x:c r="P179" s="411" t="str"/>
      <x:c r="Q179" s="411" t="str"/>
      <x:c r="R179" s="411" t="str"/>
      <x:c r="S179" s="411" t="str">
        <x:v>Devansh</x:v>
      </x:c>
      <x:c r="T179" s="411" t="str"/>
      <x:c r="U179" s="411" t="str">
        <x:v>tc_0175</x:v>
      </x:c>
      <x:c r="V179" s="373"/>
      <x:c r="W179" s="373"/>
      <x:c r="X179" s="373"/>
      <x:c r="Y179" s="373"/>
      <x:c r="Z179" s="373"/>
    </x:row>
    <x:row r="180">
      <x:c r="A180" s="411" t="str">
        <x:v>TC-0176</x:v>
      </x:c>
      <x:c r="B180" s="411" t="str">
        <x:v>v0.2.5</x:v>
      </x:c>
      <x:c r="C180" s="411" t="str">
        <x:v>Fault</x:v>
      </x:c>
      <x:c r="D180" s="411" t="str">
        <x:v>F-REPORT-002</x:v>
      </x:c>
      <x:c r="E180" s="411" t="str">
        <x:v>REQ-115</x:v>
      </x:c>
      <x:c r="F180" s="411" t="str">
        <x:v>Markdown and HTML reports — failure/recovery path</x:v>
      </x:c>
      <x:c r="G180" s="411" t="str">
        <x:v>Verify safe behavior when the dependencies or inputs for markdown and html reports fail.</x:v>
      </x:c>
      <x:c r="H180" s="411" t="str">
        <x:v>Fault injection or controlled dependency stub is available.</x:v>
      </x:c>
      <x:c r="I180" s="411" t="str">
        <x:v>Activate markdown and html reports; inject a representative failure; observe state, logs, cleanup, and recovery.</x:v>
      </x:c>
      <x:c r="J180" s="411" t="str">
        <x:v>Failure is detected, unsafe behavior is prevented, cause is reported, and recovery follows policy.</x:v>
      </x:c>
      <x:c r="K180" s="488" t="str">
        <x:v>Planned</x:v>
      </x:c>
      <x:c r="L180" s="488" t="str">
        <x:v>Not Run</x:v>
      </x:c>
      <x:c r="M180" s="488" t="str">
        <x:v>Critical</x:v>
      </x:c>
      <x:c r="N180" s="411" t="str">
        <x:v>ROS 2 Jazzy + Gazebo Harmonic</x:v>
      </x:c>
      <x:c r="O180" s="460"/>
      <x:c r="P180" s="411" t="str"/>
      <x:c r="Q180" s="411" t="str"/>
      <x:c r="R180" s="411" t="str"/>
      <x:c r="S180" s="411" t="str">
        <x:v>Devansh</x:v>
      </x:c>
      <x:c r="T180" s="411" t="str"/>
      <x:c r="U180" s="411" t="str">
        <x:v>tc_0176</x:v>
      </x:c>
      <x:c r="V180" s="373"/>
      <x:c r="W180" s="373"/>
      <x:c r="X180" s="373"/>
      <x:c r="Y180" s="373"/>
      <x:c r="Z180" s="373"/>
    </x:row>
    <x:row r="181">
      <x:c r="A181" s="411" t="str">
        <x:v>TC-0177</x:v>
      </x:c>
      <x:c r="B181" s="411" t="str">
        <x:v>v0.2.5</x:v>
      </x:c>
      <x:c r="C181" s="411" t="str">
        <x:v>Unit</x:v>
      </x:c>
      <x:c r="D181" s="411" t="str">
        <x:v>F-REPORT-003</x:v>
      </x:c>
      <x:c r="E181" s="411" t="str">
        <x:v>REQ-116</x:v>
      </x:c>
      <x:c r="F181" s="411" t="str">
        <x:v>Verification plots — nominal acceptance</x:v>
      </x:c>
      <x:c r="G181" s="411" t="str">
        <x:v>Verify that verification plots satisfies its declared acceptance criteria.</x:v>
      </x:c>
      <x:c r="H181" s="411" t="str">
        <x:v>Required dependencies and test fixtures are available.</x:v>
      </x:c>
      <x:c r="I181" s="411" t="str">
        <x:v>Configure the platform for v0.2.5; execute the nominal workflow for verification plots; collect logs and evidence.</x:v>
      </x:c>
      <x:c r="J181" s="411" t="str">
        <x:v>Declared acceptance criteria pass and no existing regression test fails.</x:v>
      </x:c>
      <x:c r="K181" s="488" t="str">
        <x:v>Planned</x:v>
      </x:c>
      <x:c r="L181" s="488" t="str">
        <x:v>Not Run</x:v>
      </x:c>
      <x:c r="M181" s="488" t="str">
        <x:v>High</x:v>
      </x:c>
      <x:c r="N181" s="411" t="str">
        <x:v>ROS 2 Jazzy + Gazebo Harmonic</x:v>
      </x:c>
      <x:c r="O181" s="460"/>
      <x:c r="P181" s="411" t="str"/>
      <x:c r="Q181" s="411" t="str"/>
      <x:c r="R181" s="411" t="str"/>
      <x:c r="S181" s="411" t="str">
        <x:v>Devansh</x:v>
      </x:c>
      <x:c r="T181" s="411" t="str"/>
      <x:c r="U181" s="411" t="str">
        <x:v>tc_0177</x:v>
      </x:c>
      <x:c r="V181" s="373"/>
      <x:c r="W181" s="373"/>
      <x:c r="X181" s="373"/>
      <x:c r="Y181" s="373"/>
      <x:c r="Z181" s="373"/>
    </x:row>
    <x:row r="182">
      <x:c r="A182" s="411" t="str">
        <x:v>TC-0178</x:v>
      </x:c>
      <x:c r="B182" s="411" t="str">
        <x:v>v0.2.5</x:v>
      </x:c>
      <x:c r="C182" s="411" t="str">
        <x:v>Integration</x:v>
      </x:c>
      <x:c r="D182" s="411" t="str">
        <x:v>F-REPORT-004</x:v>
      </x:c>
      <x:c r="E182" s="411" t="str">
        <x:v>REQ-117</x:v>
      </x:c>
      <x:c r="F182" s="411" t="str">
        <x:v>Baseline comparison report — nominal acceptance</x:v>
      </x:c>
      <x:c r="G182" s="411" t="str">
        <x:v>Verify that baseline comparison report satisfies its declared acceptance criteria.</x:v>
      </x:c>
      <x:c r="H182" s="411" t="str">
        <x:v>Required dependencies and test fixtures are available.</x:v>
      </x:c>
      <x:c r="I182" s="411" t="str">
        <x:v>Configure the platform for v0.2.5; execute the nominal workflow for baseline comparison report; collect logs and evidence.</x:v>
      </x:c>
      <x:c r="J182" s="411" t="str">
        <x:v>Declared acceptance criteria pass and no existing regression test fails.</x:v>
      </x:c>
      <x:c r="K182" s="488" t="str">
        <x:v>Planned</x:v>
      </x:c>
      <x:c r="L182" s="488" t="str">
        <x:v>Not Run</x:v>
      </x:c>
      <x:c r="M182" s="488" t="str">
        <x:v>Critical</x:v>
      </x:c>
      <x:c r="N182" s="411" t="str">
        <x:v>ROS 2 Jazzy + Gazebo Harmonic</x:v>
      </x:c>
      <x:c r="O182" s="460"/>
      <x:c r="P182" s="411" t="str"/>
      <x:c r="Q182" s="411" t="str"/>
      <x:c r="R182" s="411" t="str"/>
      <x:c r="S182" s="411" t="str">
        <x:v>Devansh</x:v>
      </x:c>
      <x:c r="T182" s="411" t="str"/>
      <x:c r="U182" s="411" t="str">
        <x:v>tc_0178</x:v>
      </x:c>
      <x:c r="V182" s="373"/>
      <x:c r="W182" s="373"/>
      <x:c r="X182" s="373"/>
      <x:c r="Y182" s="373"/>
      <x:c r="Z182" s="373"/>
    </x:row>
    <x:row r="183">
      <x:c r="A183" s="411" t="str">
        <x:v>TC-0179</x:v>
      </x:c>
      <x:c r="B183" s="411" t="str">
        <x:v>v0.2.5</x:v>
      </x:c>
      <x:c r="C183" s="411" t="str">
        <x:v>Fault</x:v>
      </x:c>
      <x:c r="D183" s="411" t="str">
        <x:v>F-REPORT-004</x:v>
      </x:c>
      <x:c r="E183" s="411" t="str">
        <x:v>REQ-117</x:v>
      </x:c>
      <x:c r="F183" s="411" t="str">
        <x:v>Baseline comparison report — failure/recovery path</x:v>
      </x:c>
      <x:c r="G183" s="411" t="str">
        <x:v>Verify safe behavior when the dependencies or inputs for baseline comparison report fail.</x:v>
      </x:c>
      <x:c r="H183" s="411" t="str">
        <x:v>Fault injection or controlled dependency stub is available.</x:v>
      </x:c>
      <x:c r="I183" s="411" t="str">
        <x:v>Activate baseline comparison report; inject a representative failure; observe state, logs, cleanup, and recovery.</x:v>
      </x:c>
      <x:c r="J183" s="411" t="str">
        <x:v>Failure is detected, unsafe behavior is prevented, cause is reported, and recovery follows policy.</x:v>
      </x:c>
      <x:c r="K183" s="488" t="str">
        <x:v>Planned</x:v>
      </x:c>
      <x:c r="L183" s="488" t="str">
        <x:v>Not Run</x:v>
      </x:c>
      <x:c r="M183" s="488" t="str">
        <x:v>Critical</x:v>
      </x:c>
      <x:c r="N183" s="411" t="str">
        <x:v>ROS 2 Jazzy + Gazebo Harmonic</x:v>
      </x:c>
      <x:c r="O183" s="460"/>
      <x:c r="P183" s="411" t="str"/>
      <x:c r="Q183" s="411" t="str"/>
      <x:c r="R183" s="411" t="str"/>
      <x:c r="S183" s="411" t="str">
        <x:v>Devansh</x:v>
      </x:c>
      <x:c r="T183" s="411" t="str"/>
      <x:c r="U183" s="411" t="str">
        <x:v>tc_0179</x:v>
      </x:c>
      <x:c r="V183" s="373"/>
      <x:c r="W183" s="373"/>
      <x:c r="X183" s="373"/>
      <x:c r="Y183" s="373"/>
      <x:c r="Z183" s="373"/>
    </x:row>
    <x:row r="184">
      <x:c r="A184" s="411" t="str">
        <x:v>TC-0180</x:v>
      </x:c>
      <x:c r="B184" s="411" t="str">
        <x:v>v0.2.6</x:v>
      </x:c>
      <x:c r="C184" s="411" t="str">
        <x:v>Integration</x:v>
      </x:c>
      <x:c r="D184" s="411" t="str">
        <x:v>F-WEB-001</x:v>
      </x:c>
      <x:c r="E184" s="411" t="str">
        <x:v>REQ-118</x:v>
      </x:c>
      <x:c r="F184" s="411" t="str">
        <x:v>JS data-access layer — nominal acceptance</x:v>
      </x:c>
      <x:c r="G184" s="411" t="str">
        <x:v>Verify that js data-access layer satisfies its declared acceptance criteria.</x:v>
      </x:c>
      <x:c r="H184" s="411" t="str">
        <x:v>Required dependencies and test fixtures are available.</x:v>
      </x:c>
      <x:c r="I184" s="411" t="str">
        <x:v>Configure the platform for v0.2.6; execute the nominal workflow for js data-access layer; collect logs and evidence.</x:v>
      </x:c>
      <x:c r="J184" s="411" t="str">
        <x:v>Declared acceptance criteria pass and no existing regression test fails.</x:v>
      </x:c>
      <x:c r="K184" s="488" t="str">
        <x:v>Planned</x:v>
      </x:c>
      <x:c r="L184" s="488" t="str">
        <x:v>Not Run</x:v>
      </x:c>
      <x:c r="M184" s="488" t="str">
        <x:v>Critical</x:v>
      </x:c>
      <x:c r="N184" s="411" t="str">
        <x:v>ROS 2 Jazzy + Gazebo Harmonic</x:v>
      </x:c>
      <x:c r="O184" s="460"/>
      <x:c r="P184" s="411" t="str"/>
      <x:c r="Q184" s="411" t="str"/>
      <x:c r="R184" s="411" t="str"/>
      <x:c r="S184" s="411" t="str">
        <x:v>Devansh</x:v>
      </x:c>
      <x:c r="T184" s="411" t="str"/>
      <x:c r="U184" s="411" t="str">
        <x:v>tc_0180</x:v>
      </x:c>
      <x:c r="V184" s="373"/>
      <x:c r="W184" s="373"/>
      <x:c r="X184" s="373"/>
      <x:c r="Y184" s="373"/>
      <x:c r="Z184" s="373"/>
    </x:row>
    <x:row r="185">
      <x:c r="A185" s="411" t="str">
        <x:v>TC-0181</x:v>
      </x:c>
      <x:c r="B185" s="411" t="str">
        <x:v>v0.2.6</x:v>
      </x:c>
      <x:c r="C185" s="411" t="str">
        <x:v>Fault</x:v>
      </x:c>
      <x:c r="D185" s="411" t="str">
        <x:v>F-WEB-001</x:v>
      </x:c>
      <x:c r="E185" s="411" t="str">
        <x:v>REQ-118</x:v>
      </x:c>
      <x:c r="F185" s="411" t="str">
        <x:v>JS data-access layer — failure/recovery path</x:v>
      </x:c>
      <x:c r="G185" s="411" t="str">
        <x:v>Verify safe behavior when the dependencies or inputs for js data-access layer fail.</x:v>
      </x:c>
      <x:c r="H185" s="411" t="str">
        <x:v>Fault injection or controlled dependency stub is available.</x:v>
      </x:c>
      <x:c r="I185" s="411" t="str">
        <x:v>Activate js data-access layer; inject a representative failure; observe state, logs, cleanup, and recovery.</x:v>
      </x:c>
      <x:c r="J185" s="411" t="str">
        <x:v>Failure is detected, unsafe behavior is prevented, cause is reported, and recovery follows policy.</x:v>
      </x:c>
      <x:c r="K185" s="488" t="str">
        <x:v>Planned</x:v>
      </x:c>
      <x:c r="L185" s="488" t="str">
        <x:v>Not Run</x:v>
      </x:c>
      <x:c r="M185" s="488" t="str">
        <x:v>Critical</x:v>
      </x:c>
      <x:c r="N185" s="411" t="str">
        <x:v>ROS 2 Jazzy + Gazebo Harmonic</x:v>
      </x:c>
      <x:c r="O185" s="460"/>
      <x:c r="P185" s="411" t="str"/>
      <x:c r="Q185" s="411" t="str"/>
      <x:c r="R185" s="411" t="str"/>
      <x:c r="S185" s="411" t="str">
        <x:v>Devansh</x:v>
      </x:c>
      <x:c r="T185" s="411" t="str"/>
      <x:c r="U185" s="411" t="str">
        <x:v>tc_0181</x:v>
      </x:c>
      <x:c r="V185" s="373"/>
      <x:c r="W185" s="373"/>
      <x:c r="X185" s="373"/>
      <x:c r="Y185" s="373"/>
      <x:c r="Z185" s="373"/>
    </x:row>
    <x:row r="186">
      <x:c r="A186" s="411" t="str">
        <x:v>TC-0182</x:v>
      </x:c>
      <x:c r="B186" s="411" t="str">
        <x:v>v0.2.6</x:v>
      </x:c>
      <x:c r="C186" s="411" t="str">
        <x:v>Unit</x:v>
      </x:c>
      <x:c r="D186" s="411" t="str">
        <x:v>F-WEB-002</x:v>
      </x:c>
      <x:c r="E186" s="411" t="str">
        <x:v>REQ-119</x:v>
      </x:c>
      <x:c r="F186" s="411" t="str">
        <x:v>Mode and scenario selector — nominal acceptance</x:v>
      </x:c>
      <x:c r="G186" s="411" t="str">
        <x:v>Verify that mode and scenario selector satisfies its declared acceptance criteria.</x:v>
      </x:c>
      <x:c r="H186" s="411" t="str">
        <x:v>Required dependencies and test fixtures are available.</x:v>
      </x:c>
      <x:c r="I186" s="411" t="str">
        <x:v>Configure the platform for v0.2.6; execute the nominal workflow for mode and scenario selector; collect logs and evidence.</x:v>
      </x:c>
      <x:c r="J186" s="411" t="str">
        <x:v>Declared acceptance criteria pass and no existing regression test fails.</x:v>
      </x:c>
      <x:c r="K186" s="488" t="str">
        <x:v>Planned</x:v>
      </x:c>
      <x:c r="L186" s="488" t="str">
        <x:v>Not Run</x:v>
      </x:c>
      <x:c r="M186" s="488" t="str">
        <x:v>High</x:v>
      </x:c>
      <x:c r="N186" s="411" t="str">
        <x:v>ROS 2 Jazzy + Gazebo Harmonic</x:v>
      </x:c>
      <x:c r="O186" s="460"/>
      <x:c r="P186" s="411" t="str"/>
      <x:c r="Q186" s="411" t="str"/>
      <x:c r="R186" s="411" t="str"/>
      <x:c r="S186" s="411" t="str">
        <x:v>Devansh</x:v>
      </x:c>
      <x:c r="T186" s="411" t="str"/>
      <x:c r="U186" s="411" t="str">
        <x:v>tc_0182</x:v>
      </x:c>
      <x:c r="V186" s="373"/>
      <x:c r="W186" s="373"/>
      <x:c r="X186" s="373"/>
      <x:c r="Y186" s="373"/>
      <x:c r="Z186" s="373"/>
    </x:row>
    <x:row r="187">
      <x:c r="A187" s="411" t="str">
        <x:v>TC-0183</x:v>
      </x:c>
      <x:c r="B187" s="411" t="str">
        <x:v>v0.2.6</x:v>
      </x:c>
      <x:c r="C187" s="411" t="str">
        <x:v>Unit</x:v>
      </x:c>
      <x:c r="D187" s="411" t="str">
        <x:v>F-WEB-003</x:v>
      </x:c>
      <x:c r="E187" s="411" t="str">
        <x:v>REQ-120</x:v>
      </x:c>
      <x:c r="F187" s="411" t="str">
        <x:v>Fault and run controls — nominal acceptance</x:v>
      </x:c>
      <x:c r="G187" s="411" t="str">
        <x:v>Verify that fault and run controls satisfies its declared acceptance criteria.</x:v>
      </x:c>
      <x:c r="H187" s="411" t="str">
        <x:v>Required dependencies and test fixtures are available.</x:v>
      </x:c>
      <x:c r="I187" s="411" t="str">
        <x:v>Configure the platform for v0.2.6; execute the nominal workflow for fault and run controls; collect logs and evidence.</x:v>
      </x:c>
      <x:c r="J187" s="411" t="str">
        <x:v>Declared acceptance criteria pass and no existing regression test fails.</x:v>
      </x:c>
      <x:c r="K187" s="488" t="str">
        <x:v>Planned</x:v>
      </x:c>
      <x:c r="L187" s="488" t="str">
        <x:v>Not Run</x:v>
      </x:c>
      <x:c r="M187" s="488" t="str">
        <x:v>High</x:v>
      </x:c>
      <x:c r="N187" s="411" t="str">
        <x:v>ROS 2 Jazzy + Gazebo Harmonic</x:v>
      </x:c>
      <x:c r="O187" s="460"/>
      <x:c r="P187" s="411" t="str"/>
      <x:c r="Q187" s="411" t="str"/>
      <x:c r="R187" s="411" t="str"/>
      <x:c r="S187" s="411" t="str">
        <x:v>Devansh</x:v>
      </x:c>
      <x:c r="T187" s="411" t="str"/>
      <x:c r="U187" s="411" t="str">
        <x:v>tc_0183</x:v>
      </x:c>
      <x:c r="V187" s="373"/>
      <x:c r="W187" s="373"/>
      <x:c r="X187" s="373"/>
      <x:c r="Y187" s="373"/>
      <x:c r="Z187" s="373"/>
    </x:row>
    <x:row r="188">
      <x:c r="A188" s="411" t="str">
        <x:v>TC-0184</x:v>
      </x:c>
      <x:c r="B188" s="411" t="str">
        <x:v>v0.2.6</x:v>
      </x:c>
      <x:c r="C188" s="411" t="str">
        <x:v>Unit</x:v>
      </x:c>
      <x:c r="D188" s="411" t="str">
        <x:v>F-WEB-004</x:v>
      </x:c>
      <x:c r="E188" s="411" t="str">
        <x:v>REQ-121</x:v>
      </x:c>
      <x:c r="F188" s="411" t="str">
        <x:v>Evidence drill-down — nominal acceptance</x:v>
      </x:c>
      <x:c r="G188" s="411" t="str">
        <x:v>Verify that evidence drill-down satisfies its declared acceptance criteria.</x:v>
      </x:c>
      <x:c r="H188" s="411" t="str">
        <x:v>Required dependencies and test fixtures are available.</x:v>
      </x:c>
      <x:c r="I188" s="411" t="str">
        <x:v>Configure the platform for v0.2.6; execute the nominal workflow for evidence drill-down; collect logs and evidence.</x:v>
      </x:c>
      <x:c r="J188" s="411" t="str">
        <x:v>Declared acceptance criteria pass and no existing regression test fails.</x:v>
      </x:c>
      <x:c r="K188" s="488" t="str">
        <x:v>Planned</x:v>
      </x:c>
      <x:c r="L188" s="488" t="str">
        <x:v>Not Run</x:v>
      </x:c>
      <x:c r="M188" s="488" t="str">
        <x:v>High</x:v>
      </x:c>
      <x:c r="N188" s="411" t="str">
        <x:v>ROS 2 Jazzy + Gazebo Harmonic</x:v>
      </x:c>
      <x:c r="O188" s="460"/>
      <x:c r="P188" s="411" t="str"/>
      <x:c r="Q188" s="411" t="str"/>
      <x:c r="R188" s="411" t="str"/>
      <x:c r="S188" s="411" t="str">
        <x:v>Devansh</x:v>
      </x:c>
      <x:c r="T188" s="411" t="str"/>
      <x:c r="U188" s="411" t="str">
        <x:v>tc_0184</x:v>
      </x:c>
      <x:c r="V188" s="373"/>
      <x:c r="W188" s="373"/>
      <x:c r="X188" s="373"/>
      <x:c r="Y188" s="373"/>
      <x:c r="Z188" s="373"/>
    </x:row>
    <x:row r="189">
      <x:c r="A189" s="411" t="str">
        <x:v>TC-0185</x:v>
      </x:c>
      <x:c r="B189" s="411" t="str">
        <x:v>v0.2.7</x:v>
      </x:c>
      <x:c r="C189" s="411" t="str">
        <x:v>Integration</x:v>
      </x:c>
      <x:c r="D189" s="411" t="str">
        <x:v>F-DASH-001</x:v>
      </x:c>
      <x:c r="E189" s="411" t="str">
        <x:v>REQ-122</x:v>
      </x:c>
      <x:c r="F189" s="411" t="str">
        <x:v>Release dashboard — nominal acceptance</x:v>
      </x:c>
      <x:c r="G189" s="411" t="str">
        <x:v>Verify that release dashboard satisfies its declared acceptance criteria.</x:v>
      </x:c>
      <x:c r="H189" s="411" t="str">
        <x:v>Required dependencies and test fixtures are available.</x:v>
      </x:c>
      <x:c r="I189" s="411" t="str">
        <x:v>Configure the platform for v0.2.7; execute the nominal workflow for release dashboard; collect logs and evidence.</x:v>
      </x:c>
      <x:c r="J189" s="411" t="str">
        <x:v>Declared acceptance criteria pass and no existing regression test fails.</x:v>
      </x:c>
      <x:c r="K189" s="488" t="str">
        <x:v>Planned</x:v>
      </x:c>
      <x:c r="L189" s="488" t="str">
        <x:v>Not Run</x:v>
      </x:c>
      <x:c r="M189" s="488" t="str">
        <x:v>Critical</x:v>
      </x:c>
      <x:c r="N189" s="411" t="str">
        <x:v>ROS 2 Jazzy + Gazebo Harmonic</x:v>
      </x:c>
      <x:c r="O189" s="460"/>
      <x:c r="P189" s="411" t="str"/>
      <x:c r="Q189" s="411" t="str"/>
      <x:c r="R189" s="411" t="str"/>
      <x:c r="S189" s="411" t="str">
        <x:v>Devansh</x:v>
      </x:c>
      <x:c r="T189" s="411" t="str"/>
      <x:c r="U189" s="411" t="str">
        <x:v>tc_0185</x:v>
      </x:c>
      <x:c r="V189" s="373"/>
      <x:c r="W189" s="373"/>
      <x:c r="X189" s="373"/>
      <x:c r="Y189" s="373"/>
      <x:c r="Z189" s="373"/>
    </x:row>
    <x:row r="190">
      <x:c r="A190" s="411" t="str">
        <x:v>TC-0186</x:v>
      </x:c>
      <x:c r="B190" s="411" t="str">
        <x:v>v0.2.7</x:v>
      </x:c>
      <x:c r="C190" s="411" t="str">
        <x:v>Fault</x:v>
      </x:c>
      <x:c r="D190" s="411" t="str">
        <x:v>F-DASH-001</x:v>
      </x:c>
      <x:c r="E190" s="411" t="str">
        <x:v>REQ-122</x:v>
      </x:c>
      <x:c r="F190" s="411" t="str">
        <x:v>Release dashboard — failure/recovery path</x:v>
      </x:c>
      <x:c r="G190" s="411" t="str">
        <x:v>Verify safe behavior when the dependencies or inputs for release dashboard fail.</x:v>
      </x:c>
      <x:c r="H190" s="411" t="str">
        <x:v>Fault injection or controlled dependency stub is available.</x:v>
      </x:c>
      <x:c r="I190" s="411" t="str">
        <x:v>Activate release dashboard; inject a representative failure; observe state, logs, cleanup, and recovery.</x:v>
      </x:c>
      <x:c r="J190" s="411" t="str">
        <x:v>Failure is detected, unsafe behavior is prevented, cause is reported, and recovery follows policy.</x:v>
      </x:c>
      <x:c r="K190" s="488" t="str">
        <x:v>Planned</x:v>
      </x:c>
      <x:c r="L190" s="488" t="str">
        <x:v>Not Run</x:v>
      </x:c>
      <x:c r="M190" s="488" t="str">
        <x:v>Critical</x:v>
      </x:c>
      <x:c r="N190" s="411" t="str">
        <x:v>ROS 2 Jazzy + Gazebo Harmonic</x:v>
      </x:c>
      <x:c r="O190" s="460"/>
      <x:c r="P190" s="411" t="str"/>
      <x:c r="Q190" s="411" t="str"/>
      <x:c r="R190" s="411" t="str"/>
      <x:c r="S190" s="411" t="str">
        <x:v>Devansh</x:v>
      </x:c>
      <x:c r="T190" s="411" t="str"/>
      <x:c r="U190" s="411" t="str">
        <x:v>tc_0186</x:v>
      </x:c>
      <x:c r="V190" s="373"/>
      <x:c r="W190" s="373"/>
      <x:c r="X190" s="373"/>
      <x:c r="Y190" s="373"/>
      <x:c r="Z190" s="373"/>
    </x:row>
    <x:row r="191">
      <x:c r="A191" s="411" t="str">
        <x:v>TC-0187</x:v>
      </x:c>
      <x:c r="B191" s="411" t="str">
        <x:v>v0.2.7</x:v>
      </x:c>
      <x:c r="C191" s="411" t="str">
        <x:v>Integration</x:v>
      </x:c>
      <x:c r="D191" s="411" t="str">
        <x:v>F-DASH-002</x:v>
      </x:c>
      <x:c r="E191" s="411" t="str">
        <x:v>REQ-123</x:v>
      </x:c>
      <x:c r="F191" s="411" t="str">
        <x:v>Scenario dashboard — nominal acceptance</x:v>
      </x:c>
      <x:c r="G191" s="411" t="str">
        <x:v>Verify that scenario dashboard satisfies its declared acceptance criteria.</x:v>
      </x:c>
      <x:c r="H191" s="411" t="str">
        <x:v>Required dependencies and test fixtures are available.</x:v>
      </x:c>
      <x:c r="I191" s="411" t="str">
        <x:v>Configure the platform for v0.2.7; execute the nominal workflow for scenario dashboard; collect logs and evidence.</x:v>
      </x:c>
      <x:c r="J191" s="411" t="str">
        <x:v>Declared acceptance criteria pass and no existing regression test fails.</x:v>
      </x:c>
      <x:c r="K191" s="488" t="str">
        <x:v>Planned</x:v>
      </x:c>
      <x:c r="L191" s="488" t="str">
        <x:v>Not Run</x:v>
      </x:c>
      <x:c r="M191" s="488" t="str">
        <x:v>Critical</x:v>
      </x:c>
      <x:c r="N191" s="411" t="str">
        <x:v>ROS 2 Jazzy + Gazebo Harmonic</x:v>
      </x:c>
      <x:c r="O191" s="460"/>
      <x:c r="P191" s="411" t="str"/>
      <x:c r="Q191" s="411" t="str"/>
      <x:c r="R191" s="411" t="str"/>
      <x:c r="S191" s="411" t="str">
        <x:v>Devansh</x:v>
      </x:c>
      <x:c r="T191" s="411" t="str"/>
      <x:c r="U191" s="411" t="str">
        <x:v>tc_0187</x:v>
      </x:c>
      <x:c r="V191" s="373"/>
      <x:c r="W191" s="373"/>
      <x:c r="X191" s="373"/>
      <x:c r="Y191" s="373"/>
      <x:c r="Z191" s="373"/>
    </x:row>
    <x:row r="192">
      <x:c r="A192" s="411" t="str">
        <x:v>TC-0188</x:v>
      </x:c>
      <x:c r="B192" s="411" t="str">
        <x:v>v0.2.7</x:v>
      </x:c>
      <x:c r="C192" s="411" t="str">
        <x:v>Fault</x:v>
      </x:c>
      <x:c r="D192" s="411" t="str">
        <x:v>F-DASH-002</x:v>
      </x:c>
      <x:c r="E192" s="411" t="str">
        <x:v>REQ-123</x:v>
      </x:c>
      <x:c r="F192" s="411" t="str">
        <x:v>Scenario dashboard — failure/recovery path</x:v>
      </x:c>
      <x:c r="G192" s="411" t="str">
        <x:v>Verify safe behavior when the dependencies or inputs for scenario dashboard fail.</x:v>
      </x:c>
      <x:c r="H192" s="411" t="str">
        <x:v>Fault injection or controlled dependency stub is available.</x:v>
      </x:c>
      <x:c r="I192" s="411" t="str">
        <x:v>Activate scenario dashboard; inject a representative failure; observe state, logs, cleanup, and recovery.</x:v>
      </x:c>
      <x:c r="J192" s="411" t="str">
        <x:v>Failure is detected, unsafe behavior is prevented, cause is reported, and recovery follows policy.</x:v>
      </x:c>
      <x:c r="K192" s="488" t="str">
        <x:v>Planned</x:v>
      </x:c>
      <x:c r="L192" s="488" t="str">
        <x:v>Not Run</x:v>
      </x:c>
      <x:c r="M192" s="488" t="str">
        <x:v>Critical</x:v>
      </x:c>
      <x:c r="N192" s="411" t="str">
        <x:v>ROS 2 Jazzy + Gazebo Harmonic</x:v>
      </x:c>
      <x:c r="O192" s="460"/>
      <x:c r="P192" s="411" t="str"/>
      <x:c r="Q192" s="411" t="str"/>
      <x:c r="R192" s="411" t="str"/>
      <x:c r="S192" s="411" t="str">
        <x:v>Devansh</x:v>
      </x:c>
      <x:c r="T192" s="411" t="str"/>
      <x:c r="U192" s="411" t="str">
        <x:v>tc_0188</x:v>
      </x:c>
      <x:c r="V192" s="373"/>
      <x:c r="W192" s="373"/>
      <x:c r="X192" s="373"/>
      <x:c r="Y192" s="373"/>
      <x:c r="Z192" s="373"/>
    </x:row>
    <x:row r="193">
      <x:c r="A193" s="411" t="str">
        <x:v>TC-0189</x:v>
      </x:c>
      <x:c r="B193" s="411" t="str">
        <x:v>v0.2.7</x:v>
      </x:c>
      <x:c r="C193" s="411" t="str">
        <x:v>Unit</x:v>
      </x:c>
      <x:c r="D193" s="411" t="str">
        <x:v>F-DASH-003</x:v>
      </x:c>
      <x:c r="E193" s="411" t="str">
        <x:v>REQ-124</x:v>
      </x:c>
      <x:c r="F193" s="411" t="str">
        <x:v>Requirement dashboard — nominal acceptance</x:v>
      </x:c>
      <x:c r="G193" s="411" t="str">
        <x:v>Verify that requirement dashboard satisfies its declared acceptance criteria.</x:v>
      </x:c>
      <x:c r="H193" s="411" t="str">
        <x:v>Required dependencies and test fixtures are available.</x:v>
      </x:c>
      <x:c r="I193" s="411" t="str">
        <x:v>Configure the platform for v0.2.7; execute the nominal workflow for requirement dashboard; collect logs and evidence.</x:v>
      </x:c>
      <x:c r="J193" s="411" t="str">
        <x:v>Declared acceptance criteria pass and no existing regression test fails.</x:v>
      </x:c>
      <x:c r="K193" s="488" t="str">
        <x:v>Planned</x:v>
      </x:c>
      <x:c r="L193" s="488" t="str">
        <x:v>Not Run</x:v>
      </x:c>
      <x:c r="M193" s="488" t="str">
        <x:v>High</x:v>
      </x:c>
      <x:c r="N193" s="411" t="str">
        <x:v>ROS 2 Jazzy + Gazebo Harmonic</x:v>
      </x:c>
      <x:c r="O193" s="460"/>
      <x:c r="P193" s="411" t="str"/>
      <x:c r="Q193" s="411" t="str"/>
      <x:c r="R193" s="411" t="str"/>
      <x:c r="S193" s="411" t="str">
        <x:v>Devansh</x:v>
      </x:c>
      <x:c r="T193" s="411" t="str"/>
      <x:c r="U193" s="411" t="str">
        <x:v>tc_0189</x:v>
      </x:c>
      <x:c r="V193" s="373"/>
      <x:c r="W193" s="373"/>
      <x:c r="X193" s="373"/>
      <x:c r="Y193" s="373"/>
      <x:c r="Z193" s="373"/>
    </x:row>
    <x:row r="194">
      <x:c r="A194" s="411" t="str">
        <x:v>TC-0190</x:v>
      </x:c>
      <x:c r="B194" s="411" t="str">
        <x:v>v0.2.7</x:v>
      </x:c>
      <x:c r="C194" s="411" t="str">
        <x:v>Integration</x:v>
      </x:c>
      <x:c r="D194" s="411" t="str">
        <x:v>F-DASH-004</x:v>
      </x:c>
      <x:c r="E194" s="411" t="str">
        <x:v>REQ-125</x:v>
      </x:c>
      <x:c r="F194" s="411" t="str">
        <x:v>Regression dashboard — nominal acceptance</x:v>
      </x:c>
      <x:c r="G194" s="411" t="str">
        <x:v>Verify that regression dashboard satisfies its declared acceptance criteria.</x:v>
      </x:c>
      <x:c r="H194" s="411" t="str">
        <x:v>Required dependencies and test fixtures are available.</x:v>
      </x:c>
      <x:c r="I194" s="411" t="str">
        <x:v>Configure the platform for v0.2.7; execute the nominal workflow for regression dashboard; collect logs and evidence.</x:v>
      </x:c>
      <x:c r="J194" s="411" t="str">
        <x:v>Declared acceptance criteria pass and no existing regression test fails.</x:v>
      </x:c>
      <x:c r="K194" s="488" t="str">
        <x:v>Planned</x:v>
      </x:c>
      <x:c r="L194" s="488" t="str">
        <x:v>Not Run</x:v>
      </x:c>
      <x:c r="M194" s="488" t="str">
        <x:v>Critical</x:v>
      </x:c>
      <x:c r="N194" s="411" t="str">
        <x:v>ROS 2 Jazzy + Gazebo Harmonic</x:v>
      </x:c>
      <x:c r="O194" s="460"/>
      <x:c r="P194" s="411" t="str"/>
      <x:c r="Q194" s="411" t="str"/>
      <x:c r="R194" s="411" t="str"/>
      <x:c r="S194" s="411" t="str">
        <x:v>Devansh</x:v>
      </x:c>
      <x:c r="T194" s="411" t="str"/>
      <x:c r="U194" s="411" t="str">
        <x:v>tc_0190</x:v>
      </x:c>
      <x:c r="V194" s="373"/>
      <x:c r="W194" s="373"/>
      <x:c r="X194" s="373"/>
      <x:c r="Y194" s="373"/>
      <x:c r="Z194" s="373"/>
    </x:row>
    <x:row r="195">
      <x:c r="A195" s="411" t="str">
        <x:v>TC-0191</x:v>
      </x:c>
      <x:c r="B195" s="411" t="str">
        <x:v>v0.2.7</x:v>
      </x:c>
      <x:c r="C195" s="411" t="str">
        <x:v>Fault</x:v>
      </x:c>
      <x:c r="D195" s="411" t="str">
        <x:v>F-DASH-004</x:v>
      </x:c>
      <x:c r="E195" s="411" t="str">
        <x:v>REQ-125</x:v>
      </x:c>
      <x:c r="F195" s="411" t="str">
        <x:v>Regression dashboard — failure/recovery path</x:v>
      </x:c>
      <x:c r="G195" s="411" t="str">
        <x:v>Verify safe behavior when the dependencies or inputs for regression dashboard fail.</x:v>
      </x:c>
      <x:c r="H195" s="411" t="str">
        <x:v>Fault injection or controlled dependency stub is available.</x:v>
      </x:c>
      <x:c r="I195" s="411" t="str">
        <x:v>Activate regression dashboard; inject a representative failure; observe state, logs, cleanup, and recovery.</x:v>
      </x:c>
      <x:c r="J195" s="411" t="str">
        <x:v>Failure is detected, unsafe behavior is prevented, cause is reported, and recovery follows policy.</x:v>
      </x:c>
      <x:c r="K195" s="488" t="str">
        <x:v>Planned</x:v>
      </x:c>
      <x:c r="L195" s="488" t="str">
        <x:v>Not Run</x:v>
      </x:c>
      <x:c r="M195" s="488" t="str">
        <x:v>Critical</x:v>
      </x:c>
      <x:c r="N195" s="411" t="str">
        <x:v>ROS 2 Jazzy + Gazebo Harmonic</x:v>
      </x:c>
      <x:c r="O195" s="460"/>
      <x:c r="P195" s="411" t="str"/>
      <x:c r="Q195" s="411" t="str"/>
      <x:c r="R195" s="411" t="str"/>
      <x:c r="S195" s="411" t="str">
        <x:v>Devansh</x:v>
      </x:c>
      <x:c r="T195" s="411" t="str"/>
      <x:c r="U195" s="411" t="str">
        <x:v>tc_0191</x:v>
      </x:c>
      <x:c r="V195" s="373"/>
      <x:c r="W195" s="373"/>
      <x:c r="X195" s="373"/>
      <x:c r="Y195" s="373"/>
      <x:c r="Z195" s="373"/>
    </x:row>
    <x:row r="196">
      <x:c r="A196" s="411" t="str">
        <x:v>TC-0192</x:v>
      </x:c>
      <x:c r="B196" s="411" t="str">
        <x:v>v0.3.0</x:v>
      </x:c>
      <x:c r="C196" s="411" t="str">
        <x:v>Integration</x:v>
      </x:c>
      <x:c r="D196" s="411" t="str">
        <x:v>F-REL-300</x:v>
      </x:c>
      <x:c r="E196" s="411" t="str">
        <x:v>REQ-126</x:v>
      </x:c>
      <x:c r="F196" s="411" t="str">
        <x:v>Mode exploration and analytics release — nominal acceptance</x:v>
      </x:c>
      <x:c r="G196" s="411" t="str">
        <x:v>Verify that mode exploration and analytics release satisfies its declared acceptance criteria.</x:v>
      </x:c>
      <x:c r="H196" s="411" t="str">
        <x:v>Required dependencies and test fixtures are available.</x:v>
      </x:c>
      <x:c r="I196" s="411" t="str">
        <x:v>Configure the platform for v0.3.0; execute the nominal workflow for mode exploration and analytics release; collect logs and evidence.</x:v>
      </x:c>
      <x:c r="J196" s="411" t="str">
        <x:v>Declared acceptance criteria pass and no existing regression test fails.</x:v>
      </x:c>
      <x:c r="K196" s="488" t="str">
        <x:v>Planned</x:v>
      </x:c>
      <x:c r="L196" s="488" t="str">
        <x:v>Not Run</x:v>
      </x:c>
      <x:c r="M196" s="488" t="str">
        <x:v>Critical</x:v>
      </x:c>
      <x:c r="N196" s="411" t="str">
        <x:v>ROS 2 Jazzy + Gazebo Harmonic</x:v>
      </x:c>
      <x:c r="O196" s="460"/>
      <x:c r="P196" s="411" t="str"/>
      <x:c r="Q196" s="411" t="str"/>
      <x:c r="R196" s="411" t="str"/>
      <x:c r="S196" s="411" t="str">
        <x:v>Devansh</x:v>
      </x:c>
      <x:c r="T196" s="411" t="str"/>
      <x:c r="U196" s="411" t="str">
        <x:v>tc_0192</x:v>
      </x:c>
      <x:c r="V196" s="373"/>
      <x:c r="W196" s="373"/>
      <x:c r="X196" s="373"/>
      <x:c r="Y196" s="373"/>
      <x:c r="Z196" s="373"/>
    </x:row>
    <x:row r="197">
      <x:c r="A197" s="412" t="str">
        <x:v>TC-0193</x:v>
      </x:c>
      <x:c r="B197" s="412" t="str">
        <x:v>v0.3.0</x:v>
      </x:c>
      <x:c r="C197" s="412" t="str">
        <x:v>Fault</x:v>
      </x:c>
      <x:c r="D197" s="412" t="str">
        <x:v>F-REL-300</x:v>
      </x:c>
      <x:c r="E197" s="412" t="str">
        <x:v>REQ-126</x:v>
      </x:c>
      <x:c r="F197" s="412" t="str">
        <x:v>Mode exploration and analytics release — failure/recovery path</x:v>
      </x:c>
      <x:c r="G197" s="412" t="str">
        <x:v>Verify safe behavior when the dependencies or inputs for mode exploration and analytics release fail.</x:v>
      </x:c>
      <x:c r="H197" s="412" t="str">
        <x:v>Fault injection or controlled dependency stub is available.</x:v>
      </x:c>
      <x:c r="I197" s="412" t="str">
        <x:v>Activate mode exploration and analytics release; inject a representative failure; observe state, logs, cleanup, and recovery.</x:v>
      </x:c>
      <x:c r="J197" s="412" t="str">
        <x:v>Failure is detected, unsafe behavior is prevented, cause is reported, and recovery follows policy.</x:v>
      </x:c>
      <x:c r="K197" s="489" t="str">
        <x:v>Planned</x:v>
      </x:c>
      <x:c r="L197" s="489" t="str">
        <x:v>Not Run</x:v>
      </x:c>
      <x:c r="M197" s="489" t="str">
        <x:v>Critical</x:v>
      </x:c>
      <x:c r="N197" s="412" t="str">
        <x:v>ROS 2 Jazzy + Gazebo Harmonic</x:v>
      </x:c>
      <x:c r="O197" s="461"/>
      <x:c r="P197" s="412" t="str"/>
      <x:c r="Q197" s="412" t="str"/>
      <x:c r="R197" s="412" t="str"/>
      <x:c r="S197" s="412" t="str">
        <x:v>Devansh</x:v>
      </x:c>
      <x:c r="T197" s="412" t="str"/>
      <x:c r="U197" s="412" t="str">
        <x:v>tc_0193</x:v>
      </x:c>
      <x:c r="V197" s="373"/>
      <x:c r="W197" s="373"/>
      <x:c r="X197" s="373"/>
      <x:c r="Y197" s="373"/>
      <x:c r="Z197" s="373"/>
    </x:row>
    <x:row r="198">
      <x:c r="A198" s="373"/>
      <x:c r="B198" s="373"/>
      <x:c r="C198" s="373"/>
      <x:c r="D198" s="373"/>
      <x:c r="E198" s="373"/>
      <x:c r="F198" s="373"/>
      <x:c r="G198" s="373"/>
      <x:c r="H198" s="373"/>
      <x:c r="I198" s="373"/>
      <x:c r="J198" s="373"/>
      <x:c r="K198" s="373"/>
      <x:c r="L198" s="373"/>
      <x:c r="M198" s="373"/>
      <x:c r="N198" s="373"/>
      <x:c r="O198" s="373"/>
      <x:c r="P198" s="373"/>
      <x:c r="Q198" s="373"/>
      <x:c r="R198" s="373"/>
      <x:c r="S198" s="373"/>
      <x:c r="T198" s="373"/>
      <x:c r="U198" s="373"/>
      <x:c r="V198" s="373"/>
      <x:c r="W198" s="373"/>
      <x:c r="X198" s="373"/>
      <x:c r="Y198" s="373"/>
      <x:c r="Z198" s="373"/>
    </x:row>
    <x:row r="199">
      <x:c r="A199" s="373"/>
      <x:c r="B199" s="373"/>
      <x:c r="C199" s="373"/>
      <x:c r="D199" s="373"/>
      <x:c r="E199" s="373"/>
      <x:c r="F199" s="373"/>
      <x:c r="G199" s="373"/>
      <x:c r="H199" s="373"/>
      <x:c r="I199" s="373"/>
      <x:c r="J199" s="373"/>
      <x:c r="K199" s="373"/>
      <x:c r="L199" s="373"/>
      <x:c r="M199" s="373"/>
      <x:c r="N199" s="373"/>
      <x:c r="O199" s="373"/>
      <x:c r="P199" s="373"/>
      <x:c r="Q199" s="373"/>
      <x:c r="R199" s="373"/>
      <x:c r="S199" s="373"/>
      <x:c r="T199" s="373"/>
      <x:c r="U199" s="373"/>
      <x:c r="V199" s="373"/>
      <x:c r="W199" s="373"/>
      <x:c r="X199" s="373"/>
      <x:c r="Y199" s="373"/>
      <x:c r="Z199" s="373"/>
    </x:row>
    <x:row r="200">
      <x:c r="A200" s="373"/>
      <x:c r="B200" s="373"/>
      <x:c r="C200" s="373"/>
      <x:c r="D200" s="373"/>
      <x:c r="E200" s="373"/>
      <x:c r="F200" s="373"/>
      <x:c r="G200" s="373"/>
      <x:c r="H200" s="373"/>
      <x:c r="I200" s="373"/>
      <x:c r="J200" s="373"/>
      <x:c r="K200" s="373"/>
      <x:c r="L200" s="373"/>
      <x:c r="M200" s="373"/>
      <x:c r="N200" s="373"/>
      <x:c r="O200" s="373"/>
      <x:c r="P200" s="373"/>
      <x:c r="Q200" s="373"/>
      <x:c r="R200" s="373"/>
      <x:c r="S200" s="373"/>
      <x:c r="T200" s="373"/>
      <x:c r="U200" s="373"/>
      <x:c r="V200" s="373"/>
      <x:c r="W200" s="373"/>
      <x:c r="X200" s="373"/>
      <x:c r="Y200" s="373"/>
      <x:c r="Z200" s="373"/>
    </x:row>
    <x:row r="201">
      <x:c r="A201" s="373"/>
      <x:c r="B201" s="373"/>
      <x:c r="C201" s="373"/>
      <x:c r="D201" s="373"/>
      <x:c r="E201" s="373"/>
      <x:c r="F201" s="373"/>
      <x:c r="G201" s="373"/>
      <x:c r="H201" s="373"/>
      <x:c r="I201" s="373"/>
      <x:c r="J201" s="373"/>
      <x:c r="K201" s="373"/>
      <x:c r="L201" s="373"/>
      <x:c r="M201" s="373"/>
      <x:c r="N201" s="373"/>
      <x:c r="O201" s="373"/>
      <x:c r="P201" s="373"/>
      <x:c r="Q201" s="373"/>
      <x:c r="R201" s="373"/>
      <x:c r="S201" s="373"/>
      <x:c r="T201" s="373"/>
      <x:c r="U201" s="373"/>
      <x:c r="V201" s="373"/>
      <x:c r="W201" s="373"/>
      <x:c r="X201" s="373"/>
      <x:c r="Y201" s="373"/>
      <x:c r="Z201" s="373"/>
    </x:row>
    <x:row r="202">
      <x:c r="A202" s="373"/>
      <x:c r="B202" s="373"/>
      <x:c r="C202" s="373"/>
      <x:c r="D202" s="373"/>
      <x:c r="E202" s="373"/>
      <x:c r="F202" s="373"/>
      <x:c r="G202" s="373"/>
      <x:c r="H202" s="373"/>
      <x:c r="I202" s="373"/>
      <x:c r="J202" s="373"/>
      <x:c r="K202" s="373"/>
      <x:c r="L202" s="373"/>
      <x:c r="M202" s="373"/>
      <x:c r="N202" s="373"/>
      <x:c r="O202" s="373"/>
      <x:c r="P202" s="373"/>
      <x:c r="Q202" s="373"/>
      <x:c r="R202" s="373"/>
      <x:c r="S202" s="373"/>
      <x:c r="T202" s="373"/>
      <x:c r="U202" s="373"/>
      <x:c r="V202" s="373"/>
      <x:c r="W202" s="373"/>
      <x:c r="X202" s="373"/>
      <x:c r="Y202" s="373"/>
      <x:c r="Z202" s="373"/>
    </x:row>
    <x:row r="203">
      <x:c r="A203" s="373"/>
      <x:c r="B203" s="373"/>
      <x:c r="C203" s="373"/>
      <x:c r="D203" s="373"/>
      <x:c r="E203" s="373"/>
      <x:c r="F203" s="373"/>
      <x:c r="G203" s="373"/>
      <x:c r="H203" s="373"/>
      <x:c r="I203" s="373"/>
      <x:c r="J203" s="373"/>
      <x:c r="K203" s="373"/>
      <x:c r="L203" s="373"/>
      <x:c r="M203" s="373"/>
      <x:c r="N203" s="373"/>
      <x:c r="O203" s="373"/>
      <x:c r="P203" s="373"/>
      <x:c r="Q203" s="373"/>
      <x:c r="R203" s="373"/>
      <x:c r="S203" s="373"/>
      <x:c r="T203" s="373"/>
      <x:c r="U203" s="373"/>
      <x:c r="V203" s="373"/>
      <x:c r="W203" s="373"/>
      <x:c r="X203" s="373"/>
      <x:c r="Y203" s="373"/>
      <x:c r="Z203" s="373"/>
    </x:row>
    <x:row r="204">
      <x:c r="A204" s="373"/>
      <x:c r="B204" s="373"/>
      <x:c r="C204" s="373"/>
      <x:c r="D204" s="373"/>
      <x:c r="E204" s="373"/>
      <x:c r="F204" s="373"/>
      <x:c r="G204" s="373"/>
      <x:c r="H204" s="373"/>
      <x:c r="I204" s="373"/>
      <x:c r="J204" s="373"/>
      <x:c r="K204" s="373"/>
      <x:c r="L204" s="373"/>
      <x:c r="M204" s="373"/>
      <x:c r="N204" s="373"/>
      <x:c r="O204" s="373"/>
      <x:c r="P204" s="373"/>
      <x:c r="Q204" s="373"/>
      <x:c r="R204" s="373"/>
      <x:c r="S204" s="373"/>
      <x:c r="T204" s="373"/>
      <x:c r="U204" s="373"/>
      <x:c r="V204" s="373"/>
      <x:c r="W204" s="373"/>
      <x:c r="X204" s="373"/>
      <x:c r="Y204" s="373"/>
      <x:c r="Z204" s="373"/>
    </x:row>
    <x:row r="205">
      <x:c r="A205" s="373"/>
      <x:c r="B205" s="373"/>
      <x:c r="C205" s="373"/>
      <x:c r="D205" s="373"/>
      <x:c r="E205" s="373"/>
      <x:c r="F205" s="373"/>
      <x:c r="G205" s="373"/>
      <x:c r="H205" s="373"/>
      <x:c r="I205" s="373"/>
      <x:c r="J205" s="373"/>
      <x:c r="K205" s="373"/>
      <x:c r="L205" s="373"/>
      <x:c r="M205" s="373"/>
      <x:c r="N205" s="373"/>
      <x:c r="O205" s="373"/>
      <x:c r="P205" s="373"/>
      <x:c r="Q205" s="373"/>
      <x:c r="R205" s="373"/>
      <x:c r="S205" s="373"/>
      <x:c r="T205" s="373"/>
      <x:c r="U205" s="373"/>
      <x:c r="V205" s="373"/>
      <x:c r="W205" s="373"/>
      <x:c r="X205" s="373"/>
      <x:c r="Y205" s="373"/>
      <x:c r="Z205" s="373"/>
    </x:row>
    <x:row r="206">
      <x:c r="A206" s="373"/>
      <x:c r="B206" s="373"/>
      <x:c r="C206" s="373"/>
      <x:c r="D206" s="373"/>
      <x:c r="E206" s="373"/>
      <x:c r="F206" s="373"/>
      <x:c r="G206" s="373"/>
      <x:c r="H206" s="373"/>
      <x:c r="I206" s="373"/>
      <x:c r="J206" s="373"/>
      <x:c r="K206" s="373"/>
      <x:c r="L206" s="373"/>
      <x:c r="M206" s="373"/>
      <x:c r="N206" s="373"/>
      <x:c r="O206" s="373"/>
      <x:c r="P206" s="373"/>
      <x:c r="Q206" s="373"/>
      <x:c r="R206" s="373"/>
      <x:c r="S206" s="373"/>
      <x:c r="T206" s="373"/>
      <x:c r="U206" s="373"/>
      <x:c r="V206" s="373"/>
      <x:c r="W206" s="373"/>
      <x:c r="X206" s="373"/>
      <x:c r="Y206" s="373"/>
      <x:c r="Z206" s="373"/>
    </x:row>
    <x:row r="207">
      <x:c r="A207" s="373"/>
      <x:c r="B207" s="373"/>
      <x:c r="C207" s="373"/>
      <x:c r="D207" s="373"/>
      <x:c r="E207" s="373"/>
      <x:c r="F207" s="373"/>
      <x:c r="G207" s="373"/>
      <x:c r="H207" s="373"/>
      <x:c r="I207" s="373"/>
      <x:c r="J207" s="373"/>
      <x:c r="K207" s="373"/>
      <x:c r="L207" s="373"/>
      <x:c r="M207" s="373"/>
      <x:c r="N207" s="373"/>
      <x:c r="O207" s="373"/>
      <x:c r="P207" s="373"/>
      <x:c r="Q207" s="373"/>
      <x:c r="R207" s="373"/>
      <x:c r="S207" s="373"/>
      <x:c r="T207" s="373"/>
      <x:c r="U207" s="373"/>
      <x:c r="V207" s="373"/>
      <x:c r="W207" s="373"/>
      <x:c r="X207" s="373"/>
      <x:c r="Y207" s="373"/>
      <x:c r="Z207" s="373"/>
    </x:row>
    <x:row r="208">
      <x:c r="A208" s="373"/>
      <x:c r="B208" s="373"/>
      <x:c r="C208" s="373"/>
      <x:c r="D208" s="373"/>
      <x:c r="E208" s="373"/>
      <x:c r="F208" s="373"/>
      <x:c r="G208" s="373"/>
      <x:c r="H208" s="373"/>
      <x:c r="I208" s="373"/>
      <x:c r="J208" s="373"/>
      <x:c r="K208" s="373"/>
      <x:c r="L208" s="373"/>
      <x:c r="M208" s="373"/>
      <x:c r="N208" s="373"/>
      <x:c r="O208" s="373"/>
      <x:c r="P208" s="373"/>
      <x:c r="Q208" s="373"/>
      <x:c r="R208" s="373"/>
      <x:c r="S208" s="373"/>
      <x:c r="T208" s="373"/>
      <x:c r="U208" s="373"/>
      <x:c r="V208" s="373"/>
      <x:c r="W208" s="373"/>
      <x:c r="X208" s="373"/>
      <x:c r="Y208" s="373"/>
      <x:c r="Z208" s="373"/>
    </x:row>
    <x:row r="209">
      <x:c r="A209" s="373"/>
      <x:c r="B209" s="373"/>
      <x:c r="C209" s="373"/>
      <x:c r="D209" s="373"/>
      <x:c r="E209" s="373"/>
      <x:c r="F209" s="373"/>
      <x:c r="G209" s="373"/>
      <x:c r="H209" s="373"/>
      <x:c r="I209" s="373"/>
      <x:c r="J209" s="373"/>
      <x:c r="K209" s="373"/>
      <x:c r="L209" s="373"/>
      <x:c r="M209" s="373"/>
      <x:c r="N209" s="373"/>
      <x:c r="O209" s="373"/>
      <x:c r="P209" s="373"/>
      <x:c r="Q209" s="373"/>
      <x:c r="R209" s="373"/>
      <x:c r="S209" s="373"/>
      <x:c r="T209" s="373"/>
      <x:c r="U209" s="373"/>
      <x:c r="V209" s="373"/>
      <x:c r="W209" s="373"/>
      <x:c r="X209" s="373"/>
      <x:c r="Y209" s="373"/>
      <x:c r="Z209" s="373"/>
    </x:row>
    <x:row r="210">
      <x:c r="A210" s="373"/>
      <x:c r="B210" s="373"/>
      <x:c r="C210" s="373"/>
      <x:c r="D210" s="373"/>
      <x:c r="E210" s="373"/>
      <x:c r="F210" s="373"/>
      <x:c r="G210" s="373"/>
      <x:c r="H210" s="373"/>
      <x:c r="I210" s="373"/>
      <x:c r="J210" s="373"/>
      <x:c r="K210" s="373"/>
      <x:c r="L210" s="373"/>
      <x:c r="M210" s="373"/>
      <x:c r="N210" s="373"/>
      <x:c r="O210" s="373"/>
      <x:c r="P210" s="373"/>
      <x:c r="Q210" s="373"/>
      <x:c r="R210" s="373"/>
      <x:c r="S210" s="373"/>
      <x:c r="T210" s="373"/>
      <x:c r="U210" s="373"/>
      <x:c r="V210" s="373"/>
      <x:c r="W210" s="373"/>
      <x:c r="X210" s="373"/>
      <x:c r="Y210" s="373"/>
      <x:c r="Z210" s="373"/>
    </x:row>
    <x:row r="211">
      <x:c r="A211" s="373"/>
      <x:c r="B211" s="373"/>
      <x:c r="C211" s="373"/>
      <x:c r="D211" s="373"/>
      <x:c r="E211" s="373"/>
      <x:c r="F211" s="373"/>
      <x:c r="G211" s="373"/>
      <x:c r="H211" s="373"/>
      <x:c r="I211" s="373"/>
      <x:c r="J211" s="373"/>
      <x:c r="K211" s="373"/>
      <x:c r="L211" s="373"/>
      <x:c r="M211" s="373"/>
      <x:c r="N211" s="373"/>
      <x:c r="O211" s="373"/>
      <x:c r="P211" s="373"/>
      <x:c r="Q211" s="373"/>
      <x:c r="R211" s="373"/>
      <x:c r="S211" s="373"/>
      <x:c r="T211" s="373"/>
      <x:c r="U211" s="373"/>
      <x:c r="V211" s="373"/>
      <x:c r="W211" s="373"/>
      <x:c r="X211" s="373"/>
      <x:c r="Y211" s="373"/>
      <x:c r="Z211" s="373"/>
    </x:row>
    <x:row r="212">
      <x:c r="A212" s="373"/>
      <x:c r="B212" s="373"/>
      <x:c r="C212" s="373"/>
      <x:c r="D212" s="373"/>
      <x:c r="E212" s="373"/>
      <x:c r="F212" s="373"/>
      <x:c r="G212" s="373"/>
      <x:c r="H212" s="373"/>
      <x:c r="I212" s="373"/>
      <x:c r="J212" s="373"/>
      <x:c r="K212" s="373"/>
      <x:c r="L212" s="373"/>
      <x:c r="M212" s="373"/>
      <x:c r="N212" s="373"/>
      <x:c r="O212" s="373"/>
      <x:c r="P212" s="373"/>
      <x:c r="Q212" s="373"/>
      <x:c r="R212" s="373"/>
      <x:c r="S212" s="373"/>
      <x:c r="T212" s="373"/>
      <x:c r="U212" s="373"/>
      <x:c r="V212" s="373"/>
      <x:c r="W212" s="373"/>
      <x:c r="X212" s="373"/>
      <x:c r="Y212" s="373"/>
      <x:c r="Z212" s="373"/>
    </x:row>
    <x:row r="213">
      <x:c r="A213" s="373"/>
      <x:c r="B213" s="373"/>
      <x:c r="C213" s="373"/>
      <x:c r="D213" s="373"/>
      <x:c r="E213" s="373"/>
      <x:c r="F213" s="373"/>
      <x:c r="G213" s="373"/>
      <x:c r="H213" s="373"/>
      <x:c r="I213" s="373"/>
      <x:c r="J213" s="373"/>
      <x:c r="K213" s="373"/>
      <x:c r="L213" s="373"/>
      <x:c r="M213" s="373"/>
      <x:c r="N213" s="373"/>
      <x:c r="O213" s="373"/>
      <x:c r="P213" s="373"/>
      <x:c r="Q213" s="373"/>
      <x:c r="R213" s="373"/>
      <x:c r="S213" s="373"/>
      <x:c r="T213" s="373"/>
      <x:c r="U213" s="373"/>
      <x:c r="V213" s="373"/>
      <x:c r="W213" s="373"/>
      <x:c r="X213" s="373"/>
      <x:c r="Y213" s="373"/>
      <x:c r="Z213" s="373"/>
    </x:row>
    <x:row r="214">
      <x:c r="A214" s="373"/>
      <x:c r="B214" s="373"/>
      <x:c r="C214" s="373"/>
      <x:c r="D214" s="373"/>
      <x:c r="E214" s="373"/>
      <x:c r="F214" s="373"/>
      <x:c r="G214" s="373"/>
      <x:c r="H214" s="373"/>
      <x:c r="I214" s="373"/>
      <x:c r="J214" s="373"/>
      <x:c r="K214" s="373"/>
      <x:c r="L214" s="373"/>
      <x:c r="M214" s="373"/>
      <x:c r="N214" s="373"/>
      <x:c r="O214" s="373"/>
      <x:c r="P214" s="373"/>
      <x:c r="Q214" s="373"/>
      <x:c r="R214" s="373"/>
      <x:c r="S214" s="373"/>
      <x:c r="T214" s="373"/>
      <x:c r="U214" s="373"/>
      <x:c r="V214" s="373"/>
      <x:c r="W214" s="373"/>
      <x:c r="X214" s="373"/>
      <x:c r="Y214" s="373"/>
      <x:c r="Z214" s="373"/>
    </x:row>
    <x:row r="215">
      <x:c r="A215" s="373"/>
      <x:c r="B215" s="373"/>
      <x:c r="C215" s="373"/>
      <x:c r="D215" s="373"/>
      <x:c r="E215" s="373"/>
      <x:c r="F215" s="373"/>
      <x:c r="G215" s="373"/>
      <x:c r="H215" s="373"/>
      <x:c r="I215" s="373"/>
      <x:c r="J215" s="373"/>
      <x:c r="K215" s="373"/>
      <x:c r="L215" s="373"/>
      <x:c r="M215" s="373"/>
      <x:c r="N215" s="373"/>
      <x:c r="O215" s="373"/>
      <x:c r="P215" s="373"/>
      <x:c r="Q215" s="373"/>
      <x:c r="R215" s="373"/>
      <x:c r="S215" s="373"/>
      <x:c r="T215" s="373"/>
      <x:c r="U215" s="373"/>
      <x:c r="V215" s="373"/>
      <x:c r="W215" s="373"/>
      <x:c r="X215" s="373"/>
      <x:c r="Y215" s="373"/>
      <x:c r="Z215" s="373"/>
    </x:row>
    <x:row r="216">
      <x:c r="A216" s="373"/>
      <x:c r="B216" s="373"/>
      <x:c r="C216" s="373"/>
      <x:c r="D216" s="373"/>
      <x:c r="E216" s="373"/>
      <x:c r="F216" s="373"/>
      <x:c r="G216" s="373"/>
      <x:c r="H216" s="373"/>
      <x:c r="I216" s="373"/>
      <x:c r="J216" s="373"/>
      <x:c r="K216" s="373"/>
      <x:c r="L216" s="373"/>
      <x:c r="M216" s="373"/>
      <x:c r="N216" s="373"/>
      <x:c r="O216" s="373"/>
      <x:c r="P216" s="373"/>
      <x:c r="Q216" s="373"/>
      <x:c r="R216" s="373"/>
      <x:c r="S216" s="373"/>
      <x:c r="T216" s="373"/>
      <x:c r="U216" s="373"/>
      <x:c r="V216" s="373"/>
      <x:c r="W216" s="373"/>
      <x:c r="X216" s="373"/>
      <x:c r="Y216" s="373"/>
      <x:c r="Z216" s="373"/>
    </x:row>
    <x:row r="217">
      <x:c r="A217" s="373"/>
      <x:c r="B217" s="373"/>
      <x:c r="C217" s="373"/>
      <x:c r="D217" s="373"/>
      <x:c r="E217" s="373"/>
      <x:c r="F217" s="373"/>
      <x:c r="G217" s="373"/>
      <x:c r="H217" s="373"/>
      <x:c r="I217" s="373"/>
      <x:c r="J217" s="373"/>
      <x:c r="K217" s="373"/>
      <x:c r="L217" s="373"/>
      <x:c r="M217" s="373"/>
      <x:c r="N217" s="373"/>
      <x:c r="O217" s="373"/>
      <x:c r="P217" s="373"/>
      <x:c r="Q217" s="373"/>
      <x:c r="R217" s="373"/>
      <x:c r="S217" s="373"/>
      <x:c r="T217" s="373"/>
      <x:c r="U217" s="373"/>
      <x:c r="V217" s="373"/>
      <x:c r="W217" s="373"/>
      <x:c r="X217" s="373"/>
      <x:c r="Y217" s="373"/>
      <x:c r="Z217" s="373"/>
    </x:row>
    <x:row r="218">
      <x:c r="A218" s="373"/>
      <x:c r="B218" s="373"/>
      <x:c r="C218" s="373"/>
      <x:c r="D218" s="373"/>
      <x:c r="E218" s="373"/>
      <x:c r="F218" s="373"/>
      <x:c r="G218" s="373"/>
      <x:c r="H218" s="373"/>
      <x:c r="I218" s="373"/>
      <x:c r="J218" s="373"/>
      <x:c r="K218" s="373"/>
      <x:c r="L218" s="373"/>
      <x:c r="M218" s="373"/>
      <x:c r="N218" s="373"/>
      <x:c r="O218" s="373"/>
      <x:c r="P218" s="373"/>
      <x:c r="Q218" s="373"/>
      <x:c r="R218" s="373"/>
      <x:c r="S218" s="373"/>
      <x:c r="T218" s="373"/>
      <x:c r="U218" s="373"/>
      <x:c r="V218" s="373"/>
      <x:c r="W218" s="373"/>
      <x:c r="X218" s="373"/>
      <x:c r="Y218" s="373"/>
      <x:c r="Z218" s="373"/>
    </x:row>
    <x:row r="219">
      <x:c r="A219" s="373"/>
      <x:c r="B219" s="373"/>
      <x:c r="C219" s="373"/>
      <x:c r="D219" s="373"/>
      <x:c r="E219" s="373"/>
      <x:c r="F219" s="373"/>
      <x:c r="G219" s="373"/>
      <x:c r="H219" s="373"/>
      <x:c r="I219" s="373"/>
      <x:c r="J219" s="373"/>
      <x:c r="K219" s="373"/>
      <x:c r="L219" s="373"/>
      <x:c r="M219" s="373"/>
      <x:c r="N219" s="373"/>
      <x:c r="O219" s="373"/>
      <x:c r="P219" s="373"/>
      <x:c r="Q219" s="373"/>
      <x:c r="R219" s="373"/>
      <x:c r="S219" s="373"/>
      <x:c r="T219" s="373"/>
      <x:c r="U219" s="373"/>
      <x:c r="V219" s="373"/>
      <x:c r="W219" s="373"/>
      <x:c r="X219" s="373"/>
      <x:c r="Y219" s="373"/>
      <x:c r="Z219" s="373"/>
    </x:row>
    <x:row r="220">
      <x:c r="A220" s="373"/>
      <x:c r="B220" s="373"/>
      <x:c r="C220" s="373"/>
      <x:c r="D220" s="373"/>
      <x:c r="E220" s="373"/>
      <x:c r="F220" s="373"/>
      <x:c r="G220" s="373"/>
      <x:c r="H220" s="373"/>
      <x:c r="I220" s="373"/>
      <x:c r="J220" s="373"/>
      <x:c r="K220" s="373"/>
      <x:c r="L220" s="373"/>
      <x:c r="M220" s="373"/>
      <x:c r="N220" s="373"/>
      <x:c r="O220" s="373"/>
      <x:c r="P220" s="373"/>
      <x:c r="Q220" s="373"/>
      <x:c r="R220" s="373"/>
      <x:c r="S220" s="373"/>
      <x:c r="T220" s="373"/>
      <x:c r="U220" s="373"/>
      <x:c r="V220" s="373"/>
      <x:c r="W220" s="373"/>
      <x:c r="X220" s="373"/>
      <x:c r="Y220" s="373"/>
      <x:c r="Z220" s="373"/>
    </x:row>
    <x:row r="221">
      <x:c r="A221" s="373"/>
      <x:c r="B221" s="373"/>
      <x:c r="C221" s="373"/>
      <x:c r="D221" s="373"/>
      <x:c r="E221" s="373"/>
      <x:c r="F221" s="373"/>
      <x:c r="G221" s="373"/>
      <x:c r="H221" s="373"/>
      <x:c r="I221" s="373"/>
      <x:c r="J221" s="373"/>
      <x:c r="K221" s="373"/>
      <x:c r="L221" s="373"/>
      <x:c r="M221" s="373"/>
      <x:c r="N221" s="373"/>
      <x:c r="O221" s="373"/>
      <x:c r="P221" s="373"/>
      <x:c r="Q221" s="373"/>
      <x:c r="R221" s="373"/>
      <x:c r="S221" s="373"/>
      <x:c r="T221" s="373"/>
      <x:c r="U221" s="373"/>
      <x:c r="V221" s="373"/>
      <x:c r="W221" s="373"/>
      <x:c r="X221" s="373"/>
      <x:c r="Y221" s="373"/>
      <x:c r="Z221" s="373"/>
    </x:row>
    <x:row r="222">
      <x:c r="A222" s="373"/>
      <x:c r="B222" s="373"/>
      <x:c r="C222" s="373"/>
      <x:c r="D222" s="373"/>
      <x:c r="E222" s="373"/>
      <x:c r="F222" s="373"/>
      <x:c r="G222" s="373"/>
      <x:c r="H222" s="373"/>
      <x:c r="I222" s="373"/>
      <x:c r="J222" s="373"/>
      <x:c r="K222" s="373"/>
      <x:c r="L222" s="373"/>
      <x:c r="M222" s="373"/>
      <x:c r="N222" s="373"/>
      <x:c r="O222" s="373"/>
      <x:c r="P222" s="373"/>
      <x:c r="Q222" s="373"/>
      <x:c r="R222" s="373"/>
      <x:c r="S222" s="373"/>
      <x:c r="T222" s="373"/>
      <x:c r="U222" s="373"/>
      <x:c r="V222" s="373"/>
      <x:c r="W222" s="373"/>
      <x:c r="X222" s="373"/>
      <x:c r="Y222" s="373"/>
      <x:c r="Z222" s="373"/>
    </x:row>
    <x:row r="223">
      <x:c r="A223" s="373"/>
      <x:c r="B223" s="373"/>
      <x:c r="C223" s="373"/>
      <x:c r="D223" s="373"/>
      <x:c r="E223" s="373"/>
      <x:c r="F223" s="373"/>
      <x:c r="G223" s="373"/>
      <x:c r="H223" s="373"/>
      <x:c r="I223" s="373"/>
      <x:c r="J223" s="373"/>
      <x:c r="K223" s="373"/>
      <x:c r="L223" s="373"/>
      <x:c r="M223" s="373"/>
      <x:c r="N223" s="373"/>
      <x:c r="O223" s="373"/>
      <x:c r="P223" s="373"/>
      <x:c r="Q223" s="373"/>
      <x:c r="R223" s="373"/>
      <x:c r="S223" s="373"/>
      <x:c r="T223" s="373"/>
      <x:c r="U223" s="373"/>
      <x:c r="V223" s="373"/>
      <x:c r="W223" s="373"/>
      <x:c r="X223" s="373"/>
      <x:c r="Y223" s="373"/>
      <x:c r="Z223" s="373"/>
    </x:row>
    <x:row r="224">
      <x:c r="A224" s="373"/>
      <x:c r="B224" s="373"/>
      <x:c r="C224" s="373"/>
      <x:c r="D224" s="373"/>
      <x:c r="E224" s="373"/>
      <x:c r="F224" s="373"/>
      <x:c r="G224" s="373"/>
      <x:c r="H224" s="373"/>
      <x:c r="I224" s="373"/>
      <x:c r="J224" s="373"/>
      <x:c r="K224" s="373"/>
      <x:c r="L224" s="373"/>
      <x:c r="M224" s="373"/>
      <x:c r="N224" s="373"/>
      <x:c r="O224" s="373"/>
      <x:c r="P224" s="373"/>
      <x:c r="Q224" s="373"/>
      <x:c r="R224" s="373"/>
      <x:c r="S224" s="373"/>
      <x:c r="T224" s="373"/>
      <x:c r="U224" s="373"/>
      <x:c r="V224" s="373"/>
      <x:c r="W224" s="373"/>
      <x:c r="X224" s="373"/>
      <x:c r="Y224" s="373"/>
      <x:c r="Z224" s="373"/>
    </x:row>
    <x:row r="225">
      <x:c r="A225" s="373"/>
      <x:c r="B225" s="373"/>
      <x:c r="C225" s="373"/>
      <x:c r="D225" s="373"/>
      <x:c r="E225" s="373"/>
      <x:c r="F225" s="373"/>
      <x:c r="G225" s="373"/>
      <x:c r="H225" s="373"/>
      <x:c r="I225" s="373"/>
      <x:c r="J225" s="373"/>
      <x:c r="K225" s="373"/>
      <x:c r="L225" s="373"/>
      <x:c r="M225" s="373"/>
      <x:c r="N225" s="373"/>
      <x:c r="O225" s="373"/>
      <x:c r="P225" s="373"/>
      <x:c r="Q225" s="373"/>
      <x:c r="R225" s="373"/>
      <x:c r="S225" s="373"/>
      <x:c r="T225" s="373"/>
      <x:c r="U225" s="373"/>
      <x:c r="V225" s="373"/>
      <x:c r="W225" s="373"/>
      <x:c r="X225" s="373"/>
      <x:c r="Y225" s="373"/>
      <x:c r="Z225" s="373"/>
    </x:row>
    <x:row r="226">
      <x:c r="A226" s="373"/>
      <x:c r="B226" s="373"/>
      <x:c r="C226" s="373"/>
      <x:c r="D226" s="373"/>
      <x:c r="E226" s="373"/>
      <x:c r="F226" s="373"/>
      <x:c r="G226" s="373"/>
      <x:c r="H226" s="373"/>
      <x:c r="I226" s="373"/>
      <x:c r="J226" s="373"/>
      <x:c r="K226" s="373"/>
      <x:c r="L226" s="373"/>
      <x:c r="M226" s="373"/>
      <x:c r="N226" s="373"/>
      <x:c r="O226" s="373"/>
      <x:c r="P226" s="373"/>
      <x:c r="Q226" s="373"/>
      <x:c r="R226" s="373"/>
      <x:c r="S226" s="373"/>
      <x:c r="T226" s="373"/>
      <x:c r="U226" s="373"/>
      <x:c r="V226" s="373"/>
      <x:c r="W226" s="373"/>
      <x:c r="X226" s="373"/>
      <x:c r="Y226" s="373"/>
      <x:c r="Z226" s="373"/>
    </x:row>
    <x:row r="227">
      <x:c r="A227" s="373"/>
      <x:c r="B227" s="373"/>
      <x:c r="C227" s="373"/>
      <x:c r="D227" s="373"/>
      <x:c r="E227" s="373"/>
      <x:c r="F227" s="373"/>
      <x:c r="G227" s="373"/>
      <x:c r="H227" s="373"/>
      <x:c r="I227" s="373"/>
      <x:c r="J227" s="373"/>
      <x:c r="K227" s="373"/>
      <x:c r="L227" s="373"/>
      <x:c r="M227" s="373"/>
      <x:c r="N227" s="373"/>
      <x:c r="O227" s="373"/>
      <x:c r="P227" s="373"/>
      <x:c r="Q227" s="373"/>
      <x:c r="R227" s="373"/>
      <x:c r="S227" s="373"/>
      <x:c r="T227" s="373"/>
      <x:c r="U227" s="373"/>
      <x:c r="V227" s="373"/>
      <x:c r="W227" s="373"/>
      <x:c r="X227" s="373"/>
      <x:c r="Y227" s="373"/>
      <x:c r="Z227" s="373"/>
    </x:row>
    <x:row r="228">
      <x:c r="A228" s="373"/>
      <x:c r="B228" s="373"/>
      <x:c r="C228" s="373"/>
      <x:c r="D228" s="373"/>
      <x:c r="E228" s="373"/>
      <x:c r="F228" s="373"/>
      <x:c r="G228" s="373"/>
      <x:c r="H228" s="373"/>
      <x:c r="I228" s="373"/>
      <x:c r="J228" s="373"/>
      <x:c r="K228" s="373"/>
      <x:c r="L228" s="373"/>
      <x:c r="M228" s="373"/>
      <x:c r="N228" s="373"/>
      <x:c r="O228" s="373"/>
      <x:c r="P228" s="373"/>
      <x:c r="Q228" s="373"/>
      <x:c r="R228" s="373"/>
      <x:c r="S228" s="373"/>
      <x:c r="T228" s="373"/>
      <x:c r="U228" s="373"/>
      <x:c r="V228" s="373"/>
      <x:c r="W228" s="373"/>
      <x:c r="X228" s="373"/>
      <x:c r="Y228" s="373"/>
      <x:c r="Z228" s="373"/>
    </x:row>
    <x:row r="229">
      <x:c r="A229" s="373"/>
      <x:c r="B229" s="373"/>
      <x:c r="C229" s="373"/>
      <x:c r="D229" s="373"/>
      <x:c r="E229" s="373"/>
      <x:c r="F229" s="373"/>
      <x:c r="G229" s="373"/>
      <x:c r="H229" s="373"/>
      <x:c r="I229" s="373"/>
      <x:c r="J229" s="373"/>
      <x:c r="K229" s="373"/>
      <x:c r="L229" s="373"/>
      <x:c r="M229" s="373"/>
      <x:c r="N229" s="373"/>
      <x:c r="O229" s="373"/>
      <x:c r="P229" s="373"/>
      <x:c r="Q229" s="373"/>
      <x:c r="R229" s="373"/>
      <x:c r="S229" s="373"/>
      <x:c r="T229" s="373"/>
      <x:c r="U229" s="373"/>
      <x:c r="V229" s="373"/>
      <x:c r="W229" s="373"/>
      <x:c r="X229" s="373"/>
      <x:c r="Y229" s="373"/>
      <x:c r="Z229" s="373"/>
    </x:row>
    <x:row r="230">
      <x:c r="A230" s="373"/>
      <x:c r="B230" s="373"/>
      <x:c r="C230" s="373"/>
      <x:c r="D230" s="373"/>
      <x:c r="E230" s="373"/>
      <x:c r="F230" s="373"/>
      <x:c r="G230" s="373"/>
      <x:c r="H230" s="373"/>
      <x:c r="I230" s="373"/>
      <x:c r="J230" s="373"/>
      <x:c r="K230" s="373"/>
      <x:c r="L230" s="373"/>
      <x:c r="M230" s="373"/>
      <x:c r="N230" s="373"/>
      <x:c r="O230" s="373"/>
      <x:c r="P230" s="373"/>
      <x:c r="Q230" s="373"/>
      <x:c r="R230" s="373"/>
      <x:c r="S230" s="373"/>
      <x:c r="T230" s="373"/>
      <x:c r="U230" s="373"/>
      <x:c r="V230" s="373"/>
      <x:c r="W230" s="373"/>
      <x:c r="X230" s="373"/>
      <x:c r="Y230" s="373"/>
      <x:c r="Z230" s="373"/>
    </x:row>
    <x:row r="231">
      <x:c r="A231" s="373"/>
      <x:c r="B231" s="373"/>
      <x:c r="C231" s="373"/>
      <x:c r="D231" s="373"/>
      <x:c r="E231" s="373"/>
      <x:c r="F231" s="373"/>
      <x:c r="G231" s="373"/>
      <x:c r="H231" s="373"/>
      <x:c r="I231" s="373"/>
      <x:c r="J231" s="373"/>
      <x:c r="K231" s="373"/>
      <x:c r="L231" s="373"/>
      <x:c r="M231" s="373"/>
      <x:c r="N231" s="373"/>
      <x:c r="O231" s="373"/>
      <x:c r="P231" s="373"/>
      <x:c r="Q231" s="373"/>
      <x:c r="R231" s="373"/>
      <x:c r="S231" s="373"/>
      <x:c r="T231" s="373"/>
      <x:c r="U231" s="373"/>
      <x:c r="V231" s="373"/>
      <x:c r="W231" s="373"/>
      <x:c r="X231" s="373"/>
      <x:c r="Y231" s="373"/>
      <x:c r="Z231" s="373"/>
    </x:row>
    <x:row r="232">
      <x:c r="A232" s="373"/>
      <x:c r="B232" s="373"/>
      <x:c r="C232" s="373"/>
      <x:c r="D232" s="373"/>
      <x:c r="E232" s="373"/>
      <x:c r="F232" s="373"/>
      <x:c r="G232" s="373"/>
      <x:c r="H232" s="373"/>
      <x:c r="I232" s="373"/>
      <x:c r="J232" s="373"/>
      <x:c r="K232" s="373"/>
      <x:c r="L232" s="373"/>
      <x:c r="M232" s="373"/>
      <x:c r="N232" s="373"/>
      <x:c r="O232" s="373"/>
      <x:c r="P232" s="373"/>
      <x:c r="Q232" s="373"/>
      <x:c r="R232" s="373"/>
      <x:c r="S232" s="373"/>
      <x:c r="T232" s="373"/>
      <x:c r="U232" s="373"/>
      <x:c r="V232" s="373"/>
      <x:c r="W232" s="373"/>
      <x:c r="X232" s="373"/>
      <x:c r="Y232" s="373"/>
      <x:c r="Z232" s="373"/>
    </x:row>
    <x:row r="233">
      <x:c r="A233" s="373"/>
      <x:c r="B233" s="373"/>
      <x:c r="C233" s="373"/>
      <x:c r="D233" s="373"/>
      <x:c r="E233" s="373"/>
      <x:c r="F233" s="373"/>
      <x:c r="G233" s="373"/>
      <x:c r="H233" s="373"/>
      <x:c r="I233" s="373"/>
      <x:c r="J233" s="373"/>
      <x:c r="K233" s="373"/>
      <x:c r="L233" s="373"/>
      <x:c r="M233" s="373"/>
      <x:c r="N233" s="373"/>
      <x:c r="O233" s="373"/>
      <x:c r="P233" s="373"/>
      <x:c r="Q233" s="373"/>
      <x:c r="R233" s="373"/>
      <x:c r="S233" s="373"/>
      <x:c r="T233" s="373"/>
      <x:c r="U233" s="373"/>
      <x:c r="V233" s="373"/>
      <x:c r="W233" s="373"/>
      <x:c r="X233" s="373"/>
      <x:c r="Y233" s="373"/>
      <x:c r="Z233" s="373"/>
    </x:row>
    <x:row r="234">
      <x:c r="A234" s="373"/>
      <x:c r="B234" s="373"/>
      <x:c r="C234" s="373"/>
      <x:c r="D234" s="373"/>
      <x:c r="E234" s="373"/>
      <x:c r="F234" s="373"/>
      <x:c r="G234" s="373"/>
      <x:c r="H234" s="373"/>
      <x:c r="I234" s="373"/>
      <x:c r="J234" s="373"/>
      <x:c r="K234" s="373"/>
      <x:c r="L234" s="373"/>
      <x:c r="M234" s="373"/>
      <x:c r="N234" s="373"/>
      <x:c r="O234" s="373"/>
      <x:c r="P234" s="373"/>
      <x:c r="Q234" s="373"/>
      <x:c r="R234" s="373"/>
      <x:c r="S234" s="373"/>
      <x:c r="T234" s="373"/>
      <x:c r="U234" s="373"/>
      <x:c r="V234" s="373"/>
      <x:c r="W234" s="373"/>
      <x:c r="X234" s="373"/>
      <x:c r="Y234" s="373"/>
      <x:c r="Z234" s="373"/>
    </x:row>
    <x:row r="235">
      <x:c r="A235" s="373"/>
      <x:c r="B235" s="373"/>
      <x:c r="C235" s="373"/>
      <x:c r="D235" s="373"/>
      <x:c r="E235" s="373"/>
      <x:c r="F235" s="373"/>
      <x:c r="G235" s="373"/>
      <x:c r="H235" s="373"/>
      <x:c r="I235" s="373"/>
      <x:c r="J235" s="373"/>
      <x:c r="K235" s="373"/>
      <x:c r="L235" s="373"/>
      <x:c r="M235" s="373"/>
      <x:c r="N235" s="373"/>
      <x:c r="O235" s="373"/>
      <x:c r="P235" s="373"/>
      <x:c r="Q235" s="373"/>
      <x:c r="R235" s="373"/>
      <x:c r="S235" s="373"/>
      <x:c r="T235" s="373"/>
      <x:c r="U235" s="373"/>
      <x:c r="V235" s="373"/>
      <x:c r="W235" s="373"/>
      <x:c r="X235" s="373"/>
      <x:c r="Y235" s="373"/>
      <x:c r="Z235" s="373"/>
    </x:row>
    <x:row r="236">
      <x:c r="A236" s="373"/>
      <x:c r="B236" s="373"/>
      <x:c r="C236" s="373"/>
      <x:c r="D236" s="373"/>
      <x:c r="E236" s="373"/>
      <x:c r="F236" s="373"/>
      <x:c r="G236" s="373"/>
      <x:c r="H236" s="373"/>
      <x:c r="I236" s="373"/>
      <x:c r="J236" s="373"/>
      <x:c r="K236" s="373"/>
      <x:c r="L236" s="373"/>
      <x:c r="M236" s="373"/>
      <x:c r="N236" s="373"/>
      <x:c r="O236" s="373"/>
      <x:c r="P236" s="373"/>
      <x:c r="Q236" s="373"/>
      <x:c r="R236" s="373"/>
      <x:c r="S236" s="373"/>
      <x:c r="T236" s="373"/>
      <x:c r="U236" s="373"/>
      <x:c r="V236" s="373"/>
      <x:c r="W236" s="373"/>
      <x:c r="X236" s="373"/>
      <x:c r="Y236" s="373"/>
      <x:c r="Z236" s="373"/>
    </x:row>
    <x:row r="237">
      <x:c r="A237" s="373"/>
      <x:c r="B237" s="373"/>
      <x:c r="C237" s="373"/>
      <x:c r="D237" s="373"/>
      <x:c r="E237" s="373"/>
      <x:c r="F237" s="373"/>
      <x:c r="G237" s="373"/>
      <x:c r="H237" s="373"/>
      <x:c r="I237" s="373"/>
      <x:c r="J237" s="373"/>
      <x:c r="K237" s="373"/>
      <x:c r="L237" s="373"/>
      <x:c r="M237" s="373"/>
      <x:c r="N237" s="373"/>
      <x:c r="O237" s="373"/>
      <x:c r="P237" s="373"/>
      <x:c r="Q237" s="373"/>
      <x:c r="R237" s="373"/>
      <x:c r="S237" s="373"/>
      <x:c r="T237" s="373"/>
      <x:c r="U237" s="373"/>
      <x:c r="V237" s="373"/>
      <x:c r="W237" s="373"/>
      <x:c r="X237" s="373"/>
      <x:c r="Y237" s="373"/>
      <x:c r="Z237" s="373"/>
    </x:row>
    <x:row r="238">
      <x:c r="A238" s="373"/>
      <x:c r="B238" s="373"/>
      <x:c r="C238" s="373"/>
      <x:c r="D238" s="373"/>
      <x:c r="E238" s="373"/>
      <x:c r="F238" s="373"/>
      <x:c r="G238" s="373"/>
      <x:c r="H238" s="373"/>
      <x:c r="I238" s="373"/>
      <x:c r="J238" s="373"/>
      <x:c r="K238" s="373"/>
      <x:c r="L238" s="373"/>
      <x:c r="M238" s="373"/>
      <x:c r="N238" s="373"/>
      <x:c r="O238" s="373"/>
      <x:c r="P238" s="373"/>
      <x:c r="Q238" s="373"/>
      <x:c r="R238" s="373"/>
      <x:c r="S238" s="373"/>
      <x:c r="T238" s="373"/>
      <x:c r="U238" s="373"/>
      <x:c r="V238" s="373"/>
      <x:c r="W238" s="373"/>
      <x:c r="X238" s="373"/>
      <x:c r="Y238" s="373"/>
      <x:c r="Z238" s="373"/>
    </x:row>
    <x:row r="239">
      <x:c r="A239" s="373"/>
      <x:c r="B239" s="373"/>
      <x:c r="C239" s="373"/>
      <x:c r="D239" s="373"/>
      <x:c r="E239" s="373"/>
      <x:c r="F239" s="373"/>
      <x:c r="G239" s="373"/>
      <x:c r="H239" s="373"/>
      <x:c r="I239" s="373"/>
      <x:c r="J239" s="373"/>
      <x:c r="K239" s="373"/>
      <x:c r="L239" s="373"/>
      <x:c r="M239" s="373"/>
      <x:c r="N239" s="373"/>
      <x:c r="O239" s="373"/>
      <x:c r="P239" s="373"/>
      <x:c r="Q239" s="373"/>
      <x:c r="R239" s="373"/>
      <x:c r="S239" s="373"/>
      <x:c r="T239" s="373"/>
      <x:c r="U239" s="373"/>
      <x:c r="V239" s="373"/>
      <x:c r="W239" s="373"/>
      <x:c r="X239" s="373"/>
      <x:c r="Y239" s="373"/>
      <x:c r="Z239" s="373"/>
    </x:row>
    <x:row r="240">
      <x:c r="A240" s="373"/>
      <x:c r="B240" s="373"/>
      <x:c r="C240" s="373"/>
      <x:c r="D240" s="373"/>
      <x:c r="E240" s="373"/>
      <x:c r="F240" s="373"/>
      <x:c r="G240" s="373"/>
      <x:c r="H240" s="373"/>
      <x:c r="I240" s="373"/>
      <x:c r="J240" s="373"/>
      <x:c r="K240" s="373"/>
      <x:c r="L240" s="373"/>
      <x:c r="M240" s="373"/>
      <x:c r="N240" s="373"/>
      <x:c r="O240" s="373"/>
      <x:c r="P240" s="373"/>
      <x:c r="Q240" s="373"/>
      <x:c r="R240" s="373"/>
      <x:c r="S240" s="373"/>
      <x:c r="T240" s="373"/>
      <x:c r="U240" s="373"/>
      <x:c r="V240" s="373"/>
      <x:c r="W240" s="373"/>
      <x:c r="X240" s="373"/>
      <x:c r="Y240" s="373"/>
      <x:c r="Z240" s="373"/>
    </x:row>
    <x:row r="241">
      <x:c r="A241" s="373"/>
      <x:c r="B241" s="373"/>
      <x:c r="C241" s="373"/>
      <x:c r="D241" s="373"/>
      <x:c r="E241" s="373"/>
      <x:c r="F241" s="373"/>
      <x:c r="G241" s="373"/>
      <x:c r="H241" s="373"/>
      <x:c r="I241" s="373"/>
      <x:c r="J241" s="373"/>
      <x:c r="K241" s="373"/>
      <x:c r="L241" s="373"/>
      <x:c r="M241" s="373"/>
      <x:c r="N241" s="373"/>
      <x:c r="O241" s="373"/>
      <x:c r="P241" s="373"/>
      <x:c r="Q241" s="373"/>
      <x:c r="R241" s="373"/>
      <x:c r="S241" s="373"/>
      <x:c r="T241" s="373"/>
      <x:c r="U241" s="373"/>
      <x:c r="V241" s="373"/>
      <x:c r="W241" s="373"/>
      <x:c r="X241" s="373"/>
      <x:c r="Y241" s="373"/>
      <x:c r="Z241" s="373"/>
    </x:row>
    <x:row r="242">
      <x:c r="A242" s="373"/>
      <x:c r="B242" s="373"/>
      <x:c r="C242" s="373"/>
      <x:c r="D242" s="373"/>
      <x:c r="E242" s="373"/>
      <x:c r="F242" s="373"/>
      <x:c r="G242" s="373"/>
      <x:c r="H242" s="373"/>
      <x:c r="I242" s="373"/>
      <x:c r="J242" s="373"/>
      <x:c r="K242" s="373"/>
      <x:c r="L242" s="373"/>
      <x:c r="M242" s="373"/>
      <x:c r="N242" s="373"/>
      <x:c r="O242" s="373"/>
      <x:c r="P242" s="373"/>
      <x:c r="Q242" s="373"/>
      <x:c r="R242" s="373"/>
      <x:c r="S242" s="373"/>
      <x:c r="T242" s="373"/>
      <x:c r="U242" s="373"/>
      <x:c r="V242" s="373"/>
      <x:c r="W242" s="373"/>
      <x:c r="X242" s="373"/>
      <x:c r="Y242" s="373"/>
      <x:c r="Z242" s="373"/>
    </x:row>
    <x:row r="243">
      <x:c r="A243" s="373"/>
      <x:c r="B243" s="373"/>
      <x:c r="C243" s="373"/>
      <x:c r="D243" s="373"/>
      <x:c r="E243" s="373"/>
      <x:c r="F243" s="373"/>
      <x:c r="G243" s="373"/>
      <x:c r="H243" s="373"/>
      <x:c r="I243" s="373"/>
      <x:c r="J243" s="373"/>
      <x:c r="K243" s="373"/>
      <x:c r="L243" s="373"/>
      <x:c r="M243" s="373"/>
      <x:c r="N243" s="373"/>
      <x:c r="O243" s="373"/>
      <x:c r="P243" s="373"/>
      <x:c r="Q243" s="373"/>
      <x:c r="R243" s="373"/>
      <x:c r="S243" s="373"/>
      <x:c r="T243" s="373"/>
      <x:c r="U243" s="373"/>
      <x:c r="V243" s="373"/>
      <x:c r="W243" s="373"/>
      <x:c r="X243" s="373"/>
      <x:c r="Y243" s="373"/>
      <x:c r="Z243" s="373"/>
    </x:row>
    <x:row r="244">
      <x:c r="A244" s="373"/>
      <x:c r="B244" s="373"/>
      <x:c r="C244" s="373"/>
      <x:c r="D244" s="373"/>
      <x:c r="E244" s="373"/>
      <x:c r="F244" s="373"/>
      <x:c r="G244" s="373"/>
      <x:c r="H244" s="373"/>
      <x:c r="I244" s="373"/>
      <x:c r="J244" s="373"/>
      <x:c r="K244" s="373"/>
      <x:c r="L244" s="373"/>
      <x:c r="M244" s="373"/>
      <x:c r="N244" s="373"/>
      <x:c r="O244" s="373"/>
      <x:c r="P244" s="373"/>
      <x:c r="Q244" s="373"/>
      <x:c r="R244" s="373"/>
      <x:c r="S244" s="373"/>
      <x:c r="T244" s="373"/>
      <x:c r="U244" s="373"/>
      <x:c r="V244" s="373"/>
      <x:c r="W244" s="373"/>
      <x:c r="X244" s="373"/>
      <x:c r="Y244" s="373"/>
      <x:c r="Z244" s="373"/>
    </x:row>
    <x:row r="245">
      <x:c r="A245" s="373"/>
      <x:c r="B245" s="373"/>
      <x:c r="C245" s="373"/>
      <x:c r="D245" s="373"/>
      <x:c r="E245" s="373"/>
      <x:c r="F245" s="373"/>
      <x:c r="G245" s="373"/>
      <x:c r="H245" s="373"/>
      <x:c r="I245" s="373"/>
      <x:c r="J245" s="373"/>
      <x:c r="K245" s="373"/>
      <x:c r="L245" s="373"/>
      <x:c r="M245" s="373"/>
      <x:c r="N245" s="373"/>
      <x:c r="O245" s="373"/>
      <x:c r="P245" s="373"/>
      <x:c r="Q245" s="373"/>
      <x:c r="R245" s="373"/>
      <x:c r="S245" s="373"/>
      <x:c r="T245" s="373"/>
      <x:c r="U245" s="373"/>
      <x:c r="V245" s="373"/>
      <x:c r="W245" s="373"/>
      <x:c r="X245" s="373"/>
      <x:c r="Y245" s="373"/>
      <x:c r="Z245" s="373"/>
    </x:row>
    <x:row r="246">
      <x:c r="A246" s="373"/>
      <x:c r="B246" s="373"/>
      <x:c r="C246" s="373"/>
      <x:c r="D246" s="373"/>
      <x:c r="E246" s="373"/>
      <x:c r="F246" s="373"/>
      <x:c r="G246" s="373"/>
      <x:c r="H246" s="373"/>
      <x:c r="I246" s="373"/>
      <x:c r="J246" s="373"/>
      <x:c r="K246" s="373"/>
      <x:c r="L246" s="373"/>
      <x:c r="M246" s="373"/>
      <x:c r="N246" s="373"/>
      <x:c r="O246" s="373"/>
      <x:c r="P246" s="373"/>
      <x:c r="Q246" s="373"/>
      <x:c r="R246" s="373"/>
      <x:c r="S246" s="373"/>
      <x:c r="T246" s="373"/>
      <x:c r="U246" s="373"/>
      <x:c r="V246" s="373"/>
      <x:c r="W246" s="373"/>
      <x:c r="X246" s="373"/>
      <x:c r="Y246" s="373"/>
      <x:c r="Z246" s="373"/>
    </x:row>
    <x:row r="247">
      <x:c r="A247" s="373"/>
      <x:c r="B247" s="373"/>
      <x:c r="C247" s="373"/>
      <x:c r="D247" s="373"/>
      <x:c r="E247" s="373"/>
      <x:c r="F247" s="373"/>
      <x:c r="G247" s="373"/>
      <x:c r="H247" s="373"/>
      <x:c r="I247" s="373"/>
      <x:c r="J247" s="373"/>
      <x:c r="K247" s="373"/>
      <x:c r="L247" s="373"/>
      <x:c r="M247" s="373"/>
      <x:c r="N247" s="373"/>
      <x:c r="O247" s="373"/>
      <x:c r="P247" s="373"/>
      <x:c r="Q247" s="373"/>
      <x:c r="R247" s="373"/>
      <x:c r="S247" s="373"/>
      <x:c r="T247" s="373"/>
      <x:c r="U247" s="373"/>
      <x:c r="V247" s="373"/>
      <x:c r="W247" s="373"/>
      <x:c r="X247" s="373"/>
      <x:c r="Y247" s="373"/>
      <x:c r="Z247" s="373"/>
    </x:row>
    <x:row r="248">
      <x:c r="A248" s="373"/>
      <x:c r="B248" s="373"/>
      <x:c r="C248" s="373"/>
      <x:c r="D248" s="373"/>
      <x:c r="E248" s="373"/>
      <x:c r="F248" s="373"/>
      <x:c r="G248" s="373"/>
      <x:c r="H248" s="373"/>
      <x:c r="I248" s="373"/>
      <x:c r="J248" s="373"/>
      <x:c r="K248" s="373"/>
      <x:c r="L248" s="373"/>
      <x:c r="M248" s="373"/>
      <x:c r="N248" s="373"/>
      <x:c r="O248" s="373"/>
      <x:c r="P248" s="373"/>
      <x:c r="Q248" s="373"/>
      <x:c r="R248" s="373"/>
      <x:c r="S248" s="373"/>
      <x:c r="T248" s="373"/>
      <x:c r="U248" s="373"/>
      <x:c r="V248" s="373"/>
      <x:c r="W248" s="373"/>
      <x:c r="X248" s="373"/>
      <x:c r="Y248" s="373"/>
      <x:c r="Z248" s="373"/>
    </x:row>
    <x:row r="249">
      <x:c r="A249" s="373"/>
      <x:c r="B249" s="373"/>
      <x:c r="C249" s="373"/>
      <x:c r="D249" s="373"/>
      <x:c r="E249" s="373"/>
      <x:c r="F249" s="373"/>
      <x:c r="G249" s="373"/>
      <x:c r="H249" s="373"/>
      <x:c r="I249" s="373"/>
      <x:c r="J249" s="373"/>
      <x:c r="K249" s="373"/>
      <x:c r="L249" s="373"/>
      <x:c r="M249" s="373"/>
      <x:c r="N249" s="373"/>
      <x:c r="O249" s="373"/>
      <x:c r="P249" s="373"/>
      <x:c r="Q249" s="373"/>
      <x:c r="R249" s="373"/>
      <x:c r="S249" s="373"/>
      <x:c r="T249" s="373"/>
      <x:c r="U249" s="373"/>
      <x:c r="V249" s="373"/>
      <x:c r="W249" s="373"/>
      <x:c r="X249" s="373"/>
      <x:c r="Y249" s="373"/>
      <x:c r="Z249" s="373"/>
    </x:row>
    <x:row r="250">
      <x:c r="A250" s="373"/>
      <x:c r="B250" s="373"/>
      <x:c r="C250" s="373"/>
      <x:c r="D250" s="373"/>
      <x:c r="E250" s="373"/>
      <x:c r="F250" s="373"/>
      <x:c r="G250" s="373"/>
      <x:c r="H250" s="373"/>
      <x:c r="I250" s="373"/>
      <x:c r="J250" s="373"/>
      <x:c r="K250" s="373"/>
      <x:c r="L250" s="373"/>
      <x:c r="M250" s="373"/>
      <x:c r="N250" s="373"/>
      <x:c r="O250" s="373"/>
      <x:c r="P250" s="373"/>
      <x:c r="Q250" s="373"/>
      <x:c r="R250" s="373"/>
      <x:c r="S250" s="373"/>
      <x:c r="T250" s="373"/>
      <x:c r="U250" s="373"/>
      <x:c r="V250" s="373"/>
      <x:c r="W250" s="373"/>
      <x:c r="X250" s="373"/>
      <x:c r="Y250" s="373"/>
      <x:c r="Z250" s="373"/>
    </x:row>
    <x:row r="251">
      <x:c r="A251" s="373"/>
      <x:c r="B251" s="373"/>
      <x:c r="C251" s="373"/>
      <x:c r="D251" s="373"/>
      <x:c r="E251" s="373"/>
      <x:c r="F251" s="373"/>
      <x:c r="G251" s="373"/>
      <x:c r="H251" s="373"/>
      <x:c r="I251" s="373"/>
      <x:c r="J251" s="373"/>
      <x:c r="K251" s="373"/>
      <x:c r="L251" s="373"/>
      <x:c r="M251" s="373"/>
      <x:c r="N251" s="373"/>
      <x:c r="O251" s="373"/>
      <x:c r="P251" s="373"/>
      <x:c r="Q251" s="373"/>
      <x:c r="R251" s="373"/>
      <x:c r="S251" s="373"/>
      <x:c r="T251" s="373"/>
      <x:c r="U251" s="373"/>
      <x:c r="V251" s="373"/>
      <x:c r="W251" s="373"/>
      <x:c r="X251" s="373"/>
      <x:c r="Y251" s="373"/>
      <x:c r="Z251" s="373"/>
    </x:row>
    <x:row r="252">
      <x:c r="A252" s="373"/>
      <x:c r="B252" s="373"/>
      <x:c r="C252" s="373"/>
      <x:c r="D252" s="373"/>
      <x:c r="E252" s="373"/>
      <x:c r="F252" s="373"/>
      <x:c r="G252" s="373"/>
      <x:c r="H252" s="373"/>
      <x:c r="I252" s="373"/>
      <x:c r="J252" s="373"/>
      <x:c r="K252" s="373"/>
      <x:c r="L252" s="373"/>
      <x:c r="M252" s="373"/>
      <x:c r="N252" s="373"/>
      <x:c r="O252" s="373"/>
      <x:c r="P252" s="373"/>
      <x:c r="Q252" s="373"/>
      <x:c r="R252" s="373"/>
      <x:c r="S252" s="373"/>
      <x:c r="T252" s="373"/>
      <x:c r="U252" s="373"/>
      <x:c r="V252" s="373"/>
      <x:c r="W252" s="373"/>
      <x:c r="X252" s="373"/>
      <x:c r="Y252" s="373"/>
      <x:c r="Z252" s="373"/>
    </x:row>
    <x:row r="253">
      <x:c r="A253" s="373"/>
      <x:c r="B253" s="373"/>
      <x:c r="C253" s="373"/>
      <x:c r="D253" s="373"/>
      <x:c r="E253" s="373"/>
      <x:c r="F253" s="373"/>
      <x:c r="G253" s="373"/>
      <x:c r="H253" s="373"/>
      <x:c r="I253" s="373"/>
      <x:c r="J253" s="373"/>
      <x:c r="K253" s="373"/>
      <x:c r="L253" s="373"/>
      <x:c r="M253" s="373"/>
      <x:c r="N253" s="373"/>
      <x:c r="O253" s="373"/>
      <x:c r="P253" s="373"/>
      <x:c r="Q253" s="373"/>
      <x:c r="R253" s="373"/>
      <x:c r="S253" s="373"/>
      <x:c r="T253" s="373"/>
      <x:c r="U253" s="373"/>
      <x:c r="V253" s="373"/>
      <x:c r="W253" s="373"/>
      <x:c r="X253" s="373"/>
      <x:c r="Y253" s="373"/>
      <x:c r="Z253" s="373"/>
    </x:row>
    <x:row r="254">
      <x:c r="A254" s="373"/>
      <x:c r="B254" s="373"/>
      <x:c r="C254" s="373"/>
      <x:c r="D254" s="373"/>
      <x:c r="E254" s="373"/>
      <x:c r="F254" s="373"/>
      <x:c r="G254" s="373"/>
      <x:c r="H254" s="373"/>
      <x:c r="I254" s="373"/>
      <x:c r="J254" s="373"/>
      <x:c r="K254" s="373"/>
      <x:c r="L254" s="373"/>
      <x:c r="M254" s="373"/>
      <x:c r="N254" s="373"/>
      <x:c r="O254" s="373"/>
      <x:c r="P254" s="373"/>
      <x:c r="Q254" s="373"/>
      <x:c r="R254" s="373"/>
      <x:c r="S254" s="373"/>
      <x:c r="T254" s="373"/>
      <x:c r="U254" s="373"/>
      <x:c r="V254" s="373"/>
      <x:c r="W254" s="373"/>
      <x:c r="X254" s="373"/>
      <x:c r="Y254" s="373"/>
      <x:c r="Z254" s="373"/>
    </x:row>
    <x:row r="255">
      <x:c r="A255" s="373"/>
      <x:c r="B255" s="373"/>
      <x:c r="C255" s="373"/>
      <x:c r="D255" s="373"/>
      <x:c r="E255" s="373"/>
      <x:c r="F255" s="373"/>
      <x:c r="G255" s="373"/>
      <x:c r="H255" s="373"/>
      <x:c r="I255" s="373"/>
      <x:c r="J255" s="373"/>
      <x:c r="K255" s="373"/>
      <x:c r="L255" s="373"/>
      <x:c r="M255" s="373"/>
      <x:c r="N255" s="373"/>
      <x:c r="O255" s="373"/>
      <x:c r="P255" s="373"/>
      <x:c r="Q255" s="373"/>
      <x:c r="R255" s="373"/>
      <x:c r="S255" s="373"/>
      <x:c r="T255" s="373"/>
      <x:c r="U255" s="373"/>
      <x:c r="V255" s="373"/>
      <x:c r="W255" s="373"/>
      <x:c r="X255" s="373"/>
      <x:c r="Y255" s="373"/>
      <x:c r="Z255" s="373"/>
    </x:row>
    <x:row r="256">
      <x:c r="A256" s="373"/>
      <x:c r="B256" s="373"/>
      <x:c r="C256" s="373"/>
      <x:c r="D256" s="373"/>
      <x:c r="E256" s="373"/>
      <x:c r="F256" s="373"/>
      <x:c r="G256" s="373"/>
      <x:c r="H256" s="373"/>
      <x:c r="I256" s="373"/>
      <x:c r="J256" s="373"/>
      <x:c r="K256" s="373"/>
      <x:c r="L256" s="373"/>
      <x:c r="M256" s="373"/>
      <x:c r="N256" s="373"/>
      <x:c r="O256" s="373"/>
      <x:c r="P256" s="373"/>
      <x:c r="Q256" s="373"/>
      <x:c r="R256" s="373"/>
      <x:c r="S256" s="373"/>
      <x:c r="T256" s="373"/>
      <x:c r="U256" s="373"/>
      <x:c r="V256" s="373"/>
      <x:c r="W256" s="373"/>
      <x:c r="X256" s="373"/>
      <x:c r="Y256" s="373"/>
      <x:c r="Z256" s="373"/>
    </x:row>
    <x:row r="257">
      <x:c r="A257" s="373"/>
      <x:c r="B257" s="373"/>
      <x:c r="C257" s="373"/>
      <x:c r="D257" s="373"/>
      <x:c r="E257" s="373"/>
      <x:c r="F257" s="373"/>
      <x:c r="G257" s="373"/>
      <x:c r="H257" s="373"/>
      <x:c r="I257" s="373"/>
      <x:c r="J257" s="373"/>
      <x:c r="K257" s="373"/>
      <x:c r="L257" s="373"/>
      <x:c r="M257" s="373"/>
      <x:c r="N257" s="373"/>
      <x:c r="O257" s="373"/>
      <x:c r="P257" s="373"/>
      <x:c r="Q257" s="373"/>
      <x:c r="R257" s="373"/>
      <x:c r="S257" s="373"/>
      <x:c r="T257" s="373"/>
      <x:c r="U257" s="373"/>
      <x:c r="V257" s="373"/>
      <x:c r="W257" s="373"/>
      <x:c r="X257" s="373"/>
      <x:c r="Y257" s="373"/>
      <x:c r="Z257" s="373"/>
    </x:row>
    <x:row r="258">
      <x:c r="A258" s="373"/>
      <x:c r="B258" s="373"/>
      <x:c r="C258" s="373"/>
      <x:c r="D258" s="373"/>
      <x:c r="E258" s="373"/>
      <x:c r="F258" s="373"/>
      <x:c r="G258" s="373"/>
      <x:c r="H258" s="373"/>
      <x:c r="I258" s="373"/>
      <x:c r="J258" s="373"/>
      <x:c r="K258" s="373"/>
      <x:c r="L258" s="373"/>
      <x:c r="M258" s="373"/>
      <x:c r="N258" s="373"/>
      <x:c r="O258" s="373"/>
      <x:c r="P258" s="373"/>
      <x:c r="Q258" s="373"/>
      <x:c r="R258" s="373"/>
      <x:c r="S258" s="373"/>
      <x:c r="T258" s="373"/>
      <x:c r="U258" s="373"/>
      <x:c r="V258" s="373"/>
      <x:c r="W258" s="373"/>
      <x:c r="X258" s="373"/>
      <x:c r="Y258" s="373"/>
      <x:c r="Z258" s="373"/>
    </x:row>
    <x:row r="259">
      <x:c r="A259" s="373"/>
      <x:c r="B259" s="373"/>
      <x:c r="C259" s="373"/>
      <x:c r="D259" s="373"/>
      <x:c r="E259" s="373"/>
      <x:c r="F259" s="373"/>
      <x:c r="G259" s="373"/>
      <x:c r="H259" s="373"/>
      <x:c r="I259" s="373"/>
      <x:c r="J259" s="373"/>
      <x:c r="K259" s="373"/>
      <x:c r="L259" s="373"/>
      <x:c r="M259" s="373"/>
      <x:c r="N259" s="373"/>
      <x:c r="O259" s="373"/>
      <x:c r="P259" s="373"/>
      <x:c r="Q259" s="373"/>
      <x:c r="R259" s="373"/>
      <x:c r="S259" s="373"/>
      <x:c r="T259" s="373"/>
      <x:c r="U259" s="373"/>
      <x:c r="V259" s="373"/>
      <x:c r="W259" s="373"/>
      <x:c r="X259" s="373"/>
      <x:c r="Y259" s="373"/>
      <x:c r="Z259" s="373"/>
    </x:row>
    <x:row r="260">
      <x:c r="A260" s="373"/>
      <x:c r="B260" s="373"/>
      <x:c r="C260" s="373"/>
      <x:c r="D260" s="373"/>
      <x:c r="E260" s="373"/>
      <x:c r="F260" s="373"/>
      <x:c r="G260" s="373"/>
      <x:c r="H260" s="373"/>
      <x:c r="I260" s="373"/>
      <x:c r="J260" s="373"/>
      <x:c r="K260" s="373"/>
      <x:c r="L260" s="373"/>
      <x:c r="M260" s="373"/>
      <x:c r="N260" s="373"/>
      <x:c r="O260" s="373"/>
      <x:c r="P260" s="373"/>
      <x:c r="Q260" s="373"/>
      <x:c r="R260" s="373"/>
      <x:c r="S260" s="373"/>
      <x:c r="T260" s="373"/>
      <x:c r="U260" s="373"/>
      <x:c r="V260" s="373"/>
      <x:c r="W260" s="373"/>
      <x:c r="X260" s="373"/>
      <x:c r="Y260" s="373"/>
      <x:c r="Z260" s="373"/>
    </x:row>
    <x:row r="261">
      <x:c r="A261" s="373"/>
      <x:c r="B261" s="373"/>
      <x:c r="C261" s="373"/>
      <x:c r="D261" s="373"/>
      <x:c r="E261" s="373"/>
      <x:c r="F261" s="373"/>
      <x:c r="G261" s="373"/>
      <x:c r="H261" s="373"/>
      <x:c r="I261" s="373"/>
      <x:c r="J261" s="373"/>
      <x:c r="K261" s="373"/>
      <x:c r="L261" s="373"/>
      <x:c r="M261" s="373"/>
      <x:c r="N261" s="373"/>
      <x:c r="O261" s="373"/>
      <x:c r="P261" s="373"/>
      <x:c r="Q261" s="373"/>
      <x:c r="R261" s="373"/>
      <x:c r="S261" s="373"/>
      <x:c r="T261" s="373"/>
      <x:c r="U261" s="373"/>
      <x:c r="V261" s="373"/>
      <x:c r="W261" s="373"/>
      <x:c r="X261" s="373"/>
      <x:c r="Y261" s="373"/>
      <x:c r="Z261" s="373"/>
    </x:row>
    <x:row r="262">
      <x:c r="A262" s="373"/>
      <x:c r="B262" s="373"/>
      <x:c r="C262" s="373"/>
      <x:c r="D262" s="373"/>
      <x:c r="E262" s="373"/>
      <x:c r="F262" s="373"/>
      <x:c r="G262" s="373"/>
      <x:c r="H262" s="373"/>
      <x:c r="I262" s="373"/>
      <x:c r="J262" s="373"/>
      <x:c r="K262" s="373"/>
      <x:c r="L262" s="373"/>
      <x:c r="M262" s="373"/>
      <x:c r="N262" s="373"/>
      <x:c r="O262" s="373"/>
      <x:c r="P262" s="373"/>
      <x:c r="Q262" s="373"/>
      <x:c r="R262" s="373"/>
      <x:c r="S262" s="373"/>
      <x:c r="T262" s="373"/>
      <x:c r="U262" s="373"/>
      <x:c r="V262" s="373"/>
      <x:c r="W262" s="373"/>
      <x:c r="X262" s="373"/>
      <x:c r="Y262" s="373"/>
      <x:c r="Z262" s="373"/>
    </x:row>
    <x:row r="263">
      <x:c r="A263" s="373"/>
      <x:c r="B263" s="373"/>
      <x:c r="C263" s="373"/>
      <x:c r="D263" s="373"/>
      <x:c r="E263" s="373"/>
      <x:c r="F263" s="373"/>
      <x:c r="G263" s="373"/>
      <x:c r="H263" s="373"/>
      <x:c r="I263" s="373"/>
      <x:c r="J263" s="373"/>
      <x:c r="K263" s="373"/>
      <x:c r="L263" s="373"/>
      <x:c r="M263" s="373"/>
      <x:c r="N263" s="373"/>
      <x:c r="O263" s="373"/>
      <x:c r="P263" s="373"/>
      <x:c r="Q263" s="373"/>
      <x:c r="R263" s="373"/>
      <x:c r="S263" s="373"/>
      <x:c r="T263" s="373"/>
      <x:c r="U263" s="373"/>
      <x:c r="V263" s="373"/>
      <x:c r="W263" s="373"/>
      <x:c r="X263" s="373"/>
      <x:c r="Y263" s="373"/>
      <x:c r="Z263" s="373"/>
    </x:row>
    <x:row r="264">
      <x:c r="A264" s="373"/>
      <x:c r="B264" s="373"/>
      <x:c r="C264" s="373"/>
      <x:c r="D264" s="373"/>
      <x:c r="E264" s="373"/>
      <x:c r="F264" s="373"/>
      <x:c r="G264" s="373"/>
      <x:c r="H264" s="373"/>
      <x:c r="I264" s="373"/>
      <x:c r="J264" s="373"/>
      <x:c r="K264" s="373"/>
      <x:c r="L264" s="373"/>
      <x:c r="M264" s="373"/>
      <x:c r="N264" s="373"/>
      <x:c r="O264" s="373"/>
      <x:c r="P264" s="373"/>
      <x:c r="Q264" s="373"/>
      <x:c r="R264" s="373"/>
      <x:c r="S264" s="373"/>
      <x:c r="T264" s="373"/>
      <x:c r="U264" s="373"/>
      <x:c r="V264" s="373"/>
      <x:c r="W264" s="373"/>
      <x:c r="X264" s="373"/>
      <x:c r="Y264" s="373"/>
      <x:c r="Z264" s="373"/>
    </x:row>
    <x:row r="265">
      <x:c r="A265" s="373"/>
      <x:c r="B265" s="373"/>
      <x:c r="C265" s="373"/>
      <x:c r="D265" s="373"/>
      <x:c r="E265" s="373"/>
      <x:c r="F265" s="373"/>
      <x:c r="G265" s="373"/>
      <x:c r="H265" s="373"/>
      <x:c r="I265" s="373"/>
      <x:c r="J265" s="373"/>
      <x:c r="K265" s="373"/>
      <x:c r="L265" s="373"/>
      <x:c r="M265" s="373"/>
      <x:c r="N265" s="373"/>
      <x:c r="O265" s="373"/>
      <x:c r="P265" s="373"/>
      <x:c r="Q265" s="373"/>
      <x:c r="R265" s="373"/>
      <x:c r="S265" s="373"/>
      <x:c r="T265" s="373"/>
      <x:c r="U265" s="373"/>
      <x:c r="V265" s="373"/>
      <x:c r="W265" s="373"/>
      <x:c r="X265" s="373"/>
      <x:c r="Y265" s="373"/>
      <x:c r="Z265" s="373"/>
    </x:row>
    <x:row r="266">
      <x:c r="A266" s="373"/>
      <x:c r="B266" s="373"/>
      <x:c r="C266" s="373"/>
      <x:c r="D266" s="373"/>
      <x:c r="E266" s="373"/>
      <x:c r="F266" s="373"/>
      <x:c r="G266" s="373"/>
      <x:c r="H266" s="373"/>
      <x:c r="I266" s="373"/>
      <x:c r="J266" s="373"/>
      <x:c r="K266" s="373"/>
      <x:c r="L266" s="373"/>
      <x:c r="M266" s="373"/>
      <x:c r="N266" s="373"/>
      <x:c r="O266" s="373"/>
      <x:c r="P266" s="373"/>
      <x:c r="Q266" s="373"/>
      <x:c r="R266" s="373"/>
      <x:c r="S266" s="373"/>
      <x:c r="T266" s="373"/>
      <x:c r="U266" s="373"/>
      <x:c r="V266" s="373"/>
      <x:c r="W266" s="373"/>
      <x:c r="X266" s="373"/>
      <x:c r="Y266" s="373"/>
      <x:c r="Z266" s="373"/>
    </x:row>
    <x:row r="267">
      <x:c r="A267" s="373"/>
      <x:c r="B267" s="373"/>
      <x:c r="C267" s="373"/>
      <x:c r="D267" s="373"/>
      <x:c r="E267" s="373"/>
      <x:c r="F267" s="373"/>
      <x:c r="G267" s="373"/>
      <x:c r="H267" s="373"/>
      <x:c r="I267" s="373"/>
      <x:c r="J267" s="373"/>
      <x:c r="K267" s="373"/>
      <x:c r="L267" s="373"/>
      <x:c r="M267" s="373"/>
      <x:c r="N267" s="373"/>
      <x:c r="O267" s="373"/>
      <x:c r="P267" s="373"/>
      <x:c r="Q267" s="373"/>
      <x:c r="R267" s="373"/>
      <x:c r="S267" s="373"/>
      <x:c r="T267" s="373"/>
      <x:c r="U267" s="373"/>
      <x:c r="V267" s="373"/>
      <x:c r="W267" s="373"/>
      <x:c r="X267" s="373"/>
      <x:c r="Y267" s="373"/>
      <x:c r="Z267" s="373"/>
    </x:row>
    <x:row r="268">
      <x:c r="A268" s="373"/>
      <x:c r="B268" s="373"/>
      <x:c r="C268" s="373"/>
      <x:c r="D268" s="373"/>
      <x:c r="E268" s="373"/>
      <x:c r="F268" s="373"/>
      <x:c r="G268" s="373"/>
      <x:c r="H268" s="373"/>
      <x:c r="I268" s="373"/>
      <x:c r="J268" s="373"/>
      <x:c r="K268" s="373"/>
      <x:c r="L268" s="373"/>
      <x:c r="M268" s="373"/>
      <x:c r="N268" s="373"/>
      <x:c r="O268" s="373"/>
      <x:c r="P268" s="373"/>
      <x:c r="Q268" s="373"/>
      <x:c r="R268" s="373"/>
      <x:c r="S268" s="373"/>
      <x:c r="T268" s="373"/>
      <x:c r="U268" s="373"/>
      <x:c r="V268" s="373"/>
      <x:c r="W268" s="373"/>
      <x:c r="X268" s="373"/>
      <x:c r="Y268" s="373"/>
      <x:c r="Z268" s="373"/>
    </x:row>
    <x:row r="269">
      <x:c r="A269" s="373"/>
      <x:c r="B269" s="373"/>
      <x:c r="C269" s="373"/>
      <x:c r="D269" s="373"/>
      <x:c r="E269" s="373"/>
      <x:c r="F269" s="373"/>
      <x:c r="G269" s="373"/>
      <x:c r="H269" s="373"/>
      <x:c r="I269" s="373"/>
      <x:c r="J269" s="373"/>
      <x:c r="K269" s="373"/>
      <x:c r="L269" s="373"/>
      <x:c r="M269" s="373"/>
      <x:c r="N269" s="373"/>
      <x:c r="O269" s="373"/>
      <x:c r="P269" s="373"/>
      <x:c r="Q269" s="373"/>
      <x:c r="R269" s="373"/>
      <x:c r="S269" s="373"/>
      <x:c r="T269" s="373"/>
      <x:c r="U269" s="373"/>
      <x:c r="V269" s="373"/>
      <x:c r="W269" s="373"/>
      <x:c r="X269" s="373"/>
      <x:c r="Y269" s="373"/>
      <x:c r="Z269" s="373"/>
    </x:row>
    <x:row r="270">
      <x:c r="A270" s="373"/>
      <x:c r="B270" s="373"/>
      <x:c r="C270" s="373"/>
      <x:c r="D270" s="373"/>
      <x:c r="E270" s="373"/>
      <x:c r="F270" s="373"/>
      <x:c r="G270" s="373"/>
      <x:c r="H270" s="373"/>
      <x:c r="I270" s="373"/>
      <x:c r="J270" s="373"/>
      <x:c r="K270" s="373"/>
      <x:c r="L270" s="373"/>
      <x:c r="M270" s="373"/>
      <x:c r="N270" s="373"/>
      <x:c r="O270" s="373"/>
      <x:c r="P270" s="373"/>
      <x:c r="Q270" s="373"/>
      <x:c r="R270" s="373"/>
      <x:c r="S270" s="373"/>
      <x:c r="T270" s="373"/>
      <x:c r="U270" s="373"/>
      <x:c r="V270" s="373"/>
      <x:c r="W270" s="373"/>
      <x:c r="X270" s="373"/>
      <x:c r="Y270" s="373"/>
      <x:c r="Z270" s="373"/>
    </x:row>
    <x:row r="271">
      <x:c r="A271" s="373"/>
      <x:c r="B271" s="373"/>
      <x:c r="C271" s="373"/>
      <x:c r="D271" s="373"/>
      <x:c r="E271" s="373"/>
      <x:c r="F271" s="373"/>
      <x:c r="G271" s="373"/>
      <x:c r="H271" s="373"/>
      <x:c r="I271" s="373"/>
      <x:c r="J271" s="373"/>
      <x:c r="K271" s="373"/>
      <x:c r="L271" s="373"/>
      <x:c r="M271" s="373"/>
      <x:c r="N271" s="373"/>
      <x:c r="O271" s="373"/>
      <x:c r="P271" s="373"/>
      <x:c r="Q271" s="373"/>
      <x:c r="R271" s="373"/>
      <x:c r="S271" s="373"/>
      <x:c r="T271" s="373"/>
      <x:c r="U271" s="373"/>
      <x:c r="V271" s="373"/>
      <x:c r="W271" s="373"/>
      <x:c r="X271" s="373"/>
      <x:c r="Y271" s="373"/>
      <x:c r="Z271" s="373"/>
    </x:row>
    <x:row r="272">
      <x:c r="A272" s="373"/>
      <x:c r="B272" s="373"/>
      <x:c r="C272" s="373"/>
      <x:c r="D272" s="373"/>
      <x:c r="E272" s="373"/>
      <x:c r="F272" s="373"/>
      <x:c r="G272" s="373"/>
      <x:c r="H272" s="373"/>
      <x:c r="I272" s="373"/>
      <x:c r="J272" s="373"/>
      <x:c r="K272" s="373"/>
      <x:c r="L272" s="373"/>
      <x:c r="M272" s="373"/>
      <x:c r="N272" s="373"/>
      <x:c r="O272" s="373"/>
      <x:c r="P272" s="373"/>
      <x:c r="Q272" s="373"/>
      <x:c r="R272" s="373"/>
      <x:c r="S272" s="373"/>
      <x:c r="T272" s="373"/>
      <x:c r="U272" s="373"/>
      <x:c r="V272" s="373"/>
      <x:c r="W272" s="373"/>
      <x:c r="X272" s="373"/>
      <x:c r="Y272" s="373"/>
      <x:c r="Z272" s="373"/>
    </x:row>
    <x:row r="273">
      <x:c r="A273" s="373"/>
      <x:c r="B273" s="373"/>
      <x:c r="C273" s="373"/>
      <x:c r="D273" s="373"/>
      <x:c r="E273" s="373"/>
      <x:c r="F273" s="373"/>
      <x:c r="G273" s="373"/>
      <x:c r="H273" s="373"/>
      <x:c r="I273" s="373"/>
      <x:c r="J273" s="373"/>
      <x:c r="K273" s="373"/>
      <x:c r="L273" s="373"/>
      <x:c r="M273" s="373"/>
      <x:c r="N273" s="373"/>
      <x:c r="O273" s="373"/>
      <x:c r="P273" s="373"/>
      <x:c r="Q273" s="373"/>
      <x:c r="R273" s="373"/>
      <x:c r="S273" s="373"/>
      <x:c r="T273" s="373"/>
      <x:c r="U273" s="373"/>
      <x:c r="V273" s="373"/>
      <x:c r="W273" s="373"/>
      <x:c r="X273" s="373"/>
      <x:c r="Y273" s="373"/>
      <x:c r="Z273" s="373"/>
    </x:row>
    <x:row r="274">
      <x:c r="A274" s="373"/>
      <x:c r="B274" s="373"/>
      <x:c r="C274" s="373"/>
      <x:c r="D274" s="373"/>
      <x:c r="E274" s="373"/>
      <x:c r="F274" s="373"/>
      <x:c r="G274" s="373"/>
      <x:c r="H274" s="373"/>
      <x:c r="I274" s="373"/>
      <x:c r="J274" s="373"/>
      <x:c r="K274" s="373"/>
      <x:c r="L274" s="373"/>
      <x:c r="M274" s="373"/>
      <x:c r="N274" s="373"/>
      <x:c r="O274" s="373"/>
      <x:c r="P274" s="373"/>
      <x:c r="Q274" s="373"/>
      <x:c r="R274" s="373"/>
      <x:c r="S274" s="373"/>
      <x:c r="T274" s="373"/>
      <x:c r="U274" s="373"/>
      <x:c r="V274" s="373"/>
      <x:c r="W274" s="373"/>
      <x:c r="X274" s="373"/>
      <x:c r="Y274" s="373"/>
      <x:c r="Z274" s="373"/>
    </x:row>
    <x:row r="275">
      <x:c r="A275" s="373"/>
      <x:c r="B275" s="373"/>
      <x:c r="C275" s="373"/>
      <x:c r="D275" s="373"/>
      <x:c r="E275" s="373"/>
      <x:c r="F275" s="373"/>
      <x:c r="G275" s="373"/>
      <x:c r="H275" s="373"/>
      <x:c r="I275" s="373"/>
      <x:c r="J275" s="373"/>
      <x:c r="K275" s="373"/>
      <x:c r="L275" s="373"/>
      <x:c r="M275" s="373"/>
      <x:c r="N275" s="373"/>
      <x:c r="O275" s="373"/>
      <x:c r="P275" s="373"/>
      <x:c r="Q275" s="373"/>
      <x:c r="R275" s="373"/>
      <x:c r="S275" s="373"/>
      <x:c r="T275" s="373"/>
      <x:c r="U275" s="373"/>
      <x:c r="V275" s="373"/>
      <x:c r="W275" s="373"/>
      <x:c r="X275" s="373"/>
      <x:c r="Y275" s="373"/>
      <x:c r="Z275" s="373"/>
    </x:row>
    <x:row r="276">
      <x:c r="A276" s="373"/>
      <x:c r="B276" s="373"/>
      <x:c r="C276" s="373"/>
      <x:c r="D276" s="373"/>
      <x:c r="E276" s="373"/>
      <x:c r="F276" s="373"/>
      <x:c r="G276" s="373"/>
      <x:c r="H276" s="373"/>
      <x:c r="I276" s="373"/>
      <x:c r="J276" s="373"/>
      <x:c r="K276" s="373"/>
      <x:c r="L276" s="373"/>
      <x:c r="M276" s="373"/>
      <x:c r="N276" s="373"/>
      <x:c r="O276" s="373"/>
      <x:c r="P276" s="373"/>
      <x:c r="Q276" s="373"/>
      <x:c r="R276" s="373"/>
      <x:c r="S276" s="373"/>
      <x:c r="T276" s="373"/>
      <x:c r="U276" s="373"/>
      <x:c r="V276" s="373"/>
      <x:c r="W276" s="373"/>
      <x:c r="X276" s="373"/>
      <x:c r="Y276" s="373"/>
      <x:c r="Z276" s="373"/>
    </x:row>
    <x:row r="277">
      <x:c r="A277" s="373"/>
      <x:c r="B277" s="373"/>
      <x:c r="C277" s="373"/>
      <x:c r="D277" s="373"/>
      <x:c r="E277" s="373"/>
      <x:c r="F277" s="373"/>
      <x:c r="G277" s="373"/>
      <x:c r="H277" s="373"/>
      <x:c r="I277" s="373"/>
      <x:c r="J277" s="373"/>
      <x:c r="K277" s="373"/>
      <x:c r="L277" s="373"/>
      <x:c r="M277" s="373"/>
      <x:c r="N277" s="373"/>
      <x:c r="O277" s="373"/>
      <x:c r="P277" s="373"/>
      <x:c r="Q277" s="373"/>
      <x:c r="R277" s="373"/>
      <x:c r="S277" s="373"/>
      <x:c r="T277" s="373"/>
      <x:c r="U277" s="373"/>
      <x:c r="V277" s="373"/>
      <x:c r="W277" s="373"/>
      <x:c r="X277" s="373"/>
      <x:c r="Y277" s="373"/>
      <x:c r="Z277" s="373"/>
    </x:row>
    <x:row r="278">
      <x:c r="A278" s="373"/>
      <x:c r="B278" s="373"/>
      <x:c r="C278" s="373"/>
      <x:c r="D278" s="373"/>
      <x:c r="E278" s="373"/>
      <x:c r="F278" s="373"/>
      <x:c r="G278" s="373"/>
      <x:c r="H278" s="373"/>
      <x:c r="I278" s="373"/>
      <x:c r="J278" s="373"/>
      <x:c r="K278" s="373"/>
      <x:c r="L278" s="373"/>
      <x:c r="M278" s="373"/>
      <x:c r="N278" s="373"/>
      <x:c r="O278" s="373"/>
      <x:c r="P278" s="373"/>
      <x:c r="Q278" s="373"/>
      <x:c r="R278" s="373"/>
      <x:c r="S278" s="373"/>
      <x:c r="T278" s="373"/>
      <x:c r="U278" s="373"/>
      <x:c r="V278" s="373"/>
      <x:c r="W278" s="373"/>
      <x:c r="X278" s="373"/>
      <x:c r="Y278" s="373"/>
      <x:c r="Z278" s="373"/>
    </x:row>
    <x:row r="279">
      <x:c r="A279" s="373"/>
      <x:c r="B279" s="373"/>
      <x:c r="C279" s="373"/>
      <x:c r="D279" s="373"/>
      <x:c r="E279" s="373"/>
      <x:c r="F279" s="373"/>
      <x:c r="G279" s="373"/>
      <x:c r="H279" s="373"/>
      <x:c r="I279" s="373"/>
      <x:c r="J279" s="373"/>
      <x:c r="K279" s="373"/>
      <x:c r="L279" s="373"/>
      <x:c r="M279" s="373"/>
      <x:c r="N279" s="373"/>
      <x:c r="O279" s="373"/>
      <x:c r="P279" s="373"/>
      <x:c r="Q279" s="373"/>
      <x:c r="R279" s="373"/>
      <x:c r="S279" s="373"/>
      <x:c r="T279" s="373"/>
      <x:c r="U279" s="373"/>
      <x:c r="V279" s="373"/>
      <x:c r="W279" s="373"/>
      <x:c r="X279" s="373"/>
      <x:c r="Y279" s="373"/>
      <x:c r="Z279" s="373"/>
    </x:row>
    <x:row r="280">
      <x:c r="A280" s="373"/>
      <x:c r="B280" s="373"/>
      <x:c r="C280" s="373"/>
      <x:c r="D280" s="373"/>
      <x:c r="E280" s="373"/>
      <x:c r="F280" s="373"/>
      <x:c r="G280" s="373"/>
      <x:c r="H280" s="373"/>
      <x:c r="I280" s="373"/>
      <x:c r="J280" s="373"/>
      <x:c r="K280" s="373"/>
      <x:c r="L280" s="373"/>
      <x:c r="M280" s="373"/>
      <x:c r="N280" s="373"/>
      <x:c r="O280" s="373"/>
      <x:c r="P280" s="373"/>
      <x:c r="Q280" s="373"/>
      <x:c r="R280" s="373"/>
      <x:c r="S280" s="373"/>
      <x:c r="T280" s="373"/>
      <x:c r="U280" s="373"/>
      <x:c r="V280" s="373"/>
      <x:c r="W280" s="373"/>
      <x:c r="X280" s="373"/>
      <x:c r="Y280" s="373"/>
      <x:c r="Z280" s="373"/>
    </x:row>
    <x:row r="281">
      <x:c r="A281" s="373"/>
      <x:c r="B281" s="373"/>
      <x:c r="C281" s="373"/>
      <x:c r="D281" s="373"/>
      <x:c r="E281" s="373"/>
      <x:c r="F281" s="373"/>
      <x:c r="G281" s="373"/>
      <x:c r="H281" s="373"/>
      <x:c r="I281" s="373"/>
      <x:c r="J281" s="373"/>
      <x:c r="K281" s="373"/>
      <x:c r="L281" s="373"/>
      <x:c r="M281" s="373"/>
      <x:c r="N281" s="373"/>
      <x:c r="O281" s="373"/>
      <x:c r="P281" s="373"/>
      <x:c r="Q281" s="373"/>
      <x:c r="R281" s="373"/>
      <x:c r="S281" s="373"/>
      <x:c r="T281" s="373"/>
      <x:c r="U281" s="373"/>
      <x:c r="V281" s="373"/>
      <x:c r="W281" s="373"/>
      <x:c r="X281" s="373"/>
      <x:c r="Y281" s="373"/>
      <x:c r="Z281" s="373"/>
    </x:row>
    <x:row r="282">
      <x:c r="A282" s="373"/>
      <x:c r="B282" s="373"/>
      <x:c r="C282" s="373"/>
      <x:c r="D282" s="373"/>
      <x:c r="E282" s="373"/>
      <x:c r="F282" s="373"/>
      <x:c r="G282" s="373"/>
      <x:c r="H282" s="373"/>
      <x:c r="I282" s="373"/>
      <x:c r="J282" s="373"/>
      <x:c r="K282" s="373"/>
      <x:c r="L282" s="373"/>
      <x:c r="M282" s="373"/>
      <x:c r="N282" s="373"/>
      <x:c r="O282" s="373"/>
      <x:c r="P282" s="373"/>
      <x:c r="Q282" s="373"/>
      <x:c r="R282" s="373"/>
      <x:c r="S282" s="373"/>
      <x:c r="T282" s="373"/>
      <x:c r="U282" s="373"/>
      <x:c r="V282" s="373"/>
      <x:c r="W282" s="373"/>
      <x:c r="X282" s="373"/>
      <x:c r="Y282" s="373"/>
      <x:c r="Z282" s="373"/>
    </x:row>
    <x:row r="283">
      <x:c r="A283" s="373"/>
      <x:c r="B283" s="373"/>
      <x:c r="C283" s="373"/>
      <x:c r="D283" s="373"/>
      <x:c r="E283" s="373"/>
      <x:c r="F283" s="373"/>
      <x:c r="G283" s="373"/>
      <x:c r="H283" s="373"/>
      <x:c r="I283" s="373"/>
      <x:c r="J283" s="373"/>
      <x:c r="K283" s="373"/>
      <x:c r="L283" s="373"/>
      <x:c r="M283" s="373"/>
      <x:c r="N283" s="373"/>
      <x:c r="O283" s="373"/>
      <x:c r="P283" s="373"/>
      <x:c r="Q283" s="373"/>
      <x:c r="R283" s="373"/>
      <x:c r="S283" s="373"/>
      <x:c r="T283" s="373"/>
      <x:c r="U283" s="373"/>
      <x:c r="V283" s="373"/>
      <x:c r="W283" s="373"/>
      <x:c r="X283" s="373"/>
      <x:c r="Y283" s="373"/>
      <x:c r="Z283" s="373"/>
    </x:row>
    <x:row r="284">
      <x:c r="A284" s="373"/>
      <x:c r="B284" s="373"/>
      <x:c r="C284" s="373"/>
      <x:c r="D284" s="373"/>
      <x:c r="E284" s="373"/>
      <x:c r="F284" s="373"/>
      <x:c r="G284" s="373"/>
      <x:c r="H284" s="373"/>
      <x:c r="I284" s="373"/>
      <x:c r="J284" s="373"/>
      <x:c r="K284" s="373"/>
      <x:c r="L284" s="373"/>
      <x:c r="M284" s="373"/>
      <x:c r="N284" s="373"/>
      <x:c r="O284" s="373"/>
      <x:c r="P284" s="373"/>
      <x:c r="Q284" s="373"/>
      <x:c r="R284" s="373"/>
      <x:c r="S284" s="373"/>
      <x:c r="T284" s="373"/>
      <x:c r="U284" s="373"/>
      <x:c r="V284" s="373"/>
      <x:c r="W284" s="373"/>
      <x:c r="X284" s="373"/>
      <x:c r="Y284" s="373"/>
      <x:c r="Z284" s="373"/>
    </x:row>
    <x:row r="285">
      <x:c r="A285" s="373"/>
      <x:c r="B285" s="373"/>
      <x:c r="C285" s="373"/>
      <x:c r="D285" s="373"/>
      <x:c r="E285" s="373"/>
      <x:c r="F285" s="373"/>
      <x:c r="G285" s="373"/>
      <x:c r="H285" s="373"/>
      <x:c r="I285" s="373"/>
      <x:c r="J285" s="373"/>
      <x:c r="K285" s="373"/>
      <x:c r="L285" s="373"/>
      <x:c r="M285" s="373"/>
      <x:c r="N285" s="373"/>
      <x:c r="O285" s="373"/>
      <x:c r="P285" s="373"/>
      <x:c r="Q285" s="373"/>
      <x:c r="R285" s="373"/>
      <x:c r="S285" s="373"/>
      <x:c r="T285" s="373"/>
      <x:c r="U285" s="373"/>
      <x:c r="V285" s="373"/>
      <x:c r="W285" s="373"/>
      <x:c r="X285" s="373"/>
      <x:c r="Y285" s="373"/>
      <x:c r="Z285" s="373"/>
    </x:row>
    <x:row r="286">
      <x:c r="A286" s="373"/>
      <x:c r="B286" s="373"/>
      <x:c r="C286" s="373"/>
      <x:c r="D286" s="373"/>
      <x:c r="E286" s="373"/>
      <x:c r="F286" s="373"/>
      <x:c r="G286" s="373"/>
      <x:c r="H286" s="373"/>
      <x:c r="I286" s="373"/>
      <x:c r="J286" s="373"/>
      <x:c r="K286" s="373"/>
      <x:c r="L286" s="373"/>
      <x:c r="M286" s="373"/>
      <x:c r="N286" s="373"/>
      <x:c r="O286" s="373"/>
      <x:c r="P286" s="373"/>
      <x:c r="Q286" s="373"/>
      <x:c r="R286" s="373"/>
      <x:c r="S286" s="373"/>
      <x:c r="T286" s="373"/>
      <x:c r="U286" s="373"/>
      <x:c r="V286" s="373"/>
      <x:c r="W286" s="373"/>
      <x:c r="X286" s="373"/>
      <x:c r="Y286" s="373"/>
      <x:c r="Z286" s="373"/>
    </x:row>
    <x:row r="287">
      <x:c r="A287" s="373"/>
      <x:c r="B287" s="373"/>
      <x:c r="C287" s="373"/>
      <x:c r="D287" s="373"/>
      <x:c r="E287" s="373"/>
      <x:c r="F287" s="373"/>
      <x:c r="G287" s="373"/>
      <x:c r="H287" s="373"/>
      <x:c r="I287" s="373"/>
      <x:c r="J287" s="373"/>
      <x:c r="K287" s="373"/>
      <x:c r="L287" s="373"/>
      <x:c r="M287" s="373"/>
      <x:c r="N287" s="373"/>
      <x:c r="O287" s="373"/>
      <x:c r="P287" s="373"/>
      <x:c r="Q287" s="373"/>
      <x:c r="R287" s="373"/>
      <x:c r="S287" s="373"/>
      <x:c r="T287" s="373"/>
      <x:c r="U287" s="373"/>
      <x:c r="V287" s="373"/>
      <x:c r="W287" s="373"/>
      <x:c r="X287" s="373"/>
      <x:c r="Y287" s="373"/>
      <x:c r="Z287" s="373"/>
    </x:row>
    <x:row r="288">
      <x:c r="A288" s="373"/>
      <x:c r="B288" s="373"/>
      <x:c r="C288" s="373"/>
      <x:c r="D288" s="373"/>
      <x:c r="E288" s="373"/>
      <x:c r="F288" s="373"/>
      <x:c r="G288" s="373"/>
      <x:c r="H288" s="373"/>
      <x:c r="I288" s="373"/>
      <x:c r="J288" s="373"/>
      <x:c r="K288" s="373"/>
      <x:c r="L288" s="373"/>
      <x:c r="M288" s="373"/>
      <x:c r="N288" s="373"/>
      <x:c r="O288" s="373"/>
      <x:c r="P288" s="373"/>
      <x:c r="Q288" s="373"/>
      <x:c r="R288" s="373"/>
      <x:c r="S288" s="373"/>
      <x:c r="T288" s="373"/>
      <x:c r="U288" s="373"/>
      <x:c r="V288" s="373"/>
      <x:c r="W288" s="373"/>
      <x:c r="X288" s="373"/>
      <x:c r="Y288" s="373"/>
      <x:c r="Z288" s="373"/>
    </x:row>
    <x:row r="289">
      <x:c r="A289" s="373"/>
      <x:c r="B289" s="373"/>
      <x:c r="C289" s="373"/>
      <x:c r="D289" s="373"/>
      <x:c r="E289" s="373"/>
      <x:c r="F289" s="373"/>
      <x:c r="G289" s="373"/>
      <x:c r="H289" s="373"/>
      <x:c r="I289" s="373"/>
      <x:c r="J289" s="373"/>
      <x:c r="K289" s="373"/>
      <x:c r="L289" s="373"/>
      <x:c r="M289" s="373"/>
      <x:c r="N289" s="373"/>
      <x:c r="O289" s="373"/>
      <x:c r="P289" s="373"/>
      <x:c r="Q289" s="373"/>
      <x:c r="R289" s="373"/>
      <x:c r="S289" s="373"/>
      <x:c r="T289" s="373"/>
      <x:c r="U289" s="373"/>
      <x:c r="V289" s="373"/>
      <x:c r="W289" s="373"/>
      <x:c r="X289" s="373"/>
      <x:c r="Y289" s="373"/>
      <x:c r="Z289" s="373"/>
    </x:row>
    <x:row r="290">
      <x:c r="A290" s="373"/>
      <x:c r="B290" s="373"/>
      <x:c r="C290" s="373"/>
      <x:c r="D290" s="373"/>
      <x:c r="E290" s="373"/>
      <x:c r="F290" s="373"/>
      <x:c r="G290" s="373"/>
      <x:c r="H290" s="373"/>
      <x:c r="I290" s="373"/>
      <x:c r="J290" s="373"/>
      <x:c r="K290" s="373"/>
      <x:c r="L290" s="373"/>
      <x:c r="M290" s="373"/>
      <x:c r="N290" s="373"/>
      <x:c r="O290" s="373"/>
      <x:c r="P290" s="373"/>
      <x:c r="Q290" s="373"/>
      <x:c r="R290" s="373"/>
      <x:c r="S290" s="373"/>
      <x:c r="T290" s="373"/>
      <x:c r="U290" s="373"/>
      <x:c r="V290" s="373"/>
      <x:c r="W290" s="373"/>
      <x:c r="X290" s="373"/>
      <x:c r="Y290" s="373"/>
      <x:c r="Z290" s="373"/>
    </x:row>
    <x:row r="291">
      <x:c r="A291" s="373"/>
      <x:c r="B291" s="373"/>
      <x:c r="C291" s="373"/>
      <x:c r="D291" s="373"/>
      <x:c r="E291" s="373"/>
      <x:c r="F291" s="373"/>
      <x:c r="G291" s="373"/>
      <x:c r="H291" s="373"/>
      <x:c r="I291" s="373"/>
      <x:c r="J291" s="373"/>
      <x:c r="K291" s="373"/>
      <x:c r="L291" s="373"/>
      <x:c r="M291" s="373"/>
      <x:c r="N291" s="373"/>
      <x:c r="O291" s="373"/>
      <x:c r="P291" s="373"/>
      <x:c r="Q291" s="373"/>
      <x:c r="R291" s="373"/>
      <x:c r="S291" s="373"/>
      <x:c r="T291" s="373"/>
      <x:c r="U291" s="373"/>
      <x:c r="V291" s="373"/>
      <x:c r="W291" s="373"/>
      <x:c r="X291" s="373"/>
      <x:c r="Y291" s="373"/>
      <x:c r="Z291" s="373"/>
    </x:row>
    <x:row r="292">
      <x:c r="A292" s="373"/>
      <x:c r="B292" s="373"/>
      <x:c r="C292" s="373"/>
      <x:c r="D292" s="373"/>
      <x:c r="E292" s="373"/>
      <x:c r="F292" s="373"/>
      <x:c r="G292" s="373"/>
      <x:c r="H292" s="373"/>
      <x:c r="I292" s="373"/>
      <x:c r="J292" s="373"/>
      <x:c r="K292" s="373"/>
      <x:c r="L292" s="373"/>
      <x:c r="M292" s="373"/>
      <x:c r="N292" s="373"/>
      <x:c r="O292" s="373"/>
      <x:c r="P292" s="373"/>
      <x:c r="Q292" s="373"/>
      <x:c r="R292" s="373"/>
      <x:c r="S292" s="373"/>
      <x:c r="T292" s="373"/>
      <x:c r="U292" s="373"/>
      <x:c r="V292" s="373"/>
      <x:c r="W292" s="373"/>
      <x:c r="X292" s="373"/>
      <x:c r="Y292" s="373"/>
      <x:c r="Z292" s="373"/>
    </x:row>
    <x:row r="293">
      <x:c r="A293" s="373"/>
      <x:c r="B293" s="373"/>
      <x:c r="C293" s="373"/>
      <x:c r="D293" s="373"/>
      <x:c r="E293" s="373"/>
      <x:c r="F293" s="373"/>
      <x:c r="G293" s="373"/>
      <x:c r="H293" s="373"/>
      <x:c r="I293" s="373"/>
      <x:c r="J293" s="373"/>
      <x:c r="K293" s="373"/>
      <x:c r="L293" s="373"/>
      <x:c r="M293" s="373"/>
      <x:c r="N293" s="373"/>
      <x:c r="O293" s="373"/>
      <x:c r="P293" s="373"/>
      <x:c r="Q293" s="373"/>
      <x:c r="R293" s="373"/>
      <x:c r="S293" s="373"/>
      <x:c r="T293" s="373"/>
      <x:c r="U293" s="373"/>
      <x:c r="V293" s="373"/>
      <x:c r="W293" s="373"/>
      <x:c r="X293" s="373"/>
      <x:c r="Y293" s="373"/>
      <x:c r="Z293" s="373"/>
    </x:row>
    <x:row r="294">
      <x:c r="A294" s="373"/>
      <x:c r="B294" s="373"/>
      <x:c r="C294" s="373"/>
      <x:c r="D294" s="373"/>
      <x:c r="E294" s="373"/>
      <x:c r="F294" s="373"/>
      <x:c r="G294" s="373"/>
      <x:c r="H294" s="373"/>
      <x:c r="I294" s="373"/>
      <x:c r="J294" s="373"/>
      <x:c r="K294" s="373"/>
      <x:c r="L294" s="373"/>
      <x:c r="M294" s="373"/>
      <x:c r="N294" s="373"/>
      <x:c r="O294" s="373"/>
      <x:c r="P294" s="373"/>
      <x:c r="Q294" s="373"/>
      <x:c r="R294" s="373"/>
      <x:c r="S294" s="373"/>
      <x:c r="T294" s="373"/>
      <x:c r="U294" s="373"/>
      <x:c r="V294" s="373"/>
      <x:c r="W294" s="373"/>
      <x:c r="X294" s="373"/>
      <x:c r="Y294" s="373"/>
      <x:c r="Z294" s="373"/>
    </x:row>
    <x:row r="295">
      <x:c r="A295" s="373"/>
      <x:c r="B295" s="373"/>
      <x:c r="C295" s="373"/>
      <x:c r="D295" s="373"/>
      <x:c r="E295" s="373"/>
      <x:c r="F295" s="373"/>
      <x:c r="G295" s="373"/>
      <x:c r="H295" s="373"/>
      <x:c r="I295" s="373"/>
      <x:c r="J295" s="373"/>
      <x:c r="K295" s="373"/>
      <x:c r="L295" s="373"/>
      <x:c r="M295" s="373"/>
      <x:c r="N295" s="373"/>
      <x:c r="O295" s="373"/>
      <x:c r="P295" s="373"/>
      <x:c r="Q295" s="373"/>
      <x:c r="R295" s="373"/>
      <x:c r="S295" s="373"/>
      <x:c r="T295" s="373"/>
      <x:c r="U295" s="373"/>
      <x:c r="V295" s="373"/>
      <x:c r="W295" s="373"/>
      <x:c r="X295" s="373"/>
      <x:c r="Y295" s="373"/>
      <x:c r="Z295" s="373"/>
    </x:row>
    <x:row r="296">
      <x:c r="A296" s="373"/>
      <x:c r="B296" s="373"/>
      <x:c r="C296" s="373"/>
      <x:c r="D296" s="373"/>
      <x:c r="E296" s="373"/>
      <x:c r="F296" s="373"/>
      <x:c r="G296" s="373"/>
      <x:c r="H296" s="373"/>
      <x:c r="I296" s="373"/>
      <x:c r="J296" s="373"/>
      <x:c r="K296" s="373"/>
      <x:c r="L296" s="373"/>
      <x:c r="M296" s="373"/>
      <x:c r="N296" s="373"/>
      <x:c r="O296" s="373"/>
      <x:c r="P296" s="373"/>
      <x:c r="Q296" s="373"/>
      <x:c r="R296" s="373"/>
      <x:c r="S296" s="373"/>
      <x:c r="T296" s="373"/>
      <x:c r="U296" s="373"/>
      <x:c r="V296" s="373"/>
      <x:c r="W296" s="373"/>
      <x:c r="X296" s="373"/>
      <x:c r="Y296" s="373"/>
      <x:c r="Z296" s="373"/>
    </x:row>
    <x:row r="297">
      <x:c r="A297" s="373"/>
      <x:c r="B297" s="373"/>
      <x:c r="C297" s="373"/>
      <x:c r="D297" s="373"/>
      <x:c r="E297" s="373"/>
      <x:c r="F297" s="373"/>
      <x:c r="G297" s="373"/>
      <x:c r="H297" s="373"/>
      <x:c r="I297" s="373"/>
      <x:c r="J297" s="373"/>
      <x:c r="K297" s="373"/>
      <x:c r="L297" s="373"/>
      <x:c r="M297" s="373"/>
      <x:c r="N297" s="373"/>
      <x:c r="O297" s="373"/>
      <x:c r="P297" s="373"/>
      <x:c r="Q297" s="373"/>
      <x:c r="R297" s="373"/>
      <x:c r="S297" s="373"/>
      <x:c r="T297" s="373"/>
      <x:c r="U297" s="373"/>
      <x:c r="V297" s="373"/>
      <x:c r="W297" s="373"/>
      <x:c r="X297" s="373"/>
      <x:c r="Y297" s="373"/>
      <x:c r="Z297" s="373"/>
    </x:row>
    <x:row r="298">
      <x:c r="A298" s="373"/>
      <x:c r="B298" s="373"/>
      <x:c r="C298" s="373"/>
      <x:c r="D298" s="373"/>
      <x:c r="E298" s="373"/>
      <x:c r="F298" s="373"/>
      <x:c r="G298" s="373"/>
      <x:c r="H298" s="373"/>
      <x:c r="I298" s="373"/>
      <x:c r="J298" s="373"/>
      <x:c r="K298" s="373"/>
      <x:c r="L298" s="373"/>
      <x:c r="M298" s="373"/>
      <x:c r="N298" s="373"/>
      <x:c r="O298" s="373"/>
      <x:c r="P298" s="373"/>
      <x:c r="Q298" s="373"/>
      <x:c r="R298" s="373"/>
      <x:c r="S298" s="373"/>
      <x:c r="T298" s="373"/>
      <x:c r="U298" s="373"/>
      <x:c r="V298" s="373"/>
      <x:c r="W298" s="373"/>
      <x:c r="X298" s="373"/>
      <x:c r="Y298" s="373"/>
      <x:c r="Z298" s="373"/>
    </x:row>
    <x:row r="299">
      <x:c r="A299" s="373"/>
      <x:c r="B299" s="373"/>
      <x:c r="C299" s="373"/>
      <x:c r="D299" s="373"/>
      <x:c r="E299" s="373"/>
      <x:c r="F299" s="373"/>
      <x:c r="G299" s="373"/>
      <x:c r="H299" s="373"/>
      <x:c r="I299" s="373"/>
      <x:c r="J299" s="373"/>
      <x:c r="K299" s="373"/>
      <x:c r="L299" s="373"/>
      <x:c r="M299" s="373"/>
      <x:c r="N299" s="373"/>
      <x:c r="O299" s="373"/>
      <x:c r="P299" s="373"/>
      <x:c r="Q299" s="373"/>
      <x:c r="R299" s="373"/>
      <x:c r="S299" s="373"/>
      <x:c r="T299" s="373"/>
      <x:c r="U299" s="373"/>
      <x:c r="V299" s="373"/>
      <x:c r="W299" s="373"/>
      <x:c r="X299" s="373"/>
      <x:c r="Y299" s="373"/>
      <x:c r="Z299" s="373"/>
    </x:row>
    <x:row r="300">
      <x:c r="A300" s="373"/>
      <x:c r="B300" s="373"/>
      <x:c r="C300" s="373"/>
      <x:c r="D300" s="373"/>
      <x:c r="E300" s="373"/>
      <x:c r="F300" s="373"/>
      <x:c r="G300" s="373"/>
      <x:c r="H300" s="373"/>
      <x:c r="I300" s="373"/>
      <x:c r="J300" s="373"/>
      <x:c r="K300" s="373"/>
      <x:c r="L300" s="373"/>
      <x:c r="M300" s="373"/>
      <x:c r="N300" s="373"/>
      <x:c r="O300" s="373"/>
      <x:c r="P300" s="373"/>
      <x:c r="Q300" s="373"/>
      <x:c r="R300" s="373"/>
      <x:c r="S300" s="373"/>
      <x:c r="T300" s="373"/>
      <x:c r="U300" s="373"/>
      <x:c r="V300" s="373"/>
      <x:c r="W300" s="373"/>
      <x:c r="X300" s="373"/>
      <x:c r="Y300" s="373"/>
      <x:c r="Z300" s="373"/>
    </x:row>
    <x:row r="301">
      <x:c r="A301" s="373"/>
      <x:c r="B301" s="373"/>
      <x:c r="C301" s="373"/>
      <x:c r="D301" s="373"/>
      <x:c r="E301" s="373"/>
      <x:c r="F301" s="373"/>
      <x:c r="G301" s="373"/>
      <x:c r="H301" s="373"/>
      <x:c r="I301" s="373"/>
      <x:c r="J301" s="373"/>
      <x:c r="K301" s="373"/>
      <x:c r="L301" s="373"/>
      <x:c r="M301" s="373"/>
      <x:c r="N301" s="373"/>
      <x:c r="O301" s="373"/>
      <x:c r="P301" s="373"/>
      <x:c r="Q301" s="373"/>
      <x:c r="R301" s="373"/>
      <x:c r="S301" s="373"/>
      <x:c r="T301" s="373"/>
      <x:c r="U301" s="373"/>
      <x:c r="V301" s="373"/>
      <x:c r="W301" s="373"/>
      <x:c r="X301" s="373"/>
      <x:c r="Y301" s="373"/>
      <x:c r="Z301" s="373"/>
    </x:row>
    <x:row r="302">
      <x:c r="A302" s="373"/>
      <x:c r="B302" s="373"/>
      <x:c r="C302" s="373"/>
      <x:c r="D302" s="373"/>
      <x:c r="E302" s="373"/>
      <x:c r="F302" s="373"/>
      <x:c r="G302" s="373"/>
      <x:c r="H302" s="373"/>
      <x:c r="I302" s="373"/>
      <x:c r="J302" s="373"/>
      <x:c r="K302" s="373"/>
      <x:c r="L302" s="373"/>
      <x:c r="M302" s="373"/>
      <x:c r="N302" s="373"/>
      <x:c r="O302" s="373"/>
      <x:c r="P302" s="373"/>
      <x:c r="Q302" s="373"/>
      <x:c r="R302" s="373"/>
      <x:c r="S302" s="373"/>
      <x:c r="T302" s="373"/>
      <x:c r="U302" s="373"/>
      <x:c r="V302" s="373"/>
      <x:c r="W302" s="373"/>
      <x:c r="X302" s="373"/>
      <x:c r="Y302" s="373"/>
      <x:c r="Z302" s="373"/>
    </x:row>
    <x:row r="303">
      <x:c r="A303" s="373"/>
      <x:c r="B303" s="373"/>
      <x:c r="C303" s="373"/>
      <x:c r="D303" s="373"/>
      <x:c r="E303" s="373"/>
      <x:c r="F303" s="373"/>
      <x:c r="G303" s="373"/>
      <x:c r="H303" s="373"/>
      <x:c r="I303" s="373"/>
      <x:c r="J303" s="373"/>
      <x:c r="K303" s="373"/>
      <x:c r="L303" s="373"/>
      <x:c r="M303" s="373"/>
      <x:c r="N303" s="373"/>
      <x:c r="O303" s="373"/>
      <x:c r="P303" s="373"/>
      <x:c r="Q303" s="373"/>
      <x:c r="R303" s="373"/>
      <x:c r="S303" s="373"/>
      <x:c r="T303" s="373"/>
      <x:c r="U303" s="373"/>
      <x:c r="V303" s="373"/>
      <x:c r="W303" s="373"/>
      <x:c r="X303" s="373"/>
      <x:c r="Y303" s="373"/>
      <x:c r="Z303" s="373"/>
    </x:row>
    <x:row r="304">
      <x:c r="A304" s="373"/>
      <x:c r="B304" s="373"/>
      <x:c r="C304" s="373"/>
      <x:c r="D304" s="373"/>
      <x:c r="E304" s="373"/>
      <x:c r="F304" s="373"/>
      <x:c r="G304" s="373"/>
      <x:c r="H304" s="373"/>
      <x:c r="I304" s="373"/>
      <x:c r="J304" s="373"/>
      <x:c r="K304" s="373"/>
      <x:c r="L304" s="373"/>
      <x:c r="M304" s="373"/>
      <x:c r="N304" s="373"/>
      <x:c r="O304" s="373"/>
      <x:c r="P304" s="373"/>
      <x:c r="Q304" s="373"/>
      <x:c r="R304" s="373"/>
      <x:c r="S304" s="373"/>
      <x:c r="T304" s="373"/>
      <x:c r="U304" s="373"/>
      <x:c r="V304" s="373"/>
      <x:c r="W304" s="373"/>
      <x:c r="X304" s="373"/>
      <x:c r="Y304" s="373"/>
      <x:c r="Z304" s="373"/>
    </x:row>
    <x:row r="305">
      <x:c r="A305" s="373"/>
      <x:c r="B305" s="373"/>
      <x:c r="C305" s="373"/>
      <x:c r="D305" s="373"/>
      <x:c r="E305" s="373"/>
      <x:c r="F305" s="373"/>
      <x:c r="G305" s="373"/>
      <x:c r="H305" s="373"/>
      <x:c r="I305" s="373"/>
      <x:c r="J305" s="373"/>
      <x:c r="K305" s="373"/>
      <x:c r="L305" s="373"/>
      <x:c r="M305" s="373"/>
      <x:c r="N305" s="373"/>
      <x:c r="O305" s="373"/>
      <x:c r="P305" s="373"/>
      <x:c r="Q305" s="373"/>
      <x:c r="R305" s="373"/>
      <x:c r="S305" s="373"/>
      <x:c r="T305" s="373"/>
      <x:c r="U305" s="373"/>
      <x:c r="V305" s="373"/>
      <x:c r="W305" s="373"/>
      <x:c r="X305" s="373"/>
      <x:c r="Y305" s="373"/>
      <x:c r="Z305" s="373"/>
    </x:row>
    <x:row r="306">
      <x:c r="A306" s="373"/>
      <x:c r="B306" s="373"/>
      <x:c r="C306" s="373"/>
      <x:c r="D306" s="373"/>
      <x:c r="E306" s="373"/>
      <x:c r="F306" s="373"/>
      <x:c r="G306" s="373"/>
      <x:c r="H306" s="373"/>
      <x:c r="I306" s="373"/>
      <x:c r="J306" s="373"/>
      <x:c r="K306" s="373"/>
      <x:c r="L306" s="373"/>
      <x:c r="M306" s="373"/>
      <x:c r="N306" s="373"/>
      <x:c r="O306" s="373"/>
      <x:c r="P306" s="373"/>
      <x:c r="Q306" s="373"/>
      <x:c r="R306" s="373"/>
      <x:c r="S306" s="373"/>
      <x:c r="T306" s="373"/>
      <x:c r="U306" s="373"/>
      <x:c r="V306" s="373"/>
      <x:c r="W306" s="373"/>
      <x:c r="X306" s="373"/>
      <x:c r="Y306" s="373"/>
      <x:c r="Z306" s="373"/>
    </x:row>
    <x:row r="307">
      <x:c r="A307" s="373"/>
      <x:c r="B307" s="373"/>
      <x:c r="C307" s="373"/>
      <x:c r="D307" s="373"/>
      <x:c r="E307" s="373"/>
      <x:c r="F307" s="373"/>
      <x:c r="G307" s="373"/>
      <x:c r="H307" s="373"/>
      <x:c r="I307" s="373"/>
      <x:c r="J307" s="373"/>
      <x:c r="K307" s="373"/>
      <x:c r="L307" s="373"/>
      <x:c r="M307" s="373"/>
      <x:c r="N307" s="373"/>
      <x:c r="O307" s="373"/>
      <x:c r="P307" s="373"/>
      <x:c r="Q307" s="373"/>
      <x:c r="R307" s="373"/>
      <x:c r="S307" s="373"/>
      <x:c r="T307" s="373"/>
      <x:c r="U307" s="373"/>
      <x:c r="V307" s="373"/>
      <x:c r="W307" s="373"/>
      <x:c r="X307" s="373"/>
      <x:c r="Y307" s="373"/>
      <x:c r="Z307" s="373"/>
    </x:row>
    <x:row r="308">
      <x:c r="A308" s="373"/>
      <x:c r="B308" s="373"/>
      <x:c r="C308" s="373"/>
      <x:c r="D308" s="373"/>
      <x:c r="E308" s="373"/>
      <x:c r="F308" s="373"/>
      <x:c r="G308" s="373"/>
      <x:c r="H308" s="373"/>
      <x:c r="I308" s="373"/>
      <x:c r="J308" s="373"/>
      <x:c r="K308" s="373"/>
      <x:c r="L308" s="373"/>
      <x:c r="M308" s="373"/>
      <x:c r="N308" s="373"/>
      <x:c r="O308" s="373"/>
      <x:c r="P308" s="373"/>
      <x:c r="Q308" s="373"/>
      <x:c r="R308" s="373"/>
      <x:c r="S308" s="373"/>
      <x:c r="T308" s="373"/>
      <x:c r="U308" s="373"/>
      <x:c r="V308" s="373"/>
      <x:c r="W308" s="373"/>
      <x:c r="X308" s="373"/>
      <x:c r="Y308" s="373"/>
      <x:c r="Z308" s="373"/>
    </x:row>
    <x:row r="309">
      <x:c r="A309" s="373"/>
      <x:c r="B309" s="373"/>
      <x:c r="C309" s="373"/>
      <x:c r="D309" s="373"/>
      <x:c r="E309" s="373"/>
      <x:c r="F309" s="373"/>
      <x:c r="G309" s="373"/>
      <x:c r="H309" s="373"/>
      <x:c r="I309" s="373"/>
      <x:c r="J309" s="373"/>
      <x:c r="K309" s="373"/>
      <x:c r="L309" s="373"/>
      <x:c r="M309" s="373"/>
      <x:c r="N309" s="373"/>
      <x:c r="O309" s="373"/>
      <x:c r="P309" s="373"/>
      <x:c r="Q309" s="373"/>
      <x:c r="R309" s="373"/>
      <x:c r="S309" s="373"/>
      <x:c r="T309" s="373"/>
      <x:c r="U309" s="373"/>
      <x:c r="V309" s="373"/>
      <x:c r="W309" s="373"/>
      <x:c r="X309" s="373"/>
      <x:c r="Y309" s="373"/>
      <x:c r="Z309" s="373"/>
    </x:row>
    <x:row r="310">
      <x:c r="A310" s="373"/>
      <x:c r="B310" s="373"/>
      <x:c r="C310" s="373"/>
      <x:c r="D310" s="373"/>
      <x:c r="E310" s="373"/>
      <x:c r="F310" s="373"/>
      <x:c r="G310" s="373"/>
      <x:c r="H310" s="373"/>
      <x:c r="I310" s="373"/>
      <x:c r="J310" s="373"/>
      <x:c r="K310" s="373"/>
      <x:c r="L310" s="373"/>
      <x:c r="M310" s="373"/>
      <x:c r="N310" s="373"/>
      <x:c r="O310" s="373"/>
      <x:c r="P310" s="373"/>
      <x:c r="Q310" s="373"/>
      <x:c r="R310" s="373"/>
      <x:c r="S310" s="373"/>
      <x:c r="T310" s="373"/>
      <x:c r="U310" s="373"/>
      <x:c r="V310" s="373"/>
      <x:c r="W310" s="373"/>
      <x:c r="X310" s="373"/>
      <x:c r="Y310" s="373"/>
      <x:c r="Z310" s="373"/>
    </x:row>
    <x:row r="311">
      <x:c r="A311" s="373"/>
      <x:c r="B311" s="373"/>
      <x:c r="C311" s="373"/>
      <x:c r="D311" s="373"/>
      <x:c r="E311" s="373"/>
      <x:c r="F311" s="373"/>
      <x:c r="G311" s="373"/>
      <x:c r="H311" s="373"/>
      <x:c r="I311" s="373"/>
      <x:c r="J311" s="373"/>
      <x:c r="K311" s="373"/>
      <x:c r="L311" s="373"/>
      <x:c r="M311" s="373"/>
      <x:c r="N311" s="373"/>
      <x:c r="O311" s="373"/>
      <x:c r="P311" s="373"/>
      <x:c r="Q311" s="373"/>
      <x:c r="R311" s="373"/>
      <x:c r="S311" s="373"/>
      <x:c r="T311" s="373"/>
      <x:c r="U311" s="373"/>
      <x:c r="V311" s="373"/>
      <x:c r="W311" s="373"/>
      <x:c r="X311" s="373"/>
      <x:c r="Y311" s="373"/>
      <x:c r="Z311" s="373"/>
    </x:row>
    <x:row r="312">
      <x:c r="A312" s="373"/>
      <x:c r="B312" s="373"/>
      <x:c r="C312" s="373"/>
      <x:c r="D312" s="373"/>
      <x:c r="E312" s="373"/>
      <x:c r="F312" s="373"/>
      <x:c r="G312" s="373"/>
      <x:c r="H312" s="373"/>
      <x:c r="I312" s="373"/>
      <x:c r="J312" s="373"/>
      <x:c r="K312" s="373"/>
      <x:c r="L312" s="373"/>
      <x:c r="M312" s="373"/>
      <x:c r="N312" s="373"/>
      <x:c r="O312" s="373"/>
      <x:c r="P312" s="373"/>
      <x:c r="Q312" s="373"/>
      <x:c r="R312" s="373"/>
      <x:c r="S312" s="373"/>
      <x:c r="T312" s="373"/>
      <x:c r="U312" s="373"/>
      <x:c r="V312" s="373"/>
      <x:c r="W312" s="373"/>
      <x:c r="X312" s="373"/>
      <x:c r="Y312" s="373"/>
      <x:c r="Z312" s="373"/>
    </x:row>
    <x:row r="313">
      <x:c r="A313" s="373"/>
      <x:c r="B313" s="373"/>
      <x:c r="C313" s="373"/>
      <x:c r="D313" s="373"/>
      <x:c r="E313" s="373"/>
      <x:c r="F313" s="373"/>
      <x:c r="G313" s="373"/>
      <x:c r="H313" s="373"/>
      <x:c r="I313" s="373"/>
      <x:c r="J313" s="373"/>
      <x:c r="K313" s="373"/>
      <x:c r="L313" s="373"/>
      <x:c r="M313" s="373"/>
      <x:c r="N313" s="373"/>
      <x:c r="O313" s="373"/>
      <x:c r="P313" s="373"/>
      <x:c r="Q313" s="373"/>
      <x:c r="R313" s="373"/>
      <x:c r="S313" s="373"/>
      <x:c r="T313" s="373"/>
      <x:c r="U313" s="373"/>
      <x:c r="V313" s="373"/>
      <x:c r="W313" s="373"/>
      <x:c r="X313" s="373"/>
      <x:c r="Y313" s="373"/>
      <x:c r="Z313" s="373"/>
    </x:row>
    <x:row r="314">
      <x:c r="A314" s="373"/>
      <x:c r="B314" s="373"/>
      <x:c r="C314" s="373"/>
      <x:c r="D314" s="373"/>
      <x:c r="E314" s="373"/>
      <x:c r="F314" s="373"/>
      <x:c r="G314" s="373"/>
      <x:c r="H314" s="373"/>
      <x:c r="I314" s="373"/>
      <x:c r="J314" s="373"/>
      <x:c r="K314" s="373"/>
      <x:c r="L314" s="373"/>
      <x:c r="M314" s="373"/>
      <x:c r="N314" s="373"/>
      <x:c r="O314" s="373"/>
      <x:c r="P314" s="373"/>
      <x:c r="Q314" s="373"/>
      <x:c r="R314" s="373"/>
      <x:c r="S314" s="373"/>
      <x:c r="T314" s="373"/>
      <x:c r="U314" s="373"/>
      <x:c r="V314" s="373"/>
      <x:c r="W314" s="373"/>
      <x:c r="X314" s="373"/>
      <x:c r="Y314" s="373"/>
      <x:c r="Z314" s="373"/>
    </x:row>
    <x:row r="315">
      <x:c r="A315" s="373"/>
      <x:c r="B315" s="373"/>
      <x:c r="C315" s="373"/>
      <x:c r="D315" s="373"/>
      <x:c r="E315" s="373"/>
      <x:c r="F315" s="373"/>
      <x:c r="G315" s="373"/>
      <x:c r="H315" s="373"/>
      <x:c r="I315" s="373"/>
      <x:c r="J315" s="373"/>
      <x:c r="K315" s="373"/>
      <x:c r="L315" s="373"/>
      <x:c r="M315" s="373"/>
      <x:c r="N315" s="373"/>
      <x:c r="O315" s="373"/>
      <x:c r="P315" s="373"/>
      <x:c r="Q315" s="373"/>
      <x:c r="R315" s="373"/>
      <x:c r="S315" s="373"/>
      <x:c r="T315" s="373"/>
      <x:c r="U315" s="373"/>
      <x:c r="V315" s="373"/>
      <x:c r="W315" s="373"/>
      <x:c r="X315" s="373"/>
      <x:c r="Y315" s="373"/>
      <x:c r="Z315" s="373"/>
    </x:row>
    <x:row r="316">
      <x:c r="A316" s="373"/>
      <x:c r="B316" s="373"/>
      <x:c r="C316" s="373"/>
      <x:c r="D316" s="373"/>
      <x:c r="E316" s="373"/>
      <x:c r="F316" s="373"/>
      <x:c r="G316" s="373"/>
      <x:c r="H316" s="373"/>
      <x:c r="I316" s="373"/>
      <x:c r="J316" s="373"/>
      <x:c r="K316" s="373"/>
      <x:c r="L316" s="373"/>
      <x:c r="M316" s="373"/>
      <x:c r="N316" s="373"/>
      <x:c r="O316" s="373"/>
      <x:c r="P316" s="373"/>
      <x:c r="Q316" s="373"/>
      <x:c r="R316" s="373"/>
      <x:c r="S316" s="373"/>
      <x:c r="T316" s="373"/>
      <x:c r="U316" s="373"/>
      <x:c r="V316" s="373"/>
      <x:c r="W316" s="373"/>
      <x:c r="X316" s="373"/>
      <x:c r="Y316" s="373"/>
      <x:c r="Z316" s="373"/>
    </x:row>
    <x:row r="317">
      <x:c r="A317" s="373"/>
      <x:c r="B317" s="373"/>
      <x:c r="C317" s="373"/>
      <x:c r="D317" s="373"/>
      <x:c r="E317" s="373"/>
      <x:c r="F317" s="373"/>
      <x:c r="G317" s="373"/>
      <x:c r="H317" s="373"/>
      <x:c r="I317" s="373"/>
      <x:c r="J317" s="373"/>
      <x:c r="K317" s="373"/>
      <x:c r="L317" s="373"/>
      <x:c r="M317" s="373"/>
      <x:c r="N317" s="373"/>
      <x:c r="O317" s="373"/>
      <x:c r="P317" s="373"/>
      <x:c r="Q317" s="373"/>
      <x:c r="R317" s="373"/>
      <x:c r="S317" s="373"/>
      <x:c r="T317" s="373"/>
      <x:c r="U317" s="373"/>
      <x:c r="V317" s="373"/>
      <x:c r="W317" s="373"/>
      <x:c r="X317" s="373"/>
      <x:c r="Y317" s="373"/>
      <x:c r="Z317" s="373"/>
    </x:row>
    <x:row r="318">
      <x:c r="A318" s="373"/>
      <x:c r="B318" s="373"/>
      <x:c r="C318" s="373"/>
      <x:c r="D318" s="373"/>
      <x:c r="E318" s="373"/>
      <x:c r="F318" s="373"/>
      <x:c r="G318" s="373"/>
      <x:c r="H318" s="373"/>
      <x:c r="I318" s="373"/>
      <x:c r="J318" s="373"/>
      <x:c r="K318" s="373"/>
      <x:c r="L318" s="373"/>
      <x:c r="M318" s="373"/>
      <x:c r="N318" s="373"/>
      <x:c r="O318" s="373"/>
      <x:c r="P318" s="373"/>
      <x:c r="Q318" s="373"/>
      <x:c r="R318" s="373"/>
      <x:c r="S318" s="373"/>
      <x:c r="T318" s="373"/>
      <x:c r="U318" s="373"/>
      <x:c r="V318" s="373"/>
      <x:c r="W318" s="373"/>
      <x:c r="X318" s="373"/>
      <x:c r="Y318" s="373"/>
      <x:c r="Z318" s="373"/>
    </x:row>
    <x:row r="319">
      <x:c r="A319" s="373"/>
      <x:c r="B319" s="373"/>
      <x:c r="C319" s="373"/>
      <x:c r="D319" s="373"/>
      <x:c r="E319" s="373"/>
      <x:c r="F319" s="373"/>
      <x:c r="G319" s="373"/>
      <x:c r="H319" s="373"/>
      <x:c r="I319" s="373"/>
      <x:c r="J319" s="373"/>
      <x:c r="K319" s="373"/>
      <x:c r="L319" s="373"/>
      <x:c r="M319" s="373"/>
      <x:c r="N319" s="373"/>
      <x:c r="O319" s="373"/>
      <x:c r="P319" s="373"/>
      <x:c r="Q319" s="373"/>
      <x:c r="R319" s="373"/>
      <x:c r="S319" s="373"/>
      <x:c r="T319" s="373"/>
      <x:c r="U319" s="373"/>
      <x:c r="V319" s="373"/>
      <x:c r="W319" s="373"/>
      <x:c r="X319" s="373"/>
      <x:c r="Y319" s="373"/>
      <x:c r="Z319" s="373"/>
    </x:row>
    <x:row r="320">
      <x:c r="A320" s="373"/>
      <x:c r="B320" s="373"/>
      <x:c r="C320" s="373"/>
      <x:c r="D320" s="373"/>
      <x:c r="E320" s="373"/>
      <x:c r="F320" s="373"/>
      <x:c r="G320" s="373"/>
      <x:c r="H320" s="373"/>
      <x:c r="I320" s="373"/>
      <x:c r="J320" s="373"/>
      <x:c r="K320" s="373"/>
      <x:c r="L320" s="373"/>
      <x:c r="M320" s="373"/>
      <x:c r="N320" s="373"/>
      <x:c r="O320" s="373"/>
      <x:c r="P320" s="373"/>
      <x:c r="Q320" s="373"/>
      <x:c r="R320" s="373"/>
      <x:c r="S320" s="373"/>
      <x:c r="T320" s="373"/>
      <x:c r="U320" s="373"/>
      <x:c r="V320" s="373"/>
      <x:c r="W320" s="373"/>
      <x:c r="X320" s="373"/>
      <x:c r="Y320" s="373"/>
      <x:c r="Z320" s="373"/>
    </x:row>
    <x:row r="321">
      <x:c r="A321" s="373"/>
      <x:c r="B321" s="373"/>
      <x:c r="C321" s="373"/>
      <x:c r="D321" s="373"/>
      <x:c r="E321" s="373"/>
      <x:c r="F321" s="373"/>
      <x:c r="G321" s="373"/>
      <x:c r="H321" s="373"/>
      <x:c r="I321" s="373"/>
      <x:c r="J321" s="373"/>
      <x:c r="K321" s="373"/>
      <x:c r="L321" s="373"/>
      <x:c r="M321" s="373"/>
      <x:c r="N321" s="373"/>
      <x:c r="O321" s="373"/>
      <x:c r="P321" s="373"/>
      <x:c r="Q321" s="373"/>
      <x:c r="R321" s="373"/>
      <x:c r="S321" s="373"/>
      <x:c r="T321" s="373"/>
      <x:c r="U321" s="373"/>
      <x:c r="V321" s="373"/>
      <x:c r="W321" s="373"/>
      <x:c r="X321" s="373"/>
      <x:c r="Y321" s="373"/>
      <x:c r="Z321" s="373"/>
    </x:row>
    <x:row r="322">
      <x:c r="A322" s="373"/>
      <x:c r="B322" s="373"/>
      <x:c r="C322" s="373"/>
      <x:c r="D322" s="373"/>
      <x:c r="E322" s="373"/>
      <x:c r="F322" s="373"/>
      <x:c r="G322" s="373"/>
      <x:c r="H322" s="373"/>
      <x:c r="I322" s="373"/>
      <x:c r="J322" s="373"/>
      <x:c r="K322" s="373"/>
      <x:c r="L322" s="373"/>
      <x:c r="M322" s="373"/>
      <x:c r="N322" s="373"/>
      <x:c r="O322" s="373"/>
      <x:c r="P322" s="373"/>
      <x:c r="Q322" s="373"/>
      <x:c r="R322" s="373"/>
      <x:c r="S322" s="373"/>
      <x:c r="T322" s="373"/>
      <x:c r="U322" s="373"/>
      <x:c r="V322" s="373"/>
      <x:c r="W322" s="373"/>
      <x:c r="X322" s="373"/>
      <x:c r="Y322" s="373"/>
      <x:c r="Z322" s="373"/>
    </x:row>
    <x:row r="323">
      <x:c r="A323" s="373"/>
      <x:c r="B323" s="373"/>
      <x:c r="C323" s="373"/>
      <x:c r="D323" s="373"/>
      <x:c r="E323" s="373"/>
      <x:c r="F323" s="373"/>
      <x:c r="G323" s="373"/>
      <x:c r="H323" s="373"/>
      <x:c r="I323" s="373"/>
      <x:c r="J323" s="373"/>
      <x:c r="K323" s="373"/>
      <x:c r="L323" s="373"/>
      <x:c r="M323" s="373"/>
      <x:c r="N323" s="373"/>
      <x:c r="O323" s="373"/>
      <x:c r="P323" s="373"/>
      <x:c r="Q323" s="373"/>
      <x:c r="R323" s="373"/>
      <x:c r="S323" s="373"/>
      <x:c r="T323" s="373"/>
      <x:c r="U323" s="373"/>
      <x:c r="V323" s="373"/>
      <x:c r="W323" s="373"/>
      <x:c r="X323" s="373"/>
      <x:c r="Y323" s="373"/>
      <x:c r="Z323" s="373"/>
    </x:row>
    <x:row r="324">
      <x:c r="A324" s="373"/>
      <x:c r="B324" s="373"/>
      <x:c r="C324" s="373"/>
      <x:c r="D324" s="373"/>
      <x:c r="E324" s="373"/>
      <x:c r="F324" s="373"/>
      <x:c r="G324" s="373"/>
      <x:c r="H324" s="373"/>
      <x:c r="I324" s="373"/>
      <x:c r="J324" s="373"/>
      <x:c r="K324" s="373"/>
      <x:c r="L324" s="373"/>
      <x:c r="M324" s="373"/>
      <x:c r="N324" s="373"/>
      <x:c r="O324" s="373"/>
      <x:c r="P324" s="373"/>
      <x:c r="Q324" s="373"/>
      <x:c r="R324" s="373"/>
      <x:c r="S324" s="373"/>
      <x:c r="T324" s="373"/>
      <x:c r="U324" s="373"/>
      <x:c r="V324" s="373"/>
      <x:c r="W324" s="373"/>
      <x:c r="X324" s="373"/>
      <x:c r="Y324" s="373"/>
      <x:c r="Z324" s="373"/>
    </x:row>
    <x:row r="325">
      <x:c r="A325" s="373"/>
      <x:c r="B325" s="373"/>
      <x:c r="C325" s="373"/>
      <x:c r="D325" s="373"/>
      <x:c r="E325" s="373"/>
      <x:c r="F325" s="373"/>
      <x:c r="G325" s="373"/>
      <x:c r="H325" s="373"/>
      <x:c r="I325" s="373"/>
      <x:c r="J325" s="373"/>
      <x:c r="K325" s="373"/>
      <x:c r="L325" s="373"/>
      <x:c r="M325" s="373"/>
      <x:c r="N325" s="373"/>
      <x:c r="O325" s="373"/>
      <x:c r="P325" s="373"/>
      <x:c r="Q325" s="373"/>
      <x:c r="R325" s="373"/>
      <x:c r="S325" s="373"/>
      <x:c r="T325" s="373"/>
      <x:c r="U325" s="373"/>
      <x:c r="V325" s="373"/>
      <x:c r="W325" s="373"/>
      <x:c r="X325" s="373"/>
      <x:c r="Y325" s="373"/>
      <x:c r="Z325" s="373"/>
    </x:row>
    <x:row r="326">
      <x:c r="A326" s="373"/>
      <x:c r="B326" s="373"/>
      <x:c r="C326" s="373"/>
      <x:c r="D326" s="373"/>
      <x:c r="E326" s="373"/>
      <x:c r="F326" s="373"/>
      <x:c r="G326" s="373"/>
      <x:c r="H326" s="373"/>
      <x:c r="I326" s="373"/>
      <x:c r="J326" s="373"/>
      <x:c r="K326" s="373"/>
      <x:c r="L326" s="373"/>
      <x:c r="M326" s="373"/>
      <x:c r="N326" s="373"/>
      <x:c r="O326" s="373"/>
      <x:c r="P326" s="373"/>
      <x:c r="Q326" s="373"/>
      <x:c r="R326" s="373"/>
      <x:c r="S326" s="373"/>
      <x:c r="T326" s="373"/>
      <x:c r="U326" s="373"/>
      <x:c r="V326" s="373"/>
      <x:c r="W326" s="373"/>
      <x:c r="X326" s="373"/>
      <x:c r="Y326" s="373"/>
      <x:c r="Z326" s="373"/>
    </x:row>
    <x:row r="327">
      <x:c r="A327" s="373"/>
      <x:c r="B327" s="373"/>
      <x:c r="C327" s="373"/>
      <x:c r="D327" s="373"/>
      <x:c r="E327" s="373"/>
      <x:c r="F327" s="373"/>
      <x:c r="G327" s="373"/>
      <x:c r="H327" s="373"/>
      <x:c r="I327" s="373"/>
      <x:c r="J327" s="373"/>
      <x:c r="K327" s="373"/>
      <x:c r="L327" s="373"/>
      <x:c r="M327" s="373"/>
      <x:c r="N327" s="373"/>
      <x:c r="O327" s="373"/>
      <x:c r="P327" s="373"/>
      <x:c r="Q327" s="373"/>
      <x:c r="R327" s="373"/>
      <x:c r="S327" s="373"/>
      <x:c r="T327" s="373"/>
      <x:c r="U327" s="373"/>
      <x:c r="V327" s="373"/>
      <x:c r="W327" s="373"/>
      <x:c r="X327" s="373"/>
      <x:c r="Y327" s="373"/>
      <x:c r="Z327" s="373"/>
    </x:row>
    <x:row r="328">
      <x:c r="A328" s="373"/>
      <x:c r="B328" s="373"/>
      <x:c r="C328" s="373"/>
      <x:c r="D328" s="373"/>
      <x:c r="E328" s="373"/>
      <x:c r="F328" s="373"/>
      <x:c r="G328" s="373"/>
      <x:c r="H328" s="373"/>
      <x:c r="I328" s="373"/>
      <x:c r="J328" s="373"/>
      <x:c r="K328" s="373"/>
      <x:c r="L328" s="373"/>
      <x:c r="M328" s="373"/>
      <x:c r="N328" s="373"/>
      <x:c r="O328" s="373"/>
      <x:c r="P328" s="373"/>
      <x:c r="Q328" s="373"/>
      <x:c r="R328" s="373"/>
      <x:c r="S328" s="373"/>
      <x:c r="T328" s="373"/>
      <x:c r="U328" s="373"/>
      <x:c r="V328" s="373"/>
      <x:c r="W328" s="373"/>
      <x:c r="X328" s="373"/>
      <x:c r="Y328" s="373"/>
      <x:c r="Z328" s="373"/>
    </x:row>
    <x:row r="329">
      <x:c r="A329" s="373"/>
      <x:c r="B329" s="373"/>
      <x:c r="C329" s="373"/>
      <x:c r="D329" s="373"/>
      <x:c r="E329" s="373"/>
      <x:c r="F329" s="373"/>
      <x:c r="G329" s="373"/>
      <x:c r="H329" s="373"/>
      <x:c r="I329" s="373"/>
      <x:c r="J329" s="373"/>
      <x:c r="K329" s="373"/>
      <x:c r="L329" s="373"/>
      <x:c r="M329" s="373"/>
      <x:c r="N329" s="373"/>
      <x:c r="O329" s="373"/>
      <x:c r="P329" s="373"/>
      <x:c r="Q329" s="373"/>
      <x:c r="R329" s="373"/>
      <x:c r="S329" s="373"/>
      <x:c r="T329" s="373"/>
      <x:c r="U329" s="373"/>
      <x:c r="V329" s="373"/>
      <x:c r="W329" s="373"/>
      <x:c r="X329" s="373"/>
      <x:c r="Y329" s="373"/>
      <x:c r="Z329" s="373"/>
    </x:row>
    <x:row r="330">
      <x:c r="A330" s="373"/>
      <x:c r="B330" s="373"/>
      <x:c r="C330" s="373"/>
      <x:c r="D330" s="373"/>
      <x:c r="E330" s="373"/>
      <x:c r="F330" s="373"/>
      <x:c r="G330" s="373"/>
      <x:c r="H330" s="373"/>
      <x:c r="I330" s="373"/>
      <x:c r="J330" s="373"/>
      <x:c r="K330" s="373"/>
      <x:c r="L330" s="373"/>
      <x:c r="M330" s="373"/>
      <x:c r="N330" s="373"/>
      <x:c r="O330" s="373"/>
      <x:c r="P330" s="373"/>
      <x:c r="Q330" s="373"/>
      <x:c r="R330" s="373"/>
      <x:c r="S330" s="373"/>
      <x:c r="T330" s="373"/>
      <x:c r="U330" s="373"/>
      <x:c r="V330" s="373"/>
      <x:c r="W330" s="373"/>
      <x:c r="X330" s="373"/>
      <x:c r="Y330" s="373"/>
      <x:c r="Z330" s="373"/>
    </x:row>
    <x:row r="331">
      <x:c r="A331" s="373"/>
      <x:c r="B331" s="373"/>
      <x:c r="C331" s="373"/>
      <x:c r="D331" s="373"/>
      <x:c r="E331" s="373"/>
      <x:c r="F331" s="373"/>
      <x:c r="G331" s="373"/>
      <x:c r="H331" s="373"/>
      <x:c r="I331" s="373"/>
      <x:c r="J331" s="373"/>
      <x:c r="K331" s="373"/>
      <x:c r="L331" s="373"/>
      <x:c r="M331" s="373"/>
      <x:c r="N331" s="373"/>
      <x:c r="O331" s="373"/>
      <x:c r="P331" s="373"/>
      <x:c r="Q331" s="373"/>
      <x:c r="R331" s="373"/>
      <x:c r="S331" s="373"/>
      <x:c r="T331" s="373"/>
      <x:c r="U331" s="373"/>
      <x:c r="V331" s="373"/>
      <x:c r="W331" s="373"/>
      <x:c r="X331" s="373"/>
      <x:c r="Y331" s="373"/>
      <x:c r="Z331" s="373"/>
    </x:row>
    <x:row r="332">
      <x:c r="A332" s="373"/>
      <x:c r="B332" s="373"/>
      <x:c r="C332" s="373"/>
      <x:c r="D332" s="373"/>
      <x:c r="E332" s="373"/>
      <x:c r="F332" s="373"/>
      <x:c r="G332" s="373"/>
      <x:c r="H332" s="373"/>
      <x:c r="I332" s="373"/>
      <x:c r="J332" s="373"/>
      <x:c r="K332" s="373"/>
      <x:c r="L332" s="373"/>
      <x:c r="M332" s="373"/>
      <x:c r="N332" s="373"/>
      <x:c r="O332" s="373"/>
      <x:c r="P332" s="373"/>
      <x:c r="Q332" s="373"/>
      <x:c r="R332" s="373"/>
      <x:c r="S332" s="373"/>
      <x:c r="T332" s="373"/>
      <x:c r="U332" s="373"/>
      <x:c r="V332" s="373"/>
      <x:c r="W332" s="373"/>
      <x:c r="X332" s="373"/>
      <x:c r="Y332" s="373"/>
      <x:c r="Z332" s="373"/>
    </x:row>
    <x:row r="333">
      <x:c r="A333" s="373"/>
      <x:c r="B333" s="373"/>
      <x:c r="C333" s="373"/>
      <x:c r="D333" s="373"/>
      <x:c r="E333" s="373"/>
      <x:c r="F333" s="373"/>
      <x:c r="G333" s="373"/>
      <x:c r="H333" s="373"/>
      <x:c r="I333" s="373"/>
      <x:c r="J333" s="373"/>
      <x:c r="K333" s="373"/>
      <x:c r="L333" s="373"/>
      <x:c r="M333" s="373"/>
      <x:c r="N333" s="373"/>
      <x:c r="O333" s="373"/>
      <x:c r="P333" s="373"/>
      <x:c r="Q333" s="373"/>
      <x:c r="R333" s="373"/>
      <x:c r="S333" s="373"/>
      <x:c r="T333" s="373"/>
      <x:c r="U333" s="373"/>
      <x:c r="V333" s="373"/>
      <x:c r="W333" s="373"/>
      <x:c r="X333" s="373"/>
      <x:c r="Y333" s="373"/>
      <x:c r="Z333" s="373"/>
    </x:row>
    <x:row r="334">
      <x:c r="A334" s="373"/>
      <x:c r="B334" s="373"/>
      <x:c r="C334" s="373"/>
      <x:c r="D334" s="373"/>
      <x:c r="E334" s="373"/>
      <x:c r="F334" s="373"/>
      <x:c r="G334" s="373"/>
      <x:c r="H334" s="373"/>
      <x:c r="I334" s="373"/>
      <x:c r="J334" s="373"/>
      <x:c r="K334" s="373"/>
      <x:c r="L334" s="373"/>
      <x:c r="M334" s="373"/>
      <x:c r="N334" s="373"/>
      <x:c r="O334" s="373"/>
      <x:c r="P334" s="373"/>
      <x:c r="Q334" s="373"/>
      <x:c r="R334" s="373"/>
      <x:c r="S334" s="373"/>
      <x:c r="T334" s="373"/>
      <x:c r="U334" s="373"/>
      <x:c r="V334" s="373"/>
      <x:c r="W334" s="373"/>
      <x:c r="X334" s="373"/>
      <x:c r="Y334" s="373"/>
      <x:c r="Z334" s="373"/>
    </x:row>
    <x:row r="335">
      <x:c r="A335" s="373"/>
      <x:c r="B335" s="373"/>
      <x:c r="C335" s="373"/>
      <x:c r="D335" s="373"/>
      <x:c r="E335" s="373"/>
      <x:c r="F335" s="373"/>
      <x:c r="G335" s="373"/>
      <x:c r="H335" s="373"/>
      <x:c r="I335" s="373"/>
      <x:c r="J335" s="373"/>
      <x:c r="K335" s="373"/>
      <x:c r="L335" s="373"/>
      <x:c r="M335" s="373"/>
      <x:c r="N335" s="373"/>
      <x:c r="O335" s="373"/>
      <x:c r="P335" s="373"/>
      <x:c r="Q335" s="373"/>
      <x:c r="R335" s="373"/>
      <x:c r="S335" s="373"/>
      <x:c r="T335" s="373"/>
      <x:c r="U335" s="373"/>
      <x:c r="V335" s="373"/>
      <x:c r="W335" s="373"/>
      <x:c r="X335" s="373"/>
      <x:c r="Y335" s="373"/>
      <x:c r="Z335" s="373"/>
    </x:row>
    <x:row r="336">
      <x:c r="A336" s="373"/>
      <x:c r="B336" s="373"/>
      <x:c r="C336" s="373"/>
      <x:c r="D336" s="373"/>
      <x:c r="E336" s="373"/>
      <x:c r="F336" s="373"/>
      <x:c r="G336" s="373"/>
      <x:c r="H336" s="373"/>
      <x:c r="I336" s="373"/>
      <x:c r="J336" s="373"/>
      <x:c r="K336" s="373"/>
      <x:c r="L336" s="373"/>
      <x:c r="M336" s="373"/>
      <x:c r="N336" s="373"/>
      <x:c r="O336" s="373"/>
      <x:c r="P336" s="373"/>
      <x:c r="Q336" s="373"/>
      <x:c r="R336" s="373"/>
      <x:c r="S336" s="373"/>
      <x:c r="T336" s="373"/>
      <x:c r="U336" s="373"/>
      <x:c r="V336" s="373"/>
      <x:c r="W336" s="373"/>
      <x:c r="X336" s="373"/>
      <x:c r="Y336" s="373"/>
      <x:c r="Z336" s="373"/>
    </x:row>
    <x:row r="337">
      <x:c r="A337" s="373"/>
      <x:c r="B337" s="373"/>
      <x:c r="C337" s="373"/>
      <x:c r="D337" s="373"/>
      <x:c r="E337" s="373"/>
      <x:c r="F337" s="373"/>
      <x:c r="G337" s="373"/>
      <x:c r="H337" s="373"/>
      <x:c r="I337" s="373"/>
      <x:c r="J337" s="373"/>
      <x:c r="K337" s="373"/>
      <x:c r="L337" s="373"/>
      <x:c r="M337" s="373"/>
      <x:c r="N337" s="373"/>
      <x:c r="O337" s="373"/>
      <x:c r="P337" s="373"/>
      <x:c r="Q337" s="373"/>
      <x:c r="R337" s="373"/>
      <x:c r="S337" s="373"/>
      <x:c r="T337" s="373"/>
      <x:c r="U337" s="373"/>
      <x:c r="V337" s="373"/>
      <x:c r="W337" s="373"/>
      <x:c r="X337" s="373"/>
      <x:c r="Y337" s="373"/>
      <x:c r="Z337" s="373"/>
    </x:row>
    <x:row r="338">
      <x:c r="A338" s="373"/>
      <x:c r="B338" s="373"/>
      <x:c r="C338" s="373"/>
      <x:c r="D338" s="373"/>
      <x:c r="E338" s="373"/>
      <x:c r="F338" s="373"/>
      <x:c r="G338" s="373"/>
      <x:c r="H338" s="373"/>
      <x:c r="I338" s="373"/>
      <x:c r="J338" s="373"/>
      <x:c r="K338" s="373"/>
      <x:c r="L338" s="373"/>
      <x:c r="M338" s="373"/>
      <x:c r="N338" s="373"/>
      <x:c r="O338" s="373"/>
      <x:c r="P338" s="373"/>
      <x:c r="Q338" s="373"/>
      <x:c r="R338" s="373"/>
      <x:c r="S338" s="373"/>
      <x:c r="T338" s="373"/>
      <x:c r="U338" s="373"/>
      <x:c r="V338" s="373"/>
      <x:c r="W338" s="373"/>
      <x:c r="X338" s="373"/>
      <x:c r="Y338" s="373"/>
      <x:c r="Z338" s="373"/>
    </x:row>
    <x:row r="339">
      <x:c r="A339" s="373"/>
      <x:c r="B339" s="373"/>
      <x:c r="C339" s="373"/>
      <x:c r="D339" s="373"/>
      <x:c r="E339" s="373"/>
      <x:c r="F339" s="373"/>
      <x:c r="G339" s="373"/>
      <x:c r="H339" s="373"/>
      <x:c r="I339" s="373"/>
      <x:c r="J339" s="373"/>
      <x:c r="K339" s="373"/>
      <x:c r="L339" s="373"/>
      <x:c r="M339" s="373"/>
      <x:c r="N339" s="373"/>
      <x:c r="O339" s="373"/>
      <x:c r="P339" s="373"/>
      <x:c r="Q339" s="373"/>
      <x:c r="R339" s="373"/>
      <x:c r="S339" s="373"/>
      <x:c r="T339" s="373"/>
      <x:c r="U339" s="373"/>
      <x:c r="V339" s="373"/>
      <x:c r="W339" s="373"/>
      <x:c r="X339" s="373"/>
      <x:c r="Y339" s="373"/>
      <x:c r="Z339" s="373"/>
    </x:row>
    <x:row r="340">
      <x:c r="A340" s="373"/>
      <x:c r="B340" s="373"/>
      <x:c r="C340" s="373"/>
      <x:c r="D340" s="373"/>
      <x:c r="E340" s="373"/>
      <x:c r="F340" s="373"/>
      <x:c r="G340" s="373"/>
      <x:c r="H340" s="373"/>
      <x:c r="I340" s="373"/>
      <x:c r="J340" s="373"/>
      <x:c r="K340" s="373"/>
      <x:c r="L340" s="373"/>
      <x:c r="M340" s="373"/>
      <x:c r="N340" s="373"/>
      <x:c r="O340" s="373"/>
      <x:c r="P340" s="373"/>
      <x:c r="Q340" s="373"/>
      <x:c r="R340" s="373"/>
      <x:c r="S340" s="373"/>
      <x:c r="T340" s="373"/>
      <x:c r="U340" s="373"/>
      <x:c r="V340" s="373"/>
      <x:c r="W340" s="373"/>
      <x:c r="X340" s="373"/>
      <x:c r="Y340" s="373"/>
      <x:c r="Z340" s="373"/>
    </x:row>
    <x:row r="341">
      <x:c r="A341" s="373"/>
      <x:c r="B341" s="373"/>
      <x:c r="C341" s="373"/>
      <x:c r="D341" s="373"/>
      <x:c r="E341" s="373"/>
      <x:c r="F341" s="373"/>
      <x:c r="G341" s="373"/>
      <x:c r="H341" s="373"/>
      <x:c r="I341" s="373"/>
      <x:c r="J341" s="373"/>
      <x:c r="K341" s="373"/>
      <x:c r="L341" s="373"/>
      <x:c r="M341" s="373"/>
      <x:c r="N341" s="373"/>
      <x:c r="O341" s="373"/>
      <x:c r="P341" s="373"/>
      <x:c r="Q341" s="373"/>
      <x:c r="R341" s="373"/>
      <x:c r="S341" s="373"/>
      <x:c r="T341" s="373"/>
      <x:c r="U341" s="373"/>
      <x:c r="V341" s="373"/>
      <x:c r="W341" s="373"/>
      <x:c r="X341" s="373"/>
      <x:c r="Y341" s="373"/>
      <x:c r="Z341" s="373"/>
    </x:row>
    <x:row r="342">
      <x:c r="A342" s="373"/>
      <x:c r="B342" s="373"/>
      <x:c r="C342" s="373"/>
      <x:c r="D342" s="373"/>
      <x:c r="E342" s="373"/>
      <x:c r="F342" s="373"/>
      <x:c r="G342" s="373"/>
      <x:c r="H342" s="373"/>
      <x:c r="I342" s="373"/>
      <x:c r="J342" s="373"/>
      <x:c r="K342" s="373"/>
      <x:c r="L342" s="373"/>
      <x:c r="M342" s="373"/>
      <x:c r="N342" s="373"/>
      <x:c r="O342" s="373"/>
      <x:c r="P342" s="373"/>
      <x:c r="Q342" s="373"/>
      <x:c r="R342" s="373"/>
      <x:c r="S342" s="373"/>
      <x:c r="T342" s="373"/>
      <x:c r="U342" s="373"/>
      <x:c r="V342" s="373"/>
      <x:c r="W342" s="373"/>
      <x:c r="X342" s="373"/>
      <x:c r="Y342" s="373"/>
      <x:c r="Z342" s="373"/>
    </x:row>
    <x:row r="343">
      <x:c r="A343" s="373"/>
      <x:c r="B343" s="373"/>
      <x:c r="C343" s="373"/>
      <x:c r="D343" s="373"/>
      <x:c r="E343" s="373"/>
      <x:c r="F343" s="373"/>
      <x:c r="G343" s="373"/>
      <x:c r="H343" s="373"/>
      <x:c r="I343" s="373"/>
      <x:c r="J343" s="373"/>
      <x:c r="K343" s="373"/>
      <x:c r="L343" s="373"/>
      <x:c r="M343" s="373"/>
      <x:c r="N343" s="373"/>
      <x:c r="O343" s="373"/>
      <x:c r="P343" s="373"/>
      <x:c r="Q343" s="373"/>
      <x:c r="R343" s="373"/>
      <x:c r="S343" s="373"/>
      <x:c r="T343" s="373"/>
      <x:c r="U343" s="373"/>
      <x:c r="V343" s="373"/>
      <x:c r="W343" s="373"/>
      <x:c r="X343" s="373"/>
      <x:c r="Y343" s="373"/>
      <x:c r="Z343" s="373"/>
    </x:row>
    <x:row r="344">
      <x:c r="A344" s="373"/>
      <x:c r="B344" s="373"/>
      <x:c r="C344" s="373"/>
      <x:c r="D344" s="373"/>
      <x:c r="E344" s="373"/>
      <x:c r="F344" s="373"/>
      <x:c r="G344" s="373"/>
      <x:c r="H344" s="373"/>
      <x:c r="I344" s="373"/>
      <x:c r="J344" s="373"/>
      <x:c r="K344" s="373"/>
      <x:c r="L344" s="373"/>
      <x:c r="M344" s="373"/>
      <x:c r="N344" s="373"/>
      <x:c r="O344" s="373"/>
      <x:c r="P344" s="373"/>
      <x:c r="Q344" s="373"/>
      <x:c r="R344" s="373"/>
      <x:c r="S344" s="373"/>
      <x:c r="T344" s="373"/>
      <x:c r="U344" s="373"/>
      <x:c r="V344" s="373"/>
      <x:c r="W344" s="373"/>
      <x:c r="X344" s="373"/>
      <x:c r="Y344" s="373"/>
      <x:c r="Z344" s="373"/>
    </x:row>
    <x:row r="345">
      <x:c r="A345" s="373"/>
      <x:c r="B345" s="373"/>
      <x:c r="C345" s="373"/>
      <x:c r="D345" s="373"/>
      <x:c r="E345" s="373"/>
      <x:c r="F345" s="373"/>
      <x:c r="G345" s="373"/>
      <x:c r="H345" s="373"/>
      <x:c r="I345" s="373"/>
      <x:c r="J345" s="373"/>
      <x:c r="K345" s="373"/>
      <x:c r="L345" s="373"/>
      <x:c r="M345" s="373"/>
      <x:c r="N345" s="373"/>
      <x:c r="O345" s="373"/>
      <x:c r="P345" s="373"/>
      <x:c r="Q345" s="373"/>
      <x:c r="R345" s="373"/>
      <x:c r="S345" s="373"/>
      <x:c r="T345" s="373"/>
      <x:c r="U345" s="373"/>
      <x:c r="V345" s="373"/>
      <x:c r="W345" s="373"/>
      <x:c r="X345" s="373"/>
      <x:c r="Y345" s="373"/>
      <x:c r="Z345" s="373"/>
    </x:row>
    <x:row r="346">
      <x:c r="A346" s="373"/>
      <x:c r="B346" s="373"/>
      <x:c r="C346" s="373"/>
      <x:c r="D346" s="373"/>
      <x:c r="E346" s="373"/>
      <x:c r="F346" s="373"/>
      <x:c r="G346" s="373"/>
      <x:c r="H346" s="373"/>
      <x:c r="I346" s="373"/>
      <x:c r="J346" s="373"/>
      <x:c r="K346" s="373"/>
      <x:c r="L346" s="373"/>
      <x:c r="M346" s="373"/>
      <x:c r="N346" s="373"/>
      <x:c r="O346" s="373"/>
      <x:c r="P346" s="373"/>
      <x:c r="Q346" s="373"/>
      <x:c r="R346" s="373"/>
      <x:c r="S346" s="373"/>
      <x:c r="T346" s="373"/>
      <x:c r="U346" s="373"/>
      <x:c r="V346" s="373"/>
      <x:c r="W346" s="373"/>
      <x:c r="X346" s="373"/>
      <x:c r="Y346" s="373"/>
      <x:c r="Z346" s="373"/>
    </x:row>
    <x:row r="347">
      <x:c r="A347" s="373"/>
      <x:c r="B347" s="373"/>
      <x:c r="C347" s="373"/>
      <x:c r="D347" s="373"/>
      <x:c r="E347" s="373"/>
      <x:c r="F347" s="373"/>
      <x:c r="G347" s="373"/>
      <x:c r="H347" s="373"/>
      <x:c r="I347" s="373"/>
      <x:c r="J347" s="373"/>
      <x:c r="K347" s="373"/>
      <x:c r="L347" s="373"/>
      <x:c r="M347" s="373"/>
      <x:c r="N347" s="373"/>
      <x:c r="O347" s="373"/>
      <x:c r="P347" s="373"/>
      <x:c r="Q347" s="373"/>
      <x:c r="R347" s="373"/>
      <x:c r="S347" s="373"/>
      <x:c r="T347" s="373"/>
      <x:c r="U347" s="373"/>
      <x:c r="V347" s="373"/>
      <x:c r="W347" s="373"/>
      <x:c r="X347" s="373"/>
      <x:c r="Y347" s="373"/>
      <x:c r="Z347" s="373"/>
    </x:row>
    <x:row r="348">
      <x:c r="A348" s="373"/>
      <x:c r="B348" s="373"/>
      <x:c r="C348" s="373"/>
      <x:c r="D348" s="373"/>
      <x:c r="E348" s="373"/>
      <x:c r="F348" s="373"/>
      <x:c r="G348" s="373"/>
      <x:c r="H348" s="373"/>
      <x:c r="I348" s="373"/>
      <x:c r="J348" s="373"/>
      <x:c r="K348" s="373"/>
      <x:c r="L348" s="373"/>
      <x:c r="M348" s="373"/>
      <x:c r="N348" s="373"/>
      <x:c r="O348" s="373"/>
      <x:c r="P348" s="373"/>
      <x:c r="Q348" s="373"/>
      <x:c r="R348" s="373"/>
      <x:c r="S348" s="373"/>
      <x:c r="T348" s="373"/>
      <x:c r="U348" s="373"/>
      <x:c r="V348" s="373"/>
      <x:c r="W348" s="373"/>
      <x:c r="X348" s="373"/>
      <x:c r="Y348" s="373"/>
      <x:c r="Z348" s="373"/>
    </x:row>
    <x:row r="349">
      <x:c r="A349" s="373"/>
      <x:c r="B349" s="373"/>
      <x:c r="C349" s="373"/>
      <x:c r="D349" s="373"/>
      <x:c r="E349" s="373"/>
      <x:c r="F349" s="373"/>
      <x:c r="G349" s="373"/>
      <x:c r="H349" s="373"/>
      <x:c r="I349" s="373"/>
      <x:c r="J349" s="373"/>
      <x:c r="K349" s="373"/>
      <x:c r="L349" s="373"/>
      <x:c r="M349" s="373"/>
      <x:c r="N349" s="373"/>
      <x:c r="O349" s="373"/>
      <x:c r="P349" s="373"/>
      <x:c r="Q349" s="373"/>
      <x:c r="R349" s="373"/>
      <x:c r="S349" s="373"/>
      <x:c r="T349" s="373"/>
      <x:c r="U349" s="373"/>
      <x:c r="V349" s="373"/>
      <x:c r="W349" s="373"/>
      <x:c r="X349" s="373"/>
      <x:c r="Y349" s="373"/>
      <x:c r="Z349" s="373"/>
    </x:row>
    <x:row r="350">
      <x:c r="A350" s="373"/>
      <x:c r="B350" s="373"/>
      <x:c r="C350" s="373"/>
      <x:c r="D350" s="373"/>
      <x:c r="E350" s="373"/>
      <x:c r="F350" s="373"/>
      <x:c r="G350" s="373"/>
      <x:c r="H350" s="373"/>
      <x:c r="I350" s="373"/>
      <x:c r="J350" s="373"/>
      <x:c r="K350" s="373"/>
      <x:c r="L350" s="373"/>
      <x:c r="M350" s="373"/>
      <x:c r="N350" s="373"/>
      <x:c r="O350" s="373"/>
      <x:c r="P350" s="373"/>
      <x:c r="Q350" s="373"/>
      <x:c r="R350" s="373"/>
      <x:c r="S350" s="373"/>
      <x:c r="T350" s="373"/>
      <x:c r="U350" s="373"/>
      <x:c r="V350" s="373"/>
      <x:c r="W350" s="373"/>
      <x:c r="X350" s="373"/>
      <x:c r="Y350" s="373"/>
      <x:c r="Z350" s="373"/>
    </x:row>
    <x:row r="351">
      <x:c r="A351" s="373"/>
      <x:c r="B351" s="373"/>
      <x:c r="C351" s="373"/>
      <x:c r="D351" s="373"/>
      <x:c r="E351" s="373"/>
      <x:c r="F351" s="373"/>
      <x:c r="G351" s="373"/>
      <x:c r="H351" s="373"/>
      <x:c r="I351" s="373"/>
      <x:c r="J351" s="373"/>
      <x:c r="K351" s="373"/>
      <x:c r="L351" s="373"/>
      <x:c r="M351" s="373"/>
      <x:c r="N351" s="373"/>
      <x:c r="O351" s="373"/>
      <x:c r="P351" s="373"/>
      <x:c r="Q351" s="373"/>
      <x:c r="R351" s="373"/>
      <x:c r="S351" s="373"/>
      <x:c r="T351" s="373"/>
      <x:c r="U351" s="373"/>
      <x:c r="V351" s="373"/>
      <x:c r="W351" s="373"/>
      <x:c r="X351" s="373"/>
      <x:c r="Y351" s="373"/>
      <x:c r="Z351" s="373"/>
    </x:row>
    <x:row r="352">
      <x:c r="A352" s="373"/>
      <x:c r="B352" s="373"/>
      <x:c r="C352" s="373"/>
      <x:c r="D352" s="373"/>
      <x:c r="E352" s="373"/>
      <x:c r="F352" s="373"/>
      <x:c r="G352" s="373"/>
      <x:c r="H352" s="373"/>
      <x:c r="I352" s="373"/>
      <x:c r="J352" s="373"/>
      <x:c r="K352" s="373"/>
      <x:c r="L352" s="373"/>
      <x:c r="M352" s="373"/>
      <x:c r="N352" s="373"/>
      <x:c r="O352" s="373"/>
      <x:c r="P352" s="373"/>
      <x:c r="Q352" s="373"/>
      <x:c r="R352" s="373"/>
      <x:c r="S352" s="373"/>
      <x:c r="T352" s="373"/>
      <x:c r="U352" s="373"/>
      <x:c r="V352" s="373"/>
      <x:c r="W352" s="373"/>
      <x:c r="X352" s="373"/>
      <x:c r="Y352" s="373"/>
      <x:c r="Z352" s="373"/>
    </x:row>
    <x:row r="353">
      <x:c r="A353" s="373"/>
      <x:c r="B353" s="373"/>
      <x:c r="C353" s="373"/>
      <x:c r="D353" s="373"/>
      <x:c r="E353" s="373"/>
      <x:c r="F353" s="373"/>
      <x:c r="G353" s="373"/>
      <x:c r="H353" s="373"/>
      <x:c r="I353" s="373"/>
      <x:c r="J353" s="373"/>
      <x:c r="K353" s="373"/>
      <x:c r="L353" s="373"/>
      <x:c r="M353" s="373"/>
      <x:c r="N353" s="373"/>
      <x:c r="O353" s="373"/>
      <x:c r="P353" s="373"/>
      <x:c r="Q353" s="373"/>
      <x:c r="R353" s="373"/>
      <x:c r="S353" s="373"/>
      <x:c r="T353" s="373"/>
      <x:c r="U353" s="373"/>
      <x:c r="V353" s="373"/>
      <x:c r="W353" s="373"/>
      <x:c r="X353" s="373"/>
      <x:c r="Y353" s="373"/>
      <x:c r="Z353" s="373"/>
    </x:row>
    <x:row r="354">
      <x:c r="A354" s="373"/>
      <x:c r="B354" s="373"/>
      <x:c r="C354" s="373"/>
      <x:c r="D354" s="373"/>
      <x:c r="E354" s="373"/>
      <x:c r="F354" s="373"/>
      <x:c r="G354" s="373"/>
      <x:c r="H354" s="373"/>
      <x:c r="I354" s="373"/>
      <x:c r="J354" s="373"/>
      <x:c r="K354" s="373"/>
      <x:c r="L354" s="373"/>
      <x:c r="M354" s="373"/>
      <x:c r="N354" s="373"/>
      <x:c r="O354" s="373"/>
      <x:c r="P354" s="373"/>
      <x:c r="Q354" s="373"/>
      <x:c r="R354" s="373"/>
      <x:c r="S354" s="373"/>
      <x:c r="T354" s="373"/>
      <x:c r="U354" s="373"/>
      <x:c r="V354" s="373"/>
      <x:c r="W354" s="373"/>
      <x:c r="X354" s="373"/>
      <x:c r="Y354" s="373"/>
      <x:c r="Z354" s="373"/>
    </x:row>
    <x:row r="355">
      <x:c r="A355" s="373"/>
      <x:c r="B355" s="373"/>
      <x:c r="C355" s="373"/>
      <x:c r="D355" s="373"/>
      <x:c r="E355" s="373"/>
      <x:c r="F355" s="373"/>
      <x:c r="G355" s="373"/>
      <x:c r="H355" s="373"/>
      <x:c r="I355" s="373"/>
      <x:c r="J355" s="373"/>
      <x:c r="K355" s="373"/>
      <x:c r="L355" s="373"/>
      <x:c r="M355" s="373"/>
      <x:c r="N355" s="373"/>
      <x:c r="O355" s="373"/>
      <x:c r="P355" s="373"/>
      <x:c r="Q355" s="373"/>
      <x:c r="R355" s="373"/>
      <x:c r="S355" s="373"/>
      <x:c r="T355" s="373"/>
      <x:c r="U355" s="373"/>
      <x:c r="V355" s="373"/>
      <x:c r="W355" s="373"/>
      <x:c r="X355" s="373"/>
      <x:c r="Y355" s="373"/>
      <x:c r="Z355" s="373"/>
    </x:row>
    <x:row r="356">
      <x:c r="A356" s="373"/>
      <x:c r="B356" s="373"/>
      <x:c r="C356" s="373"/>
      <x:c r="D356" s="373"/>
      <x:c r="E356" s="373"/>
      <x:c r="F356" s="373"/>
      <x:c r="G356" s="373"/>
      <x:c r="H356" s="373"/>
      <x:c r="I356" s="373"/>
      <x:c r="J356" s="373"/>
      <x:c r="K356" s="373"/>
      <x:c r="L356" s="373"/>
      <x:c r="M356" s="373"/>
      <x:c r="N356" s="373"/>
      <x:c r="O356" s="373"/>
      <x:c r="P356" s="373"/>
      <x:c r="Q356" s="373"/>
      <x:c r="R356" s="373"/>
      <x:c r="S356" s="373"/>
      <x:c r="T356" s="373"/>
      <x:c r="U356" s="373"/>
      <x:c r="V356" s="373"/>
      <x:c r="W356" s="373"/>
      <x:c r="X356" s="373"/>
      <x:c r="Y356" s="373"/>
      <x:c r="Z356" s="373"/>
    </x:row>
    <x:row r="357">
      <x:c r="A357" s="373"/>
      <x:c r="B357" s="373"/>
      <x:c r="C357" s="373"/>
      <x:c r="D357" s="373"/>
      <x:c r="E357" s="373"/>
      <x:c r="F357" s="373"/>
      <x:c r="G357" s="373"/>
      <x:c r="H357" s="373"/>
      <x:c r="I357" s="373"/>
      <x:c r="J357" s="373"/>
      <x:c r="K357" s="373"/>
      <x:c r="L357" s="373"/>
      <x:c r="M357" s="373"/>
      <x:c r="N357" s="373"/>
      <x:c r="O357" s="373"/>
      <x:c r="P357" s="373"/>
      <x:c r="Q357" s="373"/>
      <x:c r="R357" s="373"/>
      <x:c r="S357" s="373"/>
      <x:c r="T357" s="373"/>
      <x:c r="U357" s="373"/>
      <x:c r="V357" s="373"/>
      <x:c r="W357" s="373"/>
      <x:c r="X357" s="373"/>
      <x:c r="Y357" s="373"/>
      <x:c r="Z357" s="373"/>
    </x:row>
    <x:row r="358">
      <x:c r="A358" s="373"/>
      <x:c r="B358" s="373"/>
      <x:c r="C358" s="373"/>
      <x:c r="D358" s="373"/>
      <x:c r="E358" s="373"/>
      <x:c r="F358" s="373"/>
      <x:c r="G358" s="373"/>
      <x:c r="H358" s="373"/>
      <x:c r="I358" s="373"/>
      <x:c r="J358" s="373"/>
      <x:c r="K358" s="373"/>
      <x:c r="L358" s="373"/>
      <x:c r="M358" s="373"/>
      <x:c r="N358" s="373"/>
      <x:c r="O358" s="373"/>
      <x:c r="P358" s="373"/>
      <x:c r="Q358" s="373"/>
      <x:c r="R358" s="373"/>
      <x:c r="S358" s="373"/>
      <x:c r="T358" s="373"/>
      <x:c r="U358" s="373"/>
      <x:c r="V358" s="373"/>
      <x:c r="W358" s="373"/>
      <x:c r="X358" s="373"/>
      <x:c r="Y358" s="373"/>
      <x:c r="Z358" s="373"/>
    </x:row>
    <x:row r="359">
      <x:c r="A359" s="373"/>
      <x:c r="B359" s="373"/>
      <x:c r="C359" s="373"/>
      <x:c r="D359" s="373"/>
      <x:c r="E359" s="373"/>
      <x:c r="F359" s="373"/>
      <x:c r="G359" s="373"/>
      <x:c r="H359" s="373"/>
      <x:c r="I359" s="373"/>
      <x:c r="J359" s="373"/>
      <x:c r="K359" s="373"/>
      <x:c r="L359" s="373"/>
      <x:c r="M359" s="373"/>
      <x:c r="N359" s="373"/>
      <x:c r="O359" s="373"/>
      <x:c r="P359" s="373"/>
      <x:c r="Q359" s="373"/>
      <x:c r="R359" s="373"/>
      <x:c r="S359" s="373"/>
      <x:c r="T359" s="373"/>
      <x:c r="U359" s="373"/>
      <x:c r="V359" s="373"/>
      <x:c r="W359" s="373"/>
      <x:c r="X359" s="373"/>
      <x:c r="Y359" s="373"/>
      <x:c r="Z359" s="373"/>
    </x:row>
    <x:row r="360">
      <x:c r="A360" s="373"/>
      <x:c r="B360" s="373"/>
      <x:c r="C360" s="373"/>
      <x:c r="D360" s="373"/>
      <x:c r="E360" s="373"/>
      <x:c r="F360" s="373"/>
      <x:c r="G360" s="373"/>
      <x:c r="H360" s="373"/>
      <x:c r="I360" s="373"/>
      <x:c r="J360" s="373"/>
      <x:c r="K360" s="373"/>
      <x:c r="L360" s="373"/>
      <x:c r="M360" s="373"/>
      <x:c r="N360" s="373"/>
      <x:c r="O360" s="373"/>
      <x:c r="P360" s="373"/>
      <x:c r="Q360" s="373"/>
      <x:c r="R360" s="373"/>
      <x:c r="S360" s="373"/>
      <x:c r="T360" s="373"/>
      <x:c r="U360" s="373"/>
      <x:c r="V360" s="373"/>
      <x:c r="W360" s="373"/>
      <x:c r="X360" s="373"/>
      <x:c r="Y360" s="373"/>
      <x:c r="Z360" s="373"/>
    </x:row>
    <x:row r="361">
      <x:c r="A361" s="373"/>
      <x:c r="B361" s="373"/>
      <x:c r="C361" s="373"/>
      <x:c r="D361" s="373"/>
      <x:c r="E361" s="373"/>
      <x:c r="F361" s="373"/>
      <x:c r="G361" s="373"/>
      <x:c r="H361" s="373"/>
      <x:c r="I361" s="373"/>
      <x:c r="J361" s="373"/>
      <x:c r="K361" s="373"/>
      <x:c r="L361" s="373"/>
      <x:c r="M361" s="373"/>
      <x:c r="N361" s="373"/>
      <x:c r="O361" s="373"/>
      <x:c r="P361" s="373"/>
      <x:c r="Q361" s="373"/>
      <x:c r="R361" s="373"/>
      <x:c r="S361" s="373"/>
      <x:c r="T361" s="373"/>
      <x:c r="U361" s="373"/>
      <x:c r="V361" s="373"/>
      <x:c r="W361" s="373"/>
      <x:c r="X361" s="373"/>
      <x:c r="Y361" s="373"/>
      <x:c r="Z361" s="373"/>
    </x:row>
    <x:row r="362">
      <x:c r="A362" s="373"/>
      <x:c r="B362" s="373"/>
      <x:c r="C362" s="373"/>
      <x:c r="D362" s="373"/>
      <x:c r="E362" s="373"/>
      <x:c r="F362" s="373"/>
      <x:c r="G362" s="373"/>
      <x:c r="H362" s="373"/>
      <x:c r="I362" s="373"/>
      <x:c r="J362" s="373"/>
      <x:c r="K362" s="373"/>
      <x:c r="L362" s="373"/>
      <x:c r="M362" s="373"/>
      <x:c r="N362" s="373"/>
      <x:c r="O362" s="373"/>
      <x:c r="P362" s="373"/>
      <x:c r="Q362" s="373"/>
      <x:c r="R362" s="373"/>
      <x:c r="S362" s="373"/>
      <x:c r="T362" s="373"/>
      <x:c r="U362" s="373"/>
      <x:c r="V362" s="373"/>
      <x:c r="W362" s="373"/>
      <x:c r="X362" s="373"/>
      <x:c r="Y362" s="373"/>
      <x:c r="Z362" s="373"/>
    </x:row>
    <x:row r="363">
      <x:c r="A363" s="373"/>
      <x:c r="B363" s="373"/>
      <x:c r="C363" s="373"/>
      <x:c r="D363" s="373"/>
      <x:c r="E363" s="373"/>
      <x:c r="F363" s="373"/>
      <x:c r="G363" s="373"/>
      <x:c r="H363" s="373"/>
      <x:c r="I363" s="373"/>
      <x:c r="J363" s="373"/>
      <x:c r="K363" s="373"/>
      <x:c r="L363" s="373"/>
      <x:c r="M363" s="373"/>
      <x:c r="N363" s="373"/>
      <x:c r="O363" s="373"/>
      <x:c r="P363" s="373"/>
      <x:c r="Q363" s="373"/>
      <x:c r="R363" s="373"/>
      <x:c r="S363" s="373"/>
      <x:c r="T363" s="373"/>
      <x:c r="U363" s="373"/>
      <x:c r="V363" s="373"/>
      <x:c r="W363" s="373"/>
      <x:c r="X363" s="373"/>
      <x:c r="Y363" s="373"/>
      <x:c r="Z363" s="373"/>
    </x:row>
    <x:row r="364">
      <x:c r="A364" s="373"/>
      <x:c r="B364" s="373"/>
      <x:c r="C364" s="373"/>
      <x:c r="D364" s="373"/>
      <x:c r="E364" s="373"/>
      <x:c r="F364" s="373"/>
      <x:c r="G364" s="373"/>
      <x:c r="H364" s="373"/>
      <x:c r="I364" s="373"/>
      <x:c r="J364" s="373"/>
      <x:c r="K364" s="373"/>
      <x:c r="L364" s="373"/>
      <x:c r="M364" s="373"/>
      <x:c r="N364" s="373"/>
      <x:c r="O364" s="373"/>
      <x:c r="P364" s="373"/>
      <x:c r="Q364" s="373"/>
      <x:c r="R364" s="373"/>
      <x:c r="S364" s="373"/>
      <x:c r="T364" s="373"/>
      <x:c r="U364" s="373"/>
      <x:c r="V364" s="373"/>
      <x:c r="W364" s="373"/>
      <x:c r="X364" s="373"/>
      <x:c r="Y364" s="373"/>
      <x:c r="Z364" s="373"/>
    </x:row>
    <x:row r="365">
      <x:c r="A365" s="373"/>
      <x:c r="B365" s="373"/>
      <x:c r="C365" s="373"/>
      <x:c r="D365" s="373"/>
      <x:c r="E365" s="373"/>
      <x:c r="F365" s="373"/>
      <x:c r="G365" s="373"/>
      <x:c r="H365" s="373"/>
      <x:c r="I365" s="373"/>
      <x:c r="J365" s="373"/>
      <x:c r="K365" s="373"/>
      <x:c r="L365" s="373"/>
      <x:c r="M365" s="373"/>
      <x:c r="N365" s="373"/>
      <x:c r="O365" s="373"/>
      <x:c r="P365" s="373"/>
      <x:c r="Q365" s="373"/>
      <x:c r="R365" s="373"/>
      <x:c r="S365" s="373"/>
      <x:c r="T365" s="373"/>
      <x:c r="U365" s="373"/>
      <x:c r="V365" s="373"/>
      <x:c r="W365" s="373"/>
      <x:c r="X365" s="373"/>
      <x:c r="Y365" s="373"/>
      <x:c r="Z365" s="373"/>
    </x:row>
    <x:row r="366">
      <x:c r="A366" s="373"/>
      <x:c r="B366" s="373"/>
      <x:c r="C366" s="373"/>
      <x:c r="D366" s="373"/>
      <x:c r="E366" s="373"/>
      <x:c r="F366" s="373"/>
      <x:c r="G366" s="373"/>
      <x:c r="H366" s="373"/>
      <x:c r="I366" s="373"/>
      <x:c r="J366" s="373"/>
      <x:c r="K366" s="373"/>
      <x:c r="L366" s="373"/>
      <x:c r="M366" s="373"/>
      <x:c r="N366" s="373"/>
      <x:c r="O366" s="373"/>
      <x:c r="P366" s="373"/>
      <x:c r="Q366" s="373"/>
      <x:c r="R366" s="373"/>
      <x:c r="S366" s="373"/>
      <x:c r="T366" s="373"/>
      <x:c r="U366" s="373"/>
      <x:c r="V366" s="373"/>
      <x:c r="W366" s="373"/>
      <x:c r="X366" s="373"/>
      <x:c r="Y366" s="373"/>
      <x:c r="Z366" s="373"/>
    </x:row>
    <x:row r="367">
      <x:c r="A367" s="373"/>
      <x:c r="B367" s="373"/>
      <x:c r="C367" s="373"/>
      <x:c r="D367" s="373"/>
      <x:c r="E367" s="373"/>
      <x:c r="F367" s="373"/>
      <x:c r="G367" s="373"/>
      <x:c r="H367" s="373"/>
      <x:c r="I367" s="373"/>
      <x:c r="J367" s="373"/>
      <x:c r="K367" s="373"/>
      <x:c r="L367" s="373"/>
      <x:c r="M367" s="373"/>
      <x:c r="N367" s="373"/>
      <x:c r="O367" s="373"/>
      <x:c r="P367" s="373"/>
      <x:c r="Q367" s="373"/>
      <x:c r="R367" s="373"/>
      <x:c r="S367" s="373"/>
      <x:c r="T367" s="373"/>
      <x:c r="U367" s="373"/>
      <x:c r="V367" s="373"/>
      <x:c r="W367" s="373"/>
      <x:c r="X367" s="373"/>
      <x:c r="Y367" s="373"/>
      <x:c r="Z367" s="373"/>
    </x:row>
    <x:row r="368">
      <x:c r="A368" s="373"/>
      <x:c r="B368" s="373"/>
      <x:c r="C368" s="373"/>
      <x:c r="D368" s="373"/>
      <x:c r="E368" s="373"/>
      <x:c r="F368" s="373"/>
      <x:c r="G368" s="373"/>
      <x:c r="H368" s="373"/>
      <x:c r="I368" s="373"/>
      <x:c r="J368" s="373"/>
      <x:c r="K368" s="373"/>
      <x:c r="L368" s="373"/>
      <x:c r="M368" s="373"/>
      <x:c r="N368" s="373"/>
      <x:c r="O368" s="373"/>
      <x:c r="P368" s="373"/>
      <x:c r="Q368" s="373"/>
      <x:c r="R368" s="373"/>
      <x:c r="S368" s="373"/>
      <x:c r="T368" s="373"/>
      <x:c r="U368" s="373"/>
      <x:c r="V368" s="373"/>
      <x:c r="W368" s="373"/>
      <x:c r="X368" s="373"/>
      <x:c r="Y368" s="373"/>
      <x:c r="Z368" s="373"/>
    </x:row>
    <x:row r="369">
      <x:c r="A369" s="373"/>
      <x:c r="B369" s="373"/>
      <x:c r="C369" s="373"/>
      <x:c r="D369" s="373"/>
      <x:c r="E369" s="373"/>
      <x:c r="F369" s="373"/>
      <x:c r="G369" s="373"/>
      <x:c r="H369" s="373"/>
      <x:c r="I369" s="373"/>
      <x:c r="J369" s="373"/>
      <x:c r="K369" s="373"/>
      <x:c r="L369" s="373"/>
      <x:c r="M369" s="373"/>
      <x:c r="N369" s="373"/>
      <x:c r="O369" s="373"/>
      <x:c r="P369" s="373"/>
      <x:c r="Q369" s="373"/>
      <x:c r="R369" s="373"/>
      <x:c r="S369" s="373"/>
      <x:c r="T369" s="373"/>
      <x:c r="U369" s="373"/>
      <x:c r="V369" s="373"/>
      <x:c r="W369" s="373"/>
      <x:c r="X369" s="373"/>
      <x:c r="Y369" s="373"/>
      <x:c r="Z369" s="373"/>
    </x:row>
    <x:row r="370">
      <x:c r="A370" s="373"/>
      <x:c r="B370" s="373"/>
      <x:c r="C370" s="373"/>
      <x:c r="D370" s="373"/>
      <x:c r="E370" s="373"/>
      <x:c r="F370" s="373"/>
      <x:c r="G370" s="373"/>
      <x:c r="H370" s="373"/>
      <x:c r="I370" s="373"/>
      <x:c r="J370" s="373"/>
      <x:c r="K370" s="373"/>
      <x:c r="L370" s="373"/>
      <x:c r="M370" s="373"/>
      <x:c r="N370" s="373"/>
      <x:c r="O370" s="373"/>
      <x:c r="P370" s="373"/>
      <x:c r="Q370" s="373"/>
      <x:c r="R370" s="373"/>
      <x:c r="S370" s="373"/>
      <x:c r="T370" s="373"/>
      <x:c r="U370" s="373"/>
      <x:c r="V370" s="373"/>
      <x:c r="W370" s="373"/>
      <x:c r="X370" s="373"/>
      <x:c r="Y370" s="373"/>
      <x:c r="Z370" s="373"/>
    </x:row>
    <x:row r="371">
      <x:c r="A371" s="373"/>
      <x:c r="B371" s="373"/>
      <x:c r="C371" s="373"/>
      <x:c r="D371" s="373"/>
      <x:c r="E371" s="373"/>
      <x:c r="F371" s="373"/>
      <x:c r="G371" s="373"/>
      <x:c r="H371" s="373"/>
      <x:c r="I371" s="373"/>
      <x:c r="J371" s="373"/>
      <x:c r="K371" s="373"/>
      <x:c r="L371" s="373"/>
      <x:c r="M371" s="373"/>
      <x:c r="N371" s="373"/>
      <x:c r="O371" s="373"/>
      <x:c r="P371" s="373"/>
      <x:c r="Q371" s="373"/>
      <x:c r="R371" s="373"/>
      <x:c r="S371" s="373"/>
      <x:c r="T371" s="373"/>
      <x:c r="U371" s="373"/>
      <x:c r="V371" s="373"/>
      <x:c r="W371" s="373"/>
      <x:c r="X371" s="373"/>
      <x:c r="Y371" s="373"/>
      <x:c r="Z371" s="373"/>
    </x:row>
    <x:row r="372">
      <x:c r="A372" s="373"/>
      <x:c r="B372" s="373"/>
      <x:c r="C372" s="373"/>
      <x:c r="D372" s="373"/>
      <x:c r="E372" s="373"/>
      <x:c r="F372" s="373"/>
      <x:c r="G372" s="373"/>
      <x:c r="H372" s="373"/>
      <x:c r="I372" s="373"/>
      <x:c r="J372" s="373"/>
      <x:c r="K372" s="373"/>
      <x:c r="L372" s="373"/>
      <x:c r="M372" s="373"/>
      <x:c r="N372" s="373"/>
      <x:c r="O372" s="373"/>
      <x:c r="P372" s="373"/>
      <x:c r="Q372" s="373"/>
      <x:c r="R372" s="373"/>
      <x:c r="S372" s="373"/>
      <x:c r="T372" s="373"/>
      <x:c r="U372" s="373"/>
      <x:c r="V372" s="373"/>
      <x:c r="W372" s="373"/>
      <x:c r="X372" s="373"/>
      <x:c r="Y372" s="373"/>
      <x:c r="Z372" s="373"/>
    </x:row>
    <x:row r="373">
      <x:c r="A373" s="373"/>
      <x:c r="B373" s="373"/>
      <x:c r="C373" s="373"/>
      <x:c r="D373" s="373"/>
      <x:c r="E373" s="373"/>
      <x:c r="F373" s="373"/>
      <x:c r="G373" s="373"/>
      <x:c r="H373" s="373"/>
      <x:c r="I373" s="373"/>
      <x:c r="J373" s="373"/>
      <x:c r="K373" s="373"/>
      <x:c r="L373" s="373"/>
      <x:c r="M373" s="373"/>
      <x:c r="N373" s="373"/>
      <x:c r="O373" s="373"/>
      <x:c r="P373" s="373"/>
      <x:c r="Q373" s="373"/>
      <x:c r="R373" s="373"/>
      <x:c r="S373" s="373"/>
      <x:c r="T373" s="373"/>
      <x:c r="U373" s="373"/>
      <x:c r="V373" s="373"/>
      <x:c r="W373" s="373"/>
      <x:c r="X373" s="373"/>
      <x:c r="Y373" s="373"/>
      <x:c r="Z373" s="373"/>
    </x:row>
    <x:row r="374">
      <x:c r="A374" s="373"/>
      <x:c r="B374" s="373"/>
      <x:c r="C374" s="373"/>
      <x:c r="D374" s="373"/>
      <x:c r="E374" s="373"/>
      <x:c r="F374" s="373"/>
      <x:c r="G374" s="373"/>
      <x:c r="H374" s="373"/>
      <x:c r="I374" s="373"/>
      <x:c r="J374" s="373"/>
      <x:c r="K374" s="373"/>
      <x:c r="L374" s="373"/>
      <x:c r="M374" s="373"/>
      <x:c r="N374" s="373"/>
      <x:c r="O374" s="373"/>
      <x:c r="P374" s="373"/>
      <x:c r="Q374" s="373"/>
      <x:c r="R374" s="373"/>
      <x:c r="S374" s="373"/>
      <x:c r="T374" s="373"/>
      <x:c r="U374" s="373"/>
      <x:c r="V374" s="373"/>
      <x:c r="W374" s="373"/>
      <x:c r="X374" s="373"/>
      <x:c r="Y374" s="373"/>
      <x:c r="Z374" s="373"/>
    </x:row>
    <x:row r="375">
      <x:c r="A375" s="373"/>
      <x:c r="B375" s="373"/>
      <x:c r="C375" s="373"/>
      <x:c r="D375" s="373"/>
      <x:c r="E375" s="373"/>
      <x:c r="F375" s="373"/>
      <x:c r="G375" s="373"/>
      <x:c r="H375" s="373"/>
      <x:c r="I375" s="373"/>
      <x:c r="J375" s="373"/>
      <x:c r="K375" s="373"/>
      <x:c r="L375" s="373"/>
      <x:c r="M375" s="373"/>
      <x:c r="N375" s="373"/>
      <x:c r="O375" s="373"/>
      <x:c r="P375" s="373"/>
      <x:c r="Q375" s="373"/>
      <x:c r="R375" s="373"/>
      <x:c r="S375" s="373"/>
      <x:c r="T375" s="373"/>
      <x:c r="U375" s="373"/>
      <x:c r="V375" s="373"/>
      <x:c r="W375" s="373"/>
      <x:c r="X375" s="373"/>
      <x:c r="Y375" s="373"/>
      <x:c r="Z375" s="373"/>
    </x:row>
    <x:row r="376">
      <x:c r="A376" s="373"/>
      <x:c r="B376" s="373"/>
      <x:c r="C376" s="373"/>
      <x:c r="D376" s="373"/>
      <x:c r="E376" s="373"/>
      <x:c r="F376" s="373"/>
      <x:c r="G376" s="373"/>
      <x:c r="H376" s="373"/>
      <x:c r="I376" s="373"/>
      <x:c r="J376" s="373"/>
      <x:c r="K376" s="373"/>
      <x:c r="L376" s="373"/>
      <x:c r="M376" s="373"/>
      <x:c r="N376" s="373"/>
      <x:c r="O376" s="373"/>
      <x:c r="P376" s="373"/>
      <x:c r="Q376" s="373"/>
      <x:c r="R376" s="373"/>
      <x:c r="S376" s="373"/>
      <x:c r="T376" s="373"/>
      <x:c r="U376" s="373"/>
      <x:c r="V376" s="373"/>
      <x:c r="W376" s="373"/>
      <x:c r="X376" s="373"/>
      <x:c r="Y376" s="373"/>
      <x:c r="Z376" s="373"/>
    </x:row>
    <x:row r="377">
      <x:c r="A377" s="373"/>
      <x:c r="B377" s="373"/>
      <x:c r="C377" s="373"/>
      <x:c r="D377" s="373"/>
      <x:c r="E377" s="373"/>
      <x:c r="F377" s="373"/>
      <x:c r="G377" s="373"/>
      <x:c r="H377" s="373"/>
      <x:c r="I377" s="373"/>
      <x:c r="J377" s="373"/>
      <x:c r="K377" s="373"/>
      <x:c r="L377" s="373"/>
      <x:c r="M377" s="373"/>
      <x:c r="N377" s="373"/>
      <x:c r="O377" s="373"/>
      <x:c r="P377" s="373"/>
      <x:c r="Q377" s="373"/>
      <x:c r="R377" s="373"/>
      <x:c r="S377" s="373"/>
      <x:c r="T377" s="373"/>
      <x:c r="U377" s="373"/>
      <x:c r="V377" s="373"/>
      <x:c r="W377" s="373"/>
      <x:c r="X377" s="373"/>
      <x:c r="Y377" s="373"/>
      <x:c r="Z377" s="373"/>
    </x:row>
    <x:row r="378">
      <x:c r="A378" s="373"/>
      <x:c r="B378" s="373"/>
      <x:c r="C378" s="373"/>
      <x:c r="D378" s="373"/>
      <x:c r="E378" s="373"/>
      <x:c r="F378" s="373"/>
      <x:c r="G378" s="373"/>
      <x:c r="H378" s="373"/>
      <x:c r="I378" s="373"/>
      <x:c r="J378" s="373"/>
      <x:c r="K378" s="373"/>
      <x:c r="L378" s="373"/>
      <x:c r="M378" s="373"/>
      <x:c r="N378" s="373"/>
      <x:c r="O378" s="373"/>
      <x:c r="P378" s="373"/>
      <x:c r="Q378" s="373"/>
      <x:c r="R378" s="373"/>
      <x:c r="S378" s="373"/>
      <x:c r="T378" s="373"/>
      <x:c r="U378" s="373"/>
      <x:c r="V378" s="373"/>
      <x:c r="W378" s="373"/>
      <x:c r="X378" s="373"/>
      <x:c r="Y378" s="373"/>
      <x:c r="Z378" s="373"/>
    </x:row>
    <x:row r="379">
      <x:c r="A379" s="373"/>
      <x:c r="B379" s="373"/>
      <x:c r="C379" s="373"/>
      <x:c r="D379" s="373"/>
      <x:c r="E379" s="373"/>
      <x:c r="F379" s="373"/>
      <x:c r="G379" s="373"/>
      <x:c r="H379" s="373"/>
      <x:c r="I379" s="373"/>
      <x:c r="J379" s="373"/>
      <x:c r="K379" s="373"/>
      <x:c r="L379" s="373"/>
      <x:c r="M379" s="373"/>
      <x:c r="N379" s="373"/>
      <x:c r="O379" s="373"/>
      <x:c r="P379" s="373"/>
      <x:c r="Q379" s="373"/>
      <x:c r="R379" s="373"/>
      <x:c r="S379" s="373"/>
      <x:c r="T379" s="373"/>
      <x:c r="U379" s="373"/>
      <x:c r="V379" s="373"/>
      <x:c r="W379" s="373"/>
      <x:c r="X379" s="373"/>
      <x:c r="Y379" s="373"/>
      <x:c r="Z379" s="373"/>
    </x:row>
    <x:row r="380">
      <x:c r="A380" s="373"/>
      <x:c r="B380" s="373"/>
      <x:c r="C380" s="373"/>
      <x:c r="D380" s="373"/>
      <x:c r="E380" s="373"/>
      <x:c r="F380" s="373"/>
      <x:c r="G380" s="373"/>
      <x:c r="H380" s="373"/>
      <x:c r="I380" s="373"/>
      <x:c r="J380" s="373"/>
      <x:c r="K380" s="373"/>
      <x:c r="L380" s="373"/>
      <x:c r="M380" s="373"/>
      <x:c r="N380" s="373"/>
      <x:c r="O380" s="373"/>
      <x:c r="P380" s="373"/>
      <x:c r="Q380" s="373"/>
      <x:c r="R380" s="373"/>
      <x:c r="S380" s="373"/>
      <x:c r="T380" s="373"/>
      <x:c r="U380" s="373"/>
      <x:c r="V380" s="373"/>
      <x:c r="W380" s="373"/>
      <x:c r="X380" s="373"/>
      <x:c r="Y380" s="373"/>
      <x:c r="Z380" s="373"/>
    </x:row>
    <x:row r="381">
      <x:c r="A381" s="373"/>
      <x:c r="B381" s="373"/>
      <x:c r="C381" s="373"/>
      <x:c r="D381" s="373"/>
      <x:c r="E381" s="373"/>
      <x:c r="F381" s="373"/>
      <x:c r="G381" s="373"/>
      <x:c r="H381" s="373"/>
      <x:c r="I381" s="373"/>
      <x:c r="J381" s="373"/>
      <x:c r="K381" s="373"/>
      <x:c r="L381" s="373"/>
      <x:c r="M381" s="373"/>
      <x:c r="N381" s="373"/>
      <x:c r="O381" s="373"/>
      <x:c r="P381" s="373"/>
      <x:c r="Q381" s="373"/>
      <x:c r="R381" s="373"/>
      <x:c r="S381" s="373"/>
      <x:c r="T381" s="373"/>
      <x:c r="U381" s="373"/>
      <x:c r="V381" s="373"/>
      <x:c r="W381" s="373"/>
      <x:c r="X381" s="373"/>
      <x:c r="Y381" s="373"/>
      <x:c r="Z381" s="373"/>
    </x:row>
    <x:row r="382">
      <x:c r="A382" s="373"/>
      <x:c r="B382" s="373"/>
      <x:c r="C382" s="373"/>
      <x:c r="D382" s="373"/>
      <x:c r="E382" s="373"/>
      <x:c r="F382" s="373"/>
      <x:c r="G382" s="373"/>
      <x:c r="H382" s="373"/>
      <x:c r="I382" s="373"/>
      <x:c r="J382" s="373"/>
      <x:c r="K382" s="373"/>
      <x:c r="L382" s="373"/>
      <x:c r="M382" s="373"/>
      <x:c r="N382" s="373"/>
      <x:c r="O382" s="373"/>
      <x:c r="P382" s="373"/>
      <x:c r="Q382" s="373"/>
      <x:c r="R382" s="373"/>
      <x:c r="S382" s="373"/>
      <x:c r="T382" s="373"/>
      <x:c r="U382" s="373"/>
      <x:c r="V382" s="373"/>
      <x:c r="W382" s="373"/>
      <x:c r="X382" s="373"/>
      <x:c r="Y382" s="373"/>
      <x:c r="Z382" s="373"/>
    </x:row>
    <x:row r="383">
      <x:c r="A383" s="373"/>
      <x:c r="B383" s="373"/>
      <x:c r="C383" s="373"/>
      <x:c r="D383" s="373"/>
      <x:c r="E383" s="373"/>
      <x:c r="F383" s="373"/>
      <x:c r="G383" s="373"/>
      <x:c r="H383" s="373"/>
      <x:c r="I383" s="373"/>
      <x:c r="J383" s="373"/>
      <x:c r="K383" s="373"/>
      <x:c r="L383" s="373"/>
      <x:c r="M383" s="373"/>
      <x:c r="N383" s="373"/>
      <x:c r="O383" s="373"/>
      <x:c r="P383" s="373"/>
      <x:c r="Q383" s="373"/>
      <x:c r="R383" s="373"/>
      <x:c r="S383" s="373"/>
      <x:c r="T383" s="373"/>
      <x:c r="U383" s="373"/>
      <x:c r="V383" s="373"/>
      <x:c r="W383" s="373"/>
      <x:c r="X383" s="373"/>
      <x:c r="Y383" s="373"/>
      <x:c r="Z383" s="373"/>
    </x:row>
    <x:row r="384">
      <x:c r="A384" s="373"/>
      <x:c r="B384" s="373"/>
      <x:c r="C384" s="373"/>
      <x:c r="D384" s="373"/>
      <x:c r="E384" s="373"/>
      <x:c r="F384" s="373"/>
      <x:c r="G384" s="373"/>
      <x:c r="H384" s="373"/>
      <x:c r="I384" s="373"/>
      <x:c r="J384" s="373"/>
      <x:c r="K384" s="373"/>
      <x:c r="L384" s="373"/>
      <x:c r="M384" s="373"/>
      <x:c r="N384" s="373"/>
      <x:c r="O384" s="373"/>
      <x:c r="P384" s="373"/>
      <x:c r="Q384" s="373"/>
      <x:c r="R384" s="373"/>
      <x:c r="S384" s="373"/>
      <x:c r="T384" s="373"/>
      <x:c r="U384" s="373"/>
      <x:c r="V384" s="373"/>
      <x:c r="W384" s="373"/>
      <x:c r="X384" s="373"/>
      <x:c r="Y384" s="373"/>
      <x:c r="Z384" s="373"/>
    </x:row>
    <x:row r="385">
      <x:c r="A385" s="373"/>
      <x:c r="B385" s="373"/>
      <x:c r="C385" s="373"/>
      <x:c r="D385" s="373"/>
      <x:c r="E385" s="373"/>
      <x:c r="F385" s="373"/>
      <x:c r="G385" s="373"/>
      <x:c r="H385" s="373"/>
      <x:c r="I385" s="373"/>
      <x:c r="J385" s="373"/>
      <x:c r="K385" s="373"/>
      <x:c r="L385" s="373"/>
      <x:c r="M385" s="373"/>
      <x:c r="N385" s="373"/>
      <x:c r="O385" s="373"/>
      <x:c r="P385" s="373"/>
      <x:c r="Q385" s="373"/>
      <x:c r="R385" s="373"/>
      <x:c r="S385" s="373"/>
      <x:c r="T385" s="373"/>
      <x:c r="U385" s="373"/>
      <x:c r="V385" s="373"/>
      <x:c r="W385" s="373"/>
      <x:c r="X385" s="373"/>
      <x:c r="Y385" s="373"/>
      <x:c r="Z385" s="373"/>
    </x:row>
    <x:row r="386">
      <x:c r="A386" s="373"/>
      <x:c r="B386" s="373"/>
      <x:c r="C386" s="373"/>
      <x:c r="D386" s="373"/>
      <x:c r="E386" s="373"/>
      <x:c r="F386" s="373"/>
      <x:c r="G386" s="373"/>
      <x:c r="H386" s="373"/>
      <x:c r="I386" s="373"/>
      <x:c r="J386" s="373"/>
      <x:c r="K386" s="373"/>
      <x:c r="L386" s="373"/>
      <x:c r="M386" s="373"/>
      <x:c r="N386" s="373"/>
      <x:c r="O386" s="373"/>
      <x:c r="P386" s="373"/>
      <x:c r="Q386" s="373"/>
      <x:c r="R386" s="373"/>
      <x:c r="S386" s="373"/>
      <x:c r="T386" s="373"/>
      <x:c r="U386" s="373"/>
      <x:c r="V386" s="373"/>
      <x:c r="W386" s="373"/>
      <x:c r="X386" s="373"/>
      <x:c r="Y386" s="373"/>
      <x:c r="Z386" s="373"/>
    </x:row>
    <x:row r="387">
      <x:c r="A387" s="373"/>
      <x:c r="B387" s="373"/>
      <x:c r="C387" s="373"/>
      <x:c r="D387" s="373"/>
      <x:c r="E387" s="373"/>
      <x:c r="F387" s="373"/>
      <x:c r="G387" s="373"/>
      <x:c r="H387" s="373"/>
      <x:c r="I387" s="373"/>
      <x:c r="J387" s="373"/>
      <x:c r="K387" s="373"/>
      <x:c r="L387" s="373"/>
      <x:c r="M387" s="373"/>
      <x:c r="N387" s="373"/>
      <x:c r="O387" s="373"/>
      <x:c r="P387" s="373"/>
      <x:c r="Q387" s="373"/>
      <x:c r="R387" s="373"/>
      <x:c r="S387" s="373"/>
      <x:c r="T387" s="373"/>
      <x:c r="U387" s="373"/>
      <x:c r="V387" s="373"/>
      <x:c r="W387" s="373"/>
      <x:c r="X387" s="373"/>
      <x:c r="Y387" s="373"/>
      <x:c r="Z387" s="373"/>
    </x:row>
    <x:row r="388">
      <x:c r="A388" s="373"/>
      <x:c r="B388" s="373"/>
      <x:c r="C388" s="373"/>
      <x:c r="D388" s="373"/>
      <x:c r="E388" s="373"/>
      <x:c r="F388" s="373"/>
      <x:c r="G388" s="373"/>
      <x:c r="H388" s="373"/>
      <x:c r="I388" s="373"/>
      <x:c r="J388" s="373"/>
      <x:c r="K388" s="373"/>
      <x:c r="L388" s="373"/>
      <x:c r="M388" s="373"/>
      <x:c r="N388" s="373"/>
      <x:c r="O388" s="373"/>
      <x:c r="P388" s="373"/>
      <x:c r="Q388" s="373"/>
      <x:c r="R388" s="373"/>
      <x:c r="S388" s="373"/>
      <x:c r="T388" s="373"/>
      <x:c r="U388" s="373"/>
      <x:c r="V388" s="373"/>
      <x:c r="W388" s="373"/>
      <x:c r="X388" s="373"/>
      <x:c r="Y388" s="373"/>
      <x:c r="Z388" s="373"/>
    </x:row>
    <x:row r="389">
      <x:c r="A389" s="373"/>
      <x:c r="B389" s="373"/>
      <x:c r="C389" s="373"/>
      <x:c r="D389" s="373"/>
      <x:c r="E389" s="373"/>
      <x:c r="F389" s="373"/>
      <x:c r="G389" s="373"/>
      <x:c r="H389" s="373"/>
      <x:c r="I389" s="373"/>
      <x:c r="J389" s="373"/>
      <x:c r="K389" s="373"/>
      <x:c r="L389" s="373"/>
      <x:c r="M389" s="373"/>
      <x:c r="N389" s="373"/>
      <x:c r="O389" s="373"/>
      <x:c r="P389" s="373"/>
      <x:c r="Q389" s="373"/>
      <x:c r="R389" s="373"/>
      <x:c r="S389" s="373"/>
      <x:c r="T389" s="373"/>
      <x:c r="U389" s="373"/>
      <x:c r="V389" s="373"/>
      <x:c r="W389" s="373"/>
      <x:c r="X389" s="373"/>
      <x:c r="Y389" s="373"/>
      <x:c r="Z389" s="373"/>
    </x:row>
    <x:row r="390">
      <x:c r="A390" s="373"/>
      <x:c r="B390" s="373"/>
      <x:c r="C390" s="373"/>
      <x:c r="D390" s="373"/>
      <x:c r="E390" s="373"/>
      <x:c r="F390" s="373"/>
      <x:c r="G390" s="373"/>
      <x:c r="H390" s="373"/>
      <x:c r="I390" s="373"/>
      <x:c r="J390" s="373"/>
      <x:c r="K390" s="373"/>
      <x:c r="L390" s="373"/>
      <x:c r="M390" s="373"/>
      <x:c r="N390" s="373"/>
      <x:c r="O390" s="373"/>
      <x:c r="P390" s="373"/>
      <x:c r="Q390" s="373"/>
      <x:c r="R390" s="373"/>
      <x:c r="S390" s="373"/>
      <x:c r="T390" s="373"/>
      <x:c r="U390" s="373"/>
      <x:c r="V390" s="373"/>
      <x:c r="W390" s="373"/>
      <x:c r="X390" s="373"/>
      <x:c r="Y390" s="373"/>
      <x:c r="Z390" s="373"/>
    </x:row>
    <x:row r="391">
      <x:c r="A391" s="373"/>
      <x:c r="B391" s="373"/>
      <x:c r="C391" s="373"/>
      <x:c r="D391" s="373"/>
      <x:c r="E391" s="373"/>
      <x:c r="F391" s="373"/>
      <x:c r="G391" s="373"/>
      <x:c r="H391" s="373"/>
      <x:c r="I391" s="373"/>
      <x:c r="J391" s="373"/>
      <x:c r="K391" s="373"/>
      <x:c r="L391" s="373"/>
      <x:c r="M391" s="373"/>
      <x:c r="N391" s="373"/>
      <x:c r="O391" s="373"/>
      <x:c r="P391" s="373"/>
      <x:c r="Q391" s="373"/>
      <x:c r="R391" s="373"/>
      <x:c r="S391" s="373"/>
      <x:c r="T391" s="373"/>
      <x:c r="U391" s="373"/>
      <x:c r="V391" s="373"/>
      <x:c r="W391" s="373"/>
      <x:c r="X391" s="373"/>
      <x:c r="Y391" s="373"/>
      <x:c r="Z391" s="373"/>
    </x:row>
    <x:row r="392">
      <x:c r="A392" s="373"/>
      <x:c r="B392" s="373"/>
      <x:c r="C392" s="373"/>
      <x:c r="D392" s="373"/>
      <x:c r="E392" s="373"/>
      <x:c r="F392" s="373"/>
      <x:c r="G392" s="373"/>
      <x:c r="H392" s="373"/>
      <x:c r="I392" s="373"/>
      <x:c r="J392" s="373"/>
      <x:c r="K392" s="373"/>
      <x:c r="L392" s="373"/>
      <x:c r="M392" s="373"/>
      <x:c r="N392" s="373"/>
      <x:c r="O392" s="373"/>
      <x:c r="P392" s="373"/>
      <x:c r="Q392" s="373"/>
      <x:c r="R392" s="373"/>
      <x:c r="S392" s="373"/>
      <x:c r="T392" s="373"/>
      <x:c r="U392" s="373"/>
      <x:c r="V392" s="373"/>
      <x:c r="W392" s="373"/>
      <x:c r="X392" s="373"/>
      <x:c r="Y392" s="373"/>
      <x:c r="Z392" s="373"/>
    </x:row>
    <x:row r="393">
      <x:c r="A393" s="373"/>
      <x:c r="B393" s="373"/>
      <x:c r="C393" s="373"/>
      <x:c r="D393" s="373"/>
      <x:c r="E393" s="373"/>
      <x:c r="F393" s="373"/>
      <x:c r="G393" s="373"/>
      <x:c r="H393" s="373"/>
      <x:c r="I393" s="373"/>
      <x:c r="J393" s="373"/>
      <x:c r="K393" s="373"/>
      <x:c r="L393" s="373"/>
      <x:c r="M393" s="373"/>
      <x:c r="N393" s="373"/>
      <x:c r="O393" s="373"/>
      <x:c r="P393" s="373"/>
      <x:c r="Q393" s="373"/>
      <x:c r="R393" s="373"/>
      <x:c r="S393" s="373"/>
      <x:c r="T393" s="373"/>
      <x:c r="U393" s="373"/>
      <x:c r="V393" s="373"/>
      <x:c r="W393" s="373"/>
      <x:c r="X393" s="373"/>
      <x:c r="Y393" s="373"/>
      <x:c r="Z393" s="373"/>
    </x:row>
    <x:row r="394">
      <x:c r="A394" s="373"/>
      <x:c r="B394" s="373"/>
      <x:c r="C394" s="373"/>
      <x:c r="D394" s="373"/>
      <x:c r="E394" s="373"/>
      <x:c r="F394" s="373"/>
      <x:c r="G394" s="373"/>
      <x:c r="H394" s="373"/>
      <x:c r="I394" s="373"/>
      <x:c r="J394" s="373"/>
      <x:c r="K394" s="373"/>
      <x:c r="L394" s="373"/>
      <x:c r="M394" s="373"/>
      <x:c r="N394" s="373"/>
      <x:c r="O394" s="373"/>
      <x:c r="P394" s="373"/>
      <x:c r="Q394" s="373"/>
      <x:c r="R394" s="373"/>
      <x:c r="S394" s="373"/>
      <x:c r="T394" s="373"/>
      <x:c r="U394" s="373"/>
      <x:c r="V394" s="373"/>
      <x:c r="W394" s="373"/>
      <x:c r="X394" s="373"/>
      <x:c r="Y394" s="373"/>
      <x:c r="Z394" s="373"/>
    </x:row>
    <x:row r="395">
      <x:c r="A395" s="373"/>
      <x:c r="B395" s="373"/>
      <x:c r="C395" s="373"/>
      <x:c r="D395" s="373"/>
      <x:c r="E395" s="373"/>
      <x:c r="F395" s="373"/>
      <x:c r="G395" s="373"/>
      <x:c r="H395" s="373"/>
      <x:c r="I395" s="373"/>
      <x:c r="J395" s="373"/>
      <x:c r="K395" s="373"/>
      <x:c r="L395" s="373"/>
      <x:c r="M395" s="373"/>
      <x:c r="N395" s="373"/>
      <x:c r="O395" s="373"/>
      <x:c r="P395" s="373"/>
      <x:c r="Q395" s="373"/>
      <x:c r="R395" s="373"/>
      <x:c r="S395" s="373"/>
      <x:c r="T395" s="373"/>
      <x:c r="U395" s="373"/>
      <x:c r="V395" s="373"/>
      <x:c r="W395" s="373"/>
      <x:c r="X395" s="373"/>
      <x:c r="Y395" s="373"/>
      <x:c r="Z395" s="373"/>
    </x:row>
    <x:row r="396">
      <x:c r="A396" s="373"/>
      <x:c r="B396" s="373"/>
      <x:c r="C396" s="373"/>
      <x:c r="D396" s="373"/>
      <x:c r="E396" s="373"/>
      <x:c r="F396" s="373"/>
      <x:c r="G396" s="373"/>
      <x:c r="H396" s="373"/>
      <x:c r="I396" s="373"/>
      <x:c r="J396" s="373"/>
      <x:c r="K396" s="373"/>
      <x:c r="L396" s="373"/>
      <x:c r="M396" s="373"/>
      <x:c r="N396" s="373"/>
      <x:c r="O396" s="373"/>
      <x:c r="P396" s="373"/>
      <x:c r="Q396" s="373"/>
      <x:c r="R396" s="373"/>
      <x:c r="S396" s="373"/>
      <x:c r="T396" s="373"/>
      <x:c r="U396" s="373"/>
      <x:c r="V396" s="373"/>
      <x:c r="W396" s="373"/>
      <x:c r="X396" s="373"/>
      <x:c r="Y396" s="373"/>
      <x:c r="Z396" s="373"/>
    </x:row>
    <x:row r="397">
      <x:c r="A397" s="373"/>
      <x:c r="B397" s="373"/>
      <x:c r="C397" s="373"/>
      <x:c r="D397" s="373"/>
      <x:c r="E397" s="373"/>
      <x:c r="F397" s="373"/>
      <x:c r="G397" s="373"/>
      <x:c r="H397" s="373"/>
      <x:c r="I397" s="373"/>
      <x:c r="J397" s="373"/>
      <x:c r="K397" s="373"/>
      <x:c r="L397" s="373"/>
      <x:c r="M397" s="373"/>
      <x:c r="N397" s="373"/>
      <x:c r="O397" s="373"/>
      <x:c r="P397" s="373"/>
      <x:c r="Q397" s="373"/>
      <x:c r="R397" s="373"/>
      <x:c r="S397" s="373"/>
      <x:c r="T397" s="373"/>
      <x:c r="U397" s="373"/>
      <x:c r="V397" s="373"/>
      <x:c r="W397" s="373"/>
      <x:c r="X397" s="373"/>
      <x:c r="Y397" s="373"/>
      <x:c r="Z397" s="373"/>
    </x:row>
    <x:row r="398">
      <x:c r="A398" s="373"/>
      <x:c r="B398" s="373"/>
      <x:c r="C398" s="373"/>
      <x:c r="D398" s="373"/>
      <x:c r="E398" s="373"/>
      <x:c r="F398" s="373"/>
      <x:c r="G398" s="373"/>
      <x:c r="H398" s="373"/>
      <x:c r="I398" s="373"/>
      <x:c r="J398" s="373"/>
      <x:c r="K398" s="373"/>
      <x:c r="L398" s="373"/>
      <x:c r="M398" s="373"/>
      <x:c r="N398" s="373"/>
      <x:c r="O398" s="373"/>
      <x:c r="P398" s="373"/>
      <x:c r="Q398" s="373"/>
      <x:c r="R398" s="373"/>
      <x:c r="S398" s="373"/>
      <x:c r="T398" s="373"/>
      <x:c r="U398" s="373"/>
      <x:c r="V398" s="373"/>
      <x:c r="W398" s="373"/>
      <x:c r="X398" s="373"/>
      <x:c r="Y398" s="373"/>
      <x:c r="Z398" s="373"/>
    </x:row>
    <x:row r="399">
      <x:c r="A399" s="373"/>
      <x:c r="B399" s="373"/>
      <x:c r="C399" s="373"/>
      <x:c r="D399" s="373"/>
      <x:c r="E399" s="373"/>
      <x:c r="F399" s="373"/>
      <x:c r="G399" s="373"/>
      <x:c r="H399" s="373"/>
      <x:c r="I399" s="373"/>
      <x:c r="J399" s="373"/>
      <x:c r="K399" s="373"/>
      <x:c r="L399" s="373"/>
      <x:c r="M399" s="373"/>
      <x:c r="N399" s="373"/>
      <x:c r="O399" s="373"/>
      <x:c r="P399" s="373"/>
      <x:c r="Q399" s="373"/>
      <x:c r="R399" s="373"/>
      <x:c r="S399" s="373"/>
      <x:c r="T399" s="373"/>
      <x:c r="U399" s="373"/>
      <x:c r="V399" s="373"/>
      <x:c r="W399" s="373"/>
      <x:c r="X399" s="373"/>
      <x:c r="Y399" s="373"/>
      <x:c r="Z399" s="373"/>
    </x:row>
    <x:row r="400">
      <x:c r="A400" s="373"/>
      <x:c r="B400" s="373"/>
      <x:c r="C400" s="373"/>
      <x:c r="D400" s="373"/>
      <x:c r="E400" s="373"/>
      <x:c r="F400" s="373"/>
      <x:c r="G400" s="373"/>
      <x:c r="H400" s="373"/>
      <x:c r="I400" s="373"/>
      <x:c r="J400" s="373"/>
      <x:c r="K400" s="373"/>
      <x:c r="L400" s="373"/>
      <x:c r="M400" s="373"/>
      <x:c r="N400" s="373"/>
      <x:c r="O400" s="373"/>
      <x:c r="P400" s="373"/>
      <x:c r="Q400" s="373"/>
      <x:c r="R400" s="373"/>
      <x:c r="S400" s="373"/>
      <x:c r="T400" s="373"/>
      <x:c r="U400" s="373"/>
      <x:c r="V400" s="373"/>
      <x:c r="W400" s="373"/>
      <x:c r="X400" s="373"/>
      <x:c r="Y400" s="373"/>
      <x:c r="Z400" s="373"/>
    </x:row>
    <x:row r="401">
      <x:c r="A401" s="373"/>
      <x:c r="B401" s="373"/>
      <x:c r="C401" s="373"/>
      <x:c r="D401" s="373"/>
      <x:c r="E401" s="373"/>
      <x:c r="F401" s="373"/>
      <x:c r="G401" s="373"/>
      <x:c r="H401" s="373"/>
      <x:c r="I401" s="373"/>
      <x:c r="J401" s="373"/>
      <x:c r="K401" s="373"/>
      <x:c r="L401" s="373"/>
      <x:c r="M401" s="373"/>
      <x:c r="N401" s="373"/>
      <x:c r="O401" s="373"/>
      <x:c r="P401" s="373"/>
      <x:c r="Q401" s="373"/>
      <x:c r="R401" s="373"/>
      <x:c r="S401" s="373"/>
      <x:c r="T401" s="373"/>
      <x:c r="U401" s="373"/>
      <x:c r="V401" s="373"/>
      <x:c r="W401" s="373"/>
      <x:c r="X401" s="373"/>
      <x:c r="Y401" s="373"/>
      <x:c r="Z401" s="373"/>
    </x:row>
    <x:row r="402">
      <x:c r="A402" s="373"/>
      <x:c r="B402" s="373"/>
      <x:c r="C402" s="373"/>
      <x:c r="D402" s="373"/>
      <x:c r="E402" s="373"/>
      <x:c r="F402" s="373"/>
      <x:c r="G402" s="373"/>
      <x:c r="H402" s="373"/>
      <x:c r="I402" s="373"/>
      <x:c r="J402" s="373"/>
      <x:c r="K402" s="373"/>
      <x:c r="L402" s="373"/>
      <x:c r="M402" s="373"/>
      <x:c r="N402" s="373"/>
      <x:c r="O402" s="373"/>
      <x:c r="P402" s="373"/>
      <x:c r="Q402" s="373"/>
      <x:c r="R402" s="373"/>
      <x:c r="S402" s="373"/>
      <x:c r="T402" s="373"/>
      <x:c r="U402" s="373"/>
      <x:c r="V402" s="373"/>
      <x:c r="W402" s="373"/>
      <x:c r="X402" s="373"/>
      <x:c r="Y402" s="373"/>
      <x:c r="Z402" s="373"/>
    </x:row>
    <x:row r="403">
      <x:c r="A403" s="373"/>
      <x:c r="B403" s="373"/>
      <x:c r="C403" s="373"/>
      <x:c r="D403" s="373"/>
      <x:c r="E403" s="373"/>
      <x:c r="F403" s="373"/>
      <x:c r="G403" s="373"/>
      <x:c r="H403" s="373"/>
      <x:c r="I403" s="373"/>
      <x:c r="J403" s="373"/>
      <x:c r="K403" s="373"/>
      <x:c r="L403" s="373"/>
      <x:c r="M403" s="373"/>
      <x:c r="N403" s="373"/>
      <x:c r="O403" s="373"/>
      <x:c r="P403" s="373"/>
      <x:c r="Q403" s="373"/>
      <x:c r="R403" s="373"/>
      <x:c r="S403" s="373"/>
      <x:c r="T403" s="373"/>
      <x:c r="U403" s="373"/>
      <x:c r="V403" s="373"/>
      <x:c r="W403" s="373"/>
      <x:c r="X403" s="373"/>
      <x:c r="Y403" s="373"/>
      <x:c r="Z403" s="373"/>
    </x:row>
    <x:row r="404">
      <x:c r="A404" s="373"/>
      <x:c r="B404" s="373"/>
      <x:c r="C404" s="373"/>
      <x:c r="D404" s="373"/>
      <x:c r="E404" s="373"/>
      <x:c r="F404" s="373"/>
      <x:c r="G404" s="373"/>
      <x:c r="H404" s="373"/>
      <x:c r="I404" s="373"/>
      <x:c r="J404" s="373"/>
      <x:c r="K404" s="373"/>
      <x:c r="L404" s="373"/>
      <x:c r="M404" s="373"/>
      <x:c r="N404" s="373"/>
      <x:c r="O404" s="373"/>
      <x:c r="P404" s="373"/>
      <x:c r="Q404" s="373"/>
      <x:c r="R404" s="373"/>
      <x:c r="S404" s="373"/>
      <x:c r="T404" s="373"/>
      <x:c r="U404" s="373"/>
      <x:c r="V404" s="373"/>
      <x:c r="W404" s="373"/>
      <x:c r="X404" s="373"/>
      <x:c r="Y404" s="373"/>
      <x:c r="Z404" s="373"/>
    </x:row>
    <x:row r="405">
      <x:c r="A405" s="373"/>
      <x:c r="B405" s="373"/>
      <x:c r="C405" s="373"/>
      <x:c r="D405" s="373"/>
      <x:c r="E405" s="373"/>
      <x:c r="F405" s="373"/>
      <x:c r="G405" s="373"/>
      <x:c r="H405" s="373"/>
      <x:c r="I405" s="373"/>
      <x:c r="J405" s="373"/>
      <x:c r="K405" s="373"/>
      <x:c r="L405" s="373"/>
      <x:c r="M405" s="373"/>
      <x:c r="N405" s="373"/>
      <x:c r="O405" s="373"/>
      <x:c r="P405" s="373"/>
      <x:c r="Q405" s="373"/>
      <x:c r="R405" s="373"/>
      <x:c r="S405" s="373"/>
      <x:c r="T405" s="373"/>
      <x:c r="U405" s="373"/>
      <x:c r="V405" s="373"/>
      <x:c r="W405" s="373"/>
      <x:c r="X405" s="373"/>
      <x:c r="Y405" s="373"/>
      <x:c r="Z405" s="373"/>
    </x:row>
    <x:row r="406">
      <x:c r="A406" s="373"/>
      <x:c r="B406" s="373"/>
      <x:c r="C406" s="373"/>
      <x:c r="D406" s="373"/>
      <x:c r="E406" s="373"/>
      <x:c r="F406" s="373"/>
      <x:c r="G406" s="373"/>
      <x:c r="H406" s="373"/>
      <x:c r="I406" s="373"/>
      <x:c r="J406" s="373"/>
      <x:c r="K406" s="373"/>
      <x:c r="L406" s="373"/>
      <x:c r="M406" s="373"/>
      <x:c r="N406" s="373"/>
      <x:c r="O406" s="373"/>
      <x:c r="P406" s="373"/>
      <x:c r="Q406" s="373"/>
      <x:c r="R406" s="373"/>
      <x:c r="S406" s="373"/>
      <x:c r="T406" s="373"/>
      <x:c r="U406" s="373"/>
      <x:c r="V406" s="373"/>
      <x:c r="W406" s="373"/>
      <x:c r="X406" s="373"/>
      <x:c r="Y406" s="373"/>
      <x:c r="Z406" s="373"/>
    </x:row>
    <x:row r="407">
      <x:c r="A407" s="373"/>
      <x:c r="B407" s="373"/>
      <x:c r="C407" s="373"/>
      <x:c r="D407" s="373"/>
      <x:c r="E407" s="373"/>
      <x:c r="F407" s="373"/>
      <x:c r="G407" s="373"/>
      <x:c r="H407" s="373"/>
      <x:c r="I407" s="373"/>
      <x:c r="J407" s="373"/>
      <x:c r="K407" s="373"/>
      <x:c r="L407" s="373"/>
      <x:c r="M407" s="373"/>
      <x:c r="N407" s="373"/>
      <x:c r="O407" s="373"/>
      <x:c r="P407" s="373"/>
      <x:c r="Q407" s="373"/>
      <x:c r="R407" s="373"/>
      <x:c r="S407" s="373"/>
      <x:c r="T407" s="373"/>
      <x:c r="U407" s="373"/>
      <x:c r="V407" s="373"/>
      <x:c r="W407" s="373"/>
      <x:c r="X407" s="373"/>
      <x:c r="Y407" s="373"/>
      <x:c r="Z407" s="373"/>
    </x:row>
    <x:row r="408">
      <x:c r="A408" s="373"/>
      <x:c r="B408" s="373"/>
      <x:c r="C408" s="373"/>
      <x:c r="D408" s="373"/>
      <x:c r="E408" s="373"/>
      <x:c r="F408" s="373"/>
      <x:c r="G408" s="373"/>
      <x:c r="H408" s="373"/>
      <x:c r="I408" s="373"/>
      <x:c r="J408" s="373"/>
      <x:c r="K408" s="373"/>
      <x:c r="L408" s="373"/>
      <x:c r="M408" s="373"/>
      <x:c r="N408" s="373"/>
      <x:c r="O408" s="373"/>
      <x:c r="P408" s="373"/>
      <x:c r="Q408" s="373"/>
      <x:c r="R408" s="373"/>
      <x:c r="S408" s="373"/>
      <x:c r="T408" s="373"/>
      <x:c r="U408" s="373"/>
      <x:c r="V408" s="373"/>
      <x:c r="W408" s="373"/>
      <x:c r="X408" s="373"/>
      <x:c r="Y408" s="373"/>
      <x:c r="Z408" s="373"/>
    </x:row>
    <x:row r="409">
      <x:c r="A409" s="373"/>
      <x:c r="B409" s="373"/>
      <x:c r="C409" s="373"/>
      <x:c r="D409" s="373"/>
      <x:c r="E409" s="373"/>
      <x:c r="F409" s="373"/>
      <x:c r="G409" s="373"/>
      <x:c r="H409" s="373"/>
      <x:c r="I409" s="373"/>
      <x:c r="J409" s="373"/>
      <x:c r="K409" s="373"/>
      <x:c r="L409" s="373"/>
      <x:c r="M409" s="373"/>
      <x:c r="N409" s="373"/>
      <x:c r="O409" s="373"/>
      <x:c r="P409" s="373"/>
      <x:c r="Q409" s="373"/>
      <x:c r="R409" s="373"/>
      <x:c r="S409" s="373"/>
      <x:c r="T409" s="373"/>
      <x:c r="U409" s="373"/>
      <x:c r="V409" s="373"/>
      <x:c r="W409" s="373"/>
      <x:c r="X409" s="373"/>
      <x:c r="Y409" s="373"/>
      <x:c r="Z409" s="373"/>
    </x:row>
    <x:row r="410">
      <x:c r="A410" s="373"/>
      <x:c r="B410" s="373"/>
      <x:c r="C410" s="373"/>
      <x:c r="D410" s="373"/>
      <x:c r="E410" s="373"/>
      <x:c r="F410" s="373"/>
      <x:c r="G410" s="373"/>
      <x:c r="H410" s="373"/>
      <x:c r="I410" s="373"/>
      <x:c r="J410" s="373"/>
      <x:c r="K410" s="373"/>
      <x:c r="L410" s="373"/>
      <x:c r="M410" s="373"/>
      <x:c r="N410" s="373"/>
      <x:c r="O410" s="373"/>
      <x:c r="P410" s="373"/>
      <x:c r="Q410" s="373"/>
      <x:c r="R410" s="373"/>
      <x:c r="S410" s="373"/>
      <x:c r="T410" s="373"/>
      <x:c r="U410" s="373"/>
      <x:c r="V410" s="373"/>
      <x:c r="W410" s="373"/>
      <x:c r="X410" s="373"/>
      <x:c r="Y410" s="373"/>
      <x:c r="Z410" s="373"/>
    </x:row>
    <x:row r="411">
      <x:c r="A411" s="373"/>
      <x:c r="B411" s="373"/>
      <x:c r="C411" s="373"/>
      <x:c r="D411" s="373"/>
      <x:c r="E411" s="373"/>
      <x:c r="F411" s="373"/>
      <x:c r="G411" s="373"/>
      <x:c r="H411" s="373"/>
      <x:c r="I411" s="373"/>
      <x:c r="J411" s="373"/>
      <x:c r="K411" s="373"/>
      <x:c r="L411" s="373"/>
      <x:c r="M411" s="373"/>
      <x:c r="N411" s="373"/>
      <x:c r="O411" s="373"/>
      <x:c r="P411" s="373"/>
      <x:c r="Q411" s="373"/>
      <x:c r="R411" s="373"/>
      <x:c r="S411" s="373"/>
      <x:c r="T411" s="373"/>
      <x:c r="U411" s="373"/>
      <x:c r="V411" s="373"/>
      <x:c r="W411" s="373"/>
      <x:c r="X411" s="373"/>
      <x:c r="Y411" s="373"/>
      <x:c r="Z411" s="373"/>
    </x:row>
    <x:row r="412">
      <x:c r="A412" s="373"/>
      <x:c r="B412" s="373"/>
      <x:c r="C412" s="373"/>
      <x:c r="D412" s="373"/>
      <x:c r="E412" s="373"/>
      <x:c r="F412" s="373"/>
      <x:c r="G412" s="373"/>
      <x:c r="H412" s="373"/>
      <x:c r="I412" s="373"/>
      <x:c r="J412" s="373"/>
      <x:c r="K412" s="373"/>
      <x:c r="L412" s="373"/>
      <x:c r="M412" s="373"/>
      <x:c r="N412" s="373"/>
      <x:c r="O412" s="373"/>
      <x:c r="P412" s="373"/>
      <x:c r="Q412" s="373"/>
      <x:c r="R412" s="373"/>
      <x:c r="S412" s="373"/>
      <x:c r="T412" s="373"/>
      <x:c r="U412" s="373"/>
      <x:c r="V412" s="373"/>
      <x:c r="W412" s="373"/>
      <x:c r="X412" s="373"/>
      <x:c r="Y412" s="373"/>
      <x:c r="Z412" s="373"/>
    </x:row>
    <x:row r="413">
      <x:c r="A413" s="373"/>
      <x:c r="B413" s="373"/>
      <x:c r="C413" s="373"/>
      <x:c r="D413" s="373"/>
      <x:c r="E413" s="373"/>
      <x:c r="F413" s="373"/>
      <x:c r="G413" s="373"/>
      <x:c r="H413" s="373"/>
      <x:c r="I413" s="373"/>
      <x:c r="J413" s="373"/>
      <x:c r="K413" s="373"/>
      <x:c r="L413" s="373"/>
      <x:c r="M413" s="373"/>
      <x:c r="N413" s="373"/>
      <x:c r="O413" s="373"/>
      <x:c r="P413" s="373"/>
      <x:c r="Q413" s="373"/>
      <x:c r="R413" s="373"/>
      <x:c r="S413" s="373"/>
      <x:c r="T413" s="373"/>
      <x:c r="U413" s="373"/>
      <x:c r="V413" s="373"/>
      <x:c r="W413" s="373"/>
      <x:c r="X413" s="373"/>
      <x:c r="Y413" s="373"/>
      <x:c r="Z413" s="373"/>
    </x:row>
    <x:row r="414">
      <x:c r="A414" s="373"/>
      <x:c r="B414" s="373"/>
      <x:c r="C414" s="373"/>
      <x:c r="D414" s="373"/>
      <x:c r="E414" s="373"/>
      <x:c r="F414" s="373"/>
      <x:c r="G414" s="373"/>
      <x:c r="H414" s="373"/>
      <x:c r="I414" s="373"/>
      <x:c r="J414" s="373"/>
      <x:c r="K414" s="373"/>
      <x:c r="L414" s="373"/>
      <x:c r="M414" s="373"/>
      <x:c r="N414" s="373"/>
      <x:c r="O414" s="373"/>
      <x:c r="P414" s="373"/>
      <x:c r="Q414" s="373"/>
      <x:c r="R414" s="373"/>
      <x:c r="S414" s="373"/>
      <x:c r="T414" s="373"/>
      <x:c r="U414" s="373"/>
      <x:c r="V414" s="373"/>
      <x:c r="W414" s="373"/>
      <x:c r="X414" s="373"/>
      <x:c r="Y414" s="373"/>
      <x:c r="Z414" s="373"/>
    </x:row>
    <x:row r="415">
      <x:c r="A415" s="373"/>
      <x:c r="B415" s="373"/>
      <x:c r="C415" s="373"/>
      <x:c r="D415" s="373"/>
      <x:c r="E415" s="373"/>
      <x:c r="F415" s="373"/>
      <x:c r="G415" s="373"/>
      <x:c r="H415" s="373"/>
      <x:c r="I415" s="373"/>
      <x:c r="J415" s="373"/>
      <x:c r="K415" s="373"/>
      <x:c r="L415" s="373"/>
      <x:c r="M415" s="373"/>
      <x:c r="N415" s="373"/>
      <x:c r="O415" s="373"/>
      <x:c r="P415" s="373"/>
      <x:c r="Q415" s="373"/>
      <x:c r="R415" s="373"/>
      <x:c r="S415" s="373"/>
      <x:c r="T415" s="373"/>
      <x:c r="U415" s="373"/>
      <x:c r="V415" s="373"/>
      <x:c r="W415" s="373"/>
      <x:c r="X415" s="373"/>
      <x:c r="Y415" s="373"/>
      <x:c r="Z415" s="373"/>
    </x:row>
    <x:row r="416">
      <x:c r="A416" s="373"/>
      <x:c r="B416" s="373"/>
      <x:c r="C416" s="373"/>
      <x:c r="D416" s="373"/>
      <x:c r="E416" s="373"/>
      <x:c r="F416" s="373"/>
      <x:c r="G416" s="373"/>
      <x:c r="H416" s="373"/>
      <x:c r="I416" s="373"/>
      <x:c r="J416" s="373"/>
      <x:c r="K416" s="373"/>
      <x:c r="L416" s="373"/>
      <x:c r="M416" s="373"/>
      <x:c r="N416" s="373"/>
      <x:c r="O416" s="373"/>
      <x:c r="P416" s="373"/>
      <x:c r="Q416" s="373"/>
      <x:c r="R416" s="373"/>
      <x:c r="S416" s="373"/>
      <x:c r="T416" s="373"/>
      <x:c r="U416" s="373"/>
      <x:c r="V416" s="373"/>
      <x:c r="W416" s="373"/>
      <x:c r="X416" s="373"/>
      <x:c r="Y416" s="373"/>
      <x:c r="Z416" s="373"/>
    </x:row>
    <x:row r="417">
      <x:c r="A417" s="373"/>
      <x:c r="B417" s="373"/>
      <x:c r="C417" s="373"/>
      <x:c r="D417" s="373"/>
      <x:c r="E417" s="373"/>
      <x:c r="F417" s="373"/>
      <x:c r="G417" s="373"/>
      <x:c r="H417" s="373"/>
      <x:c r="I417" s="373"/>
      <x:c r="J417" s="373"/>
      <x:c r="K417" s="373"/>
      <x:c r="L417" s="373"/>
      <x:c r="M417" s="373"/>
      <x:c r="N417" s="373"/>
      <x:c r="O417" s="373"/>
      <x:c r="P417" s="373"/>
      <x:c r="Q417" s="373"/>
      <x:c r="R417" s="373"/>
      <x:c r="S417" s="373"/>
      <x:c r="T417" s="373"/>
      <x:c r="U417" s="373"/>
      <x:c r="V417" s="373"/>
      <x:c r="W417" s="373"/>
      <x:c r="X417" s="373"/>
      <x:c r="Y417" s="373"/>
      <x:c r="Z417" s="373"/>
    </x:row>
    <x:row r="418">
      <x:c r="A418" s="373"/>
      <x:c r="B418" s="373"/>
      <x:c r="C418" s="373"/>
      <x:c r="D418" s="373"/>
      <x:c r="E418" s="373"/>
      <x:c r="F418" s="373"/>
      <x:c r="G418" s="373"/>
      <x:c r="H418" s="373"/>
      <x:c r="I418" s="373"/>
      <x:c r="J418" s="373"/>
      <x:c r="K418" s="373"/>
      <x:c r="L418" s="373"/>
      <x:c r="M418" s="373"/>
      <x:c r="N418" s="373"/>
      <x:c r="O418" s="373"/>
      <x:c r="P418" s="373"/>
      <x:c r="Q418" s="373"/>
      <x:c r="R418" s="373"/>
      <x:c r="S418" s="373"/>
      <x:c r="T418" s="373"/>
      <x:c r="U418" s="373"/>
      <x:c r="V418" s="373"/>
      <x:c r="W418" s="373"/>
      <x:c r="X418" s="373"/>
      <x:c r="Y418" s="373"/>
      <x:c r="Z418" s="373"/>
    </x:row>
    <x:row r="419">
      <x:c r="A419" s="373"/>
      <x:c r="B419" s="373"/>
      <x:c r="C419" s="373"/>
      <x:c r="D419" s="373"/>
      <x:c r="E419" s="373"/>
      <x:c r="F419" s="373"/>
      <x:c r="G419" s="373"/>
      <x:c r="H419" s="373"/>
      <x:c r="I419" s="373"/>
      <x:c r="J419" s="373"/>
      <x:c r="K419" s="373"/>
      <x:c r="L419" s="373"/>
      <x:c r="M419" s="373"/>
      <x:c r="N419" s="373"/>
      <x:c r="O419" s="373"/>
      <x:c r="P419" s="373"/>
      <x:c r="Q419" s="373"/>
      <x:c r="R419" s="373"/>
      <x:c r="S419" s="373"/>
      <x:c r="T419" s="373"/>
      <x:c r="U419" s="373"/>
      <x:c r="V419" s="373"/>
      <x:c r="W419" s="373"/>
      <x:c r="X419" s="373"/>
      <x:c r="Y419" s="373"/>
      <x:c r="Z419" s="373"/>
    </x:row>
    <x:row r="420">
      <x:c r="A420" s="373"/>
      <x:c r="B420" s="373"/>
      <x:c r="C420" s="373"/>
      <x:c r="D420" s="373"/>
      <x:c r="E420" s="373"/>
      <x:c r="F420" s="373"/>
      <x:c r="G420" s="373"/>
      <x:c r="H420" s="373"/>
      <x:c r="I420" s="373"/>
      <x:c r="J420" s="373"/>
      <x:c r="K420" s="373"/>
      <x:c r="L420" s="373"/>
      <x:c r="M420" s="373"/>
      <x:c r="N420" s="373"/>
      <x:c r="O420" s="373"/>
      <x:c r="P420" s="373"/>
      <x:c r="Q420" s="373"/>
      <x:c r="R420" s="373"/>
      <x:c r="S420" s="373"/>
      <x:c r="T420" s="373"/>
      <x:c r="U420" s="373"/>
      <x:c r="V420" s="373"/>
      <x:c r="W420" s="373"/>
      <x:c r="X420" s="373"/>
      <x:c r="Y420" s="373"/>
      <x:c r="Z420" s="373"/>
    </x:row>
    <x:row r="421">
      <x:c r="A421" s="373"/>
      <x:c r="B421" s="373"/>
      <x:c r="C421" s="373"/>
      <x:c r="D421" s="373"/>
      <x:c r="E421" s="373"/>
      <x:c r="F421" s="373"/>
      <x:c r="G421" s="373"/>
      <x:c r="H421" s="373"/>
      <x:c r="I421" s="373"/>
      <x:c r="J421" s="373"/>
      <x:c r="K421" s="373"/>
      <x:c r="L421" s="373"/>
      <x:c r="M421" s="373"/>
      <x:c r="N421" s="373"/>
      <x:c r="O421" s="373"/>
      <x:c r="P421" s="373"/>
      <x:c r="Q421" s="373"/>
      <x:c r="R421" s="373"/>
      <x:c r="S421" s="373"/>
      <x:c r="T421" s="373"/>
      <x:c r="U421" s="373"/>
      <x:c r="V421" s="373"/>
      <x:c r="W421" s="373"/>
      <x:c r="X421" s="373"/>
      <x:c r="Y421" s="373"/>
      <x:c r="Z421" s="373"/>
    </x:row>
    <x:row r="422">
      <x:c r="A422" s="373"/>
      <x:c r="B422" s="373"/>
      <x:c r="C422" s="373"/>
      <x:c r="D422" s="373"/>
      <x:c r="E422" s="373"/>
      <x:c r="F422" s="373"/>
      <x:c r="G422" s="373"/>
      <x:c r="H422" s="373"/>
      <x:c r="I422" s="373"/>
      <x:c r="J422" s="373"/>
      <x:c r="K422" s="373"/>
      <x:c r="L422" s="373"/>
      <x:c r="M422" s="373"/>
      <x:c r="N422" s="373"/>
      <x:c r="O422" s="373"/>
      <x:c r="P422" s="373"/>
      <x:c r="Q422" s="373"/>
      <x:c r="R422" s="373"/>
      <x:c r="S422" s="373"/>
      <x:c r="T422" s="373"/>
      <x:c r="U422" s="373"/>
      <x:c r="V422" s="373"/>
      <x:c r="W422" s="373"/>
      <x:c r="X422" s="373"/>
      <x:c r="Y422" s="373"/>
      <x:c r="Z422" s="373"/>
    </x:row>
    <x:row r="423">
      <x:c r="A423" s="373"/>
      <x:c r="B423" s="373"/>
      <x:c r="C423" s="373"/>
      <x:c r="D423" s="373"/>
      <x:c r="E423" s="373"/>
      <x:c r="F423" s="373"/>
      <x:c r="G423" s="373"/>
      <x:c r="H423" s="373"/>
      <x:c r="I423" s="373"/>
      <x:c r="J423" s="373"/>
      <x:c r="K423" s="373"/>
      <x:c r="L423" s="373"/>
      <x:c r="M423" s="373"/>
      <x:c r="N423" s="373"/>
      <x:c r="O423" s="373"/>
      <x:c r="P423" s="373"/>
      <x:c r="Q423" s="373"/>
      <x:c r="R423" s="373"/>
      <x:c r="S423" s="373"/>
      <x:c r="T423" s="373"/>
      <x:c r="U423" s="373"/>
      <x:c r="V423" s="373"/>
      <x:c r="W423" s="373"/>
      <x:c r="X423" s="373"/>
      <x:c r="Y423" s="373"/>
      <x:c r="Z423" s="373"/>
    </x:row>
    <x:row r="424">
      <x:c r="A424" s="373"/>
      <x:c r="B424" s="373"/>
      <x:c r="C424" s="373"/>
      <x:c r="D424" s="373"/>
      <x:c r="E424" s="373"/>
      <x:c r="F424" s="373"/>
      <x:c r="G424" s="373"/>
      <x:c r="H424" s="373"/>
      <x:c r="I424" s="373"/>
      <x:c r="J424" s="373"/>
      <x:c r="K424" s="373"/>
      <x:c r="L424" s="373"/>
      <x:c r="M424" s="373"/>
      <x:c r="N424" s="373"/>
      <x:c r="O424" s="373"/>
      <x:c r="P424" s="373"/>
      <x:c r="Q424" s="373"/>
      <x:c r="R424" s="373"/>
      <x:c r="S424" s="373"/>
      <x:c r="T424" s="373"/>
      <x:c r="U424" s="373"/>
      <x:c r="V424" s="373"/>
      <x:c r="W424" s="373"/>
      <x:c r="X424" s="373"/>
      <x:c r="Y424" s="373"/>
      <x:c r="Z424" s="373"/>
    </x:row>
    <x:row r="425">
      <x:c r="A425" s="373"/>
      <x:c r="B425" s="373"/>
      <x:c r="C425" s="373"/>
      <x:c r="D425" s="373"/>
      <x:c r="E425" s="373"/>
      <x:c r="F425" s="373"/>
      <x:c r="G425" s="373"/>
      <x:c r="H425" s="373"/>
      <x:c r="I425" s="373"/>
      <x:c r="J425" s="373"/>
      <x:c r="K425" s="373"/>
      <x:c r="L425" s="373"/>
      <x:c r="M425" s="373"/>
      <x:c r="N425" s="373"/>
      <x:c r="O425" s="373"/>
      <x:c r="P425" s="373"/>
      <x:c r="Q425" s="373"/>
      <x:c r="R425" s="373"/>
      <x:c r="S425" s="373"/>
      <x:c r="T425" s="373"/>
      <x:c r="U425" s="373"/>
      <x:c r="V425" s="373"/>
      <x:c r="W425" s="373"/>
      <x:c r="X425" s="373"/>
      <x:c r="Y425" s="373"/>
      <x:c r="Z425" s="373"/>
    </x:row>
    <x:row r="426">
      <x:c r="A426" s="373"/>
      <x:c r="B426" s="373"/>
      <x:c r="C426" s="373"/>
      <x:c r="D426" s="373"/>
      <x:c r="E426" s="373"/>
      <x:c r="F426" s="373"/>
      <x:c r="G426" s="373"/>
      <x:c r="H426" s="373"/>
      <x:c r="I426" s="373"/>
      <x:c r="J426" s="373"/>
      <x:c r="K426" s="373"/>
      <x:c r="L426" s="373"/>
      <x:c r="M426" s="373"/>
      <x:c r="N426" s="373"/>
      <x:c r="O426" s="373"/>
      <x:c r="P426" s="373"/>
      <x:c r="Q426" s="373"/>
      <x:c r="R426" s="373"/>
      <x:c r="S426" s="373"/>
      <x:c r="T426" s="373"/>
      <x:c r="U426" s="373"/>
      <x:c r="V426" s="373"/>
      <x:c r="W426" s="373"/>
      <x:c r="X426" s="373"/>
      <x:c r="Y426" s="373"/>
      <x:c r="Z426" s="373"/>
    </x:row>
    <x:row r="427">
      <x:c r="A427" s="373"/>
      <x:c r="B427" s="373"/>
      <x:c r="C427" s="373"/>
      <x:c r="D427" s="373"/>
      <x:c r="E427" s="373"/>
      <x:c r="F427" s="373"/>
      <x:c r="G427" s="373"/>
      <x:c r="H427" s="373"/>
      <x:c r="I427" s="373"/>
      <x:c r="J427" s="373"/>
      <x:c r="K427" s="373"/>
      <x:c r="L427" s="373"/>
      <x:c r="M427" s="373"/>
      <x:c r="N427" s="373"/>
      <x:c r="O427" s="373"/>
      <x:c r="P427" s="373"/>
      <x:c r="Q427" s="373"/>
      <x:c r="R427" s="373"/>
      <x:c r="S427" s="373"/>
      <x:c r="T427" s="373"/>
      <x:c r="U427" s="373"/>
      <x:c r="V427" s="373"/>
      <x:c r="W427" s="373"/>
      <x:c r="X427" s="373"/>
      <x:c r="Y427" s="373"/>
      <x:c r="Z427" s="373"/>
    </x:row>
    <x:row r="428">
      <x:c r="A428" s="373"/>
      <x:c r="B428" s="373"/>
      <x:c r="C428" s="373"/>
      <x:c r="D428" s="373"/>
      <x:c r="E428" s="373"/>
      <x:c r="F428" s="373"/>
      <x:c r="G428" s="373"/>
      <x:c r="H428" s="373"/>
      <x:c r="I428" s="373"/>
      <x:c r="J428" s="373"/>
      <x:c r="K428" s="373"/>
      <x:c r="L428" s="373"/>
      <x:c r="M428" s="373"/>
      <x:c r="N428" s="373"/>
      <x:c r="O428" s="373"/>
      <x:c r="P428" s="373"/>
      <x:c r="Q428" s="373"/>
      <x:c r="R428" s="373"/>
      <x:c r="S428" s="373"/>
      <x:c r="T428" s="373"/>
      <x:c r="U428" s="373"/>
      <x:c r="V428" s="373"/>
      <x:c r="W428" s="373"/>
      <x:c r="X428" s="373"/>
      <x:c r="Y428" s="373"/>
      <x:c r="Z428" s="373"/>
    </x:row>
    <x:row r="429">
      <x:c r="A429" s="373"/>
      <x:c r="B429" s="373"/>
      <x:c r="C429" s="373"/>
      <x:c r="D429" s="373"/>
      <x:c r="E429" s="373"/>
      <x:c r="F429" s="373"/>
      <x:c r="G429" s="373"/>
      <x:c r="H429" s="373"/>
      <x:c r="I429" s="373"/>
      <x:c r="J429" s="373"/>
      <x:c r="K429" s="373"/>
      <x:c r="L429" s="373"/>
      <x:c r="M429" s="373"/>
      <x:c r="N429" s="373"/>
      <x:c r="O429" s="373"/>
      <x:c r="P429" s="373"/>
      <x:c r="Q429" s="373"/>
      <x:c r="R429" s="373"/>
      <x:c r="S429" s="373"/>
      <x:c r="T429" s="373"/>
      <x:c r="U429" s="373"/>
      <x:c r="V429" s="373"/>
      <x:c r="W429" s="373"/>
      <x:c r="X429" s="373"/>
      <x:c r="Y429" s="373"/>
      <x:c r="Z429" s="373"/>
    </x:row>
    <x:row r="430">
      <x:c r="A430" s="373"/>
      <x:c r="B430" s="373"/>
      <x:c r="C430" s="373"/>
      <x:c r="D430" s="373"/>
      <x:c r="E430" s="373"/>
      <x:c r="F430" s="373"/>
      <x:c r="G430" s="373"/>
      <x:c r="H430" s="373"/>
      <x:c r="I430" s="373"/>
      <x:c r="J430" s="373"/>
      <x:c r="K430" s="373"/>
      <x:c r="L430" s="373"/>
      <x:c r="M430" s="373"/>
      <x:c r="N430" s="373"/>
      <x:c r="O430" s="373"/>
      <x:c r="P430" s="373"/>
      <x:c r="Q430" s="373"/>
      <x:c r="R430" s="373"/>
      <x:c r="S430" s="373"/>
      <x:c r="T430" s="373"/>
      <x:c r="U430" s="373"/>
      <x:c r="V430" s="373"/>
      <x:c r="W430" s="373"/>
      <x:c r="X430" s="373"/>
      <x:c r="Y430" s="373"/>
      <x:c r="Z430" s="373"/>
    </x:row>
    <x:row r="431">
      <x:c r="A431" s="373"/>
      <x:c r="B431" s="373"/>
      <x:c r="C431" s="373"/>
      <x:c r="D431" s="373"/>
      <x:c r="E431" s="373"/>
      <x:c r="F431" s="373"/>
      <x:c r="G431" s="373"/>
      <x:c r="H431" s="373"/>
      <x:c r="I431" s="373"/>
      <x:c r="J431" s="373"/>
      <x:c r="K431" s="373"/>
      <x:c r="L431" s="373"/>
      <x:c r="M431" s="373"/>
      <x:c r="N431" s="373"/>
      <x:c r="O431" s="373"/>
      <x:c r="P431" s="373"/>
      <x:c r="Q431" s="373"/>
      <x:c r="R431" s="373"/>
      <x:c r="S431" s="373"/>
      <x:c r="T431" s="373"/>
      <x:c r="U431" s="373"/>
      <x:c r="V431" s="373"/>
      <x:c r="W431" s="373"/>
      <x:c r="X431" s="373"/>
      <x:c r="Y431" s="373"/>
      <x:c r="Z431" s="373"/>
    </x:row>
    <x:row r="432">
      <x:c r="A432" s="373"/>
      <x:c r="B432" s="373"/>
      <x:c r="C432" s="373"/>
      <x:c r="D432" s="373"/>
      <x:c r="E432" s="373"/>
      <x:c r="F432" s="373"/>
      <x:c r="G432" s="373"/>
      <x:c r="H432" s="373"/>
      <x:c r="I432" s="373"/>
      <x:c r="J432" s="373"/>
      <x:c r="K432" s="373"/>
      <x:c r="L432" s="373"/>
      <x:c r="M432" s="373"/>
      <x:c r="N432" s="373"/>
      <x:c r="O432" s="373"/>
      <x:c r="P432" s="373"/>
      <x:c r="Q432" s="373"/>
      <x:c r="R432" s="373"/>
      <x:c r="S432" s="373"/>
      <x:c r="T432" s="373"/>
      <x:c r="U432" s="373"/>
      <x:c r="V432" s="373"/>
      <x:c r="W432" s="373"/>
      <x:c r="X432" s="373"/>
      <x:c r="Y432" s="373"/>
      <x:c r="Z432" s="373"/>
    </x:row>
    <x:row r="433">
      <x:c r="A433" s="373"/>
      <x:c r="B433" s="373"/>
      <x:c r="C433" s="373"/>
      <x:c r="D433" s="373"/>
      <x:c r="E433" s="373"/>
      <x:c r="F433" s="373"/>
      <x:c r="G433" s="373"/>
      <x:c r="H433" s="373"/>
      <x:c r="I433" s="373"/>
      <x:c r="J433" s="373"/>
      <x:c r="K433" s="373"/>
      <x:c r="L433" s="373"/>
      <x:c r="M433" s="373"/>
      <x:c r="N433" s="373"/>
      <x:c r="O433" s="373"/>
      <x:c r="P433" s="373"/>
      <x:c r="Q433" s="373"/>
      <x:c r="R433" s="373"/>
      <x:c r="S433" s="373"/>
      <x:c r="T433" s="373"/>
      <x:c r="U433" s="373"/>
      <x:c r="V433" s="373"/>
      <x:c r="W433" s="373"/>
      <x:c r="X433" s="373"/>
      <x:c r="Y433" s="373"/>
      <x:c r="Z433" s="373"/>
    </x:row>
    <x:row r="434">
      <x:c r="A434" s="373"/>
      <x:c r="B434" s="373"/>
      <x:c r="C434" s="373"/>
      <x:c r="D434" s="373"/>
      <x:c r="E434" s="373"/>
      <x:c r="F434" s="373"/>
      <x:c r="G434" s="373"/>
      <x:c r="H434" s="373"/>
      <x:c r="I434" s="373"/>
      <x:c r="J434" s="373"/>
      <x:c r="K434" s="373"/>
      <x:c r="L434" s="373"/>
      <x:c r="M434" s="373"/>
      <x:c r="N434" s="373"/>
      <x:c r="O434" s="373"/>
      <x:c r="P434" s="373"/>
      <x:c r="Q434" s="373"/>
      <x:c r="R434" s="373"/>
      <x:c r="S434" s="373"/>
      <x:c r="T434" s="373"/>
      <x:c r="U434" s="373"/>
      <x:c r="V434" s="373"/>
      <x:c r="W434" s="373"/>
      <x:c r="X434" s="373"/>
      <x:c r="Y434" s="373"/>
      <x:c r="Z434" s="373"/>
    </x:row>
    <x:row r="435">
      <x:c r="A435" s="373"/>
      <x:c r="B435" s="373"/>
      <x:c r="C435" s="373"/>
      <x:c r="D435" s="373"/>
      <x:c r="E435" s="373"/>
      <x:c r="F435" s="373"/>
      <x:c r="G435" s="373"/>
      <x:c r="H435" s="373"/>
      <x:c r="I435" s="373"/>
      <x:c r="J435" s="373"/>
      <x:c r="K435" s="373"/>
      <x:c r="L435" s="373"/>
      <x:c r="M435" s="373"/>
      <x:c r="N435" s="373"/>
      <x:c r="O435" s="373"/>
      <x:c r="P435" s="373"/>
      <x:c r="Q435" s="373"/>
      <x:c r="R435" s="373"/>
      <x:c r="S435" s="373"/>
      <x:c r="T435" s="373"/>
      <x:c r="U435" s="373"/>
      <x:c r="V435" s="373"/>
      <x:c r="W435" s="373"/>
      <x:c r="X435" s="373"/>
      <x:c r="Y435" s="373"/>
      <x:c r="Z435" s="373"/>
    </x:row>
    <x:row r="436">
      <x:c r="A436" s="373"/>
      <x:c r="B436" s="373"/>
      <x:c r="C436" s="373"/>
      <x:c r="D436" s="373"/>
      <x:c r="E436" s="373"/>
      <x:c r="F436" s="373"/>
      <x:c r="G436" s="373"/>
      <x:c r="H436" s="373"/>
      <x:c r="I436" s="373"/>
      <x:c r="J436" s="373"/>
      <x:c r="K436" s="373"/>
      <x:c r="L436" s="373"/>
      <x:c r="M436" s="373"/>
      <x:c r="N436" s="373"/>
      <x:c r="O436" s="373"/>
      <x:c r="P436" s="373"/>
      <x:c r="Q436" s="373"/>
      <x:c r="R436" s="373"/>
      <x:c r="S436" s="373"/>
      <x:c r="T436" s="373"/>
      <x:c r="U436" s="373"/>
      <x:c r="V436" s="373"/>
      <x:c r="W436" s="373"/>
      <x:c r="X436" s="373"/>
      <x:c r="Y436" s="373"/>
      <x:c r="Z436" s="373"/>
    </x:row>
    <x:row r="437">
      <x:c r="A437" s="373"/>
      <x:c r="B437" s="373"/>
      <x:c r="C437" s="373"/>
      <x:c r="D437" s="373"/>
      <x:c r="E437" s="373"/>
      <x:c r="F437" s="373"/>
      <x:c r="G437" s="373"/>
      <x:c r="H437" s="373"/>
      <x:c r="I437" s="373"/>
      <x:c r="J437" s="373"/>
      <x:c r="K437" s="373"/>
      <x:c r="L437" s="373"/>
      <x:c r="M437" s="373"/>
      <x:c r="N437" s="373"/>
      <x:c r="O437" s="373"/>
      <x:c r="P437" s="373"/>
      <x:c r="Q437" s="373"/>
      <x:c r="R437" s="373"/>
      <x:c r="S437" s="373"/>
      <x:c r="T437" s="373"/>
      <x:c r="U437" s="373"/>
      <x:c r="V437" s="373"/>
      <x:c r="W437" s="373"/>
      <x:c r="X437" s="373"/>
      <x:c r="Y437" s="373"/>
      <x:c r="Z437" s="373"/>
    </x:row>
    <x:row r="438">
      <x:c r="A438" s="373"/>
      <x:c r="B438" s="373"/>
      <x:c r="C438" s="373"/>
      <x:c r="D438" s="373"/>
      <x:c r="E438" s="373"/>
      <x:c r="F438" s="373"/>
      <x:c r="G438" s="373"/>
      <x:c r="H438" s="373"/>
      <x:c r="I438" s="373"/>
      <x:c r="J438" s="373"/>
      <x:c r="K438" s="373"/>
      <x:c r="L438" s="373"/>
      <x:c r="M438" s="373"/>
      <x:c r="N438" s="373"/>
      <x:c r="O438" s="373"/>
      <x:c r="P438" s="373"/>
      <x:c r="Q438" s="373"/>
      <x:c r="R438" s="373"/>
      <x:c r="S438" s="373"/>
      <x:c r="T438" s="373"/>
      <x:c r="U438" s="373"/>
      <x:c r="V438" s="373"/>
      <x:c r="W438" s="373"/>
      <x:c r="X438" s="373"/>
      <x:c r="Y438" s="373"/>
      <x:c r="Z438" s="373"/>
    </x:row>
    <x:row r="439">
      <x:c r="A439" s="373"/>
      <x:c r="B439" s="373"/>
      <x:c r="C439" s="373"/>
      <x:c r="D439" s="373"/>
      <x:c r="E439" s="373"/>
      <x:c r="F439" s="373"/>
      <x:c r="G439" s="373"/>
      <x:c r="H439" s="373"/>
      <x:c r="I439" s="373"/>
      <x:c r="J439" s="373"/>
      <x:c r="K439" s="373"/>
      <x:c r="L439" s="373"/>
      <x:c r="M439" s="373"/>
      <x:c r="N439" s="373"/>
      <x:c r="O439" s="373"/>
      <x:c r="P439" s="373"/>
      <x:c r="Q439" s="373"/>
      <x:c r="R439" s="373"/>
      <x:c r="S439" s="373"/>
      <x:c r="T439" s="373"/>
      <x:c r="U439" s="373"/>
      <x:c r="V439" s="373"/>
      <x:c r="W439" s="373"/>
      <x:c r="X439" s="373"/>
      <x:c r="Y439" s="373"/>
      <x:c r="Z439" s="373"/>
    </x:row>
    <x:row r="440">
      <x:c r="A440" s="373"/>
      <x:c r="B440" s="373"/>
      <x:c r="C440" s="373"/>
      <x:c r="D440" s="373"/>
      <x:c r="E440" s="373"/>
      <x:c r="F440" s="373"/>
      <x:c r="G440" s="373"/>
      <x:c r="H440" s="373"/>
      <x:c r="I440" s="373"/>
      <x:c r="J440" s="373"/>
      <x:c r="K440" s="373"/>
      <x:c r="L440" s="373"/>
      <x:c r="M440" s="373"/>
      <x:c r="N440" s="373"/>
      <x:c r="O440" s="373"/>
      <x:c r="P440" s="373"/>
      <x:c r="Q440" s="373"/>
      <x:c r="R440" s="373"/>
      <x:c r="S440" s="373"/>
      <x:c r="T440" s="373"/>
      <x:c r="U440" s="373"/>
      <x:c r="V440" s="373"/>
      <x:c r="W440" s="373"/>
      <x:c r="X440" s="373"/>
      <x:c r="Y440" s="373"/>
      <x:c r="Z440" s="373"/>
    </x:row>
    <x:row r="441">
      <x:c r="A441" s="373"/>
      <x:c r="B441" s="373"/>
      <x:c r="C441" s="373"/>
      <x:c r="D441" s="373"/>
      <x:c r="E441" s="373"/>
      <x:c r="F441" s="373"/>
      <x:c r="G441" s="373"/>
      <x:c r="H441" s="373"/>
      <x:c r="I441" s="373"/>
      <x:c r="J441" s="373"/>
      <x:c r="K441" s="373"/>
      <x:c r="L441" s="373"/>
      <x:c r="M441" s="373"/>
      <x:c r="N441" s="373"/>
      <x:c r="O441" s="373"/>
      <x:c r="P441" s="373"/>
      <x:c r="Q441" s="373"/>
      <x:c r="R441" s="373"/>
      <x:c r="S441" s="373"/>
      <x:c r="T441" s="373"/>
      <x:c r="U441" s="373"/>
      <x:c r="V441" s="373"/>
      <x:c r="W441" s="373"/>
      <x:c r="X441" s="373"/>
      <x:c r="Y441" s="373"/>
      <x:c r="Z441" s="373"/>
    </x:row>
    <x:row r="442">
      <x:c r="A442" s="373"/>
      <x:c r="B442" s="373"/>
      <x:c r="C442" s="373"/>
      <x:c r="D442" s="373"/>
      <x:c r="E442" s="373"/>
      <x:c r="F442" s="373"/>
      <x:c r="G442" s="373"/>
      <x:c r="H442" s="373"/>
      <x:c r="I442" s="373"/>
      <x:c r="J442" s="373"/>
      <x:c r="K442" s="373"/>
      <x:c r="L442" s="373"/>
      <x:c r="M442" s="373"/>
      <x:c r="N442" s="373"/>
      <x:c r="O442" s="373"/>
      <x:c r="P442" s="373"/>
      <x:c r="Q442" s="373"/>
      <x:c r="R442" s="373"/>
      <x:c r="S442" s="373"/>
      <x:c r="T442" s="373"/>
      <x:c r="U442" s="373"/>
      <x:c r="V442" s="373"/>
      <x:c r="W442" s="373"/>
      <x:c r="X442" s="373"/>
      <x:c r="Y442" s="373"/>
      <x:c r="Z442" s="373"/>
    </x:row>
    <x:row r="443">
      <x:c r="A443" s="373"/>
      <x:c r="B443" s="373"/>
      <x:c r="C443" s="373"/>
      <x:c r="D443" s="373"/>
      <x:c r="E443" s="373"/>
      <x:c r="F443" s="373"/>
      <x:c r="G443" s="373"/>
      <x:c r="H443" s="373"/>
      <x:c r="I443" s="373"/>
      <x:c r="J443" s="373"/>
      <x:c r="K443" s="373"/>
      <x:c r="L443" s="373"/>
      <x:c r="M443" s="373"/>
      <x:c r="N443" s="373"/>
      <x:c r="O443" s="373"/>
      <x:c r="P443" s="373"/>
      <x:c r="Q443" s="373"/>
      <x:c r="R443" s="373"/>
      <x:c r="S443" s="373"/>
      <x:c r="T443" s="373"/>
      <x:c r="U443" s="373"/>
      <x:c r="V443" s="373"/>
      <x:c r="W443" s="373"/>
      <x:c r="X443" s="373"/>
      <x:c r="Y443" s="373"/>
      <x:c r="Z443" s="373"/>
    </x:row>
    <x:row r="444">
      <x:c r="A444" s="373"/>
      <x:c r="B444" s="373"/>
      <x:c r="C444" s="373"/>
      <x:c r="D444" s="373"/>
      <x:c r="E444" s="373"/>
      <x:c r="F444" s="373"/>
      <x:c r="G444" s="373"/>
      <x:c r="H444" s="373"/>
      <x:c r="I444" s="373"/>
      <x:c r="J444" s="373"/>
      <x:c r="K444" s="373"/>
      <x:c r="L444" s="373"/>
      <x:c r="M444" s="373"/>
      <x:c r="N444" s="373"/>
      <x:c r="O444" s="373"/>
      <x:c r="P444" s="373"/>
      <x:c r="Q444" s="373"/>
      <x:c r="R444" s="373"/>
      <x:c r="S444" s="373"/>
      <x:c r="T444" s="373"/>
      <x:c r="U444" s="373"/>
      <x:c r="V444" s="373"/>
      <x:c r="W444" s="373"/>
      <x:c r="X444" s="373"/>
      <x:c r="Y444" s="373"/>
      <x:c r="Z444" s="373"/>
    </x:row>
    <x:row r="445">
      <x:c r="A445" s="373"/>
      <x:c r="B445" s="373"/>
      <x:c r="C445" s="373"/>
      <x:c r="D445" s="373"/>
      <x:c r="E445" s="373"/>
      <x:c r="F445" s="373"/>
      <x:c r="G445" s="373"/>
      <x:c r="H445" s="373"/>
      <x:c r="I445" s="373"/>
      <x:c r="J445" s="373"/>
      <x:c r="K445" s="373"/>
      <x:c r="L445" s="373"/>
      <x:c r="M445" s="373"/>
      <x:c r="N445" s="373"/>
      <x:c r="O445" s="373"/>
      <x:c r="P445" s="373"/>
      <x:c r="Q445" s="373"/>
      <x:c r="R445" s="373"/>
      <x:c r="S445" s="373"/>
      <x:c r="T445" s="373"/>
      <x:c r="U445" s="373"/>
      <x:c r="V445" s="373"/>
      <x:c r="W445" s="373"/>
      <x:c r="X445" s="373"/>
      <x:c r="Y445" s="373"/>
      <x:c r="Z445" s="373"/>
    </x:row>
    <x:row r="446">
      <x:c r="A446" s="373"/>
      <x:c r="B446" s="373"/>
      <x:c r="C446" s="373"/>
      <x:c r="D446" s="373"/>
      <x:c r="E446" s="373"/>
      <x:c r="F446" s="373"/>
      <x:c r="G446" s="373"/>
      <x:c r="H446" s="373"/>
      <x:c r="I446" s="373"/>
      <x:c r="J446" s="373"/>
      <x:c r="K446" s="373"/>
      <x:c r="L446" s="373"/>
      <x:c r="M446" s="373"/>
      <x:c r="N446" s="373"/>
      <x:c r="O446" s="373"/>
      <x:c r="P446" s="373"/>
      <x:c r="Q446" s="373"/>
      <x:c r="R446" s="373"/>
      <x:c r="S446" s="373"/>
      <x:c r="T446" s="373"/>
      <x:c r="U446" s="373"/>
      <x:c r="V446" s="373"/>
      <x:c r="W446" s="373"/>
      <x:c r="X446" s="373"/>
      <x:c r="Y446" s="373"/>
      <x:c r="Z446" s="373"/>
    </x:row>
    <x:row r="447">
      <x:c r="A447" s="373"/>
      <x:c r="B447" s="373"/>
      <x:c r="C447" s="373"/>
      <x:c r="D447" s="373"/>
      <x:c r="E447" s="373"/>
      <x:c r="F447" s="373"/>
      <x:c r="G447" s="373"/>
      <x:c r="H447" s="373"/>
      <x:c r="I447" s="373"/>
      <x:c r="J447" s="373"/>
      <x:c r="K447" s="373"/>
      <x:c r="L447" s="373"/>
      <x:c r="M447" s="373"/>
      <x:c r="N447" s="373"/>
      <x:c r="O447" s="373"/>
      <x:c r="P447" s="373"/>
      <x:c r="Q447" s="373"/>
      <x:c r="R447" s="373"/>
      <x:c r="S447" s="373"/>
      <x:c r="T447" s="373"/>
      <x:c r="U447" s="373"/>
      <x:c r="V447" s="373"/>
      <x:c r="W447" s="373"/>
      <x:c r="X447" s="373"/>
      <x:c r="Y447" s="373"/>
      <x:c r="Z447" s="373"/>
    </x:row>
    <x:row r="448">
      <x:c r="A448" s="373"/>
      <x:c r="B448" s="373"/>
      <x:c r="C448" s="373"/>
      <x:c r="D448" s="373"/>
      <x:c r="E448" s="373"/>
      <x:c r="F448" s="373"/>
      <x:c r="G448" s="373"/>
      <x:c r="H448" s="373"/>
      <x:c r="I448" s="373"/>
      <x:c r="J448" s="373"/>
      <x:c r="K448" s="373"/>
      <x:c r="L448" s="373"/>
      <x:c r="M448" s="373"/>
      <x:c r="N448" s="373"/>
      <x:c r="O448" s="373"/>
      <x:c r="P448" s="373"/>
      <x:c r="Q448" s="373"/>
      <x:c r="R448" s="373"/>
      <x:c r="S448" s="373"/>
      <x:c r="T448" s="373"/>
      <x:c r="U448" s="373"/>
      <x:c r="V448" s="373"/>
      <x:c r="W448" s="373"/>
      <x:c r="X448" s="373"/>
      <x:c r="Y448" s="373"/>
      <x:c r="Z448" s="373"/>
    </x:row>
    <x:row r="449">
      <x:c r="A449" s="373"/>
      <x:c r="B449" s="373"/>
      <x:c r="C449" s="373"/>
      <x:c r="D449" s="373"/>
      <x:c r="E449" s="373"/>
      <x:c r="F449" s="373"/>
      <x:c r="G449" s="373"/>
      <x:c r="H449" s="373"/>
      <x:c r="I449" s="373"/>
      <x:c r="J449" s="373"/>
      <x:c r="K449" s="373"/>
      <x:c r="L449" s="373"/>
      <x:c r="M449" s="373"/>
      <x:c r="N449" s="373"/>
      <x:c r="O449" s="373"/>
      <x:c r="P449" s="373"/>
      <x:c r="Q449" s="373"/>
      <x:c r="R449" s="373"/>
      <x:c r="S449" s="373"/>
      <x:c r="T449" s="373"/>
      <x:c r="U449" s="373"/>
      <x:c r="V449" s="373"/>
      <x:c r="W449" s="373"/>
      <x:c r="X449" s="373"/>
      <x:c r="Y449" s="373"/>
      <x:c r="Z449" s="373"/>
    </x:row>
    <x:row r="450">
      <x:c r="A450" s="373"/>
      <x:c r="B450" s="373"/>
      <x:c r="C450" s="373"/>
      <x:c r="D450" s="373"/>
      <x:c r="E450" s="373"/>
      <x:c r="F450" s="373"/>
      <x:c r="G450" s="373"/>
      <x:c r="H450" s="373"/>
      <x:c r="I450" s="373"/>
      <x:c r="J450" s="373"/>
      <x:c r="K450" s="373"/>
      <x:c r="L450" s="373"/>
      <x:c r="M450" s="373"/>
      <x:c r="N450" s="373"/>
      <x:c r="O450" s="373"/>
      <x:c r="P450" s="373"/>
      <x:c r="Q450" s="373"/>
      <x:c r="R450" s="373"/>
      <x:c r="S450" s="373"/>
      <x:c r="T450" s="373"/>
      <x:c r="U450" s="373"/>
      <x:c r="V450" s="373"/>
      <x:c r="W450" s="373"/>
      <x:c r="X450" s="373"/>
      <x:c r="Y450" s="373"/>
      <x:c r="Z450" s="373"/>
    </x:row>
    <x:row r="451">
      <x:c r="A451" s="373"/>
      <x:c r="B451" s="373"/>
      <x:c r="C451" s="373"/>
      <x:c r="D451" s="373"/>
      <x:c r="E451" s="373"/>
      <x:c r="F451" s="373"/>
      <x:c r="G451" s="373"/>
      <x:c r="H451" s="373"/>
      <x:c r="I451" s="373"/>
      <x:c r="J451" s="373"/>
      <x:c r="K451" s="373"/>
      <x:c r="L451" s="373"/>
      <x:c r="M451" s="373"/>
      <x:c r="N451" s="373"/>
      <x:c r="O451" s="373"/>
      <x:c r="P451" s="373"/>
      <x:c r="Q451" s="373"/>
      <x:c r="R451" s="373"/>
      <x:c r="S451" s="373"/>
      <x:c r="T451" s="373"/>
      <x:c r="U451" s="373"/>
      <x:c r="V451" s="373"/>
      <x:c r="W451" s="373"/>
      <x:c r="X451" s="373"/>
      <x:c r="Y451" s="373"/>
      <x:c r="Z451" s="373"/>
    </x:row>
    <x:row r="452">
      <x:c r="A452" s="373"/>
      <x:c r="B452" s="373"/>
      <x:c r="C452" s="373"/>
      <x:c r="D452" s="373"/>
      <x:c r="E452" s="373"/>
      <x:c r="F452" s="373"/>
      <x:c r="G452" s="373"/>
      <x:c r="H452" s="373"/>
      <x:c r="I452" s="373"/>
      <x:c r="J452" s="373"/>
      <x:c r="K452" s="373"/>
      <x:c r="L452" s="373"/>
      <x:c r="M452" s="373"/>
      <x:c r="N452" s="373"/>
      <x:c r="O452" s="373"/>
      <x:c r="P452" s="373"/>
      <x:c r="Q452" s="373"/>
      <x:c r="R452" s="373"/>
      <x:c r="S452" s="373"/>
      <x:c r="T452" s="373"/>
      <x:c r="U452" s="373"/>
      <x:c r="V452" s="373"/>
      <x:c r="W452" s="373"/>
      <x:c r="X452" s="373"/>
      <x:c r="Y452" s="373"/>
      <x:c r="Z452" s="373"/>
    </x:row>
    <x:row r="453">
      <x:c r="A453" s="373"/>
      <x:c r="B453" s="373"/>
      <x:c r="C453" s="373"/>
      <x:c r="D453" s="373"/>
      <x:c r="E453" s="373"/>
      <x:c r="F453" s="373"/>
      <x:c r="G453" s="373"/>
      <x:c r="H453" s="373"/>
      <x:c r="I453" s="373"/>
      <x:c r="J453" s="373"/>
      <x:c r="K453" s="373"/>
      <x:c r="L453" s="373"/>
      <x:c r="M453" s="373"/>
      <x:c r="N453" s="373"/>
      <x:c r="O453" s="373"/>
      <x:c r="P453" s="373"/>
      <x:c r="Q453" s="373"/>
      <x:c r="R453" s="373"/>
      <x:c r="S453" s="373"/>
      <x:c r="T453" s="373"/>
      <x:c r="U453" s="373"/>
      <x:c r="V453" s="373"/>
      <x:c r="W453" s="373"/>
      <x:c r="X453" s="373"/>
      <x:c r="Y453" s="373"/>
      <x:c r="Z453" s="373"/>
    </x:row>
    <x:row r="454">
      <x:c r="A454" s="373"/>
      <x:c r="B454" s="373"/>
      <x:c r="C454" s="373"/>
      <x:c r="D454" s="373"/>
      <x:c r="E454" s="373"/>
      <x:c r="F454" s="373"/>
      <x:c r="G454" s="373"/>
      <x:c r="H454" s="373"/>
      <x:c r="I454" s="373"/>
      <x:c r="J454" s="373"/>
      <x:c r="K454" s="373"/>
      <x:c r="L454" s="373"/>
      <x:c r="M454" s="373"/>
      <x:c r="N454" s="373"/>
      <x:c r="O454" s="373"/>
      <x:c r="P454" s="373"/>
      <x:c r="Q454" s="373"/>
      <x:c r="R454" s="373"/>
      <x:c r="S454" s="373"/>
      <x:c r="T454" s="373"/>
      <x:c r="U454" s="373"/>
      <x:c r="V454" s="373"/>
      <x:c r="W454" s="373"/>
      <x:c r="X454" s="373"/>
      <x:c r="Y454" s="373"/>
      <x:c r="Z454" s="373"/>
    </x:row>
    <x:row r="455">
      <x:c r="A455" s="373"/>
      <x:c r="B455" s="373"/>
      <x:c r="C455" s="373"/>
      <x:c r="D455" s="373"/>
      <x:c r="E455" s="373"/>
      <x:c r="F455" s="373"/>
      <x:c r="G455" s="373"/>
      <x:c r="H455" s="373"/>
      <x:c r="I455" s="373"/>
      <x:c r="J455" s="373"/>
      <x:c r="K455" s="373"/>
      <x:c r="L455" s="373"/>
      <x:c r="M455" s="373"/>
      <x:c r="N455" s="373"/>
      <x:c r="O455" s="373"/>
      <x:c r="P455" s="373"/>
      <x:c r="Q455" s="373"/>
      <x:c r="R455" s="373"/>
      <x:c r="S455" s="373"/>
      <x:c r="T455" s="373"/>
      <x:c r="U455" s="373"/>
      <x:c r="V455" s="373"/>
      <x:c r="W455" s="373"/>
      <x:c r="X455" s="373"/>
      <x:c r="Y455" s="373"/>
      <x:c r="Z455" s="373"/>
    </x:row>
    <x:row r="456">
      <x:c r="A456" s="373"/>
      <x:c r="B456" s="373"/>
      <x:c r="C456" s="373"/>
      <x:c r="D456" s="373"/>
      <x:c r="E456" s="373"/>
      <x:c r="F456" s="373"/>
      <x:c r="G456" s="373"/>
      <x:c r="H456" s="373"/>
      <x:c r="I456" s="373"/>
      <x:c r="J456" s="373"/>
      <x:c r="K456" s="373"/>
      <x:c r="L456" s="373"/>
      <x:c r="M456" s="373"/>
      <x:c r="N456" s="373"/>
      <x:c r="O456" s="373"/>
      <x:c r="P456" s="373"/>
      <x:c r="Q456" s="373"/>
      <x:c r="R456" s="373"/>
      <x:c r="S456" s="373"/>
      <x:c r="T456" s="373"/>
      <x:c r="U456" s="373"/>
      <x:c r="V456" s="373"/>
      <x:c r="W456" s="373"/>
      <x:c r="X456" s="373"/>
      <x:c r="Y456" s="373"/>
      <x:c r="Z456" s="373"/>
    </x:row>
    <x:row r="457">
      <x:c r="A457" s="373"/>
      <x:c r="B457" s="373"/>
      <x:c r="C457" s="373"/>
      <x:c r="D457" s="373"/>
      <x:c r="E457" s="373"/>
      <x:c r="F457" s="373"/>
      <x:c r="G457" s="373"/>
      <x:c r="H457" s="373"/>
      <x:c r="I457" s="373"/>
      <x:c r="J457" s="373"/>
      <x:c r="K457" s="373"/>
      <x:c r="L457" s="373"/>
      <x:c r="M457" s="373"/>
      <x:c r="N457" s="373"/>
      <x:c r="O457" s="373"/>
      <x:c r="P457" s="373"/>
      <x:c r="Q457" s="373"/>
      <x:c r="R457" s="373"/>
      <x:c r="S457" s="373"/>
      <x:c r="T457" s="373"/>
      <x:c r="U457" s="373"/>
      <x:c r="V457" s="373"/>
      <x:c r="W457" s="373"/>
      <x:c r="X457" s="373"/>
      <x:c r="Y457" s="373"/>
      <x:c r="Z457" s="373"/>
    </x:row>
    <x:row r="458">
      <x:c r="A458" s="373"/>
      <x:c r="B458" s="373"/>
      <x:c r="C458" s="373"/>
      <x:c r="D458" s="373"/>
      <x:c r="E458" s="373"/>
      <x:c r="F458" s="373"/>
      <x:c r="G458" s="373"/>
      <x:c r="H458" s="373"/>
      <x:c r="I458" s="373"/>
      <x:c r="J458" s="373"/>
      <x:c r="K458" s="373"/>
      <x:c r="L458" s="373"/>
      <x:c r="M458" s="373"/>
      <x:c r="N458" s="373"/>
      <x:c r="O458" s="373"/>
      <x:c r="P458" s="373"/>
      <x:c r="Q458" s="373"/>
      <x:c r="R458" s="373"/>
      <x:c r="S458" s="373"/>
      <x:c r="T458" s="373"/>
      <x:c r="U458" s="373"/>
      <x:c r="V458" s="373"/>
      <x:c r="W458" s="373"/>
      <x:c r="X458" s="373"/>
      <x:c r="Y458" s="373"/>
      <x:c r="Z458" s="373"/>
    </x:row>
    <x:row r="459">
      <x:c r="A459" s="373"/>
      <x:c r="B459" s="373"/>
      <x:c r="C459" s="373"/>
      <x:c r="D459" s="373"/>
      <x:c r="E459" s="373"/>
      <x:c r="F459" s="373"/>
      <x:c r="G459" s="373"/>
      <x:c r="H459" s="373"/>
      <x:c r="I459" s="373"/>
      <x:c r="J459" s="373"/>
      <x:c r="K459" s="373"/>
      <x:c r="L459" s="373"/>
      <x:c r="M459" s="373"/>
      <x:c r="N459" s="373"/>
      <x:c r="O459" s="373"/>
      <x:c r="P459" s="373"/>
      <x:c r="Q459" s="373"/>
      <x:c r="R459" s="373"/>
      <x:c r="S459" s="373"/>
      <x:c r="T459" s="373"/>
      <x:c r="U459" s="373"/>
      <x:c r="V459" s="373"/>
      <x:c r="W459" s="373"/>
      <x:c r="X459" s="373"/>
      <x:c r="Y459" s="373"/>
      <x:c r="Z459" s="373"/>
    </x:row>
    <x:row r="460">
      <x:c r="A460" s="373"/>
      <x:c r="B460" s="373"/>
      <x:c r="C460" s="373"/>
      <x:c r="D460" s="373"/>
      <x:c r="E460" s="373"/>
      <x:c r="F460" s="373"/>
      <x:c r="G460" s="373"/>
      <x:c r="H460" s="373"/>
      <x:c r="I460" s="373"/>
      <x:c r="J460" s="373"/>
      <x:c r="K460" s="373"/>
      <x:c r="L460" s="373"/>
      <x:c r="M460" s="373"/>
      <x:c r="N460" s="373"/>
      <x:c r="O460" s="373"/>
      <x:c r="P460" s="373"/>
      <x:c r="Q460" s="373"/>
      <x:c r="R460" s="373"/>
      <x:c r="S460" s="373"/>
      <x:c r="T460" s="373"/>
      <x:c r="U460" s="373"/>
      <x:c r="V460" s="373"/>
      <x:c r="W460" s="373"/>
      <x:c r="X460" s="373"/>
      <x:c r="Y460" s="373"/>
      <x:c r="Z460" s="373"/>
    </x:row>
    <x:row r="461">
      <x:c r="A461" s="373"/>
      <x:c r="B461" s="373"/>
      <x:c r="C461" s="373"/>
      <x:c r="D461" s="373"/>
      <x:c r="E461" s="373"/>
      <x:c r="F461" s="373"/>
      <x:c r="G461" s="373"/>
      <x:c r="H461" s="373"/>
      <x:c r="I461" s="373"/>
      <x:c r="J461" s="373"/>
      <x:c r="K461" s="373"/>
      <x:c r="L461" s="373"/>
      <x:c r="M461" s="373"/>
      <x:c r="N461" s="373"/>
      <x:c r="O461" s="373"/>
      <x:c r="P461" s="373"/>
      <x:c r="Q461" s="373"/>
      <x:c r="R461" s="373"/>
      <x:c r="S461" s="373"/>
      <x:c r="T461" s="373"/>
      <x:c r="U461" s="373"/>
      <x:c r="V461" s="373"/>
      <x:c r="W461" s="373"/>
      <x:c r="X461" s="373"/>
      <x:c r="Y461" s="373"/>
      <x:c r="Z461" s="373"/>
    </x:row>
    <x:row r="462">
      <x:c r="A462" s="373"/>
      <x:c r="B462" s="373"/>
      <x:c r="C462" s="373"/>
      <x:c r="D462" s="373"/>
      <x:c r="E462" s="373"/>
      <x:c r="F462" s="373"/>
      <x:c r="G462" s="373"/>
      <x:c r="H462" s="373"/>
      <x:c r="I462" s="373"/>
      <x:c r="J462" s="373"/>
      <x:c r="K462" s="373"/>
      <x:c r="L462" s="373"/>
      <x:c r="M462" s="373"/>
      <x:c r="N462" s="373"/>
      <x:c r="O462" s="373"/>
      <x:c r="P462" s="373"/>
      <x:c r="Q462" s="373"/>
      <x:c r="R462" s="373"/>
      <x:c r="S462" s="373"/>
      <x:c r="T462" s="373"/>
      <x:c r="U462" s="373"/>
      <x:c r="V462" s="373"/>
      <x:c r="W462" s="373"/>
      <x:c r="X462" s="373"/>
      <x:c r="Y462" s="373"/>
      <x:c r="Z462" s="373"/>
    </x:row>
    <x:row r="463">
      <x:c r="A463" s="373"/>
      <x:c r="B463" s="373"/>
      <x:c r="C463" s="373"/>
      <x:c r="D463" s="373"/>
      <x:c r="E463" s="373"/>
      <x:c r="F463" s="373"/>
      <x:c r="G463" s="373"/>
      <x:c r="H463" s="373"/>
      <x:c r="I463" s="373"/>
      <x:c r="J463" s="373"/>
      <x:c r="K463" s="373"/>
      <x:c r="L463" s="373"/>
      <x:c r="M463" s="373"/>
      <x:c r="N463" s="373"/>
      <x:c r="O463" s="373"/>
      <x:c r="P463" s="373"/>
      <x:c r="Q463" s="373"/>
      <x:c r="R463" s="373"/>
      <x:c r="S463" s="373"/>
      <x:c r="T463" s="373"/>
      <x:c r="U463" s="373"/>
      <x:c r="V463" s="373"/>
      <x:c r="W463" s="373"/>
      <x:c r="X463" s="373"/>
      <x:c r="Y463" s="373"/>
      <x:c r="Z463" s="373"/>
    </x:row>
    <x:row r="464">
      <x:c r="A464" s="373"/>
      <x:c r="B464" s="373"/>
      <x:c r="C464" s="373"/>
      <x:c r="D464" s="373"/>
      <x:c r="E464" s="373"/>
      <x:c r="F464" s="373"/>
      <x:c r="G464" s="373"/>
      <x:c r="H464" s="373"/>
      <x:c r="I464" s="373"/>
      <x:c r="J464" s="373"/>
      <x:c r="K464" s="373"/>
      <x:c r="L464" s="373"/>
      <x:c r="M464" s="373"/>
      <x:c r="N464" s="373"/>
      <x:c r="O464" s="373"/>
      <x:c r="P464" s="373"/>
      <x:c r="Q464" s="373"/>
      <x:c r="R464" s="373"/>
      <x:c r="S464" s="373"/>
      <x:c r="T464" s="373"/>
      <x:c r="U464" s="373"/>
      <x:c r="V464" s="373"/>
      <x:c r="W464" s="373"/>
      <x:c r="X464" s="373"/>
      <x:c r="Y464" s="373"/>
      <x:c r="Z464" s="373"/>
    </x:row>
    <x:row r="465">
      <x:c r="A465" s="373"/>
      <x:c r="B465" s="373"/>
      <x:c r="C465" s="373"/>
      <x:c r="D465" s="373"/>
      <x:c r="E465" s="373"/>
      <x:c r="F465" s="373"/>
      <x:c r="G465" s="373"/>
      <x:c r="H465" s="373"/>
      <x:c r="I465" s="373"/>
      <x:c r="J465" s="373"/>
      <x:c r="K465" s="373"/>
      <x:c r="L465" s="373"/>
      <x:c r="M465" s="373"/>
      <x:c r="N465" s="373"/>
      <x:c r="O465" s="373"/>
      <x:c r="P465" s="373"/>
      <x:c r="Q465" s="373"/>
      <x:c r="R465" s="373"/>
      <x:c r="S465" s="373"/>
      <x:c r="T465" s="373"/>
      <x:c r="U465" s="373"/>
      <x:c r="V465" s="373"/>
      <x:c r="W465" s="373"/>
      <x:c r="X465" s="373"/>
      <x:c r="Y465" s="373"/>
      <x:c r="Z465" s="373"/>
    </x:row>
    <x:row r="466">
      <x:c r="A466" s="373"/>
      <x:c r="B466" s="373"/>
      <x:c r="C466" s="373"/>
      <x:c r="D466" s="373"/>
      <x:c r="E466" s="373"/>
      <x:c r="F466" s="373"/>
      <x:c r="G466" s="373"/>
      <x:c r="H466" s="373"/>
      <x:c r="I466" s="373"/>
      <x:c r="J466" s="373"/>
      <x:c r="K466" s="373"/>
      <x:c r="L466" s="373"/>
      <x:c r="M466" s="373"/>
      <x:c r="N466" s="373"/>
      <x:c r="O466" s="373"/>
      <x:c r="P466" s="373"/>
      <x:c r="Q466" s="373"/>
      <x:c r="R466" s="373"/>
      <x:c r="S466" s="373"/>
      <x:c r="T466" s="373"/>
      <x:c r="U466" s="373"/>
      <x:c r="V466" s="373"/>
      <x:c r="W466" s="373"/>
      <x:c r="X466" s="373"/>
      <x:c r="Y466" s="373"/>
      <x:c r="Z466" s="373"/>
    </x:row>
    <x:row r="467">
      <x:c r="A467" s="373"/>
      <x:c r="B467" s="373"/>
      <x:c r="C467" s="373"/>
      <x:c r="D467" s="373"/>
      <x:c r="E467" s="373"/>
      <x:c r="F467" s="373"/>
      <x:c r="G467" s="373"/>
      <x:c r="H467" s="373"/>
      <x:c r="I467" s="373"/>
      <x:c r="J467" s="373"/>
      <x:c r="K467" s="373"/>
      <x:c r="L467" s="373"/>
      <x:c r="M467" s="373"/>
      <x:c r="N467" s="373"/>
      <x:c r="O467" s="373"/>
      <x:c r="P467" s="373"/>
      <x:c r="Q467" s="373"/>
      <x:c r="R467" s="373"/>
      <x:c r="S467" s="373"/>
      <x:c r="T467" s="373"/>
      <x:c r="U467" s="373"/>
      <x:c r="V467" s="373"/>
      <x:c r="W467" s="373"/>
      <x:c r="X467" s="373"/>
      <x:c r="Y467" s="373"/>
      <x:c r="Z467" s="373"/>
    </x:row>
    <x:row r="468">
      <x:c r="A468" s="373"/>
      <x:c r="B468" s="373"/>
      <x:c r="C468" s="373"/>
      <x:c r="D468" s="373"/>
      <x:c r="E468" s="373"/>
      <x:c r="F468" s="373"/>
      <x:c r="G468" s="373"/>
      <x:c r="H468" s="373"/>
      <x:c r="I468" s="373"/>
      <x:c r="J468" s="373"/>
      <x:c r="K468" s="373"/>
      <x:c r="L468" s="373"/>
      <x:c r="M468" s="373"/>
      <x:c r="N468" s="373"/>
      <x:c r="O468" s="373"/>
      <x:c r="P468" s="373"/>
      <x:c r="Q468" s="373"/>
      <x:c r="R468" s="373"/>
      <x:c r="S468" s="373"/>
      <x:c r="T468" s="373"/>
      <x:c r="U468" s="373"/>
      <x:c r="V468" s="373"/>
      <x:c r="W468" s="373"/>
      <x:c r="X468" s="373"/>
      <x:c r="Y468" s="373"/>
      <x:c r="Z468" s="373"/>
    </x:row>
    <x:row r="469">
      <x:c r="A469" s="373"/>
      <x:c r="B469" s="373"/>
      <x:c r="C469" s="373"/>
      <x:c r="D469" s="373"/>
      <x:c r="E469" s="373"/>
      <x:c r="F469" s="373"/>
      <x:c r="G469" s="373"/>
      <x:c r="H469" s="373"/>
      <x:c r="I469" s="373"/>
      <x:c r="J469" s="373"/>
      <x:c r="K469" s="373"/>
      <x:c r="L469" s="373"/>
      <x:c r="M469" s="373"/>
      <x:c r="N469" s="373"/>
      <x:c r="O469" s="373"/>
      <x:c r="P469" s="373"/>
      <x:c r="Q469" s="373"/>
      <x:c r="R469" s="373"/>
      <x:c r="S469" s="373"/>
      <x:c r="T469" s="373"/>
      <x:c r="U469" s="373"/>
      <x:c r="V469" s="373"/>
      <x:c r="W469" s="373"/>
      <x:c r="X469" s="373"/>
      <x:c r="Y469" s="373"/>
      <x:c r="Z469" s="373"/>
    </x:row>
    <x:row r="470">
      <x:c r="A470" s="373"/>
      <x:c r="B470" s="373"/>
      <x:c r="C470" s="373"/>
      <x:c r="D470" s="373"/>
      <x:c r="E470" s="373"/>
      <x:c r="F470" s="373"/>
      <x:c r="G470" s="373"/>
      <x:c r="H470" s="373"/>
      <x:c r="I470" s="373"/>
      <x:c r="J470" s="373"/>
      <x:c r="K470" s="373"/>
      <x:c r="L470" s="373"/>
      <x:c r="M470" s="373"/>
      <x:c r="N470" s="373"/>
      <x:c r="O470" s="373"/>
      <x:c r="P470" s="373"/>
      <x:c r="Q470" s="373"/>
      <x:c r="R470" s="373"/>
      <x:c r="S470" s="373"/>
      <x:c r="T470" s="373"/>
      <x:c r="U470" s="373"/>
      <x:c r="V470" s="373"/>
      <x:c r="W470" s="373"/>
      <x:c r="X470" s="373"/>
      <x:c r="Y470" s="373"/>
      <x:c r="Z470" s="373"/>
    </x:row>
    <x:row r="471">
      <x:c r="A471" s="373"/>
      <x:c r="B471" s="373"/>
      <x:c r="C471" s="373"/>
      <x:c r="D471" s="373"/>
      <x:c r="E471" s="373"/>
      <x:c r="F471" s="373"/>
      <x:c r="G471" s="373"/>
      <x:c r="H471" s="373"/>
      <x:c r="I471" s="373"/>
      <x:c r="J471" s="373"/>
      <x:c r="K471" s="373"/>
      <x:c r="L471" s="373"/>
      <x:c r="M471" s="373"/>
      <x:c r="N471" s="373"/>
      <x:c r="O471" s="373"/>
      <x:c r="P471" s="373"/>
      <x:c r="Q471" s="373"/>
      <x:c r="R471" s="373"/>
      <x:c r="S471" s="373"/>
      <x:c r="T471" s="373"/>
      <x:c r="U471" s="373"/>
      <x:c r="V471" s="373"/>
      <x:c r="W471" s="373"/>
      <x:c r="X471" s="373"/>
      <x:c r="Y471" s="373"/>
      <x:c r="Z471" s="373"/>
    </x:row>
    <x:row r="472">
      <x:c r="A472" s="373"/>
      <x:c r="B472" s="373"/>
      <x:c r="C472" s="373"/>
      <x:c r="D472" s="373"/>
      <x:c r="E472" s="373"/>
      <x:c r="F472" s="373"/>
      <x:c r="G472" s="373"/>
      <x:c r="H472" s="373"/>
      <x:c r="I472" s="373"/>
      <x:c r="J472" s="373"/>
      <x:c r="K472" s="373"/>
      <x:c r="L472" s="373"/>
      <x:c r="M472" s="373"/>
      <x:c r="N472" s="373"/>
      <x:c r="O472" s="373"/>
      <x:c r="P472" s="373"/>
      <x:c r="Q472" s="373"/>
      <x:c r="R472" s="373"/>
      <x:c r="S472" s="373"/>
      <x:c r="T472" s="373"/>
      <x:c r="U472" s="373"/>
      <x:c r="V472" s="373"/>
      <x:c r="W472" s="373"/>
      <x:c r="X472" s="373"/>
      <x:c r="Y472" s="373"/>
      <x:c r="Z472" s="373"/>
    </x:row>
    <x:row r="473">
      <x:c r="A473" s="373"/>
      <x:c r="B473" s="373"/>
      <x:c r="C473" s="373"/>
      <x:c r="D473" s="373"/>
      <x:c r="E473" s="373"/>
      <x:c r="F473" s="373"/>
      <x:c r="G473" s="373"/>
      <x:c r="H473" s="373"/>
      <x:c r="I473" s="373"/>
      <x:c r="J473" s="373"/>
      <x:c r="K473" s="373"/>
      <x:c r="L473" s="373"/>
      <x:c r="M473" s="373"/>
      <x:c r="N473" s="373"/>
      <x:c r="O473" s="373"/>
      <x:c r="P473" s="373"/>
      <x:c r="Q473" s="373"/>
      <x:c r="R473" s="373"/>
      <x:c r="S473" s="373"/>
      <x:c r="T473" s="373"/>
      <x:c r="U473" s="373"/>
      <x:c r="V473" s="373"/>
      <x:c r="W473" s="373"/>
      <x:c r="X473" s="373"/>
      <x:c r="Y473" s="373"/>
      <x:c r="Z473" s="373"/>
    </x:row>
    <x:row r="474">
      <x:c r="A474" s="373"/>
      <x:c r="B474" s="373"/>
      <x:c r="C474" s="373"/>
      <x:c r="D474" s="373"/>
      <x:c r="E474" s="373"/>
      <x:c r="F474" s="373"/>
      <x:c r="G474" s="373"/>
      <x:c r="H474" s="373"/>
      <x:c r="I474" s="373"/>
      <x:c r="J474" s="373"/>
      <x:c r="K474" s="373"/>
      <x:c r="L474" s="373"/>
      <x:c r="M474" s="373"/>
      <x:c r="N474" s="373"/>
      <x:c r="O474" s="373"/>
      <x:c r="P474" s="373"/>
      <x:c r="Q474" s="373"/>
      <x:c r="R474" s="373"/>
      <x:c r="S474" s="373"/>
      <x:c r="T474" s="373"/>
      <x:c r="U474" s="373"/>
      <x:c r="V474" s="373"/>
      <x:c r="W474" s="373"/>
      <x:c r="X474" s="373"/>
      <x:c r="Y474" s="373"/>
      <x:c r="Z474" s="373"/>
    </x:row>
    <x:row r="475">
      <x:c r="A475" s="373"/>
      <x:c r="B475" s="373"/>
      <x:c r="C475" s="373"/>
      <x:c r="D475" s="373"/>
      <x:c r="E475" s="373"/>
      <x:c r="F475" s="373"/>
      <x:c r="G475" s="373"/>
      <x:c r="H475" s="373"/>
      <x:c r="I475" s="373"/>
      <x:c r="J475" s="373"/>
      <x:c r="K475" s="373"/>
      <x:c r="L475" s="373"/>
      <x:c r="M475" s="373"/>
      <x:c r="N475" s="373"/>
      <x:c r="O475" s="373"/>
      <x:c r="P475" s="373"/>
      <x:c r="Q475" s="373"/>
      <x:c r="R475" s="373"/>
      <x:c r="S475" s="373"/>
      <x:c r="T475" s="373"/>
      <x:c r="U475" s="373"/>
      <x:c r="V475" s="373"/>
      <x:c r="W475" s="373"/>
      <x:c r="X475" s="373"/>
      <x:c r="Y475" s="373"/>
      <x:c r="Z475" s="373"/>
    </x:row>
    <x:row r="476">
      <x:c r="A476" s="373"/>
      <x:c r="B476" s="373"/>
      <x:c r="C476" s="373"/>
      <x:c r="D476" s="373"/>
      <x:c r="E476" s="373"/>
      <x:c r="F476" s="373"/>
      <x:c r="G476" s="373"/>
      <x:c r="H476" s="373"/>
      <x:c r="I476" s="373"/>
      <x:c r="J476" s="373"/>
      <x:c r="K476" s="373"/>
      <x:c r="L476" s="373"/>
      <x:c r="M476" s="373"/>
      <x:c r="N476" s="373"/>
      <x:c r="O476" s="373"/>
      <x:c r="P476" s="373"/>
      <x:c r="Q476" s="373"/>
      <x:c r="R476" s="373"/>
      <x:c r="S476" s="373"/>
      <x:c r="T476" s="373"/>
      <x:c r="U476" s="373"/>
      <x:c r="V476" s="373"/>
      <x:c r="W476" s="373"/>
      <x:c r="X476" s="373"/>
      <x:c r="Y476" s="373"/>
      <x:c r="Z476" s="373"/>
    </x:row>
    <x:row r="477">
      <x:c r="A477" s="373"/>
      <x:c r="B477" s="373"/>
      <x:c r="C477" s="373"/>
      <x:c r="D477" s="373"/>
      <x:c r="E477" s="373"/>
      <x:c r="F477" s="373"/>
      <x:c r="G477" s="373"/>
      <x:c r="H477" s="373"/>
      <x:c r="I477" s="373"/>
      <x:c r="J477" s="373"/>
      <x:c r="K477" s="373"/>
      <x:c r="L477" s="373"/>
      <x:c r="M477" s="373"/>
      <x:c r="N477" s="373"/>
      <x:c r="O477" s="373"/>
      <x:c r="P477" s="373"/>
      <x:c r="Q477" s="373"/>
      <x:c r="R477" s="373"/>
      <x:c r="S477" s="373"/>
      <x:c r="T477" s="373"/>
      <x:c r="U477" s="373"/>
      <x:c r="V477" s="373"/>
      <x:c r="W477" s="373"/>
      <x:c r="X477" s="373"/>
      <x:c r="Y477" s="373"/>
      <x:c r="Z477" s="373"/>
    </x:row>
    <x:row r="478">
      <x:c r="A478" s="373"/>
      <x:c r="B478" s="373"/>
      <x:c r="C478" s="373"/>
      <x:c r="D478" s="373"/>
      <x:c r="E478" s="373"/>
      <x:c r="F478" s="373"/>
      <x:c r="G478" s="373"/>
      <x:c r="H478" s="373"/>
      <x:c r="I478" s="373"/>
      <x:c r="J478" s="373"/>
      <x:c r="K478" s="373"/>
      <x:c r="L478" s="373"/>
      <x:c r="M478" s="373"/>
      <x:c r="N478" s="373"/>
      <x:c r="O478" s="373"/>
      <x:c r="P478" s="373"/>
      <x:c r="Q478" s="373"/>
      <x:c r="R478" s="373"/>
      <x:c r="S478" s="373"/>
      <x:c r="T478" s="373"/>
      <x:c r="U478" s="373"/>
      <x:c r="V478" s="373"/>
      <x:c r="W478" s="373"/>
      <x:c r="X478" s="373"/>
      <x:c r="Y478" s="373"/>
      <x:c r="Z478" s="373"/>
    </x:row>
    <x:row r="479">
      <x:c r="A479" s="373"/>
      <x:c r="B479" s="373"/>
      <x:c r="C479" s="373"/>
      <x:c r="D479" s="373"/>
      <x:c r="E479" s="373"/>
      <x:c r="F479" s="373"/>
      <x:c r="G479" s="373"/>
      <x:c r="H479" s="373"/>
      <x:c r="I479" s="373"/>
      <x:c r="J479" s="373"/>
      <x:c r="K479" s="373"/>
      <x:c r="L479" s="373"/>
      <x:c r="M479" s="373"/>
      <x:c r="N479" s="373"/>
      <x:c r="O479" s="373"/>
      <x:c r="P479" s="373"/>
      <x:c r="Q479" s="373"/>
      <x:c r="R479" s="373"/>
      <x:c r="S479" s="373"/>
      <x:c r="T479" s="373"/>
      <x:c r="U479" s="373"/>
      <x:c r="V479" s="373"/>
      <x:c r="W479" s="373"/>
      <x:c r="X479" s="373"/>
      <x:c r="Y479" s="373"/>
      <x:c r="Z479" s="373"/>
    </x:row>
    <x:row r="480">
      <x:c r="A480" s="373"/>
      <x:c r="B480" s="373"/>
      <x:c r="C480" s="373"/>
      <x:c r="D480" s="373"/>
      <x:c r="E480" s="373"/>
      <x:c r="F480" s="373"/>
      <x:c r="G480" s="373"/>
      <x:c r="H480" s="373"/>
      <x:c r="I480" s="373"/>
      <x:c r="J480" s="373"/>
      <x:c r="K480" s="373"/>
      <x:c r="L480" s="373"/>
      <x:c r="M480" s="373"/>
      <x:c r="N480" s="373"/>
      <x:c r="O480" s="373"/>
      <x:c r="P480" s="373"/>
      <x:c r="Q480" s="373"/>
      <x:c r="R480" s="373"/>
      <x:c r="S480" s="373"/>
      <x:c r="T480" s="373"/>
      <x:c r="U480" s="373"/>
      <x:c r="V480" s="373"/>
      <x:c r="W480" s="373"/>
      <x:c r="X480" s="373"/>
      <x:c r="Y480" s="373"/>
      <x:c r="Z480" s="373"/>
    </x:row>
    <x:row r="481">
      <x:c r="A481" s="373"/>
      <x:c r="B481" s="373"/>
      <x:c r="C481" s="373"/>
      <x:c r="D481" s="373"/>
      <x:c r="E481" s="373"/>
      <x:c r="F481" s="373"/>
      <x:c r="G481" s="373"/>
      <x:c r="H481" s="373"/>
      <x:c r="I481" s="373"/>
      <x:c r="J481" s="373"/>
      <x:c r="K481" s="373"/>
      <x:c r="L481" s="373"/>
      <x:c r="M481" s="373"/>
      <x:c r="N481" s="373"/>
      <x:c r="O481" s="373"/>
      <x:c r="P481" s="373"/>
      <x:c r="Q481" s="373"/>
      <x:c r="R481" s="373"/>
      <x:c r="S481" s="373"/>
      <x:c r="T481" s="373"/>
      <x:c r="U481" s="373"/>
      <x:c r="V481" s="373"/>
      <x:c r="W481" s="373"/>
      <x:c r="X481" s="373"/>
      <x:c r="Y481" s="373"/>
      <x:c r="Z481" s="373"/>
    </x:row>
    <x:row r="482">
      <x:c r="A482" s="373"/>
      <x:c r="B482" s="373"/>
      <x:c r="C482" s="373"/>
      <x:c r="D482" s="373"/>
      <x:c r="E482" s="373"/>
      <x:c r="F482" s="373"/>
      <x:c r="G482" s="373"/>
      <x:c r="H482" s="373"/>
      <x:c r="I482" s="373"/>
      <x:c r="J482" s="373"/>
      <x:c r="K482" s="373"/>
      <x:c r="L482" s="373"/>
      <x:c r="M482" s="373"/>
      <x:c r="N482" s="373"/>
      <x:c r="O482" s="373"/>
      <x:c r="P482" s="373"/>
      <x:c r="Q482" s="373"/>
      <x:c r="R482" s="373"/>
      <x:c r="S482" s="373"/>
      <x:c r="T482" s="373"/>
      <x:c r="U482" s="373"/>
      <x:c r="V482" s="373"/>
      <x:c r="W482" s="373"/>
      <x:c r="X482" s="373"/>
      <x:c r="Y482" s="373"/>
      <x:c r="Z482" s="373"/>
    </x:row>
    <x:row r="483">
      <x:c r="A483" s="373"/>
      <x:c r="B483" s="373"/>
      <x:c r="C483" s="373"/>
      <x:c r="D483" s="373"/>
      <x:c r="E483" s="373"/>
      <x:c r="F483" s="373"/>
      <x:c r="G483" s="373"/>
      <x:c r="H483" s="373"/>
      <x:c r="I483" s="373"/>
      <x:c r="J483" s="373"/>
      <x:c r="K483" s="373"/>
      <x:c r="L483" s="373"/>
      <x:c r="M483" s="373"/>
      <x:c r="N483" s="373"/>
      <x:c r="O483" s="373"/>
      <x:c r="P483" s="373"/>
      <x:c r="Q483" s="373"/>
      <x:c r="R483" s="373"/>
      <x:c r="S483" s="373"/>
      <x:c r="T483" s="373"/>
      <x:c r="U483" s="373"/>
      <x:c r="V483" s="373"/>
      <x:c r="W483" s="373"/>
      <x:c r="X483" s="373"/>
      <x:c r="Y483" s="373"/>
      <x:c r="Z483" s="373"/>
    </x:row>
    <x:row r="484">
      <x:c r="A484" s="373"/>
      <x:c r="B484" s="373"/>
      <x:c r="C484" s="373"/>
      <x:c r="D484" s="373"/>
      <x:c r="E484" s="373"/>
      <x:c r="F484" s="373"/>
      <x:c r="G484" s="373"/>
      <x:c r="H484" s="373"/>
      <x:c r="I484" s="373"/>
      <x:c r="J484" s="373"/>
      <x:c r="K484" s="373"/>
      <x:c r="L484" s="373"/>
      <x:c r="M484" s="373"/>
      <x:c r="N484" s="373"/>
      <x:c r="O484" s="373"/>
      <x:c r="P484" s="373"/>
      <x:c r="Q484" s="373"/>
      <x:c r="R484" s="373"/>
      <x:c r="S484" s="373"/>
      <x:c r="T484" s="373"/>
      <x:c r="U484" s="373"/>
      <x:c r="V484" s="373"/>
      <x:c r="W484" s="373"/>
      <x:c r="X484" s="373"/>
      <x:c r="Y484" s="373"/>
      <x:c r="Z484" s="373"/>
    </x:row>
    <x:row r="485">
      <x:c r="A485" s="373"/>
      <x:c r="B485" s="373"/>
      <x:c r="C485" s="373"/>
      <x:c r="D485" s="373"/>
      <x:c r="E485" s="373"/>
      <x:c r="F485" s="373"/>
      <x:c r="G485" s="373"/>
      <x:c r="H485" s="373"/>
      <x:c r="I485" s="373"/>
      <x:c r="J485" s="373"/>
      <x:c r="K485" s="373"/>
      <x:c r="L485" s="373"/>
      <x:c r="M485" s="373"/>
      <x:c r="N485" s="373"/>
      <x:c r="O485" s="373"/>
      <x:c r="P485" s="373"/>
      <x:c r="Q485" s="373"/>
      <x:c r="R485" s="373"/>
      <x:c r="S485" s="373"/>
      <x:c r="T485" s="373"/>
      <x:c r="U485" s="373"/>
      <x:c r="V485" s="373"/>
      <x:c r="W485" s="373"/>
      <x:c r="X485" s="373"/>
      <x:c r="Y485" s="373"/>
      <x:c r="Z485" s="373"/>
    </x:row>
    <x:row r="486">
      <x:c r="A486" s="373"/>
      <x:c r="B486" s="373"/>
      <x:c r="C486" s="373"/>
      <x:c r="D486" s="373"/>
      <x:c r="E486" s="373"/>
      <x:c r="F486" s="373"/>
      <x:c r="G486" s="373"/>
      <x:c r="H486" s="373"/>
      <x:c r="I486" s="373"/>
      <x:c r="J486" s="373"/>
      <x:c r="K486" s="373"/>
      <x:c r="L486" s="373"/>
      <x:c r="M486" s="373"/>
      <x:c r="N486" s="373"/>
      <x:c r="O486" s="373"/>
      <x:c r="P486" s="373"/>
      <x:c r="Q486" s="373"/>
      <x:c r="R486" s="373"/>
      <x:c r="S486" s="373"/>
      <x:c r="T486" s="373"/>
      <x:c r="U486" s="373"/>
      <x:c r="V486" s="373"/>
      <x:c r="W486" s="373"/>
      <x:c r="X486" s="373"/>
      <x:c r="Y486" s="373"/>
      <x:c r="Z486" s="373"/>
    </x:row>
    <x:row r="487">
      <x:c r="A487" s="373"/>
      <x:c r="B487" s="373"/>
      <x:c r="C487" s="373"/>
      <x:c r="D487" s="373"/>
      <x:c r="E487" s="373"/>
      <x:c r="F487" s="373"/>
      <x:c r="G487" s="373"/>
      <x:c r="H487" s="373"/>
      <x:c r="I487" s="373"/>
      <x:c r="J487" s="373"/>
      <x:c r="K487" s="373"/>
      <x:c r="L487" s="373"/>
      <x:c r="M487" s="373"/>
      <x:c r="N487" s="373"/>
      <x:c r="O487" s="373"/>
      <x:c r="P487" s="373"/>
      <x:c r="Q487" s="373"/>
      <x:c r="R487" s="373"/>
      <x:c r="S487" s="373"/>
      <x:c r="T487" s="373"/>
      <x:c r="U487" s="373"/>
      <x:c r="V487" s="373"/>
      <x:c r="W487" s="373"/>
      <x:c r="X487" s="373"/>
      <x:c r="Y487" s="373"/>
      <x:c r="Z487" s="373"/>
    </x:row>
    <x:row r="488">
      <x:c r="A488" s="373"/>
      <x:c r="B488" s="373"/>
      <x:c r="C488" s="373"/>
      <x:c r="D488" s="373"/>
      <x:c r="E488" s="373"/>
      <x:c r="F488" s="373"/>
      <x:c r="G488" s="373"/>
      <x:c r="H488" s="373"/>
      <x:c r="I488" s="373"/>
      <x:c r="J488" s="373"/>
      <x:c r="K488" s="373"/>
      <x:c r="L488" s="373"/>
      <x:c r="M488" s="373"/>
      <x:c r="N488" s="373"/>
      <x:c r="O488" s="373"/>
      <x:c r="P488" s="373"/>
      <x:c r="Q488" s="373"/>
      <x:c r="R488" s="373"/>
      <x:c r="S488" s="373"/>
      <x:c r="T488" s="373"/>
      <x:c r="U488" s="373"/>
      <x:c r="V488" s="373"/>
      <x:c r="W488" s="373"/>
      <x:c r="X488" s="373"/>
      <x:c r="Y488" s="373"/>
      <x:c r="Z488" s="373"/>
    </x:row>
    <x:row r="489">
      <x:c r="A489" s="373"/>
      <x:c r="B489" s="373"/>
      <x:c r="C489" s="373"/>
      <x:c r="D489" s="373"/>
      <x:c r="E489" s="373"/>
      <x:c r="F489" s="373"/>
      <x:c r="G489" s="373"/>
      <x:c r="H489" s="373"/>
      <x:c r="I489" s="373"/>
      <x:c r="J489" s="373"/>
      <x:c r="K489" s="373"/>
      <x:c r="L489" s="373"/>
      <x:c r="M489" s="373"/>
      <x:c r="N489" s="373"/>
      <x:c r="O489" s="373"/>
      <x:c r="P489" s="373"/>
      <x:c r="Q489" s="373"/>
      <x:c r="R489" s="373"/>
      <x:c r="S489" s="373"/>
      <x:c r="T489" s="373"/>
      <x:c r="U489" s="373"/>
      <x:c r="V489" s="373"/>
      <x:c r="W489" s="373"/>
      <x:c r="X489" s="373"/>
      <x:c r="Y489" s="373"/>
      <x:c r="Z489" s="373"/>
    </x:row>
    <x:row r="490">
      <x:c r="A490" s="373"/>
      <x:c r="B490" s="373"/>
      <x:c r="C490" s="373"/>
      <x:c r="D490" s="373"/>
      <x:c r="E490" s="373"/>
      <x:c r="F490" s="373"/>
      <x:c r="G490" s="373"/>
      <x:c r="H490" s="373"/>
      <x:c r="I490" s="373"/>
      <x:c r="J490" s="373"/>
      <x:c r="K490" s="373"/>
      <x:c r="L490" s="373"/>
      <x:c r="M490" s="373"/>
      <x:c r="N490" s="373"/>
      <x:c r="O490" s="373"/>
      <x:c r="P490" s="373"/>
      <x:c r="Q490" s="373"/>
      <x:c r="R490" s="373"/>
      <x:c r="S490" s="373"/>
      <x:c r="T490" s="373"/>
      <x:c r="U490" s="373"/>
      <x:c r="V490" s="373"/>
      <x:c r="W490" s="373"/>
      <x:c r="X490" s="373"/>
      <x:c r="Y490" s="373"/>
      <x:c r="Z490" s="373"/>
    </x:row>
    <x:row r="491">
      <x:c r="A491" s="373"/>
      <x:c r="B491" s="373"/>
      <x:c r="C491" s="373"/>
      <x:c r="D491" s="373"/>
      <x:c r="E491" s="373"/>
      <x:c r="F491" s="373"/>
      <x:c r="G491" s="373"/>
      <x:c r="H491" s="373"/>
      <x:c r="I491" s="373"/>
      <x:c r="J491" s="373"/>
      <x:c r="K491" s="373"/>
      <x:c r="L491" s="373"/>
      <x:c r="M491" s="373"/>
      <x:c r="N491" s="373"/>
      <x:c r="O491" s="373"/>
      <x:c r="P491" s="373"/>
      <x:c r="Q491" s="373"/>
      <x:c r="R491" s="373"/>
      <x:c r="S491" s="373"/>
      <x:c r="T491" s="373"/>
      <x:c r="U491" s="373"/>
      <x:c r="V491" s="373"/>
      <x:c r="W491" s="373"/>
      <x:c r="X491" s="373"/>
      <x:c r="Y491" s="373"/>
      <x:c r="Z491" s="373"/>
    </x:row>
    <x:row r="492">
      <x:c r="A492" s="373"/>
      <x:c r="B492" s="373"/>
      <x:c r="C492" s="373"/>
      <x:c r="D492" s="373"/>
      <x:c r="E492" s="373"/>
      <x:c r="F492" s="373"/>
      <x:c r="G492" s="373"/>
      <x:c r="H492" s="373"/>
      <x:c r="I492" s="373"/>
      <x:c r="J492" s="373"/>
      <x:c r="K492" s="373"/>
      <x:c r="L492" s="373"/>
      <x:c r="M492" s="373"/>
      <x:c r="N492" s="373"/>
      <x:c r="O492" s="373"/>
      <x:c r="P492" s="373"/>
      <x:c r="Q492" s="373"/>
      <x:c r="R492" s="373"/>
      <x:c r="S492" s="373"/>
      <x:c r="T492" s="373"/>
      <x:c r="U492" s="373"/>
      <x:c r="V492" s="373"/>
      <x:c r="W492" s="373"/>
      <x:c r="X492" s="373"/>
      <x:c r="Y492" s="373"/>
      <x:c r="Z492" s="373"/>
    </x:row>
    <x:row r="493">
      <x:c r="A493" s="373"/>
      <x:c r="B493" s="373"/>
      <x:c r="C493" s="373"/>
      <x:c r="D493" s="373"/>
      <x:c r="E493" s="373"/>
      <x:c r="F493" s="373"/>
      <x:c r="G493" s="373"/>
      <x:c r="H493" s="373"/>
      <x:c r="I493" s="373"/>
      <x:c r="J493" s="373"/>
      <x:c r="K493" s="373"/>
      <x:c r="L493" s="373"/>
      <x:c r="M493" s="373"/>
      <x:c r="N493" s="373"/>
      <x:c r="O493" s="373"/>
      <x:c r="P493" s="373"/>
      <x:c r="Q493" s="373"/>
      <x:c r="R493" s="373"/>
      <x:c r="S493" s="373"/>
      <x:c r="T493" s="373"/>
      <x:c r="U493" s="373"/>
      <x:c r="V493" s="373"/>
      <x:c r="W493" s="373"/>
      <x:c r="X493" s="373"/>
      <x:c r="Y493" s="373"/>
      <x:c r="Z493" s="373"/>
    </x:row>
    <x:row r="494">
      <x:c r="A494" s="373"/>
      <x:c r="B494" s="373"/>
      <x:c r="C494" s="373"/>
      <x:c r="D494" s="373"/>
      <x:c r="E494" s="373"/>
      <x:c r="F494" s="373"/>
      <x:c r="G494" s="373"/>
      <x:c r="H494" s="373"/>
      <x:c r="I494" s="373"/>
      <x:c r="J494" s="373"/>
      <x:c r="K494" s="373"/>
      <x:c r="L494" s="373"/>
      <x:c r="M494" s="373"/>
      <x:c r="N494" s="373"/>
      <x:c r="O494" s="373"/>
      <x:c r="P494" s="373"/>
      <x:c r="Q494" s="373"/>
      <x:c r="R494" s="373"/>
      <x:c r="S494" s="373"/>
      <x:c r="T494" s="373"/>
      <x:c r="U494" s="373"/>
      <x:c r="V494" s="373"/>
      <x:c r="W494" s="373"/>
      <x:c r="X494" s="373"/>
      <x:c r="Y494" s="373"/>
      <x:c r="Z494" s="373"/>
    </x:row>
    <x:row r="495">
      <x:c r="A495" s="373"/>
      <x:c r="B495" s="373"/>
      <x:c r="C495" s="373"/>
      <x:c r="D495" s="373"/>
      <x:c r="E495" s="373"/>
      <x:c r="F495" s="373"/>
      <x:c r="G495" s="373"/>
      <x:c r="H495" s="373"/>
      <x:c r="I495" s="373"/>
      <x:c r="J495" s="373"/>
      <x:c r="K495" s="373"/>
      <x:c r="L495" s="373"/>
      <x:c r="M495" s="373"/>
      <x:c r="N495" s="373"/>
      <x:c r="O495" s="373"/>
      <x:c r="P495" s="373"/>
      <x:c r="Q495" s="373"/>
      <x:c r="R495" s="373"/>
      <x:c r="S495" s="373"/>
      <x:c r="T495" s="373"/>
      <x:c r="U495" s="373"/>
      <x:c r="V495" s="373"/>
      <x:c r="W495" s="373"/>
      <x:c r="X495" s="373"/>
      <x:c r="Y495" s="373"/>
      <x:c r="Z495" s="373"/>
    </x:row>
    <x:row r="496">
      <x:c r="A496" s="373"/>
      <x:c r="B496" s="373"/>
      <x:c r="C496" s="373"/>
      <x:c r="D496" s="373"/>
      <x:c r="E496" s="373"/>
      <x:c r="F496" s="373"/>
      <x:c r="G496" s="373"/>
      <x:c r="H496" s="373"/>
      <x:c r="I496" s="373"/>
      <x:c r="J496" s="373"/>
      <x:c r="K496" s="373"/>
      <x:c r="L496" s="373"/>
      <x:c r="M496" s="373"/>
      <x:c r="N496" s="373"/>
      <x:c r="O496" s="373"/>
      <x:c r="P496" s="373"/>
      <x:c r="Q496" s="373"/>
      <x:c r="R496" s="373"/>
      <x:c r="S496" s="373"/>
      <x:c r="T496" s="373"/>
      <x:c r="U496" s="373"/>
      <x:c r="V496" s="373"/>
      <x:c r="W496" s="373"/>
      <x:c r="X496" s="373"/>
      <x:c r="Y496" s="373"/>
      <x:c r="Z496" s="373"/>
    </x:row>
    <x:row r="497">
      <x:c r="A497" s="373"/>
      <x:c r="B497" s="373"/>
      <x:c r="C497" s="373"/>
      <x:c r="D497" s="373"/>
      <x:c r="E497" s="373"/>
      <x:c r="F497" s="373"/>
      <x:c r="G497" s="373"/>
      <x:c r="H497" s="373"/>
      <x:c r="I497" s="373"/>
      <x:c r="J497" s="373"/>
      <x:c r="K497" s="373"/>
      <x:c r="L497" s="373"/>
      <x:c r="M497" s="373"/>
      <x:c r="N497" s="373"/>
      <x:c r="O497" s="373"/>
      <x:c r="P497" s="373"/>
      <x:c r="Q497" s="373"/>
      <x:c r="R497" s="373"/>
      <x:c r="S497" s="373"/>
      <x:c r="T497" s="373"/>
      <x:c r="U497" s="373"/>
      <x:c r="V497" s="373"/>
      <x:c r="W497" s="373"/>
      <x:c r="X497" s="373"/>
      <x:c r="Y497" s="373"/>
      <x:c r="Z497" s="373"/>
    </x:row>
    <x:row r="498">
      <x:c r="A498" s="373"/>
      <x:c r="B498" s="373"/>
      <x:c r="C498" s="373"/>
      <x:c r="D498" s="373"/>
      <x:c r="E498" s="373"/>
      <x:c r="F498" s="373"/>
      <x:c r="G498" s="373"/>
      <x:c r="H498" s="373"/>
      <x:c r="I498" s="373"/>
      <x:c r="J498" s="373"/>
      <x:c r="K498" s="373"/>
      <x:c r="L498" s="373"/>
      <x:c r="M498" s="373"/>
      <x:c r="N498" s="373"/>
      <x:c r="O498" s="373"/>
      <x:c r="P498" s="373"/>
      <x:c r="Q498" s="373"/>
      <x:c r="R498" s="373"/>
      <x:c r="S498" s="373"/>
      <x:c r="T498" s="373"/>
      <x:c r="U498" s="373"/>
      <x:c r="V498" s="373"/>
      <x:c r="W498" s="373"/>
      <x:c r="X498" s="373"/>
      <x:c r="Y498" s="373"/>
      <x:c r="Z498" s="373"/>
    </x:row>
    <x:row r="499">
      <x:c r="A499" s="373"/>
      <x:c r="B499" s="373"/>
      <x:c r="C499" s="373"/>
      <x:c r="D499" s="373"/>
      <x:c r="E499" s="373"/>
      <x:c r="F499" s="373"/>
      <x:c r="G499" s="373"/>
      <x:c r="H499" s="373"/>
      <x:c r="I499" s="373"/>
      <x:c r="J499" s="373"/>
      <x:c r="K499" s="373"/>
      <x:c r="L499" s="373"/>
      <x:c r="M499" s="373"/>
      <x:c r="N499" s="373"/>
      <x:c r="O499" s="373"/>
      <x:c r="P499" s="373"/>
      <x:c r="Q499" s="373"/>
      <x:c r="R499" s="373"/>
      <x:c r="S499" s="373"/>
      <x:c r="T499" s="373"/>
      <x:c r="U499" s="373"/>
      <x:c r="V499" s="373"/>
      <x:c r="W499" s="373"/>
      <x:c r="X499" s="373"/>
      <x:c r="Y499" s="373"/>
      <x:c r="Z499" s="373"/>
    </x:row>
    <x:row r="500">
      <x:c r="A500" s="373"/>
      <x:c r="B500" s="373"/>
      <x:c r="C500" s="373"/>
      <x:c r="D500" s="373"/>
      <x:c r="E500" s="373"/>
      <x:c r="F500" s="373"/>
      <x:c r="G500" s="373"/>
      <x:c r="H500" s="373"/>
      <x:c r="I500" s="373"/>
      <x:c r="J500" s="373"/>
      <x:c r="K500" s="373"/>
      <x:c r="L500" s="373"/>
      <x:c r="M500" s="373"/>
      <x:c r="N500" s="373"/>
      <x:c r="O500" s="373"/>
      <x:c r="P500" s="373"/>
      <x:c r="Q500" s="373"/>
      <x:c r="R500" s="373"/>
      <x:c r="S500" s="373"/>
      <x:c r="T500" s="373"/>
      <x:c r="U500" s="373"/>
      <x:c r="V500" s="373"/>
      <x:c r="W500" s="373"/>
      <x:c r="X500" s="373"/>
      <x:c r="Y500" s="373"/>
      <x:c r="Z500" s="373"/>
    </x:row>
  </x:sheetData>
  <x:mergeCells>
    <x:mergeCell ref="A1:U1"/>
    <x:mergeCell ref="A2:U2"/>
  </x:mergeCells>
  <x:conditionalFormatting sqref="L5:L197">
    <x:cfRule type="expression" dxfId="16" priority="1">
      <x:formula>L5="Done"</x:formula>
    </x:cfRule>
    <x:cfRule type="expression" dxfId="17" priority="2">
      <x:formula>L5="Passed"</x:formula>
    </x:cfRule>
    <x:cfRule type="expression" dxfId="18" priority="3">
      <x:formula>L5="In Progress"</x:formula>
    </x:cfRule>
    <x:cfRule type="expression" dxfId="19" priority="4">
      <x:formula>L5="In Review"</x:formula>
    </x:cfRule>
    <x:cfRule type="expression" dxfId="20" priority="5">
      <x:formula>L5="Blocked"</x:formula>
    </x:cfRule>
    <x:cfRule type="expression" dxfId="21" priority="6">
      <x:formula>L5="Failed"</x:formula>
    </x:cfRule>
    <x:cfRule type="expression" dxfId="22" priority="7">
      <x:formula>L5="Not Run"</x:formula>
    </x:cfRule>
    <x:cfRule type="expression" dxfId="23" priority="8">
      <x:formula>L5="Backlog"</x:formula>
    </x:cfRule>
  </x:conditionalFormatting>
  <x:dataValidations count="3">
    <x:dataValidation type="list" sqref="K5:K197">
      <x:formula1>"Manual,Planned,Partial,Automated"</x:formula1>
    </x:dataValidation>
    <x:dataValidation type="list" sqref="L5:L197">
      <x:formula1>"Not Run,Running,Passed,Failed,Blocked,Skipped"</x:formula1>
    </x:dataValidation>
    <x:dataValidation type="list" sqref="M5:M197">
      <x:formula1>"Critical,High,Medium,Low"</x:formula1>
    </x:dataValidation>
  </x:dataValidations>
  <x:pageMargins left="0.7" right="0.7" top="0.75" bottom="0.75" header="0.3" footer="0.3"/>
  <x:tableParts count="1">
    <x:tablePart xmlns:r="http://schemas.openxmlformats.org/officeDocument/2006/relationships" r:id="R141eccd1296a460b"/>
  </x:tableParts>
</x:worksheet>
</file>

<file path=xl/worksheets/sheet6.xml><?xml version="1.0" encoding="utf-8"?>
<x:worksheet xmlns:x="http://schemas.openxmlformats.org/spreadsheetml/2006/main">
  <x:sheetFormatPr defaultRowHeight="15"/>
  <x:cols>
    <x:col min="1" max="1" width="16" hidden="0" customWidth="1"/>
    <x:col min="2" max="2" width="18" hidden="0" customWidth="1"/>
    <x:col min="3" max="3" width="12" hidden="0" customWidth="1"/>
    <x:col min="4" max="4" width="10" hidden="0" customWidth="1"/>
    <x:col min="5" max="5" width="14" hidden="0" customWidth="1"/>
    <x:col min="6" max="6" width="24" hidden="0" customWidth="1"/>
    <x:col min="7" max="7" width="30" hidden="0" customWidth="1"/>
    <x:col min="8" max="8" width="10" hidden="0" customWidth="1"/>
    <x:col min="9" max="9" width="12" hidden="0" customWidth="1"/>
    <x:col min="10" max="10" width="12" hidden="0" customWidth="1"/>
    <x:col min="11" max="11" width="24" hidden="0" customWidth="1"/>
    <x:col min="12" max="12" width="13" hidden="0" customWidth="1"/>
    <x:col min="13" max="13" width="13" hidden="0" customWidth="1"/>
    <x:col min="14" max="14" width="13" hidden="0" customWidth="1"/>
    <x:col min="15" max="15" width="34" hidden="0" customWidth="1"/>
    <x:col min="16" max="16" width="12" hidden="0" customWidth="1"/>
    <x:col min="17" max="17" width="32" hidden="0" customWidth="1"/>
    <x:col min="18" max="18" width="22" hidden="0" customWidth="1"/>
  </x:cols>
  <x:sheetData>
    <x:row r="1" ht="32" customHeight="1">
      <x:c r="A1" s="486" t="str">
        <x:v>Test Execution History</x:v>
      </x:c>
      <x:c r="B1" s="486"/>
      <x:c r="C1" s="486"/>
      <x:c r="D1" s="486"/>
      <x:c r="E1" s="486"/>
      <x:c r="F1" s="486"/>
      <x:c r="G1" s="486"/>
      <x:c r="H1" s="486"/>
      <x:c r="I1" s="486"/>
      <x:c r="J1" s="486"/>
      <x:c r="K1" s="486"/>
      <x:c r="L1" s="486"/>
      <x:c r="M1" s="486"/>
      <x:c r="N1" s="486"/>
      <x:c r="O1" s="486"/>
      <x:c r="P1" s="486"/>
      <x:c r="Q1" s="486"/>
      <x:c r="R1" s="486"/>
      <x:c r="S1" s="373"/>
      <x:c r="T1" s="373"/>
      <x:c r="U1" s="373"/>
      <x:c r="V1" s="373"/>
      <x:c r="W1" s="373"/>
      <x:c r="X1" s="373"/>
      <x:c r="Y1" s="373"/>
      <x:c r="Z1" s="373"/>
    </x:row>
    <x:row r="2" ht="22" customHeight="1">
      <x:c r="A2" s="374" t="str">
        <x:v>Append one row per execution. Preserve historical results; do not overwrite previous runs.</x:v>
      </x:c>
      <x:c r="B2" s="374"/>
      <x:c r="C2" s="374"/>
      <x:c r="D2" s="374"/>
      <x:c r="E2" s="374"/>
      <x:c r="F2" s="374"/>
      <x:c r="G2" s="374"/>
      <x:c r="H2" s="374"/>
      <x:c r="I2" s="374"/>
      <x:c r="J2" s="374"/>
      <x:c r="K2" s="374"/>
      <x:c r="L2" s="374"/>
      <x:c r="M2" s="374"/>
      <x:c r="N2" s="374"/>
      <x:c r="O2" s="374"/>
      <x:c r="P2" s="374"/>
      <x:c r="Q2" s="374"/>
      <x:c r="R2" s="374"/>
      <x:c r="S2" s="373"/>
      <x:c r="T2" s="373"/>
      <x:c r="U2" s="373"/>
      <x:c r="V2" s="373"/>
      <x:c r="W2" s="373"/>
      <x:c r="X2" s="373"/>
      <x:c r="Y2" s="373"/>
      <x:c r="Z2" s="373"/>
    </x:row>
    <x:row r="3">
      <x:c r="A3" s="373"/>
      <x:c r="B3" s="373"/>
      <x:c r="C3" s="373"/>
      <x:c r="D3" s="373"/>
      <x:c r="E3" s="373"/>
      <x:c r="F3" s="373"/>
      <x:c r="G3" s="373"/>
      <x:c r="H3" s="373"/>
      <x:c r="I3" s="373"/>
      <x:c r="J3" s="373"/>
      <x:c r="K3" s="373"/>
      <x:c r="L3" s="373"/>
      <x:c r="M3" s="373"/>
      <x:c r="N3" s="373"/>
      <x:c r="O3" s="373"/>
      <x:c r="P3" s="373"/>
      <x:c r="Q3" s="373"/>
      <x:c r="R3" s="373"/>
      <x:c r="S3" s="373"/>
      <x:c r="T3" s="373"/>
      <x:c r="U3" s="373"/>
      <x:c r="V3" s="373"/>
      <x:c r="W3" s="373"/>
      <x:c r="X3" s="373"/>
      <x:c r="Y3" s="373"/>
      <x:c r="Z3" s="373"/>
    </x:row>
    <x:row r="4">
      <x:c r="A4" s="409" t="str">
        <x:v>Run ID</x:v>
      </x:c>
      <x:c r="B4" s="413" t="str">
        <x:v>Date/Time</x:v>
      </x:c>
      <x:c r="C4" s="413" t="str">
        <x:v>Test ID</x:v>
      </x:c>
      <x:c r="D4" s="413" t="str">
        <x:v>Release</x:v>
      </x:c>
      <x:c r="E4" s="413" t="str">
        <x:v>Commit SHA</x:v>
      </x:c>
      <x:c r="F4" s="413" t="str">
        <x:v>Branch</x:v>
      </x:c>
      <x:c r="G4" s="413" t="str">
        <x:v>Environment</x:v>
      </x:c>
      <x:c r="H4" s="413" t="str">
        <x:v>Seed</x:v>
      </x:c>
      <x:c r="I4" s="413" t="str">
        <x:v>Result</x:v>
      </x:c>
      <x:c r="J4" s="413" t="str">
        <x:v>Duration (s)</x:v>
      </x:c>
      <x:c r="K4" s="413" t="str">
        <x:v>Metric Name</x:v>
      </x:c>
      <x:c r="L4" s="413" t="str">
        <x:v>Metric Value</x:v>
      </x:c>
      <x:c r="M4" s="413" t="str">
        <x:v>Threshold</x:v>
      </x:c>
      <x:c r="N4" s="413" t="str">
        <x:v>Metric Pass</x:v>
      </x:c>
      <x:c r="O4" s="413" t="str">
        <x:v>Evidence Path</x:v>
      </x:c>
      <x:c r="P4" s="413" t="str">
        <x:v>Defect ID</x:v>
      </x:c>
      <x:c r="Q4" s="413" t="str">
        <x:v>Notes</x:v>
      </x:c>
      <x:c r="R4" s="410" t="str">
        <x:v>JS Key</x:v>
      </x:c>
      <x:c r="S4" s="373"/>
      <x:c r="T4" s="373"/>
      <x:c r="U4" s="373"/>
      <x:c r="V4" s="373"/>
      <x:c r="W4" s="373"/>
      <x:c r="X4" s="373"/>
      <x:c r="Y4" s="373"/>
      <x:c r="Z4" s="373"/>
    </x:row>
    <x:row r="5">
      <x:c r="A5" s="411" t="str"/>
      <x:c r="B5" s="468" t="str"/>
      <x:c r="C5" s="411" t="str"/>
      <x:c r="D5" s="411" t="str"/>
      <x:c r="E5" s="411" t="str"/>
      <x:c r="F5" s="411" t="str"/>
      <x:c r="G5" s="411" t="str"/>
      <x:c r="H5" s="411" t="str"/>
      <x:c r="I5" s="411" t="str"/>
      <x:c r="J5" s="411" t="str"/>
      <x:c r="K5" s="411" t="str"/>
      <x:c r="L5" s="411" t="str"/>
      <x:c r="M5" s="411" t="str"/>
      <x:c r="N5" s="464" t="str">
        <x:f>IF(OR(L5="",M5=""),"",IF(L5&lt;=M5,"Passed","Review"))</x:f>
      </x:c>
      <x:c r="O5" s="411" t="str"/>
      <x:c r="P5" s="411" t="str"/>
      <x:c r="Q5" s="411" t="str"/>
      <x:c r="R5" s="411" t="str"/>
      <x:c r="S5" s="373"/>
      <x:c r="T5" s="373"/>
      <x:c r="U5" s="373"/>
      <x:c r="V5" s="373"/>
      <x:c r="W5" s="373"/>
      <x:c r="X5" s="373"/>
      <x:c r="Y5" s="373"/>
      <x:c r="Z5" s="373"/>
    </x:row>
    <x:row r="6">
      <x:c r="A6" s="411" t="str"/>
      <x:c r="B6" s="468" t="str"/>
      <x:c r="C6" s="411" t="str"/>
      <x:c r="D6" s="411" t="str"/>
      <x:c r="E6" s="411" t="str"/>
      <x:c r="F6" s="411" t="str"/>
      <x:c r="G6" s="411" t="str"/>
      <x:c r="H6" s="411" t="str"/>
      <x:c r="I6" s="411" t="str"/>
      <x:c r="J6" s="411" t="str"/>
      <x:c r="K6" s="411" t="str"/>
      <x:c r="L6" s="411" t="str"/>
      <x:c r="M6" s="411" t="str"/>
      <x:c r="N6" s="464" t="str">
        <x:f>IF(OR(L6="",M6=""),"",IF(L6&lt;=M6,"Passed","Review"))</x:f>
      </x:c>
      <x:c r="O6" s="411" t="str"/>
      <x:c r="P6" s="411" t="str"/>
      <x:c r="Q6" s="411" t="str"/>
      <x:c r="R6" s="411" t="str"/>
      <x:c r="S6" s="373"/>
      <x:c r="T6" s="373"/>
      <x:c r="U6" s="373"/>
      <x:c r="V6" s="373"/>
      <x:c r="W6" s="373"/>
      <x:c r="X6" s="373"/>
      <x:c r="Y6" s="373"/>
      <x:c r="Z6" s="373"/>
    </x:row>
    <x:row r="7">
      <x:c r="A7" s="411" t="str"/>
      <x:c r="B7" s="468" t="str"/>
      <x:c r="C7" s="411" t="str"/>
      <x:c r="D7" s="411" t="str"/>
      <x:c r="E7" s="411" t="str"/>
      <x:c r="F7" s="411" t="str"/>
      <x:c r="G7" s="411" t="str"/>
      <x:c r="H7" s="411" t="str"/>
      <x:c r="I7" s="411" t="str"/>
      <x:c r="J7" s="411" t="str"/>
      <x:c r="K7" s="411" t="str"/>
      <x:c r="L7" s="411" t="str"/>
      <x:c r="M7" s="411" t="str"/>
      <x:c r="N7" s="464" t="str">
        <x:f>IF(OR(L7="",M7=""),"",IF(L7&lt;=M7,"Passed","Review"))</x:f>
      </x:c>
      <x:c r="O7" s="411" t="str"/>
      <x:c r="P7" s="411" t="str"/>
      <x:c r="Q7" s="411" t="str"/>
      <x:c r="R7" s="411" t="str"/>
      <x:c r="S7" s="373"/>
      <x:c r="T7" s="373"/>
      <x:c r="U7" s="373"/>
      <x:c r="V7" s="373"/>
      <x:c r="W7" s="373"/>
      <x:c r="X7" s="373"/>
      <x:c r="Y7" s="373"/>
      <x:c r="Z7" s="373"/>
    </x:row>
    <x:row r="8">
      <x:c r="A8" s="411" t="str"/>
      <x:c r="B8" s="468" t="str"/>
      <x:c r="C8" s="411" t="str"/>
      <x:c r="D8" s="411" t="str"/>
      <x:c r="E8" s="411" t="str"/>
      <x:c r="F8" s="411" t="str"/>
      <x:c r="G8" s="411" t="str"/>
      <x:c r="H8" s="411" t="str"/>
      <x:c r="I8" s="411" t="str"/>
      <x:c r="J8" s="411" t="str"/>
      <x:c r="K8" s="411" t="str"/>
      <x:c r="L8" s="411" t="str"/>
      <x:c r="M8" s="411" t="str"/>
      <x:c r="N8" s="464" t="str">
        <x:f>IF(OR(L8="",M8=""),"",IF(L8&lt;=M8,"Passed","Review"))</x:f>
      </x:c>
      <x:c r="O8" s="411" t="str"/>
      <x:c r="P8" s="411" t="str"/>
      <x:c r="Q8" s="411" t="str"/>
      <x:c r="R8" s="411" t="str"/>
      <x:c r="S8" s="373"/>
      <x:c r="T8" s="373"/>
      <x:c r="U8" s="373"/>
      <x:c r="V8" s="373"/>
      <x:c r="W8" s="373"/>
      <x:c r="X8" s="373"/>
      <x:c r="Y8" s="373"/>
      <x:c r="Z8" s="373"/>
    </x:row>
    <x:row r="9">
      <x:c r="A9" s="411" t="str"/>
      <x:c r="B9" s="468" t="str"/>
      <x:c r="C9" s="411" t="str"/>
      <x:c r="D9" s="411" t="str"/>
      <x:c r="E9" s="411" t="str"/>
      <x:c r="F9" s="411" t="str"/>
      <x:c r="G9" s="411" t="str"/>
      <x:c r="H9" s="411" t="str"/>
      <x:c r="I9" s="411" t="str"/>
      <x:c r="J9" s="411" t="str"/>
      <x:c r="K9" s="411" t="str"/>
      <x:c r="L9" s="411" t="str"/>
      <x:c r="M9" s="411" t="str"/>
      <x:c r="N9" s="464" t="str">
        <x:f>IF(OR(L9="",M9=""),"",IF(L9&lt;=M9,"Passed","Review"))</x:f>
      </x:c>
      <x:c r="O9" s="411" t="str"/>
      <x:c r="P9" s="411" t="str"/>
      <x:c r="Q9" s="411" t="str"/>
      <x:c r="R9" s="411" t="str"/>
      <x:c r="S9" s="373"/>
      <x:c r="T9" s="373"/>
      <x:c r="U9" s="373"/>
      <x:c r="V9" s="373"/>
      <x:c r="W9" s="373"/>
      <x:c r="X9" s="373"/>
      <x:c r="Y9" s="373"/>
      <x:c r="Z9" s="373"/>
    </x:row>
    <x:row r="10">
      <x:c r="A10" s="411" t="str"/>
      <x:c r="B10" s="468" t="str"/>
      <x:c r="C10" s="411" t="str"/>
      <x:c r="D10" s="411" t="str"/>
      <x:c r="E10" s="411" t="str"/>
      <x:c r="F10" s="411" t="str"/>
      <x:c r="G10" s="411" t="str"/>
      <x:c r="H10" s="411" t="str"/>
      <x:c r="I10" s="411" t="str"/>
      <x:c r="J10" s="411" t="str"/>
      <x:c r="K10" s="411" t="str"/>
      <x:c r="L10" s="411" t="str"/>
      <x:c r="M10" s="411" t="str"/>
      <x:c r="N10" s="464" t="str">
        <x:f>IF(OR(L10="",M10=""),"",IF(L10&lt;=M10,"Passed","Review"))</x:f>
      </x:c>
      <x:c r="O10" s="411" t="str"/>
      <x:c r="P10" s="411" t="str"/>
      <x:c r="Q10" s="411" t="str"/>
      <x:c r="R10" s="411" t="str"/>
      <x:c r="S10" s="373"/>
      <x:c r="T10" s="373"/>
      <x:c r="U10" s="373"/>
      <x:c r="V10" s="373"/>
      <x:c r="W10" s="373"/>
      <x:c r="X10" s="373"/>
      <x:c r="Y10" s="373"/>
      <x:c r="Z10" s="373"/>
    </x:row>
    <x:row r="11">
      <x:c r="A11" s="411" t="str"/>
      <x:c r="B11" s="468" t="str"/>
      <x:c r="C11" s="411" t="str"/>
      <x:c r="D11" s="411" t="str"/>
      <x:c r="E11" s="411" t="str"/>
      <x:c r="F11" s="411" t="str"/>
      <x:c r="G11" s="411" t="str"/>
      <x:c r="H11" s="411" t="str"/>
      <x:c r="I11" s="411" t="str"/>
      <x:c r="J11" s="411" t="str"/>
      <x:c r="K11" s="411" t="str"/>
      <x:c r="L11" s="411" t="str"/>
      <x:c r="M11" s="411" t="str"/>
      <x:c r="N11" s="464" t="str">
        <x:f>IF(OR(L11="",M11=""),"",IF(L11&lt;=M11,"Passed","Review"))</x:f>
      </x:c>
      <x:c r="O11" s="411" t="str"/>
      <x:c r="P11" s="411" t="str"/>
      <x:c r="Q11" s="411" t="str"/>
      <x:c r="R11" s="411" t="str"/>
      <x:c r="S11" s="373"/>
      <x:c r="T11" s="373"/>
      <x:c r="U11" s="373"/>
      <x:c r="V11" s="373"/>
      <x:c r="W11" s="373"/>
      <x:c r="X11" s="373"/>
      <x:c r="Y11" s="373"/>
      <x:c r="Z11" s="373"/>
    </x:row>
    <x:row r="12">
      <x:c r="A12" s="411" t="str"/>
      <x:c r="B12" s="468" t="str"/>
      <x:c r="C12" s="411" t="str"/>
      <x:c r="D12" s="411" t="str"/>
      <x:c r="E12" s="411" t="str"/>
      <x:c r="F12" s="411" t="str"/>
      <x:c r="G12" s="411" t="str"/>
      <x:c r="H12" s="411" t="str"/>
      <x:c r="I12" s="411" t="str"/>
      <x:c r="J12" s="411" t="str"/>
      <x:c r="K12" s="411" t="str"/>
      <x:c r="L12" s="411" t="str"/>
      <x:c r="M12" s="411" t="str"/>
      <x:c r="N12" s="464" t="str">
        <x:f>IF(OR(L12="",M12=""),"",IF(L12&lt;=M12,"Passed","Review"))</x:f>
      </x:c>
      <x:c r="O12" s="411" t="str"/>
      <x:c r="P12" s="411" t="str"/>
      <x:c r="Q12" s="411" t="str"/>
      <x:c r="R12" s="411" t="str"/>
      <x:c r="S12" s="373"/>
      <x:c r="T12" s="373"/>
      <x:c r="U12" s="373"/>
      <x:c r="V12" s="373"/>
      <x:c r="W12" s="373"/>
      <x:c r="X12" s="373"/>
      <x:c r="Y12" s="373"/>
      <x:c r="Z12" s="373"/>
    </x:row>
    <x:row r="13">
      <x:c r="A13" s="411" t="str"/>
      <x:c r="B13" s="468" t="str"/>
      <x:c r="C13" s="411" t="str"/>
      <x:c r="D13" s="411" t="str"/>
      <x:c r="E13" s="411" t="str"/>
      <x:c r="F13" s="411" t="str"/>
      <x:c r="G13" s="411" t="str"/>
      <x:c r="H13" s="411" t="str"/>
      <x:c r="I13" s="411" t="str"/>
      <x:c r="J13" s="411" t="str"/>
      <x:c r="K13" s="411" t="str"/>
      <x:c r="L13" s="411" t="str"/>
      <x:c r="M13" s="411" t="str"/>
      <x:c r="N13" s="464" t="str">
        <x:f>IF(OR(L13="",M13=""),"",IF(L13&lt;=M13,"Passed","Review"))</x:f>
      </x:c>
      <x:c r="O13" s="411" t="str"/>
      <x:c r="P13" s="411" t="str"/>
      <x:c r="Q13" s="411" t="str"/>
      <x:c r="R13" s="411" t="str"/>
      <x:c r="S13" s="373"/>
      <x:c r="T13" s="373"/>
      <x:c r="U13" s="373"/>
      <x:c r="V13" s="373"/>
      <x:c r="W13" s="373"/>
      <x:c r="X13" s="373"/>
      <x:c r="Y13" s="373"/>
      <x:c r="Z13" s="373"/>
    </x:row>
    <x:row r="14">
      <x:c r="A14" s="411" t="str"/>
      <x:c r="B14" s="468" t="str"/>
      <x:c r="C14" s="411" t="str"/>
      <x:c r="D14" s="411" t="str"/>
      <x:c r="E14" s="411" t="str"/>
      <x:c r="F14" s="411" t="str"/>
      <x:c r="G14" s="411" t="str"/>
      <x:c r="H14" s="411" t="str"/>
      <x:c r="I14" s="411" t="str"/>
      <x:c r="J14" s="411" t="str"/>
      <x:c r="K14" s="411" t="str"/>
      <x:c r="L14" s="411" t="str"/>
      <x:c r="M14" s="411" t="str"/>
      <x:c r="N14" s="464" t="str">
        <x:f>IF(OR(L14="",M14=""),"",IF(L14&lt;=M14,"Passed","Review"))</x:f>
      </x:c>
      <x:c r="O14" s="411" t="str"/>
      <x:c r="P14" s="411" t="str"/>
      <x:c r="Q14" s="411" t="str"/>
      <x:c r="R14" s="411" t="str"/>
      <x:c r="S14" s="373"/>
      <x:c r="T14" s="373"/>
      <x:c r="U14" s="373"/>
      <x:c r="V14" s="373"/>
      <x:c r="W14" s="373"/>
      <x:c r="X14" s="373"/>
      <x:c r="Y14" s="373"/>
      <x:c r="Z14" s="373"/>
    </x:row>
    <x:row r="15">
      <x:c r="A15" s="411" t="str"/>
      <x:c r="B15" s="468" t="str"/>
      <x:c r="C15" s="411" t="str"/>
      <x:c r="D15" s="411" t="str"/>
      <x:c r="E15" s="411" t="str"/>
      <x:c r="F15" s="411" t="str"/>
      <x:c r="G15" s="411" t="str"/>
      <x:c r="H15" s="411" t="str"/>
      <x:c r="I15" s="411" t="str"/>
      <x:c r="J15" s="411" t="str"/>
      <x:c r="K15" s="411" t="str"/>
      <x:c r="L15" s="411" t="str"/>
      <x:c r="M15" s="411" t="str"/>
      <x:c r="N15" s="464" t="str">
        <x:f>IF(OR(L15="",M15=""),"",IF(L15&lt;=M15,"Passed","Review"))</x:f>
      </x:c>
      <x:c r="O15" s="411" t="str"/>
      <x:c r="P15" s="411" t="str"/>
      <x:c r="Q15" s="411" t="str"/>
      <x:c r="R15" s="411" t="str"/>
      <x:c r="S15" s="373"/>
      <x:c r="T15" s="373"/>
      <x:c r="U15" s="373"/>
      <x:c r="V15" s="373"/>
      <x:c r="W15" s="373"/>
      <x:c r="X15" s="373"/>
      <x:c r="Y15" s="373"/>
      <x:c r="Z15" s="373"/>
    </x:row>
    <x:row r="16">
      <x:c r="A16" s="411" t="str"/>
      <x:c r="B16" s="468" t="str"/>
      <x:c r="C16" s="411" t="str"/>
      <x:c r="D16" s="411" t="str"/>
      <x:c r="E16" s="411" t="str"/>
      <x:c r="F16" s="411" t="str"/>
      <x:c r="G16" s="411" t="str"/>
      <x:c r="H16" s="411" t="str"/>
      <x:c r="I16" s="411" t="str"/>
      <x:c r="J16" s="411" t="str"/>
      <x:c r="K16" s="411" t="str"/>
      <x:c r="L16" s="411" t="str"/>
      <x:c r="M16" s="411" t="str"/>
      <x:c r="N16" s="464" t="str">
        <x:f>IF(OR(L16="",M16=""),"",IF(L16&lt;=M16,"Passed","Review"))</x:f>
      </x:c>
      <x:c r="O16" s="411" t="str"/>
      <x:c r="P16" s="411" t="str"/>
      <x:c r="Q16" s="411" t="str"/>
      <x:c r="R16" s="411" t="str"/>
      <x:c r="S16" s="373"/>
      <x:c r="T16" s="373"/>
      <x:c r="U16" s="373"/>
      <x:c r="V16" s="373"/>
      <x:c r="W16" s="373"/>
      <x:c r="X16" s="373"/>
      <x:c r="Y16" s="373"/>
      <x:c r="Z16" s="373"/>
    </x:row>
    <x:row r="17">
      <x:c r="A17" s="411" t="str"/>
      <x:c r="B17" s="468" t="str"/>
      <x:c r="C17" s="411" t="str"/>
      <x:c r="D17" s="411" t="str"/>
      <x:c r="E17" s="411" t="str"/>
      <x:c r="F17" s="411" t="str"/>
      <x:c r="G17" s="411" t="str"/>
      <x:c r="H17" s="411" t="str"/>
      <x:c r="I17" s="411" t="str"/>
      <x:c r="J17" s="411" t="str"/>
      <x:c r="K17" s="411" t="str"/>
      <x:c r="L17" s="411" t="str"/>
      <x:c r="M17" s="411" t="str"/>
      <x:c r="N17" s="464" t="str">
        <x:f>IF(OR(L17="",M17=""),"",IF(L17&lt;=M17,"Passed","Review"))</x:f>
      </x:c>
      <x:c r="O17" s="411" t="str"/>
      <x:c r="P17" s="411" t="str"/>
      <x:c r="Q17" s="411" t="str"/>
      <x:c r="R17" s="411" t="str"/>
      <x:c r="S17" s="373"/>
      <x:c r="T17" s="373"/>
      <x:c r="U17" s="373"/>
      <x:c r="V17" s="373"/>
      <x:c r="W17" s="373"/>
      <x:c r="X17" s="373"/>
      <x:c r="Y17" s="373"/>
      <x:c r="Z17" s="373"/>
    </x:row>
    <x:row r="18">
      <x:c r="A18" s="411" t="str"/>
      <x:c r="B18" s="468" t="str"/>
      <x:c r="C18" s="411" t="str"/>
      <x:c r="D18" s="411" t="str"/>
      <x:c r="E18" s="411" t="str"/>
      <x:c r="F18" s="411" t="str"/>
      <x:c r="G18" s="411" t="str"/>
      <x:c r="H18" s="411" t="str"/>
      <x:c r="I18" s="411" t="str"/>
      <x:c r="J18" s="411" t="str"/>
      <x:c r="K18" s="411" t="str"/>
      <x:c r="L18" s="411" t="str"/>
      <x:c r="M18" s="411" t="str"/>
      <x:c r="N18" s="464" t="str">
        <x:f>IF(OR(L18="",M18=""),"",IF(L18&lt;=M18,"Passed","Review"))</x:f>
      </x:c>
      <x:c r="O18" s="411" t="str"/>
      <x:c r="P18" s="411" t="str"/>
      <x:c r="Q18" s="411" t="str"/>
      <x:c r="R18" s="411" t="str"/>
      <x:c r="S18" s="373"/>
      <x:c r="T18" s="373"/>
      <x:c r="U18" s="373"/>
      <x:c r="V18" s="373"/>
      <x:c r="W18" s="373"/>
      <x:c r="X18" s="373"/>
      <x:c r="Y18" s="373"/>
      <x:c r="Z18" s="373"/>
    </x:row>
    <x:row r="19">
      <x:c r="A19" s="411" t="str"/>
      <x:c r="B19" s="468" t="str"/>
      <x:c r="C19" s="411" t="str"/>
      <x:c r="D19" s="411" t="str"/>
      <x:c r="E19" s="411" t="str"/>
      <x:c r="F19" s="411" t="str"/>
      <x:c r="G19" s="411" t="str"/>
      <x:c r="H19" s="411" t="str"/>
      <x:c r="I19" s="411" t="str"/>
      <x:c r="J19" s="411" t="str"/>
      <x:c r="K19" s="411" t="str"/>
      <x:c r="L19" s="411" t="str"/>
      <x:c r="M19" s="411" t="str"/>
      <x:c r="N19" s="464" t="str">
        <x:f>IF(OR(L19="",M19=""),"",IF(L19&lt;=M19,"Passed","Review"))</x:f>
      </x:c>
      <x:c r="O19" s="411" t="str"/>
      <x:c r="P19" s="411" t="str"/>
      <x:c r="Q19" s="411" t="str"/>
      <x:c r="R19" s="411" t="str"/>
      <x:c r="S19" s="373"/>
      <x:c r="T19" s="373"/>
      <x:c r="U19" s="373"/>
      <x:c r="V19" s="373"/>
      <x:c r="W19" s="373"/>
      <x:c r="X19" s="373"/>
      <x:c r="Y19" s="373"/>
      <x:c r="Z19" s="373"/>
    </x:row>
    <x:row r="20">
      <x:c r="A20" s="411" t="str"/>
      <x:c r="B20" s="468" t="str"/>
      <x:c r="C20" s="411" t="str"/>
      <x:c r="D20" s="411" t="str"/>
      <x:c r="E20" s="411" t="str"/>
      <x:c r="F20" s="411" t="str"/>
      <x:c r="G20" s="411" t="str"/>
      <x:c r="H20" s="411" t="str"/>
      <x:c r="I20" s="411" t="str"/>
      <x:c r="J20" s="411" t="str"/>
      <x:c r="K20" s="411" t="str"/>
      <x:c r="L20" s="411" t="str"/>
      <x:c r="M20" s="411" t="str"/>
      <x:c r="N20" s="464" t="str">
        <x:f>IF(OR(L20="",M20=""),"",IF(L20&lt;=M20,"Passed","Review"))</x:f>
      </x:c>
      <x:c r="O20" s="411" t="str"/>
      <x:c r="P20" s="411" t="str"/>
      <x:c r="Q20" s="411" t="str"/>
      <x:c r="R20" s="411" t="str"/>
      <x:c r="S20" s="373"/>
      <x:c r="T20" s="373"/>
      <x:c r="U20" s="373"/>
      <x:c r="V20" s="373"/>
      <x:c r="W20" s="373"/>
      <x:c r="X20" s="373"/>
      <x:c r="Y20" s="373"/>
      <x:c r="Z20" s="373"/>
    </x:row>
    <x:row r="21">
      <x:c r="A21" s="411" t="str"/>
      <x:c r="B21" s="468" t="str"/>
      <x:c r="C21" s="411" t="str"/>
      <x:c r="D21" s="411" t="str"/>
      <x:c r="E21" s="411" t="str"/>
      <x:c r="F21" s="411" t="str"/>
      <x:c r="G21" s="411" t="str"/>
      <x:c r="H21" s="411" t="str"/>
      <x:c r="I21" s="411" t="str"/>
      <x:c r="J21" s="411" t="str"/>
      <x:c r="K21" s="411" t="str"/>
      <x:c r="L21" s="411" t="str"/>
      <x:c r="M21" s="411" t="str"/>
      <x:c r="N21" s="464" t="str">
        <x:f>IF(OR(L21="",M21=""),"",IF(L21&lt;=M21,"Passed","Review"))</x:f>
      </x:c>
      <x:c r="O21" s="411" t="str"/>
      <x:c r="P21" s="411" t="str"/>
      <x:c r="Q21" s="411" t="str"/>
      <x:c r="R21" s="411" t="str"/>
      <x:c r="S21" s="373"/>
      <x:c r="T21" s="373"/>
      <x:c r="U21" s="373"/>
      <x:c r="V21" s="373"/>
      <x:c r="W21" s="373"/>
      <x:c r="X21" s="373"/>
      <x:c r="Y21" s="373"/>
      <x:c r="Z21" s="373"/>
    </x:row>
    <x:row r="22">
      <x:c r="A22" s="411" t="str"/>
      <x:c r="B22" s="468" t="str"/>
      <x:c r="C22" s="411" t="str"/>
      <x:c r="D22" s="411" t="str"/>
      <x:c r="E22" s="411" t="str"/>
      <x:c r="F22" s="411" t="str"/>
      <x:c r="G22" s="411" t="str"/>
      <x:c r="H22" s="411" t="str"/>
      <x:c r="I22" s="411" t="str"/>
      <x:c r="J22" s="411" t="str"/>
      <x:c r="K22" s="411" t="str"/>
      <x:c r="L22" s="411" t="str"/>
      <x:c r="M22" s="411" t="str"/>
      <x:c r="N22" s="464" t="str">
        <x:f>IF(OR(L22="",M22=""),"",IF(L22&lt;=M22,"Passed","Review"))</x:f>
      </x:c>
      <x:c r="O22" s="411" t="str"/>
      <x:c r="P22" s="411" t="str"/>
      <x:c r="Q22" s="411" t="str"/>
      <x:c r="R22" s="411" t="str"/>
      <x:c r="S22" s="373"/>
      <x:c r="T22" s="373"/>
      <x:c r="U22" s="373"/>
      <x:c r="V22" s="373"/>
      <x:c r="W22" s="373"/>
      <x:c r="X22" s="373"/>
      <x:c r="Y22" s="373"/>
      <x:c r="Z22" s="373"/>
    </x:row>
    <x:row r="23">
      <x:c r="A23" s="411" t="str"/>
      <x:c r="B23" s="468" t="str"/>
      <x:c r="C23" s="411" t="str"/>
      <x:c r="D23" s="411" t="str"/>
      <x:c r="E23" s="411" t="str"/>
      <x:c r="F23" s="411" t="str"/>
      <x:c r="G23" s="411" t="str"/>
      <x:c r="H23" s="411" t="str"/>
      <x:c r="I23" s="411" t="str"/>
      <x:c r="J23" s="411" t="str"/>
      <x:c r="K23" s="411" t="str"/>
      <x:c r="L23" s="411" t="str"/>
      <x:c r="M23" s="411" t="str"/>
      <x:c r="N23" s="464" t="str">
        <x:f>IF(OR(L23="",M23=""),"",IF(L23&lt;=M23,"Passed","Review"))</x:f>
      </x:c>
      <x:c r="O23" s="411" t="str"/>
      <x:c r="P23" s="411" t="str"/>
      <x:c r="Q23" s="411" t="str"/>
      <x:c r="R23" s="411" t="str"/>
      <x:c r="S23" s="373"/>
      <x:c r="T23" s="373"/>
      <x:c r="U23" s="373"/>
      <x:c r="V23" s="373"/>
      <x:c r="W23" s="373"/>
      <x:c r="X23" s="373"/>
      <x:c r="Y23" s="373"/>
      <x:c r="Z23" s="373"/>
    </x:row>
    <x:row r="24">
      <x:c r="A24" s="411" t="str"/>
      <x:c r="B24" s="468" t="str"/>
      <x:c r="C24" s="411" t="str"/>
      <x:c r="D24" s="411" t="str"/>
      <x:c r="E24" s="411" t="str"/>
      <x:c r="F24" s="411" t="str"/>
      <x:c r="G24" s="411" t="str"/>
      <x:c r="H24" s="411" t="str"/>
      <x:c r="I24" s="411" t="str"/>
      <x:c r="J24" s="411" t="str"/>
      <x:c r="K24" s="411" t="str"/>
      <x:c r="L24" s="411" t="str"/>
      <x:c r="M24" s="411" t="str"/>
      <x:c r="N24" s="464" t="str">
        <x:f>IF(OR(L24="",M24=""),"",IF(L24&lt;=M24,"Passed","Review"))</x:f>
      </x:c>
      <x:c r="O24" s="411" t="str"/>
      <x:c r="P24" s="411" t="str"/>
      <x:c r="Q24" s="411" t="str"/>
      <x:c r="R24" s="411" t="str"/>
      <x:c r="S24" s="373"/>
      <x:c r="T24" s="373"/>
      <x:c r="U24" s="373"/>
      <x:c r="V24" s="373"/>
      <x:c r="W24" s="373"/>
      <x:c r="X24" s="373"/>
      <x:c r="Y24" s="373"/>
      <x:c r="Z24" s="373"/>
    </x:row>
    <x:row r="25">
      <x:c r="A25" s="411" t="str"/>
      <x:c r="B25" s="468" t="str"/>
      <x:c r="C25" s="411" t="str"/>
      <x:c r="D25" s="411" t="str"/>
      <x:c r="E25" s="411" t="str"/>
      <x:c r="F25" s="411" t="str"/>
      <x:c r="G25" s="411" t="str"/>
      <x:c r="H25" s="411" t="str"/>
      <x:c r="I25" s="411" t="str"/>
      <x:c r="J25" s="411" t="str"/>
      <x:c r="K25" s="411" t="str"/>
      <x:c r="L25" s="411" t="str"/>
      <x:c r="M25" s="411" t="str"/>
      <x:c r="N25" s="464" t="str">
        <x:f>IF(OR(L25="",M25=""),"",IF(L25&lt;=M25,"Passed","Review"))</x:f>
      </x:c>
      <x:c r="O25" s="411" t="str"/>
      <x:c r="P25" s="411" t="str"/>
      <x:c r="Q25" s="411" t="str"/>
      <x:c r="R25" s="411" t="str"/>
      <x:c r="S25" s="373"/>
      <x:c r="T25" s="373"/>
      <x:c r="U25" s="373"/>
      <x:c r="V25" s="373"/>
      <x:c r="W25" s="373"/>
      <x:c r="X25" s="373"/>
      <x:c r="Y25" s="373"/>
      <x:c r="Z25" s="373"/>
    </x:row>
    <x:row r="26">
      <x:c r="A26" s="411" t="str"/>
      <x:c r="B26" s="468" t="str"/>
      <x:c r="C26" s="411" t="str"/>
      <x:c r="D26" s="411" t="str"/>
      <x:c r="E26" s="411" t="str"/>
      <x:c r="F26" s="411" t="str"/>
      <x:c r="G26" s="411" t="str"/>
      <x:c r="H26" s="411" t="str"/>
      <x:c r="I26" s="411" t="str"/>
      <x:c r="J26" s="411" t="str"/>
      <x:c r="K26" s="411" t="str"/>
      <x:c r="L26" s="411" t="str"/>
      <x:c r="M26" s="411" t="str"/>
      <x:c r="N26" s="464" t="str">
        <x:f>IF(OR(L26="",M26=""),"",IF(L26&lt;=M26,"Passed","Review"))</x:f>
      </x:c>
      <x:c r="O26" s="411" t="str"/>
      <x:c r="P26" s="411" t="str"/>
      <x:c r="Q26" s="411" t="str"/>
      <x:c r="R26" s="411" t="str"/>
      <x:c r="S26" s="373"/>
      <x:c r="T26" s="373"/>
      <x:c r="U26" s="373"/>
      <x:c r="V26" s="373"/>
      <x:c r="W26" s="373"/>
      <x:c r="X26" s="373"/>
      <x:c r="Y26" s="373"/>
      <x:c r="Z26" s="373"/>
    </x:row>
    <x:row r="27">
      <x:c r="A27" s="411" t="str"/>
      <x:c r="B27" s="468" t="str"/>
      <x:c r="C27" s="411" t="str"/>
      <x:c r="D27" s="411" t="str"/>
      <x:c r="E27" s="411" t="str"/>
      <x:c r="F27" s="411" t="str"/>
      <x:c r="G27" s="411" t="str"/>
      <x:c r="H27" s="411" t="str"/>
      <x:c r="I27" s="411" t="str"/>
      <x:c r="J27" s="411" t="str"/>
      <x:c r="K27" s="411" t="str"/>
      <x:c r="L27" s="411" t="str"/>
      <x:c r="M27" s="411" t="str"/>
      <x:c r="N27" s="464" t="str">
        <x:f>IF(OR(L27="",M27=""),"",IF(L27&lt;=M27,"Passed","Review"))</x:f>
      </x:c>
      <x:c r="O27" s="411" t="str"/>
      <x:c r="P27" s="411" t="str"/>
      <x:c r="Q27" s="411" t="str"/>
      <x:c r="R27" s="411" t="str"/>
      <x:c r="S27" s="373"/>
      <x:c r="T27" s="373"/>
      <x:c r="U27" s="373"/>
      <x:c r="V27" s="373"/>
      <x:c r="W27" s="373"/>
      <x:c r="X27" s="373"/>
      <x:c r="Y27" s="373"/>
      <x:c r="Z27" s="373"/>
    </x:row>
    <x:row r="28">
      <x:c r="A28" s="411" t="str"/>
      <x:c r="B28" s="468" t="str"/>
      <x:c r="C28" s="411" t="str"/>
      <x:c r="D28" s="411" t="str"/>
      <x:c r="E28" s="411" t="str"/>
      <x:c r="F28" s="411" t="str"/>
      <x:c r="G28" s="411" t="str"/>
      <x:c r="H28" s="411" t="str"/>
      <x:c r="I28" s="411" t="str"/>
      <x:c r="J28" s="411" t="str"/>
      <x:c r="K28" s="411" t="str"/>
      <x:c r="L28" s="411" t="str"/>
      <x:c r="M28" s="411" t="str"/>
      <x:c r="N28" s="464" t="str">
        <x:f>IF(OR(L28="",M28=""),"",IF(L28&lt;=M28,"Passed","Review"))</x:f>
      </x:c>
      <x:c r="O28" s="411" t="str"/>
      <x:c r="P28" s="411" t="str"/>
      <x:c r="Q28" s="411" t="str"/>
      <x:c r="R28" s="411" t="str"/>
      <x:c r="S28" s="373"/>
      <x:c r="T28" s="373"/>
      <x:c r="U28" s="373"/>
      <x:c r="V28" s="373"/>
      <x:c r="W28" s="373"/>
      <x:c r="X28" s="373"/>
      <x:c r="Y28" s="373"/>
      <x:c r="Z28" s="373"/>
    </x:row>
    <x:row r="29">
      <x:c r="A29" s="411" t="str"/>
      <x:c r="B29" s="468" t="str"/>
      <x:c r="C29" s="411" t="str"/>
      <x:c r="D29" s="411" t="str"/>
      <x:c r="E29" s="411" t="str"/>
      <x:c r="F29" s="411" t="str"/>
      <x:c r="G29" s="411" t="str"/>
      <x:c r="H29" s="411" t="str"/>
      <x:c r="I29" s="411" t="str"/>
      <x:c r="J29" s="411" t="str"/>
      <x:c r="K29" s="411" t="str"/>
      <x:c r="L29" s="411" t="str"/>
      <x:c r="M29" s="411" t="str"/>
      <x:c r="N29" s="464" t="str">
        <x:f>IF(OR(L29="",M29=""),"",IF(L29&lt;=M29,"Passed","Review"))</x:f>
      </x:c>
      <x:c r="O29" s="411" t="str"/>
      <x:c r="P29" s="411" t="str"/>
      <x:c r="Q29" s="411" t="str"/>
      <x:c r="R29" s="411" t="str"/>
      <x:c r="S29" s="373"/>
      <x:c r="T29" s="373"/>
      <x:c r="U29" s="373"/>
      <x:c r="V29" s="373"/>
      <x:c r="W29" s="373"/>
      <x:c r="X29" s="373"/>
      <x:c r="Y29" s="373"/>
      <x:c r="Z29" s="373"/>
    </x:row>
    <x:row r="30">
      <x:c r="A30" s="411" t="str"/>
      <x:c r="B30" s="468" t="str"/>
      <x:c r="C30" s="411" t="str"/>
      <x:c r="D30" s="411" t="str"/>
      <x:c r="E30" s="411" t="str"/>
      <x:c r="F30" s="411" t="str"/>
      <x:c r="G30" s="411" t="str"/>
      <x:c r="H30" s="411" t="str"/>
      <x:c r="I30" s="411" t="str"/>
      <x:c r="J30" s="411" t="str"/>
      <x:c r="K30" s="411" t="str"/>
      <x:c r="L30" s="411" t="str"/>
      <x:c r="M30" s="411" t="str"/>
      <x:c r="N30" s="464" t="str">
        <x:f>IF(OR(L30="",M30=""),"",IF(L30&lt;=M30,"Passed","Review"))</x:f>
      </x:c>
      <x:c r="O30" s="411" t="str"/>
      <x:c r="P30" s="411" t="str"/>
      <x:c r="Q30" s="411" t="str"/>
      <x:c r="R30" s="411" t="str"/>
      <x:c r="S30" s="373"/>
      <x:c r="T30" s="373"/>
      <x:c r="U30" s="373"/>
      <x:c r="V30" s="373"/>
      <x:c r="W30" s="373"/>
      <x:c r="X30" s="373"/>
      <x:c r="Y30" s="373"/>
      <x:c r="Z30" s="373"/>
    </x:row>
    <x:row r="31">
      <x:c r="A31" s="411" t="str"/>
      <x:c r="B31" s="468" t="str"/>
      <x:c r="C31" s="411" t="str"/>
      <x:c r="D31" s="411" t="str"/>
      <x:c r="E31" s="411" t="str"/>
      <x:c r="F31" s="411" t="str"/>
      <x:c r="G31" s="411" t="str"/>
      <x:c r="H31" s="411" t="str"/>
      <x:c r="I31" s="411" t="str"/>
      <x:c r="J31" s="411" t="str"/>
      <x:c r="K31" s="411" t="str"/>
      <x:c r="L31" s="411" t="str"/>
      <x:c r="M31" s="411" t="str"/>
      <x:c r="N31" s="464" t="str">
        <x:f>IF(OR(L31="",M31=""),"",IF(L31&lt;=M31,"Passed","Review"))</x:f>
      </x:c>
      <x:c r="O31" s="411" t="str"/>
      <x:c r="P31" s="411" t="str"/>
      <x:c r="Q31" s="411" t="str"/>
      <x:c r="R31" s="411" t="str"/>
      <x:c r="S31" s="373"/>
      <x:c r="T31" s="373"/>
      <x:c r="U31" s="373"/>
      <x:c r="V31" s="373"/>
      <x:c r="W31" s="373"/>
      <x:c r="X31" s="373"/>
      <x:c r="Y31" s="373"/>
      <x:c r="Z31" s="373"/>
    </x:row>
    <x:row r="32">
      <x:c r="A32" s="411" t="str"/>
      <x:c r="B32" s="468" t="str"/>
      <x:c r="C32" s="411" t="str"/>
      <x:c r="D32" s="411" t="str"/>
      <x:c r="E32" s="411" t="str"/>
      <x:c r="F32" s="411" t="str"/>
      <x:c r="G32" s="411" t="str"/>
      <x:c r="H32" s="411" t="str"/>
      <x:c r="I32" s="411" t="str"/>
      <x:c r="J32" s="411" t="str"/>
      <x:c r="K32" s="411" t="str"/>
      <x:c r="L32" s="411" t="str"/>
      <x:c r="M32" s="411" t="str"/>
      <x:c r="N32" s="464" t="str">
        <x:f>IF(OR(L32="",M32=""),"",IF(L32&lt;=M32,"Passed","Review"))</x:f>
      </x:c>
      <x:c r="O32" s="411" t="str"/>
      <x:c r="P32" s="411" t="str"/>
      <x:c r="Q32" s="411" t="str"/>
      <x:c r="R32" s="411" t="str"/>
      <x:c r="S32" s="373"/>
      <x:c r="T32" s="373"/>
      <x:c r="U32" s="373"/>
      <x:c r="V32" s="373"/>
      <x:c r="W32" s="373"/>
      <x:c r="X32" s="373"/>
      <x:c r="Y32" s="373"/>
      <x:c r="Z32" s="373"/>
    </x:row>
    <x:row r="33">
      <x:c r="A33" s="411" t="str"/>
      <x:c r="B33" s="468" t="str"/>
      <x:c r="C33" s="411" t="str"/>
      <x:c r="D33" s="411" t="str"/>
      <x:c r="E33" s="411" t="str"/>
      <x:c r="F33" s="411" t="str"/>
      <x:c r="G33" s="411" t="str"/>
      <x:c r="H33" s="411" t="str"/>
      <x:c r="I33" s="411" t="str"/>
      <x:c r="J33" s="411" t="str"/>
      <x:c r="K33" s="411" t="str"/>
      <x:c r="L33" s="411" t="str"/>
      <x:c r="M33" s="411" t="str"/>
      <x:c r="N33" s="464" t="str">
        <x:f>IF(OR(L33="",M33=""),"",IF(L33&lt;=M33,"Passed","Review"))</x:f>
      </x:c>
      <x:c r="O33" s="411" t="str"/>
      <x:c r="P33" s="411" t="str"/>
      <x:c r="Q33" s="411" t="str"/>
      <x:c r="R33" s="411" t="str"/>
      <x:c r="S33" s="373"/>
      <x:c r="T33" s="373"/>
      <x:c r="U33" s="373"/>
      <x:c r="V33" s="373"/>
      <x:c r="W33" s="373"/>
      <x:c r="X33" s="373"/>
      <x:c r="Y33" s="373"/>
      <x:c r="Z33" s="373"/>
    </x:row>
    <x:row r="34">
      <x:c r="A34" s="411" t="str"/>
      <x:c r="B34" s="468" t="str"/>
      <x:c r="C34" s="411" t="str"/>
      <x:c r="D34" s="411" t="str"/>
      <x:c r="E34" s="411" t="str"/>
      <x:c r="F34" s="411" t="str"/>
      <x:c r="G34" s="411" t="str"/>
      <x:c r="H34" s="411" t="str"/>
      <x:c r="I34" s="411" t="str"/>
      <x:c r="J34" s="411" t="str"/>
      <x:c r="K34" s="411" t="str"/>
      <x:c r="L34" s="411" t="str"/>
      <x:c r="M34" s="411" t="str"/>
      <x:c r="N34" s="464" t="str">
        <x:f>IF(OR(L34="",M34=""),"",IF(L34&lt;=M34,"Passed","Review"))</x:f>
      </x:c>
      <x:c r="O34" s="411" t="str"/>
      <x:c r="P34" s="411" t="str"/>
      <x:c r="Q34" s="411" t="str"/>
      <x:c r="R34" s="411" t="str"/>
      <x:c r="S34" s="373"/>
      <x:c r="T34" s="373"/>
      <x:c r="U34" s="373"/>
      <x:c r="V34" s="373"/>
      <x:c r="W34" s="373"/>
      <x:c r="X34" s="373"/>
      <x:c r="Y34" s="373"/>
      <x:c r="Z34" s="373"/>
    </x:row>
    <x:row r="35">
      <x:c r="A35" s="411" t="str"/>
      <x:c r="B35" s="468" t="str"/>
      <x:c r="C35" s="411" t="str"/>
      <x:c r="D35" s="411" t="str"/>
      <x:c r="E35" s="411" t="str"/>
      <x:c r="F35" s="411" t="str"/>
      <x:c r="G35" s="411" t="str"/>
      <x:c r="H35" s="411" t="str"/>
      <x:c r="I35" s="411" t="str"/>
      <x:c r="J35" s="411" t="str"/>
      <x:c r="K35" s="411" t="str"/>
      <x:c r="L35" s="411" t="str"/>
      <x:c r="M35" s="411" t="str"/>
      <x:c r="N35" s="464" t="str">
        <x:f>IF(OR(L35="",M35=""),"",IF(L35&lt;=M35,"Passed","Review"))</x:f>
      </x:c>
      <x:c r="O35" s="411" t="str"/>
      <x:c r="P35" s="411" t="str"/>
      <x:c r="Q35" s="411" t="str"/>
      <x:c r="R35" s="411" t="str"/>
      <x:c r="S35" s="373"/>
      <x:c r="T35" s="373"/>
      <x:c r="U35" s="373"/>
      <x:c r="V35" s="373"/>
      <x:c r="W35" s="373"/>
      <x:c r="X35" s="373"/>
      <x:c r="Y35" s="373"/>
      <x:c r="Z35" s="373"/>
    </x:row>
    <x:row r="36">
      <x:c r="A36" s="411" t="str"/>
      <x:c r="B36" s="468" t="str"/>
      <x:c r="C36" s="411" t="str"/>
      <x:c r="D36" s="411" t="str"/>
      <x:c r="E36" s="411" t="str"/>
      <x:c r="F36" s="411" t="str"/>
      <x:c r="G36" s="411" t="str"/>
      <x:c r="H36" s="411" t="str"/>
      <x:c r="I36" s="411" t="str"/>
      <x:c r="J36" s="411" t="str"/>
      <x:c r="K36" s="411" t="str"/>
      <x:c r="L36" s="411" t="str"/>
      <x:c r="M36" s="411" t="str"/>
      <x:c r="N36" s="464" t="str">
        <x:f>IF(OR(L36="",M36=""),"",IF(L36&lt;=M36,"Passed","Review"))</x:f>
      </x:c>
      <x:c r="O36" s="411" t="str"/>
      <x:c r="P36" s="411" t="str"/>
      <x:c r="Q36" s="411" t="str"/>
      <x:c r="R36" s="411" t="str"/>
      <x:c r="S36" s="373"/>
      <x:c r="T36" s="373"/>
      <x:c r="U36" s="373"/>
      <x:c r="V36" s="373"/>
      <x:c r="W36" s="373"/>
      <x:c r="X36" s="373"/>
      <x:c r="Y36" s="373"/>
      <x:c r="Z36" s="373"/>
    </x:row>
    <x:row r="37">
      <x:c r="A37" s="411" t="str"/>
      <x:c r="B37" s="468" t="str"/>
      <x:c r="C37" s="411" t="str"/>
      <x:c r="D37" s="411" t="str"/>
      <x:c r="E37" s="411" t="str"/>
      <x:c r="F37" s="411" t="str"/>
      <x:c r="G37" s="411" t="str"/>
      <x:c r="H37" s="411" t="str"/>
      <x:c r="I37" s="411" t="str"/>
      <x:c r="J37" s="411" t="str"/>
      <x:c r="K37" s="411" t="str"/>
      <x:c r="L37" s="411" t="str"/>
      <x:c r="M37" s="411" t="str"/>
      <x:c r="N37" s="464" t="str">
        <x:f>IF(OR(L37="",M37=""),"",IF(L37&lt;=M37,"Passed","Review"))</x:f>
      </x:c>
      <x:c r="O37" s="411" t="str"/>
      <x:c r="P37" s="411" t="str"/>
      <x:c r="Q37" s="411" t="str"/>
      <x:c r="R37" s="411" t="str"/>
      <x:c r="S37" s="373"/>
      <x:c r="T37" s="373"/>
      <x:c r="U37" s="373"/>
      <x:c r="V37" s="373"/>
      <x:c r="W37" s="373"/>
      <x:c r="X37" s="373"/>
      <x:c r="Y37" s="373"/>
      <x:c r="Z37" s="373"/>
    </x:row>
    <x:row r="38">
      <x:c r="A38" s="411" t="str"/>
      <x:c r="B38" s="468" t="str"/>
      <x:c r="C38" s="411" t="str"/>
      <x:c r="D38" s="411" t="str"/>
      <x:c r="E38" s="411" t="str"/>
      <x:c r="F38" s="411" t="str"/>
      <x:c r="G38" s="411" t="str"/>
      <x:c r="H38" s="411" t="str"/>
      <x:c r="I38" s="411" t="str"/>
      <x:c r="J38" s="411" t="str"/>
      <x:c r="K38" s="411" t="str"/>
      <x:c r="L38" s="411" t="str"/>
      <x:c r="M38" s="411" t="str"/>
      <x:c r="N38" s="464" t="str">
        <x:f>IF(OR(L38="",M38=""),"",IF(L38&lt;=M38,"Passed","Review"))</x:f>
      </x:c>
      <x:c r="O38" s="411" t="str"/>
      <x:c r="P38" s="411" t="str"/>
      <x:c r="Q38" s="411" t="str"/>
      <x:c r="R38" s="411" t="str"/>
      <x:c r="S38" s="373"/>
      <x:c r="T38" s="373"/>
      <x:c r="U38" s="373"/>
      <x:c r="V38" s="373"/>
      <x:c r="W38" s="373"/>
      <x:c r="X38" s="373"/>
      <x:c r="Y38" s="373"/>
      <x:c r="Z38" s="373"/>
    </x:row>
    <x:row r="39">
      <x:c r="A39" s="411" t="str"/>
      <x:c r="B39" s="468" t="str"/>
      <x:c r="C39" s="411" t="str"/>
      <x:c r="D39" s="411" t="str"/>
      <x:c r="E39" s="411" t="str"/>
      <x:c r="F39" s="411" t="str"/>
      <x:c r="G39" s="411" t="str"/>
      <x:c r="H39" s="411" t="str"/>
      <x:c r="I39" s="411" t="str"/>
      <x:c r="J39" s="411" t="str"/>
      <x:c r="K39" s="411" t="str"/>
      <x:c r="L39" s="411" t="str"/>
      <x:c r="M39" s="411" t="str"/>
      <x:c r="N39" s="464" t="str">
        <x:f>IF(OR(L39="",M39=""),"",IF(L39&lt;=M39,"Passed","Review"))</x:f>
      </x:c>
      <x:c r="O39" s="411" t="str"/>
      <x:c r="P39" s="411" t="str"/>
      <x:c r="Q39" s="411" t="str"/>
      <x:c r="R39" s="411" t="str"/>
      <x:c r="S39" s="373"/>
      <x:c r="T39" s="373"/>
      <x:c r="U39" s="373"/>
      <x:c r="V39" s="373"/>
      <x:c r="W39" s="373"/>
      <x:c r="X39" s="373"/>
      <x:c r="Y39" s="373"/>
      <x:c r="Z39" s="373"/>
    </x:row>
    <x:row r="40">
      <x:c r="A40" s="411" t="str"/>
      <x:c r="B40" s="468" t="str"/>
      <x:c r="C40" s="411" t="str"/>
      <x:c r="D40" s="411" t="str"/>
      <x:c r="E40" s="411" t="str"/>
      <x:c r="F40" s="411" t="str"/>
      <x:c r="G40" s="411" t="str"/>
      <x:c r="H40" s="411" t="str"/>
      <x:c r="I40" s="411" t="str"/>
      <x:c r="J40" s="411" t="str"/>
      <x:c r="K40" s="411" t="str"/>
      <x:c r="L40" s="411" t="str"/>
      <x:c r="M40" s="411" t="str"/>
      <x:c r="N40" s="464" t="str">
        <x:f>IF(OR(L40="",M40=""),"",IF(L40&lt;=M40,"Passed","Review"))</x:f>
      </x:c>
      <x:c r="O40" s="411" t="str"/>
      <x:c r="P40" s="411" t="str"/>
      <x:c r="Q40" s="411" t="str"/>
      <x:c r="R40" s="411" t="str"/>
      <x:c r="S40" s="373"/>
      <x:c r="T40" s="373"/>
      <x:c r="U40" s="373"/>
      <x:c r="V40" s="373"/>
      <x:c r="W40" s="373"/>
      <x:c r="X40" s="373"/>
      <x:c r="Y40" s="373"/>
      <x:c r="Z40" s="373"/>
    </x:row>
    <x:row r="41">
      <x:c r="A41" s="411" t="str"/>
      <x:c r="B41" s="468" t="str"/>
      <x:c r="C41" s="411" t="str"/>
      <x:c r="D41" s="411" t="str"/>
      <x:c r="E41" s="411" t="str"/>
      <x:c r="F41" s="411" t="str"/>
      <x:c r="G41" s="411" t="str"/>
      <x:c r="H41" s="411" t="str"/>
      <x:c r="I41" s="411" t="str"/>
      <x:c r="J41" s="411" t="str"/>
      <x:c r="K41" s="411" t="str"/>
      <x:c r="L41" s="411" t="str"/>
      <x:c r="M41" s="411" t="str"/>
      <x:c r="N41" s="464" t="str">
        <x:f>IF(OR(L41="",M41=""),"",IF(L41&lt;=M41,"Passed","Review"))</x:f>
      </x:c>
      <x:c r="O41" s="411" t="str"/>
      <x:c r="P41" s="411" t="str"/>
      <x:c r="Q41" s="411" t="str"/>
      <x:c r="R41" s="411" t="str"/>
      <x:c r="S41" s="373"/>
      <x:c r="T41" s="373"/>
      <x:c r="U41" s="373"/>
      <x:c r="V41" s="373"/>
      <x:c r="W41" s="373"/>
      <x:c r="X41" s="373"/>
      <x:c r="Y41" s="373"/>
      <x:c r="Z41" s="373"/>
    </x:row>
    <x:row r="42">
      <x:c r="A42" s="411" t="str"/>
      <x:c r="B42" s="468" t="str"/>
      <x:c r="C42" s="411" t="str"/>
      <x:c r="D42" s="411" t="str"/>
      <x:c r="E42" s="411" t="str"/>
      <x:c r="F42" s="411" t="str"/>
      <x:c r="G42" s="411" t="str"/>
      <x:c r="H42" s="411" t="str"/>
      <x:c r="I42" s="411" t="str"/>
      <x:c r="J42" s="411" t="str"/>
      <x:c r="K42" s="411" t="str"/>
      <x:c r="L42" s="411" t="str"/>
      <x:c r="M42" s="411" t="str"/>
      <x:c r="N42" s="464" t="str">
        <x:f>IF(OR(L42="",M42=""),"",IF(L42&lt;=M42,"Passed","Review"))</x:f>
      </x:c>
      <x:c r="O42" s="411" t="str"/>
      <x:c r="P42" s="411" t="str"/>
      <x:c r="Q42" s="411" t="str"/>
      <x:c r="R42" s="411" t="str"/>
      <x:c r="S42" s="373"/>
      <x:c r="T42" s="373"/>
      <x:c r="U42" s="373"/>
      <x:c r="V42" s="373"/>
      <x:c r="W42" s="373"/>
      <x:c r="X42" s="373"/>
      <x:c r="Y42" s="373"/>
      <x:c r="Z42" s="373"/>
    </x:row>
    <x:row r="43">
      <x:c r="A43" s="411" t="str"/>
      <x:c r="B43" s="468" t="str"/>
      <x:c r="C43" s="411" t="str"/>
      <x:c r="D43" s="411" t="str"/>
      <x:c r="E43" s="411" t="str"/>
      <x:c r="F43" s="411" t="str"/>
      <x:c r="G43" s="411" t="str"/>
      <x:c r="H43" s="411" t="str"/>
      <x:c r="I43" s="411" t="str"/>
      <x:c r="J43" s="411" t="str"/>
      <x:c r="K43" s="411" t="str"/>
      <x:c r="L43" s="411" t="str"/>
      <x:c r="M43" s="411" t="str"/>
      <x:c r="N43" s="464" t="str">
        <x:f>IF(OR(L43="",M43=""),"",IF(L43&lt;=M43,"Passed","Review"))</x:f>
      </x:c>
      <x:c r="O43" s="411" t="str"/>
      <x:c r="P43" s="411" t="str"/>
      <x:c r="Q43" s="411" t="str"/>
      <x:c r="R43" s="411" t="str"/>
      <x:c r="S43" s="373"/>
      <x:c r="T43" s="373"/>
      <x:c r="U43" s="373"/>
      <x:c r="V43" s="373"/>
      <x:c r="W43" s="373"/>
      <x:c r="X43" s="373"/>
      <x:c r="Y43" s="373"/>
      <x:c r="Z43" s="373"/>
    </x:row>
    <x:row r="44">
      <x:c r="A44" s="411" t="str"/>
      <x:c r="B44" s="468" t="str"/>
      <x:c r="C44" s="411" t="str"/>
      <x:c r="D44" s="411" t="str"/>
      <x:c r="E44" s="411" t="str"/>
      <x:c r="F44" s="411" t="str"/>
      <x:c r="G44" s="411" t="str"/>
      <x:c r="H44" s="411" t="str"/>
      <x:c r="I44" s="411" t="str"/>
      <x:c r="J44" s="411" t="str"/>
      <x:c r="K44" s="411" t="str"/>
      <x:c r="L44" s="411" t="str"/>
      <x:c r="M44" s="411" t="str"/>
      <x:c r="N44" s="464" t="str">
        <x:f>IF(OR(L44="",M44=""),"",IF(L44&lt;=M44,"Passed","Review"))</x:f>
      </x:c>
      <x:c r="O44" s="411" t="str"/>
      <x:c r="P44" s="411" t="str"/>
      <x:c r="Q44" s="411" t="str"/>
      <x:c r="R44" s="411" t="str"/>
      <x:c r="S44" s="373"/>
      <x:c r="T44" s="373"/>
      <x:c r="U44" s="373"/>
      <x:c r="V44" s="373"/>
      <x:c r="W44" s="373"/>
      <x:c r="X44" s="373"/>
      <x:c r="Y44" s="373"/>
      <x:c r="Z44" s="373"/>
    </x:row>
    <x:row r="45">
      <x:c r="A45" s="411" t="str"/>
      <x:c r="B45" s="468" t="str"/>
      <x:c r="C45" s="411" t="str"/>
      <x:c r="D45" s="411" t="str"/>
      <x:c r="E45" s="411" t="str"/>
      <x:c r="F45" s="411" t="str"/>
      <x:c r="G45" s="411" t="str"/>
      <x:c r="H45" s="411" t="str"/>
      <x:c r="I45" s="411" t="str"/>
      <x:c r="J45" s="411" t="str"/>
      <x:c r="K45" s="411" t="str"/>
      <x:c r="L45" s="411" t="str"/>
      <x:c r="M45" s="411" t="str"/>
      <x:c r="N45" s="464" t="str">
        <x:f>IF(OR(L45="",M45=""),"",IF(L45&lt;=M45,"Passed","Review"))</x:f>
      </x:c>
      <x:c r="O45" s="411" t="str"/>
      <x:c r="P45" s="411" t="str"/>
      <x:c r="Q45" s="411" t="str"/>
      <x:c r="R45" s="411" t="str"/>
      <x:c r="S45" s="373"/>
      <x:c r="T45" s="373"/>
      <x:c r="U45" s="373"/>
      <x:c r="V45" s="373"/>
      <x:c r="W45" s="373"/>
      <x:c r="X45" s="373"/>
      <x:c r="Y45" s="373"/>
      <x:c r="Z45" s="373"/>
    </x:row>
    <x:row r="46">
      <x:c r="A46" s="411" t="str"/>
      <x:c r="B46" s="468" t="str"/>
      <x:c r="C46" s="411" t="str"/>
      <x:c r="D46" s="411" t="str"/>
      <x:c r="E46" s="411" t="str"/>
      <x:c r="F46" s="411" t="str"/>
      <x:c r="G46" s="411" t="str"/>
      <x:c r="H46" s="411" t="str"/>
      <x:c r="I46" s="411" t="str"/>
      <x:c r="J46" s="411" t="str"/>
      <x:c r="K46" s="411" t="str"/>
      <x:c r="L46" s="411" t="str"/>
      <x:c r="M46" s="411" t="str"/>
      <x:c r="N46" s="464" t="str">
        <x:f>IF(OR(L46="",M46=""),"",IF(L46&lt;=M46,"Passed","Review"))</x:f>
      </x:c>
      <x:c r="O46" s="411" t="str"/>
      <x:c r="P46" s="411" t="str"/>
      <x:c r="Q46" s="411" t="str"/>
      <x:c r="R46" s="411" t="str"/>
      <x:c r="S46" s="373"/>
      <x:c r="T46" s="373"/>
      <x:c r="U46" s="373"/>
      <x:c r="V46" s="373"/>
      <x:c r="W46" s="373"/>
      <x:c r="X46" s="373"/>
      <x:c r="Y46" s="373"/>
      <x:c r="Z46" s="373"/>
    </x:row>
    <x:row r="47">
      <x:c r="A47" s="411" t="str"/>
      <x:c r="B47" s="468" t="str"/>
      <x:c r="C47" s="411" t="str"/>
      <x:c r="D47" s="411" t="str"/>
      <x:c r="E47" s="411" t="str"/>
      <x:c r="F47" s="411" t="str"/>
      <x:c r="G47" s="411" t="str"/>
      <x:c r="H47" s="411" t="str"/>
      <x:c r="I47" s="411" t="str"/>
      <x:c r="J47" s="411" t="str"/>
      <x:c r="K47" s="411" t="str"/>
      <x:c r="L47" s="411" t="str"/>
      <x:c r="M47" s="411" t="str"/>
      <x:c r="N47" s="464" t="str">
        <x:f>IF(OR(L47="",M47=""),"",IF(L47&lt;=M47,"Passed","Review"))</x:f>
      </x:c>
      <x:c r="O47" s="411" t="str"/>
      <x:c r="P47" s="411" t="str"/>
      <x:c r="Q47" s="411" t="str"/>
      <x:c r="R47" s="411" t="str"/>
      <x:c r="S47" s="373"/>
      <x:c r="T47" s="373"/>
      <x:c r="U47" s="373"/>
      <x:c r="V47" s="373"/>
      <x:c r="W47" s="373"/>
      <x:c r="X47" s="373"/>
      <x:c r="Y47" s="373"/>
      <x:c r="Z47" s="373"/>
    </x:row>
    <x:row r="48">
      <x:c r="A48" s="411" t="str"/>
      <x:c r="B48" s="468" t="str"/>
      <x:c r="C48" s="411" t="str"/>
      <x:c r="D48" s="411" t="str"/>
      <x:c r="E48" s="411" t="str"/>
      <x:c r="F48" s="411" t="str"/>
      <x:c r="G48" s="411" t="str"/>
      <x:c r="H48" s="411" t="str"/>
      <x:c r="I48" s="411" t="str"/>
      <x:c r="J48" s="411" t="str"/>
      <x:c r="K48" s="411" t="str"/>
      <x:c r="L48" s="411" t="str"/>
      <x:c r="M48" s="411" t="str"/>
      <x:c r="N48" s="464" t="str">
        <x:f>IF(OR(L48="",M48=""),"",IF(L48&lt;=M48,"Passed","Review"))</x:f>
      </x:c>
      <x:c r="O48" s="411" t="str"/>
      <x:c r="P48" s="411" t="str"/>
      <x:c r="Q48" s="411" t="str"/>
      <x:c r="R48" s="411" t="str"/>
      <x:c r="S48" s="373"/>
      <x:c r="T48" s="373"/>
      <x:c r="U48" s="373"/>
      <x:c r="V48" s="373"/>
      <x:c r="W48" s="373"/>
      <x:c r="X48" s="373"/>
      <x:c r="Y48" s="373"/>
      <x:c r="Z48" s="373"/>
    </x:row>
    <x:row r="49">
      <x:c r="A49" s="411" t="str"/>
      <x:c r="B49" s="468" t="str"/>
      <x:c r="C49" s="411" t="str"/>
      <x:c r="D49" s="411" t="str"/>
      <x:c r="E49" s="411" t="str"/>
      <x:c r="F49" s="411" t="str"/>
      <x:c r="G49" s="411" t="str"/>
      <x:c r="H49" s="411" t="str"/>
      <x:c r="I49" s="411" t="str"/>
      <x:c r="J49" s="411" t="str"/>
      <x:c r="K49" s="411" t="str"/>
      <x:c r="L49" s="411" t="str"/>
      <x:c r="M49" s="411" t="str"/>
      <x:c r="N49" s="464" t="str">
        <x:f>IF(OR(L49="",M49=""),"",IF(L49&lt;=M49,"Passed","Review"))</x:f>
      </x:c>
      <x:c r="O49" s="411" t="str"/>
      <x:c r="P49" s="411" t="str"/>
      <x:c r="Q49" s="411" t="str"/>
      <x:c r="R49" s="411" t="str"/>
      <x:c r="S49" s="373"/>
      <x:c r="T49" s="373"/>
      <x:c r="U49" s="373"/>
      <x:c r="V49" s="373"/>
      <x:c r="W49" s="373"/>
      <x:c r="X49" s="373"/>
      <x:c r="Y49" s="373"/>
      <x:c r="Z49" s="373"/>
    </x:row>
    <x:row r="50">
      <x:c r="A50" s="411" t="str"/>
      <x:c r="B50" s="468" t="str"/>
      <x:c r="C50" s="411" t="str"/>
      <x:c r="D50" s="411" t="str"/>
      <x:c r="E50" s="411" t="str"/>
      <x:c r="F50" s="411" t="str"/>
      <x:c r="G50" s="411" t="str"/>
      <x:c r="H50" s="411" t="str"/>
      <x:c r="I50" s="411" t="str"/>
      <x:c r="J50" s="411" t="str"/>
      <x:c r="K50" s="411" t="str"/>
      <x:c r="L50" s="411" t="str"/>
      <x:c r="M50" s="411" t="str"/>
      <x:c r="N50" s="464" t="str">
        <x:f>IF(OR(L50="",M50=""),"",IF(L50&lt;=M50,"Passed","Review"))</x:f>
      </x:c>
      <x:c r="O50" s="411" t="str"/>
      <x:c r="P50" s="411" t="str"/>
      <x:c r="Q50" s="411" t="str"/>
      <x:c r="R50" s="411" t="str"/>
      <x:c r="S50" s="373"/>
      <x:c r="T50" s="373"/>
      <x:c r="U50" s="373"/>
      <x:c r="V50" s="373"/>
      <x:c r="W50" s="373"/>
      <x:c r="X50" s="373"/>
      <x:c r="Y50" s="373"/>
      <x:c r="Z50" s="373"/>
    </x:row>
    <x:row r="51">
      <x:c r="A51" s="411" t="str"/>
      <x:c r="B51" s="468" t="str"/>
      <x:c r="C51" s="411" t="str"/>
      <x:c r="D51" s="411" t="str"/>
      <x:c r="E51" s="411" t="str"/>
      <x:c r="F51" s="411" t="str"/>
      <x:c r="G51" s="411" t="str"/>
      <x:c r="H51" s="411" t="str"/>
      <x:c r="I51" s="411" t="str"/>
      <x:c r="J51" s="411" t="str"/>
      <x:c r="K51" s="411" t="str"/>
      <x:c r="L51" s="411" t="str"/>
      <x:c r="M51" s="411" t="str"/>
      <x:c r="N51" s="464" t="str">
        <x:f>IF(OR(L51="",M51=""),"",IF(L51&lt;=M51,"Passed","Review"))</x:f>
      </x:c>
      <x:c r="O51" s="411" t="str"/>
      <x:c r="P51" s="411" t="str"/>
      <x:c r="Q51" s="411" t="str"/>
      <x:c r="R51" s="411" t="str"/>
      <x:c r="S51" s="373"/>
      <x:c r="T51" s="373"/>
      <x:c r="U51" s="373"/>
      <x:c r="V51" s="373"/>
      <x:c r="W51" s="373"/>
      <x:c r="X51" s="373"/>
      <x:c r="Y51" s="373"/>
      <x:c r="Z51" s="373"/>
    </x:row>
    <x:row r="52">
      <x:c r="A52" s="411" t="str"/>
      <x:c r="B52" s="468" t="str"/>
      <x:c r="C52" s="411" t="str"/>
      <x:c r="D52" s="411" t="str"/>
      <x:c r="E52" s="411" t="str"/>
      <x:c r="F52" s="411" t="str"/>
      <x:c r="G52" s="411" t="str"/>
      <x:c r="H52" s="411" t="str"/>
      <x:c r="I52" s="411" t="str"/>
      <x:c r="J52" s="411" t="str"/>
      <x:c r="K52" s="411" t="str"/>
      <x:c r="L52" s="411" t="str"/>
      <x:c r="M52" s="411" t="str"/>
      <x:c r="N52" s="464" t="str">
        <x:f>IF(OR(L52="",M52=""),"",IF(L52&lt;=M52,"Passed","Review"))</x:f>
      </x:c>
      <x:c r="O52" s="411" t="str"/>
      <x:c r="P52" s="411" t="str"/>
      <x:c r="Q52" s="411" t="str"/>
      <x:c r="R52" s="411" t="str"/>
      <x:c r="S52" s="373"/>
      <x:c r="T52" s="373"/>
      <x:c r="U52" s="373"/>
      <x:c r="V52" s="373"/>
      <x:c r="W52" s="373"/>
      <x:c r="X52" s="373"/>
      <x:c r="Y52" s="373"/>
      <x:c r="Z52" s="373"/>
    </x:row>
    <x:row r="53">
      <x:c r="A53" s="411" t="str"/>
      <x:c r="B53" s="468" t="str"/>
      <x:c r="C53" s="411" t="str"/>
      <x:c r="D53" s="411" t="str"/>
      <x:c r="E53" s="411" t="str"/>
      <x:c r="F53" s="411" t="str"/>
      <x:c r="G53" s="411" t="str"/>
      <x:c r="H53" s="411" t="str"/>
      <x:c r="I53" s="411" t="str"/>
      <x:c r="J53" s="411" t="str"/>
      <x:c r="K53" s="411" t="str"/>
      <x:c r="L53" s="411" t="str"/>
      <x:c r="M53" s="411" t="str"/>
      <x:c r="N53" s="464" t="str">
        <x:f>IF(OR(L53="",M53=""),"",IF(L53&lt;=M53,"Passed","Review"))</x:f>
      </x:c>
      <x:c r="O53" s="411" t="str"/>
      <x:c r="P53" s="411" t="str"/>
      <x:c r="Q53" s="411" t="str"/>
      <x:c r="R53" s="411" t="str"/>
      <x:c r="S53" s="373"/>
      <x:c r="T53" s="373"/>
      <x:c r="U53" s="373"/>
      <x:c r="V53" s="373"/>
      <x:c r="W53" s="373"/>
      <x:c r="X53" s="373"/>
      <x:c r="Y53" s="373"/>
      <x:c r="Z53" s="373"/>
    </x:row>
    <x:row r="54">
      <x:c r="A54" s="411" t="str"/>
      <x:c r="B54" s="468" t="str"/>
      <x:c r="C54" s="411" t="str"/>
      <x:c r="D54" s="411" t="str"/>
      <x:c r="E54" s="411" t="str"/>
      <x:c r="F54" s="411" t="str"/>
      <x:c r="G54" s="411" t="str"/>
      <x:c r="H54" s="411" t="str"/>
      <x:c r="I54" s="411" t="str"/>
      <x:c r="J54" s="411" t="str"/>
      <x:c r="K54" s="411" t="str"/>
      <x:c r="L54" s="411" t="str"/>
      <x:c r="M54" s="411" t="str"/>
      <x:c r="N54" s="464" t="str">
        <x:f>IF(OR(L54="",M54=""),"",IF(L54&lt;=M54,"Passed","Review"))</x:f>
      </x:c>
      <x:c r="O54" s="411" t="str"/>
      <x:c r="P54" s="411" t="str"/>
      <x:c r="Q54" s="411" t="str"/>
      <x:c r="R54" s="411" t="str"/>
      <x:c r="S54" s="373"/>
      <x:c r="T54" s="373"/>
      <x:c r="U54" s="373"/>
      <x:c r="V54" s="373"/>
      <x:c r="W54" s="373"/>
      <x:c r="X54" s="373"/>
      <x:c r="Y54" s="373"/>
      <x:c r="Z54" s="373"/>
    </x:row>
    <x:row r="55">
      <x:c r="A55" s="411" t="str"/>
      <x:c r="B55" s="468" t="str"/>
      <x:c r="C55" s="411" t="str"/>
      <x:c r="D55" s="411" t="str"/>
      <x:c r="E55" s="411" t="str"/>
      <x:c r="F55" s="411" t="str"/>
      <x:c r="G55" s="411" t="str"/>
      <x:c r="H55" s="411" t="str"/>
      <x:c r="I55" s="411" t="str"/>
      <x:c r="J55" s="411" t="str"/>
      <x:c r="K55" s="411" t="str"/>
      <x:c r="L55" s="411" t="str"/>
      <x:c r="M55" s="411" t="str"/>
      <x:c r="N55" s="464" t="str">
        <x:f>IF(OR(L55="",M55=""),"",IF(L55&lt;=M55,"Passed","Review"))</x:f>
      </x:c>
      <x:c r="O55" s="411" t="str"/>
      <x:c r="P55" s="411" t="str"/>
      <x:c r="Q55" s="411" t="str"/>
      <x:c r="R55" s="411" t="str"/>
      <x:c r="S55" s="373"/>
      <x:c r="T55" s="373"/>
      <x:c r="U55" s="373"/>
      <x:c r="V55" s="373"/>
      <x:c r="W55" s="373"/>
      <x:c r="X55" s="373"/>
      <x:c r="Y55" s="373"/>
      <x:c r="Z55" s="373"/>
    </x:row>
    <x:row r="56">
      <x:c r="A56" s="411" t="str"/>
      <x:c r="B56" s="468" t="str"/>
      <x:c r="C56" s="411" t="str"/>
      <x:c r="D56" s="411" t="str"/>
      <x:c r="E56" s="411" t="str"/>
      <x:c r="F56" s="411" t="str"/>
      <x:c r="G56" s="411" t="str"/>
      <x:c r="H56" s="411" t="str"/>
      <x:c r="I56" s="411" t="str"/>
      <x:c r="J56" s="411" t="str"/>
      <x:c r="K56" s="411" t="str"/>
      <x:c r="L56" s="411" t="str"/>
      <x:c r="M56" s="411" t="str"/>
      <x:c r="N56" s="464" t="str">
        <x:f>IF(OR(L56="",M56=""),"",IF(L56&lt;=M56,"Passed","Review"))</x:f>
      </x:c>
      <x:c r="O56" s="411" t="str"/>
      <x:c r="P56" s="411" t="str"/>
      <x:c r="Q56" s="411" t="str"/>
      <x:c r="R56" s="411" t="str"/>
      <x:c r="S56" s="373"/>
      <x:c r="T56" s="373"/>
      <x:c r="U56" s="373"/>
      <x:c r="V56" s="373"/>
      <x:c r="W56" s="373"/>
      <x:c r="X56" s="373"/>
      <x:c r="Y56" s="373"/>
      <x:c r="Z56" s="373"/>
    </x:row>
    <x:row r="57">
      <x:c r="A57" s="411" t="str"/>
      <x:c r="B57" s="468" t="str"/>
      <x:c r="C57" s="411" t="str"/>
      <x:c r="D57" s="411" t="str"/>
      <x:c r="E57" s="411" t="str"/>
      <x:c r="F57" s="411" t="str"/>
      <x:c r="G57" s="411" t="str"/>
      <x:c r="H57" s="411" t="str"/>
      <x:c r="I57" s="411" t="str"/>
      <x:c r="J57" s="411" t="str"/>
      <x:c r="K57" s="411" t="str"/>
      <x:c r="L57" s="411" t="str"/>
      <x:c r="M57" s="411" t="str"/>
      <x:c r="N57" s="464" t="str">
        <x:f>IF(OR(L57="",M57=""),"",IF(L57&lt;=M57,"Passed","Review"))</x:f>
      </x:c>
      <x:c r="O57" s="411" t="str"/>
      <x:c r="P57" s="411" t="str"/>
      <x:c r="Q57" s="411" t="str"/>
      <x:c r="R57" s="411" t="str"/>
      <x:c r="S57" s="373"/>
      <x:c r="T57" s="373"/>
      <x:c r="U57" s="373"/>
      <x:c r="V57" s="373"/>
      <x:c r="W57" s="373"/>
      <x:c r="X57" s="373"/>
      <x:c r="Y57" s="373"/>
      <x:c r="Z57" s="373"/>
    </x:row>
    <x:row r="58">
      <x:c r="A58" s="411" t="str"/>
      <x:c r="B58" s="468" t="str"/>
      <x:c r="C58" s="411" t="str"/>
      <x:c r="D58" s="411" t="str"/>
      <x:c r="E58" s="411" t="str"/>
      <x:c r="F58" s="411" t="str"/>
      <x:c r="G58" s="411" t="str"/>
      <x:c r="H58" s="411" t="str"/>
      <x:c r="I58" s="411" t="str"/>
      <x:c r="J58" s="411" t="str"/>
      <x:c r="K58" s="411" t="str"/>
      <x:c r="L58" s="411" t="str"/>
      <x:c r="M58" s="411" t="str"/>
      <x:c r="N58" s="464" t="str">
        <x:f>IF(OR(L58="",M58=""),"",IF(L58&lt;=M58,"Passed","Review"))</x:f>
      </x:c>
      <x:c r="O58" s="411" t="str"/>
      <x:c r="P58" s="411" t="str"/>
      <x:c r="Q58" s="411" t="str"/>
      <x:c r="R58" s="411" t="str"/>
      <x:c r="S58" s="373"/>
      <x:c r="T58" s="373"/>
      <x:c r="U58" s="373"/>
      <x:c r="V58" s="373"/>
      <x:c r="W58" s="373"/>
      <x:c r="X58" s="373"/>
      <x:c r="Y58" s="373"/>
      <x:c r="Z58" s="373"/>
    </x:row>
    <x:row r="59">
      <x:c r="A59" s="411" t="str"/>
      <x:c r="B59" s="468" t="str"/>
      <x:c r="C59" s="411" t="str"/>
      <x:c r="D59" s="411" t="str"/>
      <x:c r="E59" s="411" t="str"/>
      <x:c r="F59" s="411" t="str"/>
      <x:c r="G59" s="411" t="str"/>
      <x:c r="H59" s="411" t="str"/>
      <x:c r="I59" s="411" t="str"/>
      <x:c r="J59" s="411" t="str"/>
      <x:c r="K59" s="411" t="str"/>
      <x:c r="L59" s="411" t="str"/>
      <x:c r="M59" s="411" t="str"/>
      <x:c r="N59" s="464" t="str">
        <x:f>IF(OR(L59="",M59=""),"",IF(L59&lt;=M59,"Passed","Review"))</x:f>
      </x:c>
      <x:c r="O59" s="411" t="str"/>
      <x:c r="P59" s="411" t="str"/>
      <x:c r="Q59" s="411" t="str"/>
      <x:c r="R59" s="411" t="str"/>
      <x:c r="S59" s="373"/>
      <x:c r="T59" s="373"/>
      <x:c r="U59" s="373"/>
      <x:c r="V59" s="373"/>
      <x:c r="W59" s="373"/>
      <x:c r="X59" s="373"/>
      <x:c r="Y59" s="373"/>
      <x:c r="Z59" s="373"/>
    </x:row>
    <x:row r="60">
      <x:c r="A60" s="411" t="str"/>
      <x:c r="B60" s="468" t="str"/>
      <x:c r="C60" s="411" t="str"/>
      <x:c r="D60" s="411" t="str"/>
      <x:c r="E60" s="411" t="str"/>
      <x:c r="F60" s="411" t="str"/>
      <x:c r="G60" s="411" t="str"/>
      <x:c r="H60" s="411" t="str"/>
      <x:c r="I60" s="411" t="str"/>
      <x:c r="J60" s="411" t="str"/>
      <x:c r="K60" s="411" t="str"/>
      <x:c r="L60" s="411" t="str"/>
      <x:c r="M60" s="411" t="str"/>
      <x:c r="N60" s="464" t="str">
        <x:f>IF(OR(L60="",M60=""),"",IF(L60&lt;=M60,"Passed","Review"))</x:f>
      </x:c>
      <x:c r="O60" s="411" t="str"/>
      <x:c r="P60" s="411" t="str"/>
      <x:c r="Q60" s="411" t="str"/>
      <x:c r="R60" s="411" t="str"/>
      <x:c r="S60" s="373"/>
      <x:c r="T60" s="373"/>
      <x:c r="U60" s="373"/>
      <x:c r="V60" s="373"/>
      <x:c r="W60" s="373"/>
      <x:c r="X60" s="373"/>
      <x:c r="Y60" s="373"/>
      <x:c r="Z60" s="373"/>
    </x:row>
    <x:row r="61">
      <x:c r="A61" s="411" t="str"/>
      <x:c r="B61" s="468" t="str"/>
      <x:c r="C61" s="411" t="str"/>
      <x:c r="D61" s="411" t="str"/>
      <x:c r="E61" s="411" t="str"/>
      <x:c r="F61" s="411" t="str"/>
      <x:c r="G61" s="411" t="str"/>
      <x:c r="H61" s="411" t="str"/>
      <x:c r="I61" s="411" t="str"/>
      <x:c r="J61" s="411" t="str"/>
      <x:c r="K61" s="411" t="str"/>
      <x:c r="L61" s="411" t="str"/>
      <x:c r="M61" s="411" t="str"/>
      <x:c r="N61" s="464" t="str">
        <x:f>IF(OR(L61="",M61=""),"",IF(L61&lt;=M61,"Passed","Review"))</x:f>
      </x:c>
      <x:c r="O61" s="411" t="str"/>
      <x:c r="P61" s="411" t="str"/>
      <x:c r="Q61" s="411" t="str"/>
      <x:c r="R61" s="411" t="str"/>
      <x:c r="S61" s="373"/>
      <x:c r="T61" s="373"/>
      <x:c r="U61" s="373"/>
      <x:c r="V61" s="373"/>
      <x:c r="W61" s="373"/>
      <x:c r="X61" s="373"/>
      <x:c r="Y61" s="373"/>
      <x:c r="Z61" s="373"/>
    </x:row>
    <x:row r="62">
      <x:c r="A62" s="411" t="str"/>
      <x:c r="B62" s="468" t="str"/>
      <x:c r="C62" s="411" t="str"/>
      <x:c r="D62" s="411" t="str"/>
      <x:c r="E62" s="411" t="str"/>
      <x:c r="F62" s="411" t="str"/>
      <x:c r="G62" s="411" t="str"/>
      <x:c r="H62" s="411" t="str"/>
      <x:c r="I62" s="411" t="str"/>
      <x:c r="J62" s="411" t="str"/>
      <x:c r="K62" s="411" t="str"/>
      <x:c r="L62" s="411" t="str"/>
      <x:c r="M62" s="411" t="str"/>
      <x:c r="N62" s="464" t="str">
        <x:f>IF(OR(L62="",M62=""),"",IF(L62&lt;=M62,"Passed","Review"))</x:f>
      </x:c>
      <x:c r="O62" s="411" t="str"/>
      <x:c r="P62" s="411" t="str"/>
      <x:c r="Q62" s="411" t="str"/>
      <x:c r="R62" s="411" t="str"/>
      <x:c r="S62" s="373"/>
      <x:c r="T62" s="373"/>
      <x:c r="U62" s="373"/>
      <x:c r="V62" s="373"/>
      <x:c r="W62" s="373"/>
      <x:c r="X62" s="373"/>
      <x:c r="Y62" s="373"/>
      <x:c r="Z62" s="373"/>
    </x:row>
    <x:row r="63">
      <x:c r="A63" s="411" t="str"/>
      <x:c r="B63" s="468" t="str"/>
      <x:c r="C63" s="411" t="str"/>
      <x:c r="D63" s="411" t="str"/>
      <x:c r="E63" s="411" t="str"/>
      <x:c r="F63" s="411" t="str"/>
      <x:c r="G63" s="411" t="str"/>
      <x:c r="H63" s="411" t="str"/>
      <x:c r="I63" s="411" t="str"/>
      <x:c r="J63" s="411" t="str"/>
      <x:c r="K63" s="411" t="str"/>
      <x:c r="L63" s="411" t="str"/>
      <x:c r="M63" s="411" t="str"/>
      <x:c r="N63" s="464" t="str">
        <x:f>IF(OR(L63="",M63=""),"",IF(L63&lt;=M63,"Passed","Review"))</x:f>
      </x:c>
      <x:c r="O63" s="411" t="str"/>
      <x:c r="P63" s="411" t="str"/>
      <x:c r="Q63" s="411" t="str"/>
      <x:c r="R63" s="411" t="str"/>
      <x:c r="S63" s="373"/>
      <x:c r="T63" s="373"/>
      <x:c r="U63" s="373"/>
      <x:c r="V63" s="373"/>
      <x:c r="W63" s="373"/>
      <x:c r="X63" s="373"/>
      <x:c r="Y63" s="373"/>
      <x:c r="Z63" s="373"/>
    </x:row>
    <x:row r="64">
      <x:c r="A64" s="411" t="str"/>
      <x:c r="B64" s="468" t="str"/>
      <x:c r="C64" s="411" t="str"/>
      <x:c r="D64" s="411" t="str"/>
      <x:c r="E64" s="411" t="str"/>
      <x:c r="F64" s="411" t="str"/>
      <x:c r="G64" s="411" t="str"/>
      <x:c r="H64" s="411" t="str"/>
      <x:c r="I64" s="411" t="str"/>
      <x:c r="J64" s="411" t="str"/>
      <x:c r="K64" s="411" t="str"/>
      <x:c r="L64" s="411" t="str"/>
      <x:c r="M64" s="411" t="str"/>
      <x:c r="N64" s="464" t="str">
        <x:f>IF(OR(L64="",M64=""),"",IF(L64&lt;=M64,"Passed","Review"))</x:f>
      </x:c>
      <x:c r="O64" s="411" t="str"/>
      <x:c r="P64" s="411" t="str"/>
      <x:c r="Q64" s="411" t="str"/>
      <x:c r="R64" s="411" t="str"/>
      <x:c r="S64" s="373"/>
      <x:c r="T64" s="373"/>
      <x:c r="U64" s="373"/>
      <x:c r="V64" s="373"/>
      <x:c r="W64" s="373"/>
      <x:c r="X64" s="373"/>
      <x:c r="Y64" s="373"/>
      <x:c r="Z64" s="373"/>
    </x:row>
    <x:row r="65">
      <x:c r="A65" s="411" t="str"/>
      <x:c r="B65" s="468" t="str"/>
      <x:c r="C65" s="411" t="str"/>
      <x:c r="D65" s="411" t="str"/>
      <x:c r="E65" s="411" t="str"/>
      <x:c r="F65" s="411" t="str"/>
      <x:c r="G65" s="411" t="str"/>
      <x:c r="H65" s="411" t="str"/>
      <x:c r="I65" s="411" t="str"/>
      <x:c r="J65" s="411" t="str"/>
      <x:c r="K65" s="411" t="str"/>
      <x:c r="L65" s="411" t="str"/>
      <x:c r="M65" s="411" t="str"/>
      <x:c r="N65" s="464" t="str">
        <x:f>IF(OR(L65="",M65=""),"",IF(L65&lt;=M65,"Passed","Review"))</x:f>
      </x:c>
      <x:c r="O65" s="411" t="str"/>
      <x:c r="P65" s="411" t="str"/>
      <x:c r="Q65" s="411" t="str"/>
      <x:c r="R65" s="411" t="str"/>
      <x:c r="S65" s="373"/>
      <x:c r="T65" s="373"/>
      <x:c r="U65" s="373"/>
      <x:c r="V65" s="373"/>
      <x:c r="W65" s="373"/>
      <x:c r="X65" s="373"/>
      <x:c r="Y65" s="373"/>
      <x:c r="Z65" s="373"/>
    </x:row>
    <x:row r="66">
      <x:c r="A66" s="411" t="str"/>
      <x:c r="B66" s="468" t="str"/>
      <x:c r="C66" s="411" t="str"/>
      <x:c r="D66" s="411" t="str"/>
      <x:c r="E66" s="411" t="str"/>
      <x:c r="F66" s="411" t="str"/>
      <x:c r="G66" s="411" t="str"/>
      <x:c r="H66" s="411" t="str"/>
      <x:c r="I66" s="411" t="str"/>
      <x:c r="J66" s="411" t="str"/>
      <x:c r="K66" s="411" t="str"/>
      <x:c r="L66" s="411" t="str"/>
      <x:c r="M66" s="411" t="str"/>
      <x:c r="N66" s="464" t="str">
        <x:f>IF(OR(L66="",M66=""),"",IF(L66&lt;=M66,"Passed","Review"))</x:f>
      </x:c>
      <x:c r="O66" s="411" t="str"/>
      <x:c r="P66" s="411" t="str"/>
      <x:c r="Q66" s="411" t="str"/>
      <x:c r="R66" s="411" t="str"/>
      <x:c r="S66" s="373"/>
      <x:c r="T66" s="373"/>
      <x:c r="U66" s="373"/>
      <x:c r="V66" s="373"/>
      <x:c r="W66" s="373"/>
      <x:c r="X66" s="373"/>
      <x:c r="Y66" s="373"/>
      <x:c r="Z66" s="373"/>
    </x:row>
    <x:row r="67">
      <x:c r="A67" s="411" t="str"/>
      <x:c r="B67" s="468" t="str"/>
      <x:c r="C67" s="411" t="str"/>
      <x:c r="D67" s="411" t="str"/>
      <x:c r="E67" s="411" t="str"/>
      <x:c r="F67" s="411" t="str"/>
      <x:c r="G67" s="411" t="str"/>
      <x:c r="H67" s="411" t="str"/>
      <x:c r="I67" s="411" t="str"/>
      <x:c r="J67" s="411" t="str"/>
      <x:c r="K67" s="411" t="str"/>
      <x:c r="L67" s="411" t="str"/>
      <x:c r="M67" s="411" t="str"/>
      <x:c r="N67" s="464" t="str">
        <x:f>IF(OR(L67="",M67=""),"",IF(L67&lt;=M67,"Passed","Review"))</x:f>
      </x:c>
      <x:c r="O67" s="411" t="str"/>
      <x:c r="P67" s="411" t="str"/>
      <x:c r="Q67" s="411" t="str"/>
      <x:c r="R67" s="411" t="str"/>
      <x:c r="S67" s="373"/>
      <x:c r="T67" s="373"/>
      <x:c r="U67" s="373"/>
      <x:c r="V67" s="373"/>
      <x:c r="W67" s="373"/>
      <x:c r="X67" s="373"/>
      <x:c r="Y67" s="373"/>
      <x:c r="Z67" s="373"/>
    </x:row>
    <x:row r="68">
      <x:c r="A68" s="411" t="str"/>
      <x:c r="B68" s="468" t="str"/>
      <x:c r="C68" s="411" t="str"/>
      <x:c r="D68" s="411" t="str"/>
      <x:c r="E68" s="411" t="str"/>
      <x:c r="F68" s="411" t="str"/>
      <x:c r="G68" s="411" t="str"/>
      <x:c r="H68" s="411" t="str"/>
      <x:c r="I68" s="411" t="str"/>
      <x:c r="J68" s="411" t="str"/>
      <x:c r="K68" s="411" t="str"/>
      <x:c r="L68" s="411" t="str"/>
      <x:c r="M68" s="411" t="str"/>
      <x:c r="N68" s="464" t="str">
        <x:f>IF(OR(L68="",M68=""),"",IF(L68&lt;=M68,"Passed","Review"))</x:f>
      </x:c>
      <x:c r="O68" s="411" t="str"/>
      <x:c r="P68" s="411" t="str"/>
      <x:c r="Q68" s="411" t="str"/>
      <x:c r="R68" s="411" t="str"/>
      <x:c r="S68" s="373"/>
      <x:c r="T68" s="373"/>
      <x:c r="U68" s="373"/>
      <x:c r="V68" s="373"/>
      <x:c r="W68" s="373"/>
      <x:c r="X68" s="373"/>
      <x:c r="Y68" s="373"/>
      <x:c r="Z68" s="373"/>
    </x:row>
    <x:row r="69">
      <x:c r="A69" s="411" t="str"/>
      <x:c r="B69" s="468" t="str"/>
      <x:c r="C69" s="411" t="str"/>
      <x:c r="D69" s="411" t="str"/>
      <x:c r="E69" s="411" t="str"/>
      <x:c r="F69" s="411" t="str"/>
      <x:c r="G69" s="411" t="str"/>
      <x:c r="H69" s="411" t="str"/>
      <x:c r="I69" s="411" t="str"/>
      <x:c r="J69" s="411" t="str"/>
      <x:c r="K69" s="411" t="str"/>
      <x:c r="L69" s="411" t="str"/>
      <x:c r="M69" s="411" t="str"/>
      <x:c r="N69" s="464" t="str">
        <x:f>IF(OR(L69="",M69=""),"",IF(L69&lt;=M69,"Passed","Review"))</x:f>
      </x:c>
      <x:c r="O69" s="411" t="str"/>
      <x:c r="P69" s="411" t="str"/>
      <x:c r="Q69" s="411" t="str"/>
      <x:c r="R69" s="411" t="str"/>
      <x:c r="S69" s="373"/>
      <x:c r="T69" s="373"/>
      <x:c r="U69" s="373"/>
      <x:c r="V69" s="373"/>
      <x:c r="W69" s="373"/>
      <x:c r="X69" s="373"/>
      <x:c r="Y69" s="373"/>
      <x:c r="Z69" s="373"/>
    </x:row>
    <x:row r="70">
      <x:c r="A70" s="411" t="str"/>
      <x:c r="B70" s="468" t="str"/>
      <x:c r="C70" s="411" t="str"/>
      <x:c r="D70" s="411" t="str"/>
      <x:c r="E70" s="411" t="str"/>
      <x:c r="F70" s="411" t="str"/>
      <x:c r="G70" s="411" t="str"/>
      <x:c r="H70" s="411" t="str"/>
      <x:c r="I70" s="411" t="str"/>
      <x:c r="J70" s="411" t="str"/>
      <x:c r="K70" s="411" t="str"/>
      <x:c r="L70" s="411" t="str"/>
      <x:c r="M70" s="411" t="str"/>
      <x:c r="N70" s="464" t="str">
        <x:f>IF(OR(L70="",M70=""),"",IF(L70&lt;=M70,"Passed","Review"))</x:f>
      </x:c>
      <x:c r="O70" s="411" t="str"/>
      <x:c r="P70" s="411" t="str"/>
      <x:c r="Q70" s="411" t="str"/>
      <x:c r="R70" s="411" t="str"/>
      <x:c r="S70" s="373"/>
      <x:c r="T70" s="373"/>
      <x:c r="U70" s="373"/>
      <x:c r="V70" s="373"/>
      <x:c r="W70" s="373"/>
      <x:c r="X70" s="373"/>
      <x:c r="Y70" s="373"/>
      <x:c r="Z70" s="373"/>
    </x:row>
    <x:row r="71">
      <x:c r="A71" s="411" t="str"/>
      <x:c r="B71" s="468" t="str"/>
      <x:c r="C71" s="411" t="str"/>
      <x:c r="D71" s="411" t="str"/>
      <x:c r="E71" s="411" t="str"/>
      <x:c r="F71" s="411" t="str"/>
      <x:c r="G71" s="411" t="str"/>
      <x:c r="H71" s="411" t="str"/>
      <x:c r="I71" s="411" t="str"/>
      <x:c r="J71" s="411" t="str"/>
      <x:c r="K71" s="411" t="str"/>
      <x:c r="L71" s="411" t="str"/>
      <x:c r="M71" s="411" t="str"/>
      <x:c r="N71" s="464" t="str">
        <x:f>IF(OR(L71="",M71=""),"",IF(L71&lt;=M71,"Passed","Review"))</x:f>
      </x:c>
      <x:c r="O71" s="411" t="str"/>
      <x:c r="P71" s="411" t="str"/>
      <x:c r="Q71" s="411" t="str"/>
      <x:c r="R71" s="411" t="str"/>
      <x:c r="S71" s="373"/>
      <x:c r="T71" s="373"/>
      <x:c r="U71" s="373"/>
      <x:c r="V71" s="373"/>
      <x:c r="W71" s="373"/>
      <x:c r="X71" s="373"/>
      <x:c r="Y71" s="373"/>
      <x:c r="Z71" s="373"/>
    </x:row>
    <x:row r="72">
      <x:c r="A72" s="411" t="str"/>
      <x:c r="B72" s="468" t="str"/>
      <x:c r="C72" s="411" t="str"/>
      <x:c r="D72" s="411" t="str"/>
      <x:c r="E72" s="411" t="str"/>
      <x:c r="F72" s="411" t="str"/>
      <x:c r="G72" s="411" t="str"/>
      <x:c r="H72" s="411" t="str"/>
      <x:c r="I72" s="411" t="str"/>
      <x:c r="J72" s="411" t="str"/>
      <x:c r="K72" s="411" t="str"/>
      <x:c r="L72" s="411" t="str"/>
      <x:c r="M72" s="411" t="str"/>
      <x:c r="N72" s="464" t="str">
        <x:f>IF(OR(L72="",M72=""),"",IF(L72&lt;=M72,"Passed","Review"))</x:f>
      </x:c>
      <x:c r="O72" s="411" t="str"/>
      <x:c r="P72" s="411" t="str"/>
      <x:c r="Q72" s="411" t="str"/>
      <x:c r="R72" s="411" t="str"/>
      <x:c r="S72" s="373"/>
      <x:c r="T72" s="373"/>
      <x:c r="U72" s="373"/>
      <x:c r="V72" s="373"/>
      <x:c r="W72" s="373"/>
      <x:c r="X72" s="373"/>
      <x:c r="Y72" s="373"/>
      <x:c r="Z72" s="373"/>
    </x:row>
    <x:row r="73">
      <x:c r="A73" s="411" t="str"/>
      <x:c r="B73" s="468" t="str"/>
      <x:c r="C73" s="411" t="str"/>
      <x:c r="D73" s="411" t="str"/>
      <x:c r="E73" s="411" t="str"/>
      <x:c r="F73" s="411" t="str"/>
      <x:c r="G73" s="411" t="str"/>
      <x:c r="H73" s="411" t="str"/>
      <x:c r="I73" s="411" t="str"/>
      <x:c r="J73" s="411" t="str"/>
      <x:c r="K73" s="411" t="str"/>
      <x:c r="L73" s="411" t="str"/>
      <x:c r="M73" s="411" t="str"/>
      <x:c r="N73" s="464" t="str">
        <x:f>IF(OR(L73="",M73=""),"",IF(L73&lt;=M73,"Passed","Review"))</x:f>
      </x:c>
      <x:c r="O73" s="411" t="str"/>
      <x:c r="P73" s="411" t="str"/>
      <x:c r="Q73" s="411" t="str"/>
      <x:c r="R73" s="411" t="str"/>
      <x:c r="S73" s="373"/>
      <x:c r="T73" s="373"/>
      <x:c r="U73" s="373"/>
      <x:c r="V73" s="373"/>
      <x:c r="W73" s="373"/>
      <x:c r="X73" s="373"/>
      <x:c r="Y73" s="373"/>
      <x:c r="Z73" s="373"/>
    </x:row>
    <x:row r="74">
      <x:c r="A74" s="411" t="str"/>
      <x:c r="B74" s="468" t="str"/>
      <x:c r="C74" s="411" t="str"/>
      <x:c r="D74" s="411" t="str"/>
      <x:c r="E74" s="411" t="str"/>
      <x:c r="F74" s="411" t="str"/>
      <x:c r="G74" s="411" t="str"/>
      <x:c r="H74" s="411" t="str"/>
      <x:c r="I74" s="411" t="str"/>
      <x:c r="J74" s="411" t="str"/>
      <x:c r="K74" s="411" t="str"/>
      <x:c r="L74" s="411" t="str"/>
      <x:c r="M74" s="411" t="str"/>
      <x:c r="N74" s="464" t="str">
        <x:f>IF(OR(L74="",M74=""),"",IF(L74&lt;=M74,"Passed","Review"))</x:f>
      </x:c>
      <x:c r="O74" s="411" t="str"/>
      <x:c r="P74" s="411" t="str"/>
      <x:c r="Q74" s="411" t="str"/>
      <x:c r="R74" s="411" t="str"/>
      <x:c r="S74" s="373"/>
      <x:c r="T74" s="373"/>
      <x:c r="U74" s="373"/>
      <x:c r="V74" s="373"/>
      <x:c r="W74" s="373"/>
      <x:c r="X74" s="373"/>
      <x:c r="Y74" s="373"/>
      <x:c r="Z74" s="373"/>
    </x:row>
    <x:row r="75">
      <x:c r="A75" s="411" t="str"/>
      <x:c r="B75" s="468" t="str"/>
      <x:c r="C75" s="411" t="str"/>
      <x:c r="D75" s="411" t="str"/>
      <x:c r="E75" s="411" t="str"/>
      <x:c r="F75" s="411" t="str"/>
      <x:c r="G75" s="411" t="str"/>
      <x:c r="H75" s="411" t="str"/>
      <x:c r="I75" s="411" t="str"/>
      <x:c r="J75" s="411" t="str"/>
      <x:c r="K75" s="411" t="str"/>
      <x:c r="L75" s="411" t="str"/>
      <x:c r="M75" s="411" t="str"/>
      <x:c r="N75" s="464" t="str">
        <x:f>IF(OR(L75="",M75=""),"",IF(L75&lt;=M75,"Passed","Review"))</x:f>
      </x:c>
      <x:c r="O75" s="411" t="str"/>
      <x:c r="P75" s="411" t="str"/>
      <x:c r="Q75" s="411" t="str"/>
      <x:c r="R75" s="411" t="str"/>
      <x:c r="S75" s="373"/>
      <x:c r="T75" s="373"/>
      <x:c r="U75" s="373"/>
      <x:c r="V75" s="373"/>
      <x:c r="W75" s="373"/>
      <x:c r="X75" s="373"/>
      <x:c r="Y75" s="373"/>
      <x:c r="Z75" s="373"/>
    </x:row>
    <x:row r="76">
      <x:c r="A76" s="411" t="str"/>
      <x:c r="B76" s="468" t="str"/>
      <x:c r="C76" s="411" t="str"/>
      <x:c r="D76" s="411" t="str"/>
      <x:c r="E76" s="411" t="str"/>
      <x:c r="F76" s="411" t="str"/>
      <x:c r="G76" s="411" t="str"/>
      <x:c r="H76" s="411" t="str"/>
      <x:c r="I76" s="411" t="str"/>
      <x:c r="J76" s="411" t="str"/>
      <x:c r="K76" s="411" t="str"/>
      <x:c r="L76" s="411" t="str"/>
      <x:c r="M76" s="411" t="str"/>
      <x:c r="N76" s="464" t="str">
        <x:f>IF(OR(L76="",M76=""),"",IF(L76&lt;=M76,"Passed","Review"))</x:f>
      </x:c>
      <x:c r="O76" s="411" t="str"/>
      <x:c r="P76" s="411" t="str"/>
      <x:c r="Q76" s="411" t="str"/>
      <x:c r="R76" s="411" t="str"/>
      <x:c r="S76" s="373"/>
      <x:c r="T76" s="373"/>
      <x:c r="U76" s="373"/>
      <x:c r="V76" s="373"/>
      <x:c r="W76" s="373"/>
      <x:c r="X76" s="373"/>
      <x:c r="Y76" s="373"/>
      <x:c r="Z76" s="373"/>
    </x:row>
    <x:row r="77">
      <x:c r="A77" s="411" t="str"/>
      <x:c r="B77" s="468" t="str"/>
      <x:c r="C77" s="411" t="str"/>
      <x:c r="D77" s="411" t="str"/>
      <x:c r="E77" s="411" t="str"/>
      <x:c r="F77" s="411" t="str"/>
      <x:c r="G77" s="411" t="str"/>
      <x:c r="H77" s="411" t="str"/>
      <x:c r="I77" s="411" t="str"/>
      <x:c r="J77" s="411" t="str"/>
      <x:c r="K77" s="411" t="str"/>
      <x:c r="L77" s="411" t="str"/>
      <x:c r="M77" s="411" t="str"/>
      <x:c r="N77" s="464" t="str">
        <x:f>IF(OR(L77="",M77=""),"",IF(L77&lt;=M77,"Passed","Review"))</x:f>
      </x:c>
      <x:c r="O77" s="411" t="str"/>
      <x:c r="P77" s="411" t="str"/>
      <x:c r="Q77" s="411" t="str"/>
      <x:c r="R77" s="411" t="str"/>
      <x:c r="S77" s="373"/>
      <x:c r="T77" s="373"/>
      <x:c r="U77" s="373"/>
      <x:c r="V77" s="373"/>
      <x:c r="W77" s="373"/>
      <x:c r="X77" s="373"/>
      <x:c r="Y77" s="373"/>
      <x:c r="Z77" s="373"/>
    </x:row>
    <x:row r="78">
      <x:c r="A78" s="411" t="str"/>
      <x:c r="B78" s="468" t="str"/>
      <x:c r="C78" s="411" t="str"/>
      <x:c r="D78" s="411" t="str"/>
      <x:c r="E78" s="411" t="str"/>
      <x:c r="F78" s="411" t="str"/>
      <x:c r="G78" s="411" t="str"/>
      <x:c r="H78" s="411" t="str"/>
      <x:c r="I78" s="411" t="str"/>
      <x:c r="J78" s="411" t="str"/>
      <x:c r="K78" s="411" t="str"/>
      <x:c r="L78" s="411" t="str"/>
      <x:c r="M78" s="411" t="str"/>
      <x:c r="N78" s="464" t="str">
        <x:f>IF(OR(L78="",M78=""),"",IF(L78&lt;=M78,"Passed","Review"))</x:f>
      </x:c>
      <x:c r="O78" s="411" t="str"/>
      <x:c r="P78" s="411" t="str"/>
      <x:c r="Q78" s="411" t="str"/>
      <x:c r="R78" s="411" t="str"/>
      <x:c r="S78" s="373"/>
      <x:c r="T78" s="373"/>
      <x:c r="U78" s="373"/>
      <x:c r="V78" s="373"/>
      <x:c r="W78" s="373"/>
      <x:c r="X78" s="373"/>
      <x:c r="Y78" s="373"/>
      <x:c r="Z78" s="373"/>
    </x:row>
    <x:row r="79">
      <x:c r="A79" s="411" t="str"/>
      <x:c r="B79" s="468" t="str"/>
      <x:c r="C79" s="411" t="str"/>
      <x:c r="D79" s="411" t="str"/>
      <x:c r="E79" s="411" t="str"/>
      <x:c r="F79" s="411" t="str"/>
      <x:c r="G79" s="411" t="str"/>
      <x:c r="H79" s="411" t="str"/>
      <x:c r="I79" s="411" t="str"/>
      <x:c r="J79" s="411" t="str"/>
      <x:c r="K79" s="411" t="str"/>
      <x:c r="L79" s="411" t="str"/>
      <x:c r="M79" s="411" t="str"/>
      <x:c r="N79" s="464" t="str">
        <x:f>IF(OR(L79="",M79=""),"",IF(L79&lt;=M79,"Passed","Review"))</x:f>
      </x:c>
      <x:c r="O79" s="411" t="str"/>
      <x:c r="P79" s="411" t="str"/>
      <x:c r="Q79" s="411" t="str"/>
      <x:c r="R79" s="411" t="str"/>
      <x:c r="S79" s="373"/>
      <x:c r="T79" s="373"/>
      <x:c r="U79" s="373"/>
      <x:c r="V79" s="373"/>
      <x:c r="W79" s="373"/>
      <x:c r="X79" s="373"/>
      <x:c r="Y79" s="373"/>
      <x:c r="Z79" s="373"/>
    </x:row>
    <x:row r="80">
      <x:c r="A80" s="411" t="str"/>
      <x:c r="B80" s="468" t="str"/>
      <x:c r="C80" s="411" t="str"/>
      <x:c r="D80" s="411" t="str"/>
      <x:c r="E80" s="411" t="str"/>
      <x:c r="F80" s="411" t="str"/>
      <x:c r="G80" s="411" t="str"/>
      <x:c r="H80" s="411" t="str"/>
      <x:c r="I80" s="411" t="str"/>
      <x:c r="J80" s="411" t="str"/>
      <x:c r="K80" s="411" t="str"/>
      <x:c r="L80" s="411" t="str"/>
      <x:c r="M80" s="411" t="str"/>
      <x:c r="N80" s="464" t="str">
        <x:f>IF(OR(L80="",M80=""),"",IF(L80&lt;=M80,"Passed","Review"))</x:f>
      </x:c>
      <x:c r="O80" s="411" t="str"/>
      <x:c r="P80" s="411" t="str"/>
      <x:c r="Q80" s="411" t="str"/>
      <x:c r="R80" s="411" t="str"/>
      <x:c r="S80" s="373"/>
      <x:c r="T80" s="373"/>
      <x:c r="U80" s="373"/>
      <x:c r="V80" s="373"/>
      <x:c r="W80" s="373"/>
      <x:c r="X80" s="373"/>
      <x:c r="Y80" s="373"/>
      <x:c r="Z80" s="373"/>
    </x:row>
    <x:row r="81">
      <x:c r="A81" s="411" t="str"/>
      <x:c r="B81" s="468" t="str"/>
      <x:c r="C81" s="411" t="str"/>
      <x:c r="D81" s="411" t="str"/>
      <x:c r="E81" s="411" t="str"/>
      <x:c r="F81" s="411" t="str"/>
      <x:c r="G81" s="411" t="str"/>
      <x:c r="H81" s="411" t="str"/>
      <x:c r="I81" s="411" t="str"/>
      <x:c r="J81" s="411" t="str"/>
      <x:c r="K81" s="411" t="str"/>
      <x:c r="L81" s="411" t="str"/>
      <x:c r="M81" s="411" t="str"/>
      <x:c r="N81" s="464" t="str">
        <x:f>IF(OR(L81="",M81=""),"",IF(L81&lt;=M81,"Passed","Review"))</x:f>
      </x:c>
      <x:c r="O81" s="411" t="str"/>
      <x:c r="P81" s="411" t="str"/>
      <x:c r="Q81" s="411" t="str"/>
      <x:c r="R81" s="411" t="str"/>
      <x:c r="S81" s="373"/>
      <x:c r="T81" s="373"/>
      <x:c r="U81" s="373"/>
      <x:c r="V81" s="373"/>
      <x:c r="W81" s="373"/>
      <x:c r="X81" s="373"/>
      <x:c r="Y81" s="373"/>
      <x:c r="Z81" s="373"/>
    </x:row>
    <x:row r="82">
      <x:c r="A82" s="411" t="str"/>
      <x:c r="B82" s="468" t="str"/>
      <x:c r="C82" s="411" t="str"/>
      <x:c r="D82" s="411" t="str"/>
      <x:c r="E82" s="411" t="str"/>
      <x:c r="F82" s="411" t="str"/>
      <x:c r="G82" s="411" t="str"/>
      <x:c r="H82" s="411" t="str"/>
      <x:c r="I82" s="411" t="str"/>
      <x:c r="J82" s="411" t="str"/>
      <x:c r="K82" s="411" t="str"/>
      <x:c r="L82" s="411" t="str"/>
      <x:c r="M82" s="411" t="str"/>
      <x:c r="N82" s="464" t="str">
        <x:f>IF(OR(L82="",M82=""),"",IF(L82&lt;=M82,"Passed","Review"))</x:f>
      </x:c>
      <x:c r="O82" s="411" t="str"/>
      <x:c r="P82" s="411" t="str"/>
      <x:c r="Q82" s="411" t="str"/>
      <x:c r="R82" s="411" t="str"/>
      <x:c r="S82" s="373"/>
      <x:c r="T82" s="373"/>
      <x:c r="U82" s="373"/>
      <x:c r="V82" s="373"/>
      <x:c r="W82" s="373"/>
      <x:c r="X82" s="373"/>
      <x:c r="Y82" s="373"/>
      <x:c r="Z82" s="373"/>
    </x:row>
    <x:row r="83">
      <x:c r="A83" s="411" t="str"/>
      <x:c r="B83" s="468" t="str"/>
      <x:c r="C83" s="411" t="str"/>
      <x:c r="D83" s="411" t="str"/>
      <x:c r="E83" s="411" t="str"/>
      <x:c r="F83" s="411" t="str"/>
      <x:c r="G83" s="411" t="str"/>
      <x:c r="H83" s="411" t="str"/>
      <x:c r="I83" s="411" t="str"/>
      <x:c r="J83" s="411" t="str"/>
      <x:c r="K83" s="411" t="str"/>
      <x:c r="L83" s="411" t="str"/>
      <x:c r="M83" s="411" t="str"/>
      <x:c r="N83" s="464" t="str">
        <x:f>IF(OR(L83="",M83=""),"",IF(L83&lt;=M83,"Passed","Review"))</x:f>
      </x:c>
      <x:c r="O83" s="411" t="str"/>
      <x:c r="P83" s="411" t="str"/>
      <x:c r="Q83" s="411" t="str"/>
      <x:c r="R83" s="411" t="str"/>
      <x:c r="S83" s="373"/>
      <x:c r="T83" s="373"/>
      <x:c r="U83" s="373"/>
      <x:c r="V83" s="373"/>
      <x:c r="W83" s="373"/>
      <x:c r="X83" s="373"/>
      <x:c r="Y83" s="373"/>
      <x:c r="Z83" s="373"/>
    </x:row>
    <x:row r="84">
      <x:c r="A84" s="411" t="str"/>
      <x:c r="B84" s="468" t="str"/>
      <x:c r="C84" s="411" t="str"/>
      <x:c r="D84" s="411" t="str"/>
      <x:c r="E84" s="411" t="str"/>
      <x:c r="F84" s="411" t="str"/>
      <x:c r="G84" s="411" t="str"/>
      <x:c r="H84" s="411" t="str"/>
      <x:c r="I84" s="411" t="str"/>
      <x:c r="J84" s="411" t="str"/>
      <x:c r="K84" s="411" t="str"/>
      <x:c r="L84" s="411" t="str"/>
      <x:c r="M84" s="411" t="str"/>
      <x:c r="N84" s="464" t="str">
        <x:f>IF(OR(L84="",M84=""),"",IF(L84&lt;=M84,"Passed","Review"))</x:f>
      </x:c>
      <x:c r="O84" s="411" t="str"/>
      <x:c r="P84" s="411" t="str"/>
      <x:c r="Q84" s="411" t="str"/>
      <x:c r="R84" s="411" t="str"/>
      <x:c r="S84" s="373"/>
      <x:c r="T84" s="373"/>
      <x:c r="U84" s="373"/>
      <x:c r="V84" s="373"/>
      <x:c r="W84" s="373"/>
      <x:c r="X84" s="373"/>
      <x:c r="Y84" s="373"/>
      <x:c r="Z84" s="373"/>
    </x:row>
    <x:row r="85">
      <x:c r="A85" s="411" t="str"/>
      <x:c r="B85" s="468" t="str"/>
      <x:c r="C85" s="411" t="str"/>
      <x:c r="D85" s="411" t="str"/>
      <x:c r="E85" s="411" t="str"/>
      <x:c r="F85" s="411" t="str"/>
      <x:c r="G85" s="411" t="str"/>
      <x:c r="H85" s="411" t="str"/>
      <x:c r="I85" s="411" t="str"/>
      <x:c r="J85" s="411" t="str"/>
      <x:c r="K85" s="411" t="str"/>
      <x:c r="L85" s="411" t="str"/>
      <x:c r="M85" s="411" t="str"/>
      <x:c r="N85" s="464" t="str">
        <x:f>IF(OR(L85="",M85=""),"",IF(L85&lt;=M85,"Passed","Review"))</x:f>
      </x:c>
      <x:c r="O85" s="411" t="str"/>
      <x:c r="P85" s="411" t="str"/>
      <x:c r="Q85" s="411" t="str"/>
      <x:c r="R85" s="411" t="str"/>
      <x:c r="S85" s="373"/>
      <x:c r="T85" s="373"/>
      <x:c r="U85" s="373"/>
      <x:c r="V85" s="373"/>
      <x:c r="W85" s="373"/>
      <x:c r="X85" s="373"/>
      <x:c r="Y85" s="373"/>
      <x:c r="Z85" s="373"/>
    </x:row>
    <x:row r="86">
      <x:c r="A86" s="411" t="str"/>
      <x:c r="B86" s="468" t="str"/>
      <x:c r="C86" s="411" t="str"/>
      <x:c r="D86" s="411" t="str"/>
      <x:c r="E86" s="411" t="str"/>
      <x:c r="F86" s="411" t="str"/>
      <x:c r="G86" s="411" t="str"/>
      <x:c r="H86" s="411" t="str"/>
      <x:c r="I86" s="411" t="str"/>
      <x:c r="J86" s="411" t="str"/>
      <x:c r="K86" s="411" t="str"/>
      <x:c r="L86" s="411" t="str"/>
      <x:c r="M86" s="411" t="str"/>
      <x:c r="N86" s="464" t="str">
        <x:f>IF(OR(L86="",M86=""),"",IF(L86&lt;=M86,"Passed","Review"))</x:f>
      </x:c>
      <x:c r="O86" s="411" t="str"/>
      <x:c r="P86" s="411" t="str"/>
      <x:c r="Q86" s="411" t="str"/>
      <x:c r="R86" s="411" t="str"/>
      <x:c r="S86" s="373"/>
      <x:c r="T86" s="373"/>
      <x:c r="U86" s="373"/>
      <x:c r="V86" s="373"/>
      <x:c r="W86" s="373"/>
      <x:c r="X86" s="373"/>
      <x:c r="Y86" s="373"/>
      <x:c r="Z86" s="373"/>
    </x:row>
    <x:row r="87">
      <x:c r="A87" s="411" t="str"/>
      <x:c r="B87" s="468" t="str"/>
      <x:c r="C87" s="411" t="str"/>
      <x:c r="D87" s="411" t="str"/>
      <x:c r="E87" s="411" t="str"/>
      <x:c r="F87" s="411" t="str"/>
      <x:c r="G87" s="411" t="str"/>
      <x:c r="H87" s="411" t="str"/>
      <x:c r="I87" s="411" t="str"/>
      <x:c r="J87" s="411" t="str"/>
      <x:c r="K87" s="411" t="str"/>
      <x:c r="L87" s="411" t="str"/>
      <x:c r="M87" s="411" t="str"/>
      <x:c r="N87" s="464" t="str">
        <x:f>IF(OR(L87="",M87=""),"",IF(L87&lt;=M87,"Passed","Review"))</x:f>
      </x:c>
      <x:c r="O87" s="411" t="str"/>
      <x:c r="P87" s="411" t="str"/>
      <x:c r="Q87" s="411" t="str"/>
      <x:c r="R87" s="411" t="str"/>
      <x:c r="S87" s="373"/>
      <x:c r="T87" s="373"/>
      <x:c r="U87" s="373"/>
      <x:c r="V87" s="373"/>
      <x:c r="W87" s="373"/>
      <x:c r="X87" s="373"/>
      <x:c r="Y87" s="373"/>
      <x:c r="Z87" s="373"/>
    </x:row>
    <x:row r="88">
      <x:c r="A88" s="411" t="str"/>
      <x:c r="B88" s="468" t="str"/>
      <x:c r="C88" s="411" t="str"/>
      <x:c r="D88" s="411" t="str"/>
      <x:c r="E88" s="411" t="str"/>
      <x:c r="F88" s="411" t="str"/>
      <x:c r="G88" s="411" t="str"/>
      <x:c r="H88" s="411" t="str"/>
      <x:c r="I88" s="411" t="str"/>
      <x:c r="J88" s="411" t="str"/>
      <x:c r="K88" s="411" t="str"/>
      <x:c r="L88" s="411" t="str"/>
      <x:c r="M88" s="411" t="str"/>
      <x:c r="N88" s="464" t="str">
        <x:f>IF(OR(L88="",M88=""),"",IF(L88&lt;=M88,"Passed","Review"))</x:f>
      </x:c>
      <x:c r="O88" s="411" t="str"/>
      <x:c r="P88" s="411" t="str"/>
      <x:c r="Q88" s="411" t="str"/>
      <x:c r="R88" s="411" t="str"/>
      <x:c r="S88" s="373"/>
      <x:c r="T88" s="373"/>
      <x:c r="U88" s="373"/>
      <x:c r="V88" s="373"/>
      <x:c r="W88" s="373"/>
      <x:c r="X88" s="373"/>
      <x:c r="Y88" s="373"/>
      <x:c r="Z88" s="373"/>
    </x:row>
    <x:row r="89">
      <x:c r="A89" s="411" t="str"/>
      <x:c r="B89" s="468" t="str"/>
      <x:c r="C89" s="411" t="str"/>
      <x:c r="D89" s="411" t="str"/>
      <x:c r="E89" s="411" t="str"/>
      <x:c r="F89" s="411" t="str"/>
      <x:c r="G89" s="411" t="str"/>
      <x:c r="H89" s="411" t="str"/>
      <x:c r="I89" s="411" t="str"/>
      <x:c r="J89" s="411" t="str"/>
      <x:c r="K89" s="411" t="str"/>
      <x:c r="L89" s="411" t="str"/>
      <x:c r="M89" s="411" t="str"/>
      <x:c r="N89" s="464" t="str">
        <x:f>IF(OR(L89="",M89=""),"",IF(L89&lt;=M89,"Passed","Review"))</x:f>
      </x:c>
      <x:c r="O89" s="411" t="str"/>
      <x:c r="P89" s="411" t="str"/>
      <x:c r="Q89" s="411" t="str"/>
      <x:c r="R89" s="411" t="str"/>
      <x:c r="S89" s="373"/>
      <x:c r="T89" s="373"/>
      <x:c r="U89" s="373"/>
      <x:c r="V89" s="373"/>
      <x:c r="W89" s="373"/>
      <x:c r="X89" s="373"/>
      <x:c r="Y89" s="373"/>
      <x:c r="Z89" s="373"/>
    </x:row>
    <x:row r="90">
      <x:c r="A90" s="411" t="str"/>
      <x:c r="B90" s="468" t="str"/>
      <x:c r="C90" s="411" t="str"/>
      <x:c r="D90" s="411" t="str"/>
      <x:c r="E90" s="411" t="str"/>
      <x:c r="F90" s="411" t="str"/>
      <x:c r="G90" s="411" t="str"/>
      <x:c r="H90" s="411" t="str"/>
      <x:c r="I90" s="411" t="str"/>
      <x:c r="J90" s="411" t="str"/>
      <x:c r="K90" s="411" t="str"/>
      <x:c r="L90" s="411" t="str"/>
      <x:c r="M90" s="411" t="str"/>
      <x:c r="N90" s="464" t="str">
        <x:f>IF(OR(L90="",M90=""),"",IF(L90&lt;=M90,"Passed","Review"))</x:f>
      </x:c>
      <x:c r="O90" s="411" t="str"/>
      <x:c r="P90" s="411" t="str"/>
      <x:c r="Q90" s="411" t="str"/>
      <x:c r="R90" s="411" t="str"/>
      <x:c r="S90" s="373"/>
      <x:c r="T90" s="373"/>
      <x:c r="U90" s="373"/>
      <x:c r="V90" s="373"/>
      <x:c r="W90" s="373"/>
      <x:c r="X90" s="373"/>
      <x:c r="Y90" s="373"/>
      <x:c r="Z90" s="373"/>
    </x:row>
    <x:row r="91">
      <x:c r="A91" s="411" t="str"/>
      <x:c r="B91" s="468" t="str"/>
      <x:c r="C91" s="411" t="str"/>
      <x:c r="D91" s="411" t="str"/>
      <x:c r="E91" s="411" t="str"/>
      <x:c r="F91" s="411" t="str"/>
      <x:c r="G91" s="411" t="str"/>
      <x:c r="H91" s="411" t="str"/>
      <x:c r="I91" s="411" t="str"/>
      <x:c r="J91" s="411" t="str"/>
      <x:c r="K91" s="411" t="str"/>
      <x:c r="L91" s="411" t="str"/>
      <x:c r="M91" s="411" t="str"/>
      <x:c r="N91" s="464" t="str">
        <x:f>IF(OR(L91="",M91=""),"",IF(L91&lt;=M91,"Passed","Review"))</x:f>
      </x:c>
      <x:c r="O91" s="411" t="str"/>
      <x:c r="P91" s="411" t="str"/>
      <x:c r="Q91" s="411" t="str"/>
      <x:c r="R91" s="411" t="str"/>
      <x:c r="S91" s="373"/>
      <x:c r="T91" s="373"/>
      <x:c r="U91" s="373"/>
      <x:c r="V91" s="373"/>
      <x:c r="W91" s="373"/>
      <x:c r="X91" s="373"/>
      <x:c r="Y91" s="373"/>
      <x:c r="Z91" s="373"/>
    </x:row>
    <x:row r="92">
      <x:c r="A92" s="411" t="str"/>
      <x:c r="B92" s="468" t="str"/>
      <x:c r="C92" s="411" t="str"/>
      <x:c r="D92" s="411" t="str"/>
      <x:c r="E92" s="411" t="str"/>
      <x:c r="F92" s="411" t="str"/>
      <x:c r="G92" s="411" t="str"/>
      <x:c r="H92" s="411" t="str"/>
      <x:c r="I92" s="411" t="str"/>
      <x:c r="J92" s="411" t="str"/>
      <x:c r="K92" s="411" t="str"/>
      <x:c r="L92" s="411" t="str"/>
      <x:c r="M92" s="411" t="str"/>
      <x:c r="N92" s="464" t="str">
        <x:f>IF(OR(L92="",M92=""),"",IF(L92&lt;=M92,"Passed","Review"))</x:f>
      </x:c>
      <x:c r="O92" s="411" t="str"/>
      <x:c r="P92" s="411" t="str"/>
      <x:c r="Q92" s="411" t="str"/>
      <x:c r="R92" s="411" t="str"/>
      <x:c r="S92" s="373"/>
      <x:c r="T92" s="373"/>
      <x:c r="U92" s="373"/>
      <x:c r="V92" s="373"/>
      <x:c r="W92" s="373"/>
      <x:c r="X92" s="373"/>
      <x:c r="Y92" s="373"/>
      <x:c r="Z92" s="373"/>
    </x:row>
    <x:row r="93">
      <x:c r="A93" s="411" t="str"/>
      <x:c r="B93" s="468" t="str"/>
      <x:c r="C93" s="411" t="str"/>
      <x:c r="D93" s="411" t="str"/>
      <x:c r="E93" s="411" t="str"/>
      <x:c r="F93" s="411" t="str"/>
      <x:c r="G93" s="411" t="str"/>
      <x:c r="H93" s="411" t="str"/>
      <x:c r="I93" s="411" t="str"/>
      <x:c r="J93" s="411" t="str"/>
      <x:c r="K93" s="411" t="str"/>
      <x:c r="L93" s="411" t="str"/>
      <x:c r="M93" s="411" t="str"/>
      <x:c r="N93" s="464" t="str">
        <x:f>IF(OR(L93="",M93=""),"",IF(L93&lt;=M93,"Passed","Review"))</x:f>
      </x:c>
      <x:c r="O93" s="411" t="str"/>
      <x:c r="P93" s="411" t="str"/>
      <x:c r="Q93" s="411" t="str"/>
      <x:c r="R93" s="411" t="str"/>
      <x:c r="S93" s="373"/>
      <x:c r="T93" s="373"/>
      <x:c r="U93" s="373"/>
      <x:c r="V93" s="373"/>
      <x:c r="W93" s="373"/>
      <x:c r="X93" s="373"/>
      <x:c r="Y93" s="373"/>
      <x:c r="Z93" s="373"/>
    </x:row>
    <x:row r="94">
      <x:c r="A94" s="411" t="str"/>
      <x:c r="B94" s="468" t="str"/>
      <x:c r="C94" s="411" t="str"/>
      <x:c r="D94" s="411" t="str"/>
      <x:c r="E94" s="411" t="str"/>
      <x:c r="F94" s="411" t="str"/>
      <x:c r="G94" s="411" t="str"/>
      <x:c r="H94" s="411" t="str"/>
      <x:c r="I94" s="411" t="str"/>
      <x:c r="J94" s="411" t="str"/>
      <x:c r="K94" s="411" t="str"/>
      <x:c r="L94" s="411" t="str"/>
      <x:c r="M94" s="411" t="str"/>
      <x:c r="N94" s="464" t="str">
        <x:f>IF(OR(L94="",M94=""),"",IF(L94&lt;=M94,"Passed","Review"))</x:f>
      </x:c>
      <x:c r="O94" s="411" t="str"/>
      <x:c r="P94" s="411" t="str"/>
      <x:c r="Q94" s="411" t="str"/>
      <x:c r="R94" s="411" t="str"/>
      <x:c r="S94" s="373"/>
      <x:c r="T94" s="373"/>
      <x:c r="U94" s="373"/>
      <x:c r="V94" s="373"/>
      <x:c r="W94" s="373"/>
      <x:c r="X94" s="373"/>
      <x:c r="Y94" s="373"/>
      <x:c r="Z94" s="373"/>
    </x:row>
    <x:row r="95">
      <x:c r="A95" s="411" t="str"/>
      <x:c r="B95" s="468" t="str"/>
      <x:c r="C95" s="411" t="str"/>
      <x:c r="D95" s="411" t="str"/>
      <x:c r="E95" s="411" t="str"/>
      <x:c r="F95" s="411" t="str"/>
      <x:c r="G95" s="411" t="str"/>
      <x:c r="H95" s="411" t="str"/>
      <x:c r="I95" s="411" t="str"/>
      <x:c r="J95" s="411" t="str"/>
      <x:c r="K95" s="411" t="str"/>
      <x:c r="L95" s="411" t="str"/>
      <x:c r="M95" s="411" t="str"/>
      <x:c r="N95" s="464" t="str">
        <x:f>IF(OR(L95="",M95=""),"",IF(L95&lt;=M95,"Passed","Review"))</x:f>
      </x:c>
      <x:c r="O95" s="411" t="str"/>
      <x:c r="P95" s="411" t="str"/>
      <x:c r="Q95" s="411" t="str"/>
      <x:c r="R95" s="411" t="str"/>
      <x:c r="S95" s="373"/>
      <x:c r="T95" s="373"/>
      <x:c r="U95" s="373"/>
      <x:c r="V95" s="373"/>
      <x:c r="W95" s="373"/>
      <x:c r="X95" s="373"/>
      <x:c r="Y95" s="373"/>
      <x:c r="Z95" s="373"/>
    </x:row>
    <x:row r="96">
      <x:c r="A96" s="411" t="str"/>
      <x:c r="B96" s="468" t="str"/>
      <x:c r="C96" s="411" t="str"/>
      <x:c r="D96" s="411" t="str"/>
      <x:c r="E96" s="411" t="str"/>
      <x:c r="F96" s="411" t="str"/>
      <x:c r="G96" s="411" t="str"/>
      <x:c r="H96" s="411" t="str"/>
      <x:c r="I96" s="411" t="str"/>
      <x:c r="J96" s="411" t="str"/>
      <x:c r="K96" s="411" t="str"/>
      <x:c r="L96" s="411" t="str"/>
      <x:c r="M96" s="411" t="str"/>
      <x:c r="N96" s="464" t="str">
        <x:f>IF(OR(L96="",M96=""),"",IF(L96&lt;=M96,"Passed","Review"))</x:f>
      </x:c>
      <x:c r="O96" s="411" t="str"/>
      <x:c r="P96" s="411" t="str"/>
      <x:c r="Q96" s="411" t="str"/>
      <x:c r="R96" s="411" t="str"/>
      <x:c r="S96" s="373"/>
      <x:c r="T96" s="373"/>
      <x:c r="U96" s="373"/>
      <x:c r="V96" s="373"/>
      <x:c r="W96" s="373"/>
      <x:c r="X96" s="373"/>
      <x:c r="Y96" s="373"/>
      <x:c r="Z96" s="373"/>
    </x:row>
    <x:row r="97">
      <x:c r="A97" s="411" t="str"/>
      <x:c r="B97" s="468" t="str"/>
      <x:c r="C97" s="411" t="str"/>
      <x:c r="D97" s="411" t="str"/>
      <x:c r="E97" s="411" t="str"/>
      <x:c r="F97" s="411" t="str"/>
      <x:c r="G97" s="411" t="str"/>
      <x:c r="H97" s="411" t="str"/>
      <x:c r="I97" s="411" t="str"/>
      <x:c r="J97" s="411" t="str"/>
      <x:c r="K97" s="411" t="str"/>
      <x:c r="L97" s="411" t="str"/>
      <x:c r="M97" s="411" t="str"/>
      <x:c r="N97" s="464" t="str">
        <x:f>IF(OR(L97="",M97=""),"",IF(L97&lt;=M97,"Passed","Review"))</x:f>
      </x:c>
      <x:c r="O97" s="411" t="str"/>
      <x:c r="P97" s="411" t="str"/>
      <x:c r="Q97" s="411" t="str"/>
      <x:c r="R97" s="411" t="str"/>
      <x:c r="S97" s="373"/>
      <x:c r="T97" s="373"/>
      <x:c r="U97" s="373"/>
      <x:c r="V97" s="373"/>
      <x:c r="W97" s="373"/>
      <x:c r="X97" s="373"/>
      <x:c r="Y97" s="373"/>
      <x:c r="Z97" s="373"/>
    </x:row>
    <x:row r="98">
      <x:c r="A98" s="411" t="str"/>
      <x:c r="B98" s="468" t="str"/>
      <x:c r="C98" s="411" t="str"/>
      <x:c r="D98" s="411" t="str"/>
      <x:c r="E98" s="411" t="str"/>
      <x:c r="F98" s="411" t="str"/>
      <x:c r="G98" s="411" t="str"/>
      <x:c r="H98" s="411" t="str"/>
      <x:c r="I98" s="411" t="str"/>
      <x:c r="J98" s="411" t="str"/>
      <x:c r="K98" s="411" t="str"/>
      <x:c r="L98" s="411" t="str"/>
      <x:c r="M98" s="411" t="str"/>
      <x:c r="N98" s="464" t="str">
        <x:f>IF(OR(L98="",M98=""),"",IF(L98&lt;=M98,"Passed","Review"))</x:f>
      </x:c>
      <x:c r="O98" s="411" t="str"/>
      <x:c r="P98" s="411" t="str"/>
      <x:c r="Q98" s="411" t="str"/>
      <x:c r="R98" s="411" t="str"/>
      <x:c r="S98" s="373"/>
      <x:c r="T98" s="373"/>
      <x:c r="U98" s="373"/>
      <x:c r="V98" s="373"/>
      <x:c r="W98" s="373"/>
      <x:c r="X98" s="373"/>
      <x:c r="Y98" s="373"/>
      <x:c r="Z98" s="373"/>
    </x:row>
    <x:row r="99">
      <x:c r="A99" s="411" t="str"/>
      <x:c r="B99" s="468" t="str"/>
      <x:c r="C99" s="411" t="str"/>
      <x:c r="D99" s="411" t="str"/>
      <x:c r="E99" s="411" t="str"/>
      <x:c r="F99" s="411" t="str"/>
      <x:c r="G99" s="411" t="str"/>
      <x:c r="H99" s="411" t="str"/>
      <x:c r="I99" s="411" t="str"/>
      <x:c r="J99" s="411" t="str"/>
      <x:c r="K99" s="411" t="str"/>
      <x:c r="L99" s="411" t="str"/>
      <x:c r="M99" s="411" t="str"/>
      <x:c r="N99" s="464" t="str">
        <x:f>IF(OR(L99="",M99=""),"",IF(L99&lt;=M99,"Passed","Review"))</x:f>
      </x:c>
      <x:c r="O99" s="411" t="str"/>
      <x:c r="P99" s="411" t="str"/>
      <x:c r="Q99" s="411" t="str"/>
      <x:c r="R99" s="411" t="str"/>
      <x:c r="S99" s="373"/>
      <x:c r="T99" s="373"/>
      <x:c r="U99" s="373"/>
      <x:c r="V99" s="373"/>
      <x:c r="W99" s="373"/>
      <x:c r="X99" s="373"/>
      <x:c r="Y99" s="373"/>
      <x:c r="Z99" s="373"/>
    </x:row>
    <x:row r="100">
      <x:c r="A100" s="411" t="str"/>
      <x:c r="B100" s="468" t="str"/>
      <x:c r="C100" s="411" t="str"/>
      <x:c r="D100" s="411" t="str"/>
      <x:c r="E100" s="411" t="str"/>
      <x:c r="F100" s="411" t="str"/>
      <x:c r="G100" s="411" t="str"/>
      <x:c r="H100" s="411" t="str"/>
      <x:c r="I100" s="411" t="str"/>
      <x:c r="J100" s="411" t="str"/>
      <x:c r="K100" s="411" t="str"/>
      <x:c r="L100" s="411" t="str"/>
      <x:c r="M100" s="411" t="str"/>
      <x:c r="N100" s="464" t="str">
        <x:f>IF(OR(L100="",M100=""),"",IF(L100&lt;=M100,"Passed","Review"))</x:f>
      </x:c>
      <x:c r="O100" s="411" t="str"/>
      <x:c r="P100" s="411" t="str"/>
      <x:c r="Q100" s="411" t="str"/>
      <x:c r="R100" s="411" t="str"/>
      <x:c r="S100" s="373"/>
      <x:c r="T100" s="373"/>
      <x:c r="U100" s="373"/>
      <x:c r="V100" s="373"/>
      <x:c r="W100" s="373"/>
      <x:c r="X100" s="373"/>
      <x:c r="Y100" s="373"/>
      <x:c r="Z100" s="373"/>
    </x:row>
    <x:row r="101">
      <x:c r="A101" s="411" t="str"/>
      <x:c r="B101" s="468" t="str"/>
      <x:c r="C101" s="411" t="str"/>
      <x:c r="D101" s="411" t="str"/>
      <x:c r="E101" s="411" t="str"/>
      <x:c r="F101" s="411" t="str"/>
      <x:c r="G101" s="411" t="str"/>
      <x:c r="H101" s="411" t="str"/>
      <x:c r="I101" s="411" t="str"/>
      <x:c r="J101" s="411" t="str"/>
      <x:c r="K101" s="411" t="str"/>
      <x:c r="L101" s="411" t="str"/>
      <x:c r="M101" s="411" t="str"/>
      <x:c r="N101" s="464" t="str">
        <x:f>IF(OR(L101="",M101=""),"",IF(L101&lt;=M101,"Passed","Review"))</x:f>
      </x:c>
      <x:c r="O101" s="411" t="str"/>
      <x:c r="P101" s="411" t="str"/>
      <x:c r="Q101" s="411" t="str"/>
      <x:c r="R101" s="411" t="str"/>
      <x:c r="S101" s="373"/>
      <x:c r="T101" s="373"/>
      <x:c r="U101" s="373"/>
      <x:c r="V101" s="373"/>
      <x:c r="W101" s="373"/>
      <x:c r="X101" s="373"/>
      <x:c r="Y101" s="373"/>
      <x:c r="Z101" s="373"/>
    </x:row>
    <x:row r="102">
      <x:c r="A102" s="411" t="str"/>
      <x:c r="B102" s="468" t="str"/>
      <x:c r="C102" s="411" t="str"/>
      <x:c r="D102" s="411" t="str"/>
      <x:c r="E102" s="411" t="str"/>
      <x:c r="F102" s="411" t="str"/>
      <x:c r="G102" s="411" t="str"/>
      <x:c r="H102" s="411" t="str"/>
      <x:c r="I102" s="411" t="str"/>
      <x:c r="J102" s="411" t="str"/>
      <x:c r="K102" s="411" t="str"/>
      <x:c r="L102" s="411" t="str"/>
      <x:c r="M102" s="411" t="str"/>
      <x:c r="N102" s="464" t="str">
        <x:f>IF(OR(L102="",M102=""),"",IF(L102&lt;=M102,"Passed","Review"))</x:f>
      </x:c>
      <x:c r="O102" s="411" t="str"/>
      <x:c r="P102" s="411" t="str"/>
      <x:c r="Q102" s="411" t="str"/>
      <x:c r="R102" s="411" t="str"/>
      <x:c r="S102" s="373"/>
      <x:c r="T102" s="373"/>
      <x:c r="U102" s="373"/>
      <x:c r="V102" s="373"/>
      <x:c r="W102" s="373"/>
      <x:c r="X102" s="373"/>
      <x:c r="Y102" s="373"/>
      <x:c r="Z102" s="373"/>
    </x:row>
    <x:row r="103">
      <x:c r="A103" s="411" t="str"/>
      <x:c r="B103" s="468" t="str"/>
      <x:c r="C103" s="411" t="str"/>
      <x:c r="D103" s="411" t="str"/>
      <x:c r="E103" s="411" t="str"/>
      <x:c r="F103" s="411" t="str"/>
      <x:c r="G103" s="411" t="str"/>
      <x:c r="H103" s="411" t="str"/>
      <x:c r="I103" s="411" t="str"/>
      <x:c r="J103" s="411" t="str"/>
      <x:c r="K103" s="411" t="str"/>
      <x:c r="L103" s="411" t="str"/>
      <x:c r="M103" s="411" t="str"/>
      <x:c r="N103" s="464" t="str">
        <x:f>IF(OR(L103="",M103=""),"",IF(L103&lt;=M103,"Passed","Review"))</x:f>
      </x:c>
      <x:c r="O103" s="411" t="str"/>
      <x:c r="P103" s="411" t="str"/>
      <x:c r="Q103" s="411" t="str"/>
      <x:c r="R103" s="411" t="str"/>
      <x:c r="S103" s="373"/>
      <x:c r="T103" s="373"/>
      <x:c r="U103" s="373"/>
      <x:c r="V103" s="373"/>
      <x:c r="W103" s="373"/>
      <x:c r="X103" s="373"/>
      <x:c r="Y103" s="373"/>
      <x:c r="Z103" s="373"/>
    </x:row>
    <x:row r="104">
      <x:c r="A104" s="411" t="str"/>
      <x:c r="B104" s="468" t="str"/>
      <x:c r="C104" s="411" t="str"/>
      <x:c r="D104" s="411" t="str"/>
      <x:c r="E104" s="411" t="str"/>
      <x:c r="F104" s="411" t="str"/>
      <x:c r="G104" s="411" t="str"/>
      <x:c r="H104" s="411" t="str"/>
      <x:c r="I104" s="411" t="str"/>
      <x:c r="J104" s="411" t="str"/>
      <x:c r="K104" s="411" t="str"/>
      <x:c r="L104" s="411" t="str"/>
      <x:c r="M104" s="411" t="str"/>
      <x:c r="N104" s="464" t="str">
        <x:f>IF(OR(L104="",M104=""),"",IF(L104&lt;=M104,"Passed","Review"))</x:f>
      </x:c>
      <x:c r="O104" s="411" t="str"/>
      <x:c r="P104" s="411" t="str"/>
      <x:c r="Q104" s="411" t="str"/>
      <x:c r="R104" s="411" t="str"/>
      <x:c r="S104" s="373"/>
      <x:c r="T104" s="373"/>
      <x:c r="U104" s="373"/>
      <x:c r="V104" s="373"/>
      <x:c r="W104" s="373"/>
      <x:c r="X104" s="373"/>
      <x:c r="Y104" s="373"/>
      <x:c r="Z104" s="373"/>
    </x:row>
    <x:row r="105">
      <x:c r="A105" s="411" t="str"/>
      <x:c r="B105" s="468" t="str"/>
      <x:c r="C105" s="411" t="str"/>
      <x:c r="D105" s="411" t="str"/>
      <x:c r="E105" s="411" t="str"/>
      <x:c r="F105" s="411" t="str"/>
      <x:c r="G105" s="411" t="str"/>
      <x:c r="H105" s="411" t="str"/>
      <x:c r="I105" s="411" t="str"/>
      <x:c r="J105" s="411" t="str"/>
      <x:c r="K105" s="411" t="str"/>
      <x:c r="L105" s="411" t="str"/>
      <x:c r="M105" s="411" t="str"/>
      <x:c r="N105" s="464" t="str">
        <x:f>IF(OR(L105="",M105=""),"",IF(L105&lt;=M105,"Passed","Review"))</x:f>
      </x:c>
      <x:c r="O105" s="411" t="str"/>
      <x:c r="P105" s="411" t="str"/>
      <x:c r="Q105" s="411" t="str"/>
      <x:c r="R105" s="411" t="str"/>
      <x:c r="S105" s="373"/>
      <x:c r="T105" s="373"/>
      <x:c r="U105" s="373"/>
      <x:c r="V105" s="373"/>
      <x:c r="W105" s="373"/>
      <x:c r="X105" s="373"/>
      <x:c r="Y105" s="373"/>
      <x:c r="Z105" s="373"/>
    </x:row>
    <x:row r="106">
      <x:c r="A106" s="411" t="str"/>
      <x:c r="B106" s="468" t="str"/>
      <x:c r="C106" s="411" t="str"/>
      <x:c r="D106" s="411" t="str"/>
      <x:c r="E106" s="411" t="str"/>
      <x:c r="F106" s="411" t="str"/>
      <x:c r="G106" s="411" t="str"/>
      <x:c r="H106" s="411" t="str"/>
      <x:c r="I106" s="411" t="str"/>
      <x:c r="J106" s="411" t="str"/>
      <x:c r="K106" s="411" t="str"/>
      <x:c r="L106" s="411" t="str"/>
      <x:c r="M106" s="411" t="str"/>
      <x:c r="N106" s="464" t="str">
        <x:f>IF(OR(L106="",M106=""),"",IF(L106&lt;=M106,"Passed","Review"))</x:f>
      </x:c>
      <x:c r="O106" s="411" t="str"/>
      <x:c r="P106" s="411" t="str"/>
      <x:c r="Q106" s="411" t="str"/>
      <x:c r="R106" s="411" t="str"/>
      <x:c r="S106" s="373"/>
      <x:c r="T106" s="373"/>
      <x:c r="U106" s="373"/>
      <x:c r="V106" s="373"/>
      <x:c r="W106" s="373"/>
      <x:c r="X106" s="373"/>
      <x:c r="Y106" s="373"/>
      <x:c r="Z106" s="373"/>
    </x:row>
    <x:row r="107">
      <x:c r="A107" s="411" t="str"/>
      <x:c r="B107" s="468" t="str"/>
      <x:c r="C107" s="411" t="str"/>
      <x:c r="D107" s="411" t="str"/>
      <x:c r="E107" s="411" t="str"/>
      <x:c r="F107" s="411" t="str"/>
      <x:c r="G107" s="411" t="str"/>
      <x:c r="H107" s="411" t="str"/>
      <x:c r="I107" s="411" t="str"/>
      <x:c r="J107" s="411" t="str"/>
      <x:c r="K107" s="411" t="str"/>
      <x:c r="L107" s="411" t="str"/>
      <x:c r="M107" s="411" t="str"/>
      <x:c r="N107" s="464" t="str">
        <x:f>IF(OR(L107="",M107=""),"",IF(L107&lt;=M107,"Passed","Review"))</x:f>
      </x:c>
      <x:c r="O107" s="411" t="str"/>
      <x:c r="P107" s="411" t="str"/>
      <x:c r="Q107" s="411" t="str"/>
      <x:c r="R107" s="411" t="str"/>
      <x:c r="S107" s="373"/>
      <x:c r="T107" s="373"/>
      <x:c r="U107" s="373"/>
      <x:c r="V107" s="373"/>
      <x:c r="W107" s="373"/>
      <x:c r="X107" s="373"/>
      <x:c r="Y107" s="373"/>
      <x:c r="Z107" s="373"/>
    </x:row>
    <x:row r="108">
      <x:c r="A108" s="411" t="str"/>
      <x:c r="B108" s="468" t="str"/>
      <x:c r="C108" s="411" t="str"/>
      <x:c r="D108" s="411" t="str"/>
      <x:c r="E108" s="411" t="str"/>
      <x:c r="F108" s="411" t="str"/>
      <x:c r="G108" s="411" t="str"/>
      <x:c r="H108" s="411" t="str"/>
      <x:c r="I108" s="411" t="str"/>
      <x:c r="J108" s="411" t="str"/>
      <x:c r="K108" s="411" t="str"/>
      <x:c r="L108" s="411" t="str"/>
      <x:c r="M108" s="411" t="str"/>
      <x:c r="N108" s="464" t="str">
        <x:f>IF(OR(L108="",M108=""),"",IF(L108&lt;=M108,"Passed","Review"))</x:f>
      </x:c>
      <x:c r="O108" s="411" t="str"/>
      <x:c r="P108" s="411" t="str"/>
      <x:c r="Q108" s="411" t="str"/>
      <x:c r="R108" s="411" t="str"/>
      <x:c r="S108" s="373"/>
      <x:c r="T108" s="373"/>
      <x:c r="U108" s="373"/>
      <x:c r="V108" s="373"/>
      <x:c r="W108" s="373"/>
      <x:c r="X108" s="373"/>
      <x:c r="Y108" s="373"/>
      <x:c r="Z108" s="373"/>
    </x:row>
    <x:row r="109">
      <x:c r="A109" s="411" t="str"/>
      <x:c r="B109" s="468" t="str"/>
      <x:c r="C109" s="411" t="str"/>
      <x:c r="D109" s="411" t="str"/>
      <x:c r="E109" s="411" t="str"/>
      <x:c r="F109" s="411" t="str"/>
      <x:c r="G109" s="411" t="str"/>
      <x:c r="H109" s="411" t="str"/>
      <x:c r="I109" s="411" t="str"/>
      <x:c r="J109" s="411" t="str"/>
      <x:c r="K109" s="411" t="str"/>
      <x:c r="L109" s="411" t="str"/>
      <x:c r="M109" s="411" t="str"/>
      <x:c r="N109" s="464" t="str">
        <x:f>IF(OR(L109="",M109=""),"",IF(L109&lt;=M109,"Passed","Review"))</x:f>
      </x:c>
      <x:c r="O109" s="411" t="str"/>
      <x:c r="P109" s="411" t="str"/>
      <x:c r="Q109" s="411" t="str"/>
      <x:c r="R109" s="411" t="str"/>
      <x:c r="S109" s="373"/>
      <x:c r="T109" s="373"/>
      <x:c r="U109" s="373"/>
      <x:c r="V109" s="373"/>
      <x:c r="W109" s="373"/>
      <x:c r="X109" s="373"/>
      <x:c r="Y109" s="373"/>
      <x:c r="Z109" s="373"/>
    </x:row>
    <x:row r="110">
      <x:c r="A110" s="411" t="str"/>
      <x:c r="B110" s="468" t="str"/>
      <x:c r="C110" s="411" t="str"/>
      <x:c r="D110" s="411" t="str"/>
      <x:c r="E110" s="411" t="str"/>
      <x:c r="F110" s="411" t="str"/>
      <x:c r="G110" s="411" t="str"/>
      <x:c r="H110" s="411" t="str"/>
      <x:c r="I110" s="411" t="str"/>
      <x:c r="J110" s="411" t="str"/>
      <x:c r="K110" s="411" t="str"/>
      <x:c r="L110" s="411" t="str"/>
      <x:c r="M110" s="411" t="str"/>
      <x:c r="N110" s="464" t="str">
        <x:f>IF(OR(L110="",M110=""),"",IF(L110&lt;=M110,"Passed","Review"))</x:f>
      </x:c>
      <x:c r="O110" s="411" t="str"/>
      <x:c r="P110" s="411" t="str"/>
      <x:c r="Q110" s="411" t="str"/>
      <x:c r="R110" s="411" t="str"/>
      <x:c r="S110" s="373"/>
      <x:c r="T110" s="373"/>
      <x:c r="U110" s="373"/>
      <x:c r="V110" s="373"/>
      <x:c r="W110" s="373"/>
      <x:c r="X110" s="373"/>
      <x:c r="Y110" s="373"/>
      <x:c r="Z110" s="373"/>
    </x:row>
    <x:row r="111">
      <x:c r="A111" s="411" t="str"/>
      <x:c r="B111" s="468" t="str"/>
      <x:c r="C111" s="411" t="str"/>
      <x:c r="D111" s="411" t="str"/>
      <x:c r="E111" s="411" t="str"/>
      <x:c r="F111" s="411" t="str"/>
      <x:c r="G111" s="411" t="str"/>
      <x:c r="H111" s="411" t="str"/>
      <x:c r="I111" s="411" t="str"/>
      <x:c r="J111" s="411" t="str"/>
      <x:c r="K111" s="411" t="str"/>
      <x:c r="L111" s="411" t="str"/>
      <x:c r="M111" s="411" t="str"/>
      <x:c r="N111" s="464" t="str">
        <x:f>IF(OR(L111="",M111=""),"",IF(L111&lt;=M111,"Passed","Review"))</x:f>
      </x:c>
      <x:c r="O111" s="411" t="str"/>
      <x:c r="P111" s="411" t="str"/>
      <x:c r="Q111" s="411" t="str"/>
      <x:c r="R111" s="411" t="str"/>
      <x:c r="S111" s="373"/>
      <x:c r="T111" s="373"/>
      <x:c r="U111" s="373"/>
      <x:c r="V111" s="373"/>
      <x:c r="W111" s="373"/>
      <x:c r="X111" s="373"/>
      <x:c r="Y111" s="373"/>
      <x:c r="Z111" s="373"/>
    </x:row>
    <x:row r="112">
      <x:c r="A112" s="411" t="str"/>
      <x:c r="B112" s="468" t="str"/>
      <x:c r="C112" s="411" t="str"/>
      <x:c r="D112" s="411" t="str"/>
      <x:c r="E112" s="411" t="str"/>
      <x:c r="F112" s="411" t="str"/>
      <x:c r="G112" s="411" t="str"/>
      <x:c r="H112" s="411" t="str"/>
      <x:c r="I112" s="411" t="str"/>
      <x:c r="J112" s="411" t="str"/>
      <x:c r="K112" s="411" t="str"/>
      <x:c r="L112" s="411" t="str"/>
      <x:c r="M112" s="411" t="str"/>
      <x:c r="N112" s="464" t="str">
        <x:f>IF(OR(L112="",M112=""),"",IF(L112&lt;=M112,"Passed","Review"))</x:f>
      </x:c>
      <x:c r="O112" s="411" t="str"/>
      <x:c r="P112" s="411" t="str"/>
      <x:c r="Q112" s="411" t="str"/>
      <x:c r="R112" s="411" t="str"/>
      <x:c r="S112" s="373"/>
      <x:c r="T112" s="373"/>
      <x:c r="U112" s="373"/>
      <x:c r="V112" s="373"/>
      <x:c r="W112" s="373"/>
      <x:c r="X112" s="373"/>
      <x:c r="Y112" s="373"/>
      <x:c r="Z112" s="373"/>
    </x:row>
    <x:row r="113">
      <x:c r="A113" s="411" t="str"/>
      <x:c r="B113" s="468" t="str"/>
      <x:c r="C113" s="411" t="str"/>
      <x:c r="D113" s="411" t="str"/>
      <x:c r="E113" s="411" t="str"/>
      <x:c r="F113" s="411" t="str"/>
      <x:c r="G113" s="411" t="str"/>
      <x:c r="H113" s="411" t="str"/>
      <x:c r="I113" s="411" t="str"/>
      <x:c r="J113" s="411" t="str"/>
      <x:c r="K113" s="411" t="str"/>
      <x:c r="L113" s="411" t="str"/>
      <x:c r="M113" s="411" t="str"/>
      <x:c r="N113" s="464" t="str">
        <x:f>IF(OR(L113="",M113=""),"",IF(L113&lt;=M113,"Passed","Review"))</x:f>
      </x:c>
      <x:c r="O113" s="411" t="str"/>
      <x:c r="P113" s="411" t="str"/>
      <x:c r="Q113" s="411" t="str"/>
      <x:c r="R113" s="411" t="str"/>
      <x:c r="S113" s="373"/>
      <x:c r="T113" s="373"/>
      <x:c r="U113" s="373"/>
      <x:c r="V113" s="373"/>
      <x:c r="W113" s="373"/>
      <x:c r="X113" s="373"/>
      <x:c r="Y113" s="373"/>
      <x:c r="Z113" s="373"/>
    </x:row>
    <x:row r="114">
      <x:c r="A114" s="411" t="str"/>
      <x:c r="B114" s="468" t="str"/>
      <x:c r="C114" s="411" t="str"/>
      <x:c r="D114" s="411" t="str"/>
      <x:c r="E114" s="411" t="str"/>
      <x:c r="F114" s="411" t="str"/>
      <x:c r="G114" s="411" t="str"/>
      <x:c r="H114" s="411" t="str"/>
      <x:c r="I114" s="411" t="str"/>
      <x:c r="J114" s="411" t="str"/>
      <x:c r="K114" s="411" t="str"/>
      <x:c r="L114" s="411" t="str"/>
      <x:c r="M114" s="411" t="str"/>
      <x:c r="N114" s="464" t="str">
        <x:f>IF(OR(L114="",M114=""),"",IF(L114&lt;=M114,"Passed","Review"))</x:f>
      </x:c>
      <x:c r="O114" s="411" t="str"/>
      <x:c r="P114" s="411" t="str"/>
      <x:c r="Q114" s="411" t="str"/>
      <x:c r="R114" s="411" t="str"/>
      <x:c r="S114" s="373"/>
      <x:c r="T114" s="373"/>
      <x:c r="U114" s="373"/>
      <x:c r="V114" s="373"/>
      <x:c r="W114" s="373"/>
      <x:c r="X114" s="373"/>
      <x:c r="Y114" s="373"/>
      <x:c r="Z114" s="373"/>
    </x:row>
    <x:row r="115">
      <x:c r="A115" s="411" t="str"/>
      <x:c r="B115" s="468" t="str"/>
      <x:c r="C115" s="411" t="str"/>
      <x:c r="D115" s="411" t="str"/>
      <x:c r="E115" s="411" t="str"/>
      <x:c r="F115" s="411" t="str"/>
      <x:c r="G115" s="411" t="str"/>
      <x:c r="H115" s="411" t="str"/>
      <x:c r="I115" s="411" t="str"/>
      <x:c r="J115" s="411" t="str"/>
      <x:c r="K115" s="411" t="str"/>
      <x:c r="L115" s="411" t="str"/>
      <x:c r="M115" s="411" t="str"/>
      <x:c r="N115" s="464" t="str">
        <x:f>IF(OR(L115="",M115=""),"",IF(L115&lt;=M115,"Passed","Review"))</x:f>
      </x:c>
      <x:c r="O115" s="411" t="str"/>
      <x:c r="P115" s="411" t="str"/>
      <x:c r="Q115" s="411" t="str"/>
      <x:c r="R115" s="411" t="str"/>
      <x:c r="S115" s="373"/>
      <x:c r="T115" s="373"/>
      <x:c r="U115" s="373"/>
      <x:c r="V115" s="373"/>
      <x:c r="W115" s="373"/>
      <x:c r="X115" s="373"/>
      <x:c r="Y115" s="373"/>
      <x:c r="Z115" s="373"/>
    </x:row>
    <x:row r="116">
      <x:c r="A116" s="411" t="str"/>
      <x:c r="B116" s="468" t="str"/>
      <x:c r="C116" s="411" t="str"/>
      <x:c r="D116" s="411" t="str"/>
      <x:c r="E116" s="411" t="str"/>
      <x:c r="F116" s="411" t="str"/>
      <x:c r="G116" s="411" t="str"/>
      <x:c r="H116" s="411" t="str"/>
      <x:c r="I116" s="411" t="str"/>
      <x:c r="J116" s="411" t="str"/>
      <x:c r="K116" s="411" t="str"/>
      <x:c r="L116" s="411" t="str"/>
      <x:c r="M116" s="411" t="str"/>
      <x:c r="N116" s="464" t="str">
        <x:f>IF(OR(L116="",M116=""),"",IF(L116&lt;=M116,"Passed","Review"))</x:f>
      </x:c>
      <x:c r="O116" s="411" t="str"/>
      <x:c r="P116" s="411" t="str"/>
      <x:c r="Q116" s="411" t="str"/>
      <x:c r="R116" s="411" t="str"/>
      <x:c r="S116" s="373"/>
      <x:c r="T116" s="373"/>
      <x:c r="U116" s="373"/>
      <x:c r="V116" s="373"/>
      <x:c r="W116" s="373"/>
      <x:c r="X116" s="373"/>
      <x:c r="Y116" s="373"/>
      <x:c r="Z116" s="373"/>
    </x:row>
    <x:row r="117">
      <x:c r="A117" s="411" t="str"/>
      <x:c r="B117" s="468" t="str"/>
      <x:c r="C117" s="411" t="str"/>
      <x:c r="D117" s="411" t="str"/>
      <x:c r="E117" s="411" t="str"/>
      <x:c r="F117" s="411" t="str"/>
      <x:c r="G117" s="411" t="str"/>
      <x:c r="H117" s="411" t="str"/>
      <x:c r="I117" s="411" t="str"/>
      <x:c r="J117" s="411" t="str"/>
      <x:c r="K117" s="411" t="str"/>
      <x:c r="L117" s="411" t="str"/>
      <x:c r="M117" s="411" t="str"/>
      <x:c r="N117" s="464" t="str">
        <x:f>IF(OR(L117="",M117=""),"",IF(L117&lt;=M117,"Passed","Review"))</x:f>
      </x:c>
      <x:c r="O117" s="411" t="str"/>
      <x:c r="P117" s="411" t="str"/>
      <x:c r="Q117" s="411" t="str"/>
      <x:c r="R117" s="411" t="str"/>
      <x:c r="S117" s="373"/>
      <x:c r="T117" s="373"/>
      <x:c r="U117" s="373"/>
      <x:c r="V117" s="373"/>
      <x:c r="W117" s="373"/>
      <x:c r="X117" s="373"/>
      <x:c r="Y117" s="373"/>
      <x:c r="Z117" s="373"/>
    </x:row>
    <x:row r="118">
      <x:c r="A118" s="411" t="str"/>
      <x:c r="B118" s="468" t="str"/>
      <x:c r="C118" s="411" t="str"/>
      <x:c r="D118" s="411" t="str"/>
      <x:c r="E118" s="411" t="str"/>
      <x:c r="F118" s="411" t="str"/>
      <x:c r="G118" s="411" t="str"/>
      <x:c r="H118" s="411" t="str"/>
      <x:c r="I118" s="411" t="str"/>
      <x:c r="J118" s="411" t="str"/>
      <x:c r="K118" s="411" t="str"/>
      <x:c r="L118" s="411" t="str"/>
      <x:c r="M118" s="411" t="str"/>
      <x:c r="N118" s="464" t="str">
        <x:f>IF(OR(L118="",M118=""),"",IF(L118&lt;=M118,"Passed","Review"))</x:f>
      </x:c>
      <x:c r="O118" s="411" t="str"/>
      <x:c r="P118" s="411" t="str"/>
      <x:c r="Q118" s="411" t="str"/>
      <x:c r="R118" s="411" t="str"/>
      <x:c r="S118" s="373"/>
      <x:c r="T118" s="373"/>
      <x:c r="U118" s="373"/>
      <x:c r="V118" s="373"/>
      <x:c r="W118" s="373"/>
      <x:c r="X118" s="373"/>
      <x:c r="Y118" s="373"/>
      <x:c r="Z118" s="373"/>
    </x:row>
    <x:row r="119">
      <x:c r="A119" s="411" t="str"/>
      <x:c r="B119" s="468" t="str"/>
      <x:c r="C119" s="411" t="str"/>
      <x:c r="D119" s="411" t="str"/>
      <x:c r="E119" s="411" t="str"/>
      <x:c r="F119" s="411" t="str"/>
      <x:c r="G119" s="411" t="str"/>
      <x:c r="H119" s="411" t="str"/>
      <x:c r="I119" s="411" t="str"/>
      <x:c r="J119" s="411" t="str"/>
      <x:c r="K119" s="411" t="str"/>
      <x:c r="L119" s="411" t="str"/>
      <x:c r="M119" s="411" t="str"/>
      <x:c r="N119" s="464" t="str">
        <x:f>IF(OR(L119="",M119=""),"",IF(L119&lt;=M119,"Passed","Review"))</x:f>
      </x:c>
      <x:c r="O119" s="411" t="str"/>
      <x:c r="P119" s="411" t="str"/>
      <x:c r="Q119" s="411" t="str"/>
      <x:c r="R119" s="411" t="str"/>
      <x:c r="S119" s="373"/>
      <x:c r="T119" s="373"/>
      <x:c r="U119" s="373"/>
      <x:c r="V119" s="373"/>
      <x:c r="W119" s="373"/>
      <x:c r="X119" s="373"/>
      <x:c r="Y119" s="373"/>
      <x:c r="Z119" s="373"/>
    </x:row>
    <x:row r="120">
      <x:c r="A120" s="411" t="str"/>
      <x:c r="B120" s="468" t="str"/>
      <x:c r="C120" s="411" t="str"/>
      <x:c r="D120" s="411" t="str"/>
      <x:c r="E120" s="411" t="str"/>
      <x:c r="F120" s="411" t="str"/>
      <x:c r="G120" s="411" t="str"/>
      <x:c r="H120" s="411" t="str"/>
      <x:c r="I120" s="411" t="str"/>
      <x:c r="J120" s="411" t="str"/>
      <x:c r="K120" s="411" t="str"/>
      <x:c r="L120" s="411" t="str"/>
      <x:c r="M120" s="411" t="str"/>
      <x:c r="N120" s="464" t="str">
        <x:f>IF(OR(L120="",M120=""),"",IF(L120&lt;=M120,"Passed","Review"))</x:f>
      </x:c>
      <x:c r="O120" s="411" t="str"/>
      <x:c r="P120" s="411" t="str"/>
      <x:c r="Q120" s="411" t="str"/>
      <x:c r="R120" s="411" t="str"/>
      <x:c r="S120" s="373"/>
      <x:c r="T120" s="373"/>
      <x:c r="U120" s="373"/>
      <x:c r="V120" s="373"/>
      <x:c r="W120" s="373"/>
      <x:c r="X120" s="373"/>
      <x:c r="Y120" s="373"/>
      <x:c r="Z120" s="373"/>
    </x:row>
    <x:row r="121">
      <x:c r="A121" s="411" t="str"/>
      <x:c r="B121" s="468" t="str"/>
      <x:c r="C121" s="411" t="str"/>
      <x:c r="D121" s="411" t="str"/>
      <x:c r="E121" s="411" t="str"/>
      <x:c r="F121" s="411" t="str"/>
      <x:c r="G121" s="411" t="str"/>
      <x:c r="H121" s="411" t="str"/>
      <x:c r="I121" s="411" t="str"/>
      <x:c r="J121" s="411" t="str"/>
      <x:c r="K121" s="411" t="str"/>
      <x:c r="L121" s="411" t="str"/>
      <x:c r="M121" s="411" t="str"/>
      <x:c r="N121" s="464" t="str">
        <x:f>IF(OR(L121="",M121=""),"",IF(L121&lt;=M121,"Passed","Review"))</x:f>
      </x:c>
      <x:c r="O121" s="411" t="str"/>
      <x:c r="P121" s="411" t="str"/>
      <x:c r="Q121" s="411" t="str"/>
      <x:c r="R121" s="411" t="str"/>
      <x:c r="S121" s="373"/>
      <x:c r="T121" s="373"/>
      <x:c r="U121" s="373"/>
      <x:c r="V121" s="373"/>
      <x:c r="W121" s="373"/>
      <x:c r="X121" s="373"/>
      <x:c r="Y121" s="373"/>
      <x:c r="Z121" s="373"/>
    </x:row>
    <x:row r="122">
      <x:c r="A122" s="411" t="str"/>
      <x:c r="B122" s="468" t="str"/>
      <x:c r="C122" s="411" t="str"/>
      <x:c r="D122" s="411" t="str"/>
      <x:c r="E122" s="411" t="str"/>
      <x:c r="F122" s="411" t="str"/>
      <x:c r="G122" s="411" t="str"/>
      <x:c r="H122" s="411" t="str"/>
      <x:c r="I122" s="411" t="str"/>
      <x:c r="J122" s="411" t="str"/>
      <x:c r="K122" s="411" t="str"/>
      <x:c r="L122" s="411" t="str"/>
      <x:c r="M122" s="411" t="str"/>
      <x:c r="N122" s="464" t="str">
        <x:f>IF(OR(L122="",M122=""),"",IF(L122&lt;=M122,"Passed","Review"))</x:f>
      </x:c>
      <x:c r="O122" s="411" t="str"/>
      <x:c r="P122" s="411" t="str"/>
      <x:c r="Q122" s="411" t="str"/>
      <x:c r="R122" s="411" t="str"/>
      <x:c r="S122" s="373"/>
      <x:c r="T122" s="373"/>
      <x:c r="U122" s="373"/>
      <x:c r="V122" s="373"/>
      <x:c r="W122" s="373"/>
      <x:c r="X122" s="373"/>
      <x:c r="Y122" s="373"/>
      <x:c r="Z122" s="373"/>
    </x:row>
    <x:row r="123">
      <x:c r="A123" s="411" t="str"/>
      <x:c r="B123" s="468" t="str"/>
      <x:c r="C123" s="411" t="str"/>
      <x:c r="D123" s="411" t="str"/>
      <x:c r="E123" s="411" t="str"/>
      <x:c r="F123" s="411" t="str"/>
      <x:c r="G123" s="411" t="str"/>
      <x:c r="H123" s="411" t="str"/>
      <x:c r="I123" s="411" t="str"/>
      <x:c r="J123" s="411" t="str"/>
      <x:c r="K123" s="411" t="str"/>
      <x:c r="L123" s="411" t="str"/>
      <x:c r="M123" s="411" t="str"/>
      <x:c r="N123" s="464" t="str">
        <x:f>IF(OR(L123="",M123=""),"",IF(L123&lt;=M123,"Passed","Review"))</x:f>
      </x:c>
      <x:c r="O123" s="411" t="str"/>
      <x:c r="P123" s="411" t="str"/>
      <x:c r="Q123" s="411" t="str"/>
      <x:c r="R123" s="411" t="str"/>
      <x:c r="S123" s="373"/>
      <x:c r="T123" s="373"/>
      <x:c r="U123" s="373"/>
      <x:c r="V123" s="373"/>
      <x:c r="W123" s="373"/>
      <x:c r="X123" s="373"/>
      <x:c r="Y123" s="373"/>
      <x:c r="Z123" s="373"/>
    </x:row>
    <x:row r="124">
      <x:c r="A124" s="411" t="str"/>
      <x:c r="B124" s="468" t="str"/>
      <x:c r="C124" s="411" t="str"/>
      <x:c r="D124" s="411" t="str"/>
      <x:c r="E124" s="411" t="str"/>
      <x:c r="F124" s="411" t="str"/>
      <x:c r="G124" s="411" t="str"/>
      <x:c r="H124" s="411" t="str"/>
      <x:c r="I124" s="411" t="str"/>
      <x:c r="J124" s="411" t="str"/>
      <x:c r="K124" s="411" t="str"/>
      <x:c r="L124" s="411" t="str"/>
      <x:c r="M124" s="411" t="str"/>
      <x:c r="N124" s="464" t="str">
        <x:f>IF(OR(L124="",M124=""),"",IF(L124&lt;=M124,"Passed","Review"))</x:f>
      </x:c>
      <x:c r="O124" s="411" t="str"/>
      <x:c r="P124" s="411" t="str"/>
      <x:c r="Q124" s="411" t="str"/>
      <x:c r="R124" s="411" t="str"/>
      <x:c r="S124" s="373"/>
      <x:c r="T124" s="373"/>
      <x:c r="U124" s="373"/>
      <x:c r="V124" s="373"/>
      <x:c r="W124" s="373"/>
      <x:c r="X124" s="373"/>
      <x:c r="Y124" s="373"/>
      <x:c r="Z124" s="373"/>
    </x:row>
    <x:row r="125">
      <x:c r="A125" s="411" t="str"/>
      <x:c r="B125" s="468" t="str"/>
      <x:c r="C125" s="411" t="str"/>
      <x:c r="D125" s="411" t="str"/>
      <x:c r="E125" s="411" t="str"/>
      <x:c r="F125" s="411" t="str"/>
      <x:c r="G125" s="411" t="str"/>
      <x:c r="H125" s="411" t="str"/>
      <x:c r="I125" s="411" t="str"/>
      <x:c r="J125" s="411" t="str"/>
      <x:c r="K125" s="411" t="str"/>
      <x:c r="L125" s="411" t="str"/>
      <x:c r="M125" s="411" t="str"/>
      <x:c r="N125" s="464" t="str">
        <x:f>IF(OR(L125="",M125=""),"",IF(L125&lt;=M125,"Passed","Review"))</x:f>
      </x:c>
      <x:c r="O125" s="411" t="str"/>
      <x:c r="P125" s="411" t="str"/>
      <x:c r="Q125" s="411" t="str"/>
      <x:c r="R125" s="411" t="str"/>
      <x:c r="S125" s="373"/>
      <x:c r="T125" s="373"/>
      <x:c r="U125" s="373"/>
      <x:c r="V125" s="373"/>
      <x:c r="W125" s="373"/>
      <x:c r="X125" s="373"/>
      <x:c r="Y125" s="373"/>
      <x:c r="Z125" s="373"/>
    </x:row>
    <x:row r="126">
      <x:c r="A126" s="411" t="str"/>
      <x:c r="B126" s="468" t="str"/>
      <x:c r="C126" s="411" t="str"/>
      <x:c r="D126" s="411" t="str"/>
      <x:c r="E126" s="411" t="str"/>
      <x:c r="F126" s="411" t="str"/>
      <x:c r="G126" s="411" t="str"/>
      <x:c r="H126" s="411" t="str"/>
      <x:c r="I126" s="411" t="str"/>
      <x:c r="J126" s="411" t="str"/>
      <x:c r="K126" s="411" t="str"/>
      <x:c r="L126" s="411" t="str"/>
      <x:c r="M126" s="411" t="str"/>
      <x:c r="N126" s="464" t="str">
        <x:f>IF(OR(L126="",M126=""),"",IF(L126&lt;=M126,"Passed","Review"))</x:f>
      </x:c>
      <x:c r="O126" s="411" t="str"/>
      <x:c r="P126" s="411" t="str"/>
      <x:c r="Q126" s="411" t="str"/>
      <x:c r="R126" s="411" t="str"/>
      <x:c r="S126" s="373"/>
      <x:c r="T126" s="373"/>
      <x:c r="U126" s="373"/>
      <x:c r="V126" s="373"/>
      <x:c r="W126" s="373"/>
      <x:c r="X126" s="373"/>
      <x:c r="Y126" s="373"/>
      <x:c r="Z126" s="373"/>
    </x:row>
    <x:row r="127">
      <x:c r="A127" s="411" t="str"/>
      <x:c r="B127" s="468" t="str"/>
      <x:c r="C127" s="411" t="str"/>
      <x:c r="D127" s="411" t="str"/>
      <x:c r="E127" s="411" t="str"/>
      <x:c r="F127" s="411" t="str"/>
      <x:c r="G127" s="411" t="str"/>
      <x:c r="H127" s="411" t="str"/>
      <x:c r="I127" s="411" t="str"/>
      <x:c r="J127" s="411" t="str"/>
      <x:c r="K127" s="411" t="str"/>
      <x:c r="L127" s="411" t="str"/>
      <x:c r="M127" s="411" t="str"/>
      <x:c r="N127" s="464" t="str">
        <x:f>IF(OR(L127="",M127=""),"",IF(L127&lt;=M127,"Passed","Review"))</x:f>
      </x:c>
      <x:c r="O127" s="411" t="str"/>
      <x:c r="P127" s="411" t="str"/>
      <x:c r="Q127" s="411" t="str"/>
      <x:c r="R127" s="411" t="str"/>
      <x:c r="S127" s="373"/>
      <x:c r="T127" s="373"/>
      <x:c r="U127" s="373"/>
      <x:c r="V127" s="373"/>
      <x:c r="W127" s="373"/>
      <x:c r="X127" s="373"/>
      <x:c r="Y127" s="373"/>
      <x:c r="Z127" s="373"/>
    </x:row>
    <x:row r="128">
      <x:c r="A128" s="411" t="str"/>
      <x:c r="B128" s="468" t="str"/>
      <x:c r="C128" s="411" t="str"/>
      <x:c r="D128" s="411" t="str"/>
      <x:c r="E128" s="411" t="str"/>
      <x:c r="F128" s="411" t="str"/>
      <x:c r="G128" s="411" t="str"/>
      <x:c r="H128" s="411" t="str"/>
      <x:c r="I128" s="411" t="str"/>
      <x:c r="J128" s="411" t="str"/>
      <x:c r="K128" s="411" t="str"/>
      <x:c r="L128" s="411" t="str"/>
      <x:c r="M128" s="411" t="str"/>
      <x:c r="N128" s="464" t="str">
        <x:f>IF(OR(L128="",M128=""),"",IF(L128&lt;=M128,"Passed","Review"))</x:f>
      </x:c>
      <x:c r="O128" s="411" t="str"/>
      <x:c r="P128" s="411" t="str"/>
      <x:c r="Q128" s="411" t="str"/>
      <x:c r="R128" s="411" t="str"/>
      <x:c r="S128" s="373"/>
      <x:c r="T128" s="373"/>
      <x:c r="U128" s="373"/>
      <x:c r="V128" s="373"/>
      <x:c r="W128" s="373"/>
      <x:c r="X128" s="373"/>
      <x:c r="Y128" s="373"/>
      <x:c r="Z128" s="373"/>
    </x:row>
    <x:row r="129">
      <x:c r="A129" s="411" t="str"/>
      <x:c r="B129" s="468" t="str"/>
      <x:c r="C129" s="411" t="str"/>
      <x:c r="D129" s="411" t="str"/>
      <x:c r="E129" s="411" t="str"/>
      <x:c r="F129" s="411" t="str"/>
      <x:c r="G129" s="411" t="str"/>
      <x:c r="H129" s="411" t="str"/>
      <x:c r="I129" s="411" t="str"/>
      <x:c r="J129" s="411" t="str"/>
      <x:c r="K129" s="411" t="str"/>
      <x:c r="L129" s="411" t="str"/>
      <x:c r="M129" s="411" t="str"/>
      <x:c r="N129" s="464" t="str">
        <x:f>IF(OR(L129="",M129=""),"",IF(L129&lt;=M129,"Passed","Review"))</x:f>
      </x:c>
      <x:c r="O129" s="411" t="str"/>
      <x:c r="P129" s="411" t="str"/>
      <x:c r="Q129" s="411" t="str"/>
      <x:c r="R129" s="411" t="str"/>
      <x:c r="S129" s="373"/>
      <x:c r="T129" s="373"/>
      <x:c r="U129" s="373"/>
      <x:c r="V129" s="373"/>
      <x:c r="W129" s="373"/>
      <x:c r="X129" s="373"/>
      <x:c r="Y129" s="373"/>
      <x:c r="Z129" s="373"/>
    </x:row>
    <x:row r="130">
      <x:c r="A130" s="411" t="str"/>
      <x:c r="B130" s="468" t="str"/>
      <x:c r="C130" s="411" t="str"/>
      <x:c r="D130" s="411" t="str"/>
      <x:c r="E130" s="411" t="str"/>
      <x:c r="F130" s="411" t="str"/>
      <x:c r="G130" s="411" t="str"/>
      <x:c r="H130" s="411" t="str"/>
      <x:c r="I130" s="411" t="str"/>
      <x:c r="J130" s="411" t="str"/>
      <x:c r="K130" s="411" t="str"/>
      <x:c r="L130" s="411" t="str"/>
      <x:c r="M130" s="411" t="str"/>
      <x:c r="N130" s="464" t="str">
        <x:f>IF(OR(L130="",M130=""),"",IF(L130&lt;=M130,"Passed","Review"))</x:f>
      </x:c>
      <x:c r="O130" s="411" t="str"/>
      <x:c r="P130" s="411" t="str"/>
      <x:c r="Q130" s="411" t="str"/>
      <x:c r="R130" s="411" t="str"/>
      <x:c r="S130" s="373"/>
      <x:c r="T130" s="373"/>
      <x:c r="U130" s="373"/>
      <x:c r="V130" s="373"/>
      <x:c r="W130" s="373"/>
      <x:c r="X130" s="373"/>
      <x:c r="Y130" s="373"/>
      <x:c r="Z130" s="373"/>
    </x:row>
    <x:row r="131">
      <x:c r="A131" s="411" t="str"/>
      <x:c r="B131" s="468" t="str"/>
      <x:c r="C131" s="411" t="str"/>
      <x:c r="D131" s="411" t="str"/>
      <x:c r="E131" s="411" t="str"/>
      <x:c r="F131" s="411" t="str"/>
      <x:c r="G131" s="411" t="str"/>
      <x:c r="H131" s="411" t="str"/>
      <x:c r="I131" s="411" t="str"/>
      <x:c r="J131" s="411" t="str"/>
      <x:c r="K131" s="411" t="str"/>
      <x:c r="L131" s="411" t="str"/>
      <x:c r="M131" s="411" t="str"/>
      <x:c r="N131" s="464" t="str">
        <x:f>IF(OR(L131="",M131=""),"",IF(L131&lt;=M131,"Passed","Review"))</x:f>
      </x:c>
      <x:c r="O131" s="411" t="str"/>
      <x:c r="P131" s="411" t="str"/>
      <x:c r="Q131" s="411" t="str"/>
      <x:c r="R131" s="411" t="str"/>
      <x:c r="S131" s="373"/>
      <x:c r="T131" s="373"/>
      <x:c r="U131" s="373"/>
      <x:c r="V131" s="373"/>
      <x:c r="W131" s="373"/>
      <x:c r="X131" s="373"/>
      <x:c r="Y131" s="373"/>
      <x:c r="Z131" s="373"/>
    </x:row>
    <x:row r="132">
      <x:c r="A132" s="411" t="str"/>
      <x:c r="B132" s="468" t="str"/>
      <x:c r="C132" s="411" t="str"/>
      <x:c r="D132" s="411" t="str"/>
      <x:c r="E132" s="411" t="str"/>
      <x:c r="F132" s="411" t="str"/>
      <x:c r="G132" s="411" t="str"/>
      <x:c r="H132" s="411" t="str"/>
      <x:c r="I132" s="411" t="str"/>
      <x:c r="J132" s="411" t="str"/>
      <x:c r="K132" s="411" t="str"/>
      <x:c r="L132" s="411" t="str"/>
      <x:c r="M132" s="411" t="str"/>
      <x:c r="N132" s="464" t="str">
        <x:f>IF(OR(L132="",M132=""),"",IF(L132&lt;=M132,"Passed","Review"))</x:f>
      </x:c>
      <x:c r="O132" s="411" t="str"/>
      <x:c r="P132" s="411" t="str"/>
      <x:c r="Q132" s="411" t="str"/>
      <x:c r="R132" s="411" t="str"/>
      <x:c r="S132" s="373"/>
      <x:c r="T132" s="373"/>
      <x:c r="U132" s="373"/>
      <x:c r="V132" s="373"/>
      <x:c r="W132" s="373"/>
      <x:c r="X132" s="373"/>
      <x:c r="Y132" s="373"/>
      <x:c r="Z132" s="373"/>
    </x:row>
    <x:row r="133">
      <x:c r="A133" s="411" t="str"/>
      <x:c r="B133" s="468" t="str"/>
      <x:c r="C133" s="411" t="str"/>
      <x:c r="D133" s="411" t="str"/>
      <x:c r="E133" s="411" t="str"/>
      <x:c r="F133" s="411" t="str"/>
      <x:c r="G133" s="411" t="str"/>
      <x:c r="H133" s="411" t="str"/>
      <x:c r="I133" s="411" t="str"/>
      <x:c r="J133" s="411" t="str"/>
      <x:c r="K133" s="411" t="str"/>
      <x:c r="L133" s="411" t="str"/>
      <x:c r="M133" s="411" t="str"/>
      <x:c r="N133" s="464" t="str">
        <x:f>IF(OR(L133="",M133=""),"",IF(L133&lt;=M133,"Passed","Review"))</x:f>
      </x:c>
      <x:c r="O133" s="411" t="str"/>
      <x:c r="P133" s="411" t="str"/>
      <x:c r="Q133" s="411" t="str"/>
      <x:c r="R133" s="411" t="str"/>
      <x:c r="S133" s="373"/>
      <x:c r="T133" s="373"/>
      <x:c r="U133" s="373"/>
      <x:c r="V133" s="373"/>
      <x:c r="W133" s="373"/>
      <x:c r="X133" s="373"/>
      <x:c r="Y133" s="373"/>
      <x:c r="Z133" s="373"/>
    </x:row>
    <x:row r="134">
      <x:c r="A134" s="411" t="str"/>
      <x:c r="B134" s="468" t="str"/>
      <x:c r="C134" s="411" t="str"/>
      <x:c r="D134" s="411" t="str"/>
      <x:c r="E134" s="411" t="str"/>
      <x:c r="F134" s="411" t="str"/>
      <x:c r="G134" s="411" t="str"/>
      <x:c r="H134" s="411" t="str"/>
      <x:c r="I134" s="411" t="str"/>
      <x:c r="J134" s="411" t="str"/>
      <x:c r="K134" s="411" t="str"/>
      <x:c r="L134" s="411" t="str"/>
      <x:c r="M134" s="411" t="str"/>
      <x:c r="N134" s="464" t="str">
        <x:f>IF(OR(L134="",M134=""),"",IF(L134&lt;=M134,"Passed","Review"))</x:f>
      </x:c>
      <x:c r="O134" s="411" t="str"/>
      <x:c r="P134" s="411" t="str"/>
      <x:c r="Q134" s="411" t="str"/>
      <x:c r="R134" s="411" t="str"/>
      <x:c r="S134" s="373"/>
      <x:c r="T134" s="373"/>
      <x:c r="U134" s="373"/>
      <x:c r="V134" s="373"/>
      <x:c r="W134" s="373"/>
      <x:c r="X134" s="373"/>
      <x:c r="Y134" s="373"/>
      <x:c r="Z134" s="373"/>
    </x:row>
    <x:row r="135">
      <x:c r="A135" s="411" t="str"/>
      <x:c r="B135" s="468" t="str"/>
      <x:c r="C135" s="411" t="str"/>
      <x:c r="D135" s="411" t="str"/>
      <x:c r="E135" s="411" t="str"/>
      <x:c r="F135" s="411" t="str"/>
      <x:c r="G135" s="411" t="str"/>
      <x:c r="H135" s="411" t="str"/>
      <x:c r="I135" s="411" t="str"/>
      <x:c r="J135" s="411" t="str"/>
      <x:c r="K135" s="411" t="str"/>
      <x:c r="L135" s="411" t="str"/>
      <x:c r="M135" s="411" t="str"/>
      <x:c r="N135" s="464" t="str">
        <x:f>IF(OR(L135="",M135=""),"",IF(L135&lt;=M135,"Passed","Review"))</x:f>
      </x:c>
      <x:c r="O135" s="411" t="str"/>
      <x:c r="P135" s="411" t="str"/>
      <x:c r="Q135" s="411" t="str"/>
      <x:c r="R135" s="411" t="str"/>
      <x:c r="S135" s="373"/>
      <x:c r="T135" s="373"/>
      <x:c r="U135" s="373"/>
      <x:c r="V135" s="373"/>
      <x:c r="W135" s="373"/>
      <x:c r="X135" s="373"/>
      <x:c r="Y135" s="373"/>
      <x:c r="Z135" s="373"/>
    </x:row>
    <x:row r="136">
      <x:c r="A136" s="411" t="str"/>
      <x:c r="B136" s="468" t="str"/>
      <x:c r="C136" s="411" t="str"/>
      <x:c r="D136" s="411" t="str"/>
      <x:c r="E136" s="411" t="str"/>
      <x:c r="F136" s="411" t="str"/>
      <x:c r="G136" s="411" t="str"/>
      <x:c r="H136" s="411" t="str"/>
      <x:c r="I136" s="411" t="str"/>
      <x:c r="J136" s="411" t="str"/>
      <x:c r="K136" s="411" t="str"/>
      <x:c r="L136" s="411" t="str"/>
      <x:c r="M136" s="411" t="str"/>
      <x:c r="N136" s="464" t="str">
        <x:f>IF(OR(L136="",M136=""),"",IF(L136&lt;=M136,"Passed","Review"))</x:f>
      </x:c>
      <x:c r="O136" s="411" t="str"/>
      <x:c r="P136" s="411" t="str"/>
      <x:c r="Q136" s="411" t="str"/>
      <x:c r="R136" s="411" t="str"/>
      <x:c r="S136" s="373"/>
      <x:c r="T136" s="373"/>
      <x:c r="U136" s="373"/>
      <x:c r="V136" s="373"/>
      <x:c r="W136" s="373"/>
      <x:c r="X136" s="373"/>
      <x:c r="Y136" s="373"/>
      <x:c r="Z136" s="373"/>
    </x:row>
    <x:row r="137">
      <x:c r="A137" s="411" t="str"/>
      <x:c r="B137" s="468" t="str"/>
      <x:c r="C137" s="411" t="str"/>
      <x:c r="D137" s="411" t="str"/>
      <x:c r="E137" s="411" t="str"/>
      <x:c r="F137" s="411" t="str"/>
      <x:c r="G137" s="411" t="str"/>
      <x:c r="H137" s="411" t="str"/>
      <x:c r="I137" s="411" t="str"/>
      <x:c r="J137" s="411" t="str"/>
      <x:c r="K137" s="411" t="str"/>
      <x:c r="L137" s="411" t="str"/>
      <x:c r="M137" s="411" t="str"/>
      <x:c r="N137" s="464" t="str">
        <x:f>IF(OR(L137="",M137=""),"",IF(L137&lt;=M137,"Passed","Review"))</x:f>
      </x:c>
      <x:c r="O137" s="411" t="str"/>
      <x:c r="P137" s="411" t="str"/>
      <x:c r="Q137" s="411" t="str"/>
      <x:c r="R137" s="411" t="str"/>
      <x:c r="S137" s="373"/>
      <x:c r="T137" s="373"/>
      <x:c r="U137" s="373"/>
      <x:c r="V137" s="373"/>
      <x:c r="W137" s="373"/>
      <x:c r="X137" s="373"/>
      <x:c r="Y137" s="373"/>
      <x:c r="Z137" s="373"/>
    </x:row>
    <x:row r="138">
      <x:c r="A138" s="411" t="str"/>
      <x:c r="B138" s="468" t="str"/>
      <x:c r="C138" s="411" t="str"/>
      <x:c r="D138" s="411" t="str"/>
      <x:c r="E138" s="411" t="str"/>
      <x:c r="F138" s="411" t="str"/>
      <x:c r="G138" s="411" t="str"/>
      <x:c r="H138" s="411" t="str"/>
      <x:c r="I138" s="411" t="str"/>
      <x:c r="J138" s="411" t="str"/>
      <x:c r="K138" s="411" t="str"/>
      <x:c r="L138" s="411" t="str"/>
      <x:c r="M138" s="411" t="str"/>
      <x:c r="N138" s="464" t="str">
        <x:f>IF(OR(L138="",M138=""),"",IF(L138&lt;=M138,"Passed","Review"))</x:f>
      </x:c>
      <x:c r="O138" s="411" t="str"/>
      <x:c r="P138" s="411" t="str"/>
      <x:c r="Q138" s="411" t="str"/>
      <x:c r="R138" s="411" t="str"/>
      <x:c r="S138" s="373"/>
      <x:c r="T138" s="373"/>
      <x:c r="U138" s="373"/>
      <x:c r="V138" s="373"/>
      <x:c r="W138" s="373"/>
      <x:c r="X138" s="373"/>
      <x:c r="Y138" s="373"/>
      <x:c r="Z138" s="373"/>
    </x:row>
    <x:row r="139">
      <x:c r="A139" s="411" t="str"/>
      <x:c r="B139" s="468" t="str"/>
      <x:c r="C139" s="411" t="str"/>
      <x:c r="D139" s="411" t="str"/>
      <x:c r="E139" s="411" t="str"/>
      <x:c r="F139" s="411" t="str"/>
      <x:c r="G139" s="411" t="str"/>
      <x:c r="H139" s="411" t="str"/>
      <x:c r="I139" s="411" t="str"/>
      <x:c r="J139" s="411" t="str"/>
      <x:c r="K139" s="411" t="str"/>
      <x:c r="L139" s="411" t="str"/>
      <x:c r="M139" s="411" t="str"/>
      <x:c r="N139" s="464" t="str">
        <x:f>IF(OR(L139="",M139=""),"",IF(L139&lt;=M139,"Passed","Review"))</x:f>
      </x:c>
      <x:c r="O139" s="411" t="str"/>
      <x:c r="P139" s="411" t="str"/>
      <x:c r="Q139" s="411" t="str"/>
      <x:c r="R139" s="411" t="str"/>
      <x:c r="S139" s="373"/>
      <x:c r="T139" s="373"/>
      <x:c r="U139" s="373"/>
      <x:c r="V139" s="373"/>
      <x:c r="W139" s="373"/>
      <x:c r="X139" s="373"/>
      <x:c r="Y139" s="373"/>
      <x:c r="Z139" s="373"/>
    </x:row>
    <x:row r="140">
      <x:c r="A140" s="411" t="str"/>
      <x:c r="B140" s="468" t="str"/>
      <x:c r="C140" s="411" t="str"/>
      <x:c r="D140" s="411" t="str"/>
      <x:c r="E140" s="411" t="str"/>
      <x:c r="F140" s="411" t="str"/>
      <x:c r="G140" s="411" t="str"/>
      <x:c r="H140" s="411" t="str"/>
      <x:c r="I140" s="411" t="str"/>
      <x:c r="J140" s="411" t="str"/>
      <x:c r="K140" s="411" t="str"/>
      <x:c r="L140" s="411" t="str"/>
      <x:c r="M140" s="411" t="str"/>
      <x:c r="N140" s="464" t="str">
        <x:f>IF(OR(L140="",M140=""),"",IF(L140&lt;=M140,"Passed","Review"))</x:f>
      </x:c>
      <x:c r="O140" s="411" t="str"/>
      <x:c r="P140" s="411" t="str"/>
      <x:c r="Q140" s="411" t="str"/>
      <x:c r="R140" s="411" t="str"/>
      <x:c r="S140" s="373"/>
      <x:c r="T140" s="373"/>
      <x:c r="U140" s="373"/>
      <x:c r="V140" s="373"/>
      <x:c r="W140" s="373"/>
      <x:c r="X140" s="373"/>
      <x:c r="Y140" s="373"/>
      <x:c r="Z140" s="373"/>
    </x:row>
    <x:row r="141">
      <x:c r="A141" s="411" t="str"/>
      <x:c r="B141" s="468" t="str"/>
      <x:c r="C141" s="411" t="str"/>
      <x:c r="D141" s="411" t="str"/>
      <x:c r="E141" s="411" t="str"/>
      <x:c r="F141" s="411" t="str"/>
      <x:c r="G141" s="411" t="str"/>
      <x:c r="H141" s="411" t="str"/>
      <x:c r="I141" s="411" t="str"/>
      <x:c r="J141" s="411" t="str"/>
      <x:c r="K141" s="411" t="str"/>
      <x:c r="L141" s="411" t="str"/>
      <x:c r="M141" s="411" t="str"/>
      <x:c r="N141" s="464" t="str">
        <x:f>IF(OR(L141="",M141=""),"",IF(L141&lt;=M141,"Passed","Review"))</x:f>
      </x:c>
      <x:c r="O141" s="411" t="str"/>
      <x:c r="P141" s="411" t="str"/>
      <x:c r="Q141" s="411" t="str"/>
      <x:c r="R141" s="411" t="str"/>
      <x:c r="S141" s="373"/>
      <x:c r="T141" s="373"/>
      <x:c r="U141" s="373"/>
      <x:c r="V141" s="373"/>
      <x:c r="W141" s="373"/>
      <x:c r="X141" s="373"/>
      <x:c r="Y141" s="373"/>
      <x:c r="Z141" s="373"/>
    </x:row>
    <x:row r="142">
      <x:c r="A142" s="411" t="str"/>
      <x:c r="B142" s="468" t="str"/>
      <x:c r="C142" s="411" t="str"/>
      <x:c r="D142" s="411" t="str"/>
      <x:c r="E142" s="411" t="str"/>
      <x:c r="F142" s="411" t="str"/>
      <x:c r="G142" s="411" t="str"/>
      <x:c r="H142" s="411" t="str"/>
      <x:c r="I142" s="411" t="str"/>
      <x:c r="J142" s="411" t="str"/>
      <x:c r="K142" s="411" t="str"/>
      <x:c r="L142" s="411" t="str"/>
      <x:c r="M142" s="411" t="str"/>
      <x:c r="N142" s="464" t="str">
        <x:f>IF(OR(L142="",M142=""),"",IF(L142&lt;=M142,"Passed","Review"))</x:f>
      </x:c>
      <x:c r="O142" s="411" t="str"/>
      <x:c r="P142" s="411" t="str"/>
      <x:c r="Q142" s="411" t="str"/>
      <x:c r="R142" s="411" t="str"/>
      <x:c r="S142" s="373"/>
      <x:c r="T142" s="373"/>
      <x:c r="U142" s="373"/>
      <x:c r="V142" s="373"/>
      <x:c r="W142" s="373"/>
      <x:c r="X142" s="373"/>
      <x:c r="Y142" s="373"/>
      <x:c r="Z142" s="373"/>
    </x:row>
    <x:row r="143">
      <x:c r="A143" s="411" t="str"/>
      <x:c r="B143" s="468" t="str"/>
      <x:c r="C143" s="411" t="str"/>
      <x:c r="D143" s="411" t="str"/>
      <x:c r="E143" s="411" t="str"/>
      <x:c r="F143" s="411" t="str"/>
      <x:c r="G143" s="411" t="str"/>
      <x:c r="H143" s="411" t="str"/>
      <x:c r="I143" s="411" t="str"/>
      <x:c r="J143" s="411" t="str"/>
      <x:c r="K143" s="411" t="str"/>
      <x:c r="L143" s="411" t="str"/>
      <x:c r="M143" s="411" t="str"/>
      <x:c r="N143" s="464" t="str">
        <x:f>IF(OR(L143="",M143=""),"",IF(L143&lt;=M143,"Passed","Review"))</x:f>
      </x:c>
      <x:c r="O143" s="411" t="str"/>
      <x:c r="P143" s="411" t="str"/>
      <x:c r="Q143" s="411" t="str"/>
      <x:c r="R143" s="411" t="str"/>
      <x:c r="S143" s="373"/>
      <x:c r="T143" s="373"/>
      <x:c r="U143" s="373"/>
      <x:c r="V143" s="373"/>
      <x:c r="W143" s="373"/>
      <x:c r="X143" s="373"/>
      <x:c r="Y143" s="373"/>
      <x:c r="Z143" s="373"/>
    </x:row>
    <x:row r="144">
      <x:c r="A144" s="411" t="str"/>
      <x:c r="B144" s="468" t="str"/>
      <x:c r="C144" s="411" t="str"/>
      <x:c r="D144" s="411" t="str"/>
      <x:c r="E144" s="411" t="str"/>
      <x:c r="F144" s="411" t="str"/>
      <x:c r="G144" s="411" t="str"/>
      <x:c r="H144" s="411" t="str"/>
      <x:c r="I144" s="411" t="str"/>
      <x:c r="J144" s="411" t="str"/>
      <x:c r="K144" s="411" t="str"/>
      <x:c r="L144" s="411" t="str"/>
      <x:c r="M144" s="411" t="str"/>
      <x:c r="N144" s="464" t="str">
        <x:f>IF(OR(L144="",M144=""),"",IF(L144&lt;=M144,"Passed","Review"))</x:f>
      </x:c>
      <x:c r="O144" s="411" t="str"/>
      <x:c r="P144" s="411" t="str"/>
      <x:c r="Q144" s="411" t="str"/>
      <x:c r="R144" s="411" t="str"/>
      <x:c r="S144" s="373"/>
      <x:c r="T144" s="373"/>
      <x:c r="U144" s="373"/>
      <x:c r="V144" s="373"/>
      <x:c r="W144" s="373"/>
      <x:c r="X144" s="373"/>
      <x:c r="Y144" s="373"/>
      <x:c r="Z144" s="373"/>
    </x:row>
    <x:row r="145">
      <x:c r="A145" s="411" t="str"/>
      <x:c r="B145" s="468" t="str"/>
      <x:c r="C145" s="411" t="str"/>
      <x:c r="D145" s="411" t="str"/>
      <x:c r="E145" s="411" t="str"/>
      <x:c r="F145" s="411" t="str"/>
      <x:c r="G145" s="411" t="str"/>
      <x:c r="H145" s="411" t="str"/>
      <x:c r="I145" s="411" t="str"/>
      <x:c r="J145" s="411" t="str"/>
      <x:c r="K145" s="411" t="str"/>
      <x:c r="L145" s="411" t="str"/>
      <x:c r="M145" s="411" t="str"/>
      <x:c r="N145" s="464" t="str">
        <x:f>IF(OR(L145="",M145=""),"",IF(L145&lt;=M145,"Passed","Review"))</x:f>
      </x:c>
      <x:c r="O145" s="411" t="str"/>
      <x:c r="P145" s="411" t="str"/>
      <x:c r="Q145" s="411" t="str"/>
      <x:c r="R145" s="411" t="str"/>
      <x:c r="S145" s="373"/>
      <x:c r="T145" s="373"/>
      <x:c r="U145" s="373"/>
      <x:c r="V145" s="373"/>
      <x:c r="W145" s="373"/>
      <x:c r="X145" s="373"/>
      <x:c r="Y145" s="373"/>
      <x:c r="Z145" s="373"/>
    </x:row>
    <x:row r="146">
      <x:c r="A146" s="411" t="str"/>
      <x:c r="B146" s="468" t="str"/>
      <x:c r="C146" s="411" t="str"/>
      <x:c r="D146" s="411" t="str"/>
      <x:c r="E146" s="411" t="str"/>
      <x:c r="F146" s="411" t="str"/>
      <x:c r="G146" s="411" t="str"/>
      <x:c r="H146" s="411" t="str"/>
      <x:c r="I146" s="411" t="str"/>
      <x:c r="J146" s="411" t="str"/>
      <x:c r="K146" s="411" t="str"/>
      <x:c r="L146" s="411" t="str"/>
      <x:c r="M146" s="411" t="str"/>
      <x:c r="N146" s="464" t="str">
        <x:f>IF(OR(L146="",M146=""),"",IF(L146&lt;=M146,"Passed","Review"))</x:f>
      </x:c>
      <x:c r="O146" s="411" t="str"/>
      <x:c r="P146" s="411" t="str"/>
      <x:c r="Q146" s="411" t="str"/>
      <x:c r="R146" s="411" t="str"/>
      <x:c r="S146" s="373"/>
      <x:c r="T146" s="373"/>
      <x:c r="U146" s="373"/>
      <x:c r="V146" s="373"/>
      <x:c r="W146" s="373"/>
      <x:c r="X146" s="373"/>
      <x:c r="Y146" s="373"/>
      <x:c r="Z146" s="373"/>
    </x:row>
    <x:row r="147">
      <x:c r="A147" s="411" t="str"/>
      <x:c r="B147" s="468" t="str"/>
      <x:c r="C147" s="411" t="str"/>
      <x:c r="D147" s="411" t="str"/>
      <x:c r="E147" s="411" t="str"/>
      <x:c r="F147" s="411" t="str"/>
      <x:c r="G147" s="411" t="str"/>
      <x:c r="H147" s="411" t="str"/>
      <x:c r="I147" s="411" t="str"/>
      <x:c r="J147" s="411" t="str"/>
      <x:c r="K147" s="411" t="str"/>
      <x:c r="L147" s="411" t="str"/>
      <x:c r="M147" s="411" t="str"/>
      <x:c r="N147" s="464" t="str">
        <x:f>IF(OR(L147="",M147=""),"",IF(L147&lt;=M147,"Passed","Review"))</x:f>
      </x:c>
      <x:c r="O147" s="411" t="str"/>
      <x:c r="P147" s="411" t="str"/>
      <x:c r="Q147" s="411" t="str"/>
      <x:c r="R147" s="411" t="str"/>
      <x:c r="S147" s="373"/>
      <x:c r="T147" s="373"/>
      <x:c r="U147" s="373"/>
      <x:c r="V147" s="373"/>
      <x:c r="W147" s="373"/>
      <x:c r="X147" s="373"/>
      <x:c r="Y147" s="373"/>
      <x:c r="Z147" s="373"/>
    </x:row>
    <x:row r="148">
      <x:c r="A148" s="411" t="str"/>
      <x:c r="B148" s="468" t="str"/>
      <x:c r="C148" s="411" t="str"/>
      <x:c r="D148" s="411" t="str"/>
      <x:c r="E148" s="411" t="str"/>
      <x:c r="F148" s="411" t="str"/>
      <x:c r="G148" s="411" t="str"/>
      <x:c r="H148" s="411" t="str"/>
      <x:c r="I148" s="411" t="str"/>
      <x:c r="J148" s="411" t="str"/>
      <x:c r="K148" s="411" t="str"/>
      <x:c r="L148" s="411" t="str"/>
      <x:c r="M148" s="411" t="str"/>
      <x:c r="N148" s="464" t="str">
        <x:f>IF(OR(L148="",M148=""),"",IF(L148&lt;=M148,"Passed","Review"))</x:f>
      </x:c>
      <x:c r="O148" s="411" t="str"/>
      <x:c r="P148" s="411" t="str"/>
      <x:c r="Q148" s="411" t="str"/>
      <x:c r="R148" s="411" t="str"/>
      <x:c r="S148" s="373"/>
      <x:c r="T148" s="373"/>
      <x:c r="U148" s="373"/>
      <x:c r="V148" s="373"/>
      <x:c r="W148" s="373"/>
      <x:c r="X148" s="373"/>
      <x:c r="Y148" s="373"/>
      <x:c r="Z148" s="373"/>
    </x:row>
    <x:row r="149">
      <x:c r="A149" s="411" t="str"/>
      <x:c r="B149" s="468" t="str"/>
      <x:c r="C149" s="411" t="str"/>
      <x:c r="D149" s="411" t="str"/>
      <x:c r="E149" s="411" t="str"/>
      <x:c r="F149" s="411" t="str"/>
      <x:c r="G149" s="411" t="str"/>
      <x:c r="H149" s="411" t="str"/>
      <x:c r="I149" s="411" t="str"/>
      <x:c r="J149" s="411" t="str"/>
      <x:c r="K149" s="411" t="str"/>
      <x:c r="L149" s="411" t="str"/>
      <x:c r="M149" s="411" t="str"/>
      <x:c r="N149" s="464" t="str">
        <x:f>IF(OR(L149="",M149=""),"",IF(L149&lt;=M149,"Passed","Review"))</x:f>
      </x:c>
      <x:c r="O149" s="411" t="str"/>
      <x:c r="P149" s="411" t="str"/>
      <x:c r="Q149" s="411" t="str"/>
      <x:c r="R149" s="411" t="str"/>
      <x:c r="S149" s="373"/>
      <x:c r="T149" s="373"/>
      <x:c r="U149" s="373"/>
      <x:c r="V149" s="373"/>
      <x:c r="W149" s="373"/>
      <x:c r="X149" s="373"/>
      <x:c r="Y149" s="373"/>
      <x:c r="Z149" s="373"/>
    </x:row>
    <x:row r="150">
      <x:c r="A150" s="411" t="str"/>
      <x:c r="B150" s="468" t="str"/>
      <x:c r="C150" s="411" t="str"/>
      <x:c r="D150" s="411" t="str"/>
      <x:c r="E150" s="411" t="str"/>
      <x:c r="F150" s="411" t="str"/>
      <x:c r="G150" s="411" t="str"/>
      <x:c r="H150" s="411" t="str"/>
      <x:c r="I150" s="411" t="str"/>
      <x:c r="J150" s="411" t="str"/>
      <x:c r="K150" s="411" t="str"/>
      <x:c r="L150" s="411" t="str"/>
      <x:c r="M150" s="411" t="str"/>
      <x:c r="N150" s="464" t="str">
        <x:f>IF(OR(L150="",M150=""),"",IF(L150&lt;=M150,"Passed","Review"))</x:f>
      </x:c>
      <x:c r="O150" s="411" t="str"/>
      <x:c r="P150" s="411" t="str"/>
      <x:c r="Q150" s="411" t="str"/>
      <x:c r="R150" s="411" t="str"/>
      <x:c r="S150" s="373"/>
      <x:c r="T150" s="373"/>
      <x:c r="U150" s="373"/>
      <x:c r="V150" s="373"/>
      <x:c r="W150" s="373"/>
      <x:c r="X150" s="373"/>
      <x:c r="Y150" s="373"/>
      <x:c r="Z150" s="373"/>
    </x:row>
    <x:row r="151">
      <x:c r="A151" s="411" t="str"/>
      <x:c r="B151" s="468" t="str"/>
      <x:c r="C151" s="411" t="str"/>
      <x:c r="D151" s="411" t="str"/>
      <x:c r="E151" s="411" t="str"/>
      <x:c r="F151" s="411" t="str"/>
      <x:c r="G151" s="411" t="str"/>
      <x:c r="H151" s="411" t="str"/>
      <x:c r="I151" s="411" t="str"/>
      <x:c r="J151" s="411" t="str"/>
      <x:c r="K151" s="411" t="str"/>
      <x:c r="L151" s="411" t="str"/>
      <x:c r="M151" s="411" t="str"/>
      <x:c r="N151" s="464" t="str">
        <x:f>IF(OR(L151="",M151=""),"",IF(L151&lt;=M151,"Passed","Review"))</x:f>
      </x:c>
      <x:c r="O151" s="411" t="str"/>
      <x:c r="P151" s="411" t="str"/>
      <x:c r="Q151" s="411" t="str"/>
      <x:c r="R151" s="411" t="str"/>
      <x:c r="S151" s="373"/>
      <x:c r="T151" s="373"/>
      <x:c r="U151" s="373"/>
      <x:c r="V151" s="373"/>
      <x:c r="W151" s="373"/>
      <x:c r="X151" s="373"/>
      <x:c r="Y151" s="373"/>
      <x:c r="Z151" s="373"/>
    </x:row>
    <x:row r="152">
      <x:c r="A152" s="411" t="str"/>
      <x:c r="B152" s="468" t="str"/>
      <x:c r="C152" s="411" t="str"/>
      <x:c r="D152" s="411" t="str"/>
      <x:c r="E152" s="411" t="str"/>
      <x:c r="F152" s="411" t="str"/>
      <x:c r="G152" s="411" t="str"/>
      <x:c r="H152" s="411" t="str"/>
      <x:c r="I152" s="411" t="str"/>
      <x:c r="J152" s="411" t="str"/>
      <x:c r="K152" s="411" t="str"/>
      <x:c r="L152" s="411" t="str"/>
      <x:c r="M152" s="411" t="str"/>
      <x:c r="N152" s="464" t="str">
        <x:f>IF(OR(L152="",M152=""),"",IF(L152&lt;=M152,"Passed","Review"))</x:f>
      </x:c>
      <x:c r="O152" s="411" t="str"/>
      <x:c r="P152" s="411" t="str"/>
      <x:c r="Q152" s="411" t="str"/>
      <x:c r="R152" s="411" t="str"/>
      <x:c r="S152" s="373"/>
      <x:c r="T152" s="373"/>
      <x:c r="U152" s="373"/>
      <x:c r="V152" s="373"/>
      <x:c r="W152" s="373"/>
      <x:c r="X152" s="373"/>
      <x:c r="Y152" s="373"/>
      <x:c r="Z152" s="373"/>
    </x:row>
    <x:row r="153">
      <x:c r="A153" s="411" t="str"/>
      <x:c r="B153" s="468" t="str"/>
      <x:c r="C153" s="411" t="str"/>
      <x:c r="D153" s="411" t="str"/>
      <x:c r="E153" s="411" t="str"/>
      <x:c r="F153" s="411" t="str"/>
      <x:c r="G153" s="411" t="str"/>
      <x:c r="H153" s="411" t="str"/>
      <x:c r="I153" s="411" t="str"/>
      <x:c r="J153" s="411" t="str"/>
      <x:c r="K153" s="411" t="str"/>
      <x:c r="L153" s="411" t="str"/>
      <x:c r="M153" s="411" t="str"/>
      <x:c r="N153" s="464" t="str">
        <x:f>IF(OR(L153="",M153=""),"",IF(L153&lt;=M153,"Passed","Review"))</x:f>
      </x:c>
      <x:c r="O153" s="411" t="str"/>
      <x:c r="P153" s="411" t="str"/>
      <x:c r="Q153" s="411" t="str"/>
      <x:c r="R153" s="411" t="str"/>
      <x:c r="S153" s="373"/>
      <x:c r="T153" s="373"/>
      <x:c r="U153" s="373"/>
      <x:c r="V153" s="373"/>
      <x:c r="W153" s="373"/>
      <x:c r="X153" s="373"/>
      <x:c r="Y153" s="373"/>
      <x:c r="Z153" s="373"/>
    </x:row>
    <x:row r="154">
      <x:c r="A154" s="411" t="str"/>
      <x:c r="B154" s="468" t="str"/>
      <x:c r="C154" s="411" t="str"/>
      <x:c r="D154" s="411" t="str"/>
      <x:c r="E154" s="411" t="str"/>
      <x:c r="F154" s="411" t="str"/>
      <x:c r="G154" s="411" t="str"/>
      <x:c r="H154" s="411" t="str"/>
      <x:c r="I154" s="411" t="str"/>
      <x:c r="J154" s="411" t="str"/>
      <x:c r="K154" s="411" t="str"/>
      <x:c r="L154" s="411" t="str"/>
      <x:c r="M154" s="411" t="str"/>
      <x:c r="N154" s="464" t="str">
        <x:f>IF(OR(L154="",M154=""),"",IF(L154&lt;=M154,"Passed","Review"))</x:f>
      </x:c>
      <x:c r="O154" s="411" t="str"/>
      <x:c r="P154" s="411" t="str"/>
      <x:c r="Q154" s="411" t="str"/>
      <x:c r="R154" s="411" t="str"/>
      <x:c r="S154" s="373"/>
      <x:c r="T154" s="373"/>
      <x:c r="U154" s="373"/>
      <x:c r="V154" s="373"/>
      <x:c r="W154" s="373"/>
      <x:c r="X154" s="373"/>
      <x:c r="Y154" s="373"/>
      <x:c r="Z154" s="373"/>
    </x:row>
    <x:row r="155">
      <x:c r="A155" s="411" t="str"/>
      <x:c r="B155" s="468" t="str"/>
      <x:c r="C155" s="411" t="str"/>
      <x:c r="D155" s="411" t="str"/>
      <x:c r="E155" s="411" t="str"/>
      <x:c r="F155" s="411" t="str"/>
      <x:c r="G155" s="411" t="str"/>
      <x:c r="H155" s="411" t="str"/>
      <x:c r="I155" s="411" t="str"/>
      <x:c r="J155" s="411" t="str"/>
      <x:c r="K155" s="411" t="str"/>
      <x:c r="L155" s="411" t="str"/>
      <x:c r="M155" s="411" t="str"/>
      <x:c r="N155" s="464" t="str">
        <x:f>IF(OR(L155="",M155=""),"",IF(L155&lt;=M155,"Passed","Review"))</x:f>
      </x:c>
      <x:c r="O155" s="411" t="str"/>
      <x:c r="P155" s="411" t="str"/>
      <x:c r="Q155" s="411" t="str"/>
      <x:c r="R155" s="411" t="str"/>
      <x:c r="S155" s="373"/>
      <x:c r="T155" s="373"/>
      <x:c r="U155" s="373"/>
      <x:c r="V155" s="373"/>
      <x:c r="W155" s="373"/>
      <x:c r="X155" s="373"/>
      <x:c r="Y155" s="373"/>
      <x:c r="Z155" s="373"/>
    </x:row>
    <x:row r="156">
      <x:c r="A156" s="411" t="str"/>
      <x:c r="B156" s="468" t="str"/>
      <x:c r="C156" s="411" t="str"/>
      <x:c r="D156" s="411" t="str"/>
      <x:c r="E156" s="411" t="str"/>
      <x:c r="F156" s="411" t="str"/>
      <x:c r="G156" s="411" t="str"/>
      <x:c r="H156" s="411" t="str"/>
      <x:c r="I156" s="411" t="str"/>
      <x:c r="J156" s="411" t="str"/>
      <x:c r="K156" s="411" t="str"/>
      <x:c r="L156" s="411" t="str"/>
      <x:c r="M156" s="411" t="str"/>
      <x:c r="N156" s="464" t="str">
        <x:f>IF(OR(L156="",M156=""),"",IF(L156&lt;=M156,"Passed","Review"))</x:f>
      </x:c>
      <x:c r="O156" s="411" t="str"/>
      <x:c r="P156" s="411" t="str"/>
      <x:c r="Q156" s="411" t="str"/>
      <x:c r="R156" s="411" t="str"/>
      <x:c r="S156" s="373"/>
      <x:c r="T156" s="373"/>
      <x:c r="U156" s="373"/>
      <x:c r="V156" s="373"/>
      <x:c r="W156" s="373"/>
      <x:c r="X156" s="373"/>
      <x:c r="Y156" s="373"/>
      <x:c r="Z156" s="373"/>
    </x:row>
    <x:row r="157">
      <x:c r="A157" s="411" t="str"/>
      <x:c r="B157" s="468" t="str"/>
      <x:c r="C157" s="411" t="str"/>
      <x:c r="D157" s="411" t="str"/>
      <x:c r="E157" s="411" t="str"/>
      <x:c r="F157" s="411" t="str"/>
      <x:c r="G157" s="411" t="str"/>
      <x:c r="H157" s="411" t="str"/>
      <x:c r="I157" s="411" t="str"/>
      <x:c r="J157" s="411" t="str"/>
      <x:c r="K157" s="411" t="str"/>
      <x:c r="L157" s="411" t="str"/>
      <x:c r="M157" s="411" t="str"/>
      <x:c r="N157" s="464" t="str">
        <x:f>IF(OR(L157="",M157=""),"",IF(L157&lt;=M157,"Passed","Review"))</x:f>
      </x:c>
      <x:c r="O157" s="411" t="str"/>
      <x:c r="P157" s="411" t="str"/>
      <x:c r="Q157" s="411" t="str"/>
      <x:c r="R157" s="411" t="str"/>
      <x:c r="S157" s="373"/>
      <x:c r="T157" s="373"/>
      <x:c r="U157" s="373"/>
      <x:c r="V157" s="373"/>
      <x:c r="W157" s="373"/>
      <x:c r="X157" s="373"/>
      <x:c r="Y157" s="373"/>
      <x:c r="Z157" s="373"/>
    </x:row>
    <x:row r="158">
      <x:c r="A158" s="411" t="str"/>
      <x:c r="B158" s="468" t="str"/>
      <x:c r="C158" s="411" t="str"/>
      <x:c r="D158" s="411" t="str"/>
      <x:c r="E158" s="411" t="str"/>
      <x:c r="F158" s="411" t="str"/>
      <x:c r="G158" s="411" t="str"/>
      <x:c r="H158" s="411" t="str"/>
      <x:c r="I158" s="411" t="str"/>
      <x:c r="J158" s="411" t="str"/>
      <x:c r="K158" s="411" t="str"/>
      <x:c r="L158" s="411" t="str"/>
      <x:c r="M158" s="411" t="str"/>
      <x:c r="N158" s="464" t="str">
        <x:f>IF(OR(L158="",M158=""),"",IF(L158&lt;=M158,"Passed","Review"))</x:f>
      </x:c>
      <x:c r="O158" s="411" t="str"/>
      <x:c r="P158" s="411" t="str"/>
      <x:c r="Q158" s="411" t="str"/>
      <x:c r="R158" s="411" t="str"/>
      <x:c r="S158" s="373"/>
      <x:c r="T158" s="373"/>
      <x:c r="U158" s="373"/>
      <x:c r="V158" s="373"/>
      <x:c r="W158" s="373"/>
      <x:c r="X158" s="373"/>
      <x:c r="Y158" s="373"/>
      <x:c r="Z158" s="373"/>
    </x:row>
    <x:row r="159">
      <x:c r="A159" s="411" t="str"/>
      <x:c r="B159" s="468" t="str"/>
      <x:c r="C159" s="411" t="str"/>
      <x:c r="D159" s="411" t="str"/>
      <x:c r="E159" s="411" t="str"/>
      <x:c r="F159" s="411" t="str"/>
      <x:c r="G159" s="411" t="str"/>
      <x:c r="H159" s="411" t="str"/>
      <x:c r="I159" s="411" t="str"/>
      <x:c r="J159" s="411" t="str"/>
      <x:c r="K159" s="411" t="str"/>
      <x:c r="L159" s="411" t="str"/>
      <x:c r="M159" s="411" t="str"/>
      <x:c r="N159" s="464" t="str">
        <x:f>IF(OR(L159="",M159=""),"",IF(L159&lt;=M159,"Passed","Review"))</x:f>
      </x:c>
      <x:c r="O159" s="411" t="str"/>
      <x:c r="P159" s="411" t="str"/>
      <x:c r="Q159" s="411" t="str"/>
      <x:c r="R159" s="411" t="str"/>
      <x:c r="S159" s="373"/>
      <x:c r="T159" s="373"/>
      <x:c r="U159" s="373"/>
      <x:c r="V159" s="373"/>
      <x:c r="W159" s="373"/>
      <x:c r="X159" s="373"/>
      <x:c r="Y159" s="373"/>
      <x:c r="Z159" s="373"/>
    </x:row>
    <x:row r="160">
      <x:c r="A160" s="411" t="str"/>
      <x:c r="B160" s="468" t="str"/>
      <x:c r="C160" s="411" t="str"/>
      <x:c r="D160" s="411" t="str"/>
      <x:c r="E160" s="411" t="str"/>
      <x:c r="F160" s="411" t="str"/>
      <x:c r="G160" s="411" t="str"/>
      <x:c r="H160" s="411" t="str"/>
      <x:c r="I160" s="411" t="str"/>
      <x:c r="J160" s="411" t="str"/>
      <x:c r="K160" s="411" t="str"/>
      <x:c r="L160" s="411" t="str"/>
      <x:c r="M160" s="411" t="str"/>
      <x:c r="N160" s="464" t="str">
        <x:f>IF(OR(L160="",M160=""),"",IF(L160&lt;=M160,"Passed","Review"))</x:f>
      </x:c>
      <x:c r="O160" s="411" t="str"/>
      <x:c r="P160" s="411" t="str"/>
      <x:c r="Q160" s="411" t="str"/>
      <x:c r="R160" s="411" t="str"/>
      <x:c r="S160" s="373"/>
      <x:c r="T160" s="373"/>
      <x:c r="U160" s="373"/>
      <x:c r="V160" s="373"/>
      <x:c r="W160" s="373"/>
      <x:c r="X160" s="373"/>
      <x:c r="Y160" s="373"/>
      <x:c r="Z160" s="373"/>
    </x:row>
    <x:row r="161">
      <x:c r="A161" s="411" t="str"/>
      <x:c r="B161" s="468" t="str"/>
      <x:c r="C161" s="411" t="str"/>
      <x:c r="D161" s="411" t="str"/>
      <x:c r="E161" s="411" t="str"/>
      <x:c r="F161" s="411" t="str"/>
      <x:c r="G161" s="411" t="str"/>
      <x:c r="H161" s="411" t="str"/>
      <x:c r="I161" s="411" t="str"/>
      <x:c r="J161" s="411" t="str"/>
      <x:c r="K161" s="411" t="str"/>
      <x:c r="L161" s="411" t="str"/>
      <x:c r="M161" s="411" t="str"/>
      <x:c r="N161" s="464" t="str">
        <x:f>IF(OR(L161="",M161=""),"",IF(L161&lt;=M161,"Passed","Review"))</x:f>
      </x:c>
      <x:c r="O161" s="411" t="str"/>
      <x:c r="P161" s="411" t="str"/>
      <x:c r="Q161" s="411" t="str"/>
      <x:c r="R161" s="411" t="str"/>
      <x:c r="S161" s="373"/>
      <x:c r="T161" s="373"/>
      <x:c r="U161" s="373"/>
      <x:c r="V161" s="373"/>
      <x:c r="W161" s="373"/>
      <x:c r="X161" s="373"/>
      <x:c r="Y161" s="373"/>
      <x:c r="Z161" s="373"/>
    </x:row>
    <x:row r="162">
      <x:c r="A162" s="411" t="str"/>
      <x:c r="B162" s="468" t="str"/>
      <x:c r="C162" s="411" t="str"/>
      <x:c r="D162" s="411" t="str"/>
      <x:c r="E162" s="411" t="str"/>
      <x:c r="F162" s="411" t="str"/>
      <x:c r="G162" s="411" t="str"/>
      <x:c r="H162" s="411" t="str"/>
      <x:c r="I162" s="411" t="str"/>
      <x:c r="J162" s="411" t="str"/>
      <x:c r="K162" s="411" t="str"/>
      <x:c r="L162" s="411" t="str"/>
      <x:c r="M162" s="411" t="str"/>
      <x:c r="N162" s="464" t="str">
        <x:f>IF(OR(L162="",M162=""),"",IF(L162&lt;=M162,"Passed","Review"))</x:f>
      </x:c>
      <x:c r="O162" s="411" t="str"/>
      <x:c r="P162" s="411" t="str"/>
      <x:c r="Q162" s="411" t="str"/>
      <x:c r="R162" s="411" t="str"/>
      <x:c r="S162" s="373"/>
      <x:c r="T162" s="373"/>
      <x:c r="U162" s="373"/>
      <x:c r="V162" s="373"/>
      <x:c r="W162" s="373"/>
      <x:c r="X162" s="373"/>
      <x:c r="Y162" s="373"/>
      <x:c r="Z162" s="373"/>
    </x:row>
    <x:row r="163">
      <x:c r="A163" s="411" t="str"/>
      <x:c r="B163" s="468" t="str"/>
      <x:c r="C163" s="411" t="str"/>
      <x:c r="D163" s="411" t="str"/>
      <x:c r="E163" s="411" t="str"/>
      <x:c r="F163" s="411" t="str"/>
      <x:c r="G163" s="411" t="str"/>
      <x:c r="H163" s="411" t="str"/>
      <x:c r="I163" s="411" t="str"/>
      <x:c r="J163" s="411" t="str"/>
      <x:c r="K163" s="411" t="str"/>
      <x:c r="L163" s="411" t="str"/>
      <x:c r="M163" s="411" t="str"/>
      <x:c r="N163" s="464" t="str">
        <x:f>IF(OR(L163="",M163=""),"",IF(L163&lt;=M163,"Passed","Review"))</x:f>
      </x:c>
      <x:c r="O163" s="411" t="str"/>
      <x:c r="P163" s="411" t="str"/>
      <x:c r="Q163" s="411" t="str"/>
      <x:c r="R163" s="411" t="str"/>
      <x:c r="S163" s="373"/>
      <x:c r="T163" s="373"/>
      <x:c r="U163" s="373"/>
      <x:c r="V163" s="373"/>
      <x:c r="W163" s="373"/>
      <x:c r="X163" s="373"/>
      <x:c r="Y163" s="373"/>
      <x:c r="Z163" s="373"/>
    </x:row>
    <x:row r="164">
      <x:c r="A164" s="411" t="str"/>
      <x:c r="B164" s="468" t="str"/>
      <x:c r="C164" s="411" t="str"/>
      <x:c r="D164" s="411" t="str"/>
      <x:c r="E164" s="411" t="str"/>
      <x:c r="F164" s="411" t="str"/>
      <x:c r="G164" s="411" t="str"/>
      <x:c r="H164" s="411" t="str"/>
      <x:c r="I164" s="411" t="str"/>
      <x:c r="J164" s="411" t="str"/>
      <x:c r="K164" s="411" t="str"/>
      <x:c r="L164" s="411" t="str"/>
      <x:c r="M164" s="411" t="str"/>
      <x:c r="N164" s="464" t="str">
        <x:f>IF(OR(L164="",M164=""),"",IF(L164&lt;=M164,"Passed","Review"))</x:f>
      </x:c>
      <x:c r="O164" s="411" t="str"/>
      <x:c r="P164" s="411" t="str"/>
      <x:c r="Q164" s="411" t="str"/>
      <x:c r="R164" s="411" t="str"/>
      <x:c r="S164" s="373"/>
      <x:c r="T164" s="373"/>
      <x:c r="U164" s="373"/>
      <x:c r="V164" s="373"/>
      <x:c r="W164" s="373"/>
      <x:c r="X164" s="373"/>
      <x:c r="Y164" s="373"/>
      <x:c r="Z164" s="373"/>
    </x:row>
    <x:row r="165">
      <x:c r="A165" s="411" t="str"/>
      <x:c r="B165" s="468" t="str"/>
      <x:c r="C165" s="411" t="str"/>
      <x:c r="D165" s="411" t="str"/>
      <x:c r="E165" s="411" t="str"/>
      <x:c r="F165" s="411" t="str"/>
      <x:c r="G165" s="411" t="str"/>
      <x:c r="H165" s="411" t="str"/>
      <x:c r="I165" s="411" t="str"/>
      <x:c r="J165" s="411" t="str"/>
      <x:c r="K165" s="411" t="str"/>
      <x:c r="L165" s="411" t="str"/>
      <x:c r="M165" s="411" t="str"/>
      <x:c r="N165" s="464" t="str">
        <x:f>IF(OR(L165="",M165=""),"",IF(L165&lt;=M165,"Passed","Review"))</x:f>
      </x:c>
      <x:c r="O165" s="411" t="str"/>
      <x:c r="P165" s="411" t="str"/>
      <x:c r="Q165" s="411" t="str"/>
      <x:c r="R165" s="411" t="str"/>
      <x:c r="S165" s="373"/>
      <x:c r="T165" s="373"/>
      <x:c r="U165" s="373"/>
      <x:c r="V165" s="373"/>
      <x:c r="W165" s="373"/>
      <x:c r="X165" s="373"/>
      <x:c r="Y165" s="373"/>
      <x:c r="Z165" s="373"/>
    </x:row>
    <x:row r="166">
      <x:c r="A166" s="411" t="str"/>
      <x:c r="B166" s="468" t="str"/>
      <x:c r="C166" s="411" t="str"/>
      <x:c r="D166" s="411" t="str"/>
      <x:c r="E166" s="411" t="str"/>
      <x:c r="F166" s="411" t="str"/>
      <x:c r="G166" s="411" t="str"/>
      <x:c r="H166" s="411" t="str"/>
      <x:c r="I166" s="411" t="str"/>
      <x:c r="J166" s="411" t="str"/>
      <x:c r="K166" s="411" t="str"/>
      <x:c r="L166" s="411" t="str"/>
      <x:c r="M166" s="411" t="str"/>
      <x:c r="N166" s="464" t="str">
        <x:f>IF(OR(L166="",M166=""),"",IF(L166&lt;=M166,"Passed","Review"))</x:f>
      </x:c>
      <x:c r="O166" s="411" t="str"/>
      <x:c r="P166" s="411" t="str"/>
      <x:c r="Q166" s="411" t="str"/>
      <x:c r="R166" s="411" t="str"/>
      <x:c r="S166" s="373"/>
      <x:c r="T166" s="373"/>
      <x:c r="U166" s="373"/>
      <x:c r="V166" s="373"/>
      <x:c r="W166" s="373"/>
      <x:c r="X166" s="373"/>
      <x:c r="Y166" s="373"/>
      <x:c r="Z166" s="373"/>
    </x:row>
    <x:row r="167">
      <x:c r="A167" s="411" t="str"/>
      <x:c r="B167" s="468" t="str"/>
      <x:c r="C167" s="411" t="str"/>
      <x:c r="D167" s="411" t="str"/>
      <x:c r="E167" s="411" t="str"/>
      <x:c r="F167" s="411" t="str"/>
      <x:c r="G167" s="411" t="str"/>
      <x:c r="H167" s="411" t="str"/>
      <x:c r="I167" s="411" t="str"/>
      <x:c r="J167" s="411" t="str"/>
      <x:c r="K167" s="411" t="str"/>
      <x:c r="L167" s="411" t="str"/>
      <x:c r="M167" s="411" t="str"/>
      <x:c r="N167" s="464" t="str">
        <x:f>IF(OR(L167="",M167=""),"",IF(L167&lt;=M167,"Passed","Review"))</x:f>
      </x:c>
      <x:c r="O167" s="411" t="str"/>
      <x:c r="P167" s="411" t="str"/>
      <x:c r="Q167" s="411" t="str"/>
      <x:c r="R167" s="411" t="str"/>
      <x:c r="S167" s="373"/>
      <x:c r="T167" s="373"/>
      <x:c r="U167" s="373"/>
      <x:c r="V167" s="373"/>
      <x:c r="W167" s="373"/>
      <x:c r="X167" s="373"/>
      <x:c r="Y167" s="373"/>
      <x:c r="Z167" s="373"/>
    </x:row>
    <x:row r="168">
      <x:c r="A168" s="411" t="str"/>
      <x:c r="B168" s="468" t="str"/>
      <x:c r="C168" s="411" t="str"/>
      <x:c r="D168" s="411" t="str"/>
      <x:c r="E168" s="411" t="str"/>
      <x:c r="F168" s="411" t="str"/>
      <x:c r="G168" s="411" t="str"/>
      <x:c r="H168" s="411" t="str"/>
      <x:c r="I168" s="411" t="str"/>
      <x:c r="J168" s="411" t="str"/>
      <x:c r="K168" s="411" t="str"/>
      <x:c r="L168" s="411" t="str"/>
      <x:c r="M168" s="411" t="str"/>
      <x:c r="N168" s="464" t="str">
        <x:f>IF(OR(L168="",M168=""),"",IF(L168&lt;=M168,"Passed","Review"))</x:f>
      </x:c>
      <x:c r="O168" s="411" t="str"/>
      <x:c r="P168" s="411" t="str"/>
      <x:c r="Q168" s="411" t="str"/>
      <x:c r="R168" s="411" t="str"/>
      <x:c r="S168" s="373"/>
      <x:c r="T168" s="373"/>
      <x:c r="U168" s="373"/>
      <x:c r="V168" s="373"/>
      <x:c r="W168" s="373"/>
      <x:c r="X168" s="373"/>
      <x:c r="Y168" s="373"/>
      <x:c r="Z168" s="373"/>
    </x:row>
    <x:row r="169">
      <x:c r="A169" s="411" t="str"/>
      <x:c r="B169" s="468" t="str"/>
      <x:c r="C169" s="411" t="str"/>
      <x:c r="D169" s="411" t="str"/>
      <x:c r="E169" s="411" t="str"/>
      <x:c r="F169" s="411" t="str"/>
      <x:c r="G169" s="411" t="str"/>
      <x:c r="H169" s="411" t="str"/>
      <x:c r="I169" s="411" t="str"/>
      <x:c r="J169" s="411" t="str"/>
      <x:c r="K169" s="411" t="str"/>
      <x:c r="L169" s="411" t="str"/>
      <x:c r="M169" s="411" t="str"/>
      <x:c r="N169" s="464" t="str">
        <x:f>IF(OR(L169="",M169=""),"",IF(L169&lt;=M169,"Passed","Review"))</x:f>
      </x:c>
      <x:c r="O169" s="411" t="str"/>
      <x:c r="P169" s="411" t="str"/>
      <x:c r="Q169" s="411" t="str"/>
      <x:c r="R169" s="411" t="str"/>
      <x:c r="S169" s="373"/>
      <x:c r="T169" s="373"/>
      <x:c r="U169" s="373"/>
      <x:c r="V169" s="373"/>
      <x:c r="W169" s="373"/>
      <x:c r="X169" s="373"/>
      <x:c r="Y169" s="373"/>
      <x:c r="Z169" s="373"/>
    </x:row>
    <x:row r="170">
      <x:c r="A170" s="411" t="str"/>
      <x:c r="B170" s="468" t="str"/>
      <x:c r="C170" s="411" t="str"/>
      <x:c r="D170" s="411" t="str"/>
      <x:c r="E170" s="411" t="str"/>
      <x:c r="F170" s="411" t="str"/>
      <x:c r="G170" s="411" t="str"/>
      <x:c r="H170" s="411" t="str"/>
      <x:c r="I170" s="411" t="str"/>
      <x:c r="J170" s="411" t="str"/>
      <x:c r="K170" s="411" t="str"/>
      <x:c r="L170" s="411" t="str"/>
      <x:c r="M170" s="411" t="str"/>
      <x:c r="N170" s="464" t="str">
        <x:f>IF(OR(L170="",M170=""),"",IF(L170&lt;=M170,"Passed","Review"))</x:f>
      </x:c>
      <x:c r="O170" s="411" t="str"/>
      <x:c r="P170" s="411" t="str"/>
      <x:c r="Q170" s="411" t="str"/>
      <x:c r="R170" s="411" t="str"/>
      <x:c r="S170" s="373"/>
      <x:c r="T170" s="373"/>
      <x:c r="U170" s="373"/>
      <x:c r="V170" s="373"/>
      <x:c r="W170" s="373"/>
      <x:c r="X170" s="373"/>
      <x:c r="Y170" s="373"/>
      <x:c r="Z170" s="373"/>
    </x:row>
    <x:row r="171">
      <x:c r="A171" s="411" t="str"/>
      <x:c r="B171" s="468" t="str"/>
      <x:c r="C171" s="411" t="str"/>
      <x:c r="D171" s="411" t="str"/>
      <x:c r="E171" s="411" t="str"/>
      <x:c r="F171" s="411" t="str"/>
      <x:c r="G171" s="411" t="str"/>
      <x:c r="H171" s="411" t="str"/>
      <x:c r="I171" s="411" t="str"/>
      <x:c r="J171" s="411" t="str"/>
      <x:c r="K171" s="411" t="str"/>
      <x:c r="L171" s="411" t="str"/>
      <x:c r="M171" s="411" t="str"/>
      <x:c r="N171" s="464" t="str">
        <x:f>IF(OR(L171="",M171=""),"",IF(L171&lt;=M171,"Passed","Review"))</x:f>
      </x:c>
      <x:c r="O171" s="411" t="str"/>
      <x:c r="P171" s="411" t="str"/>
      <x:c r="Q171" s="411" t="str"/>
      <x:c r="R171" s="411" t="str"/>
      <x:c r="S171" s="373"/>
      <x:c r="T171" s="373"/>
      <x:c r="U171" s="373"/>
      <x:c r="V171" s="373"/>
      <x:c r="W171" s="373"/>
      <x:c r="X171" s="373"/>
      <x:c r="Y171" s="373"/>
      <x:c r="Z171" s="373"/>
    </x:row>
    <x:row r="172">
      <x:c r="A172" s="411" t="str"/>
      <x:c r="B172" s="468" t="str"/>
      <x:c r="C172" s="411" t="str"/>
      <x:c r="D172" s="411" t="str"/>
      <x:c r="E172" s="411" t="str"/>
      <x:c r="F172" s="411" t="str"/>
      <x:c r="G172" s="411" t="str"/>
      <x:c r="H172" s="411" t="str"/>
      <x:c r="I172" s="411" t="str"/>
      <x:c r="J172" s="411" t="str"/>
      <x:c r="K172" s="411" t="str"/>
      <x:c r="L172" s="411" t="str"/>
      <x:c r="M172" s="411" t="str"/>
      <x:c r="N172" s="464" t="str">
        <x:f>IF(OR(L172="",M172=""),"",IF(L172&lt;=M172,"Passed","Review"))</x:f>
      </x:c>
      <x:c r="O172" s="411" t="str"/>
      <x:c r="P172" s="411" t="str"/>
      <x:c r="Q172" s="411" t="str"/>
      <x:c r="R172" s="411" t="str"/>
      <x:c r="S172" s="373"/>
      <x:c r="T172" s="373"/>
      <x:c r="U172" s="373"/>
      <x:c r="V172" s="373"/>
      <x:c r="W172" s="373"/>
      <x:c r="X172" s="373"/>
      <x:c r="Y172" s="373"/>
      <x:c r="Z172" s="373"/>
    </x:row>
    <x:row r="173">
      <x:c r="A173" s="411" t="str"/>
      <x:c r="B173" s="468" t="str"/>
      <x:c r="C173" s="411" t="str"/>
      <x:c r="D173" s="411" t="str"/>
      <x:c r="E173" s="411" t="str"/>
      <x:c r="F173" s="411" t="str"/>
      <x:c r="G173" s="411" t="str"/>
      <x:c r="H173" s="411" t="str"/>
      <x:c r="I173" s="411" t="str"/>
      <x:c r="J173" s="411" t="str"/>
      <x:c r="K173" s="411" t="str"/>
      <x:c r="L173" s="411" t="str"/>
      <x:c r="M173" s="411" t="str"/>
      <x:c r="N173" s="464" t="str">
        <x:f>IF(OR(L173="",M173=""),"",IF(L173&lt;=M173,"Passed","Review"))</x:f>
      </x:c>
      <x:c r="O173" s="411" t="str"/>
      <x:c r="P173" s="411" t="str"/>
      <x:c r="Q173" s="411" t="str"/>
      <x:c r="R173" s="411" t="str"/>
      <x:c r="S173" s="373"/>
      <x:c r="T173" s="373"/>
      <x:c r="U173" s="373"/>
      <x:c r="V173" s="373"/>
      <x:c r="W173" s="373"/>
      <x:c r="X173" s="373"/>
      <x:c r="Y173" s="373"/>
      <x:c r="Z173" s="373"/>
    </x:row>
    <x:row r="174">
      <x:c r="A174" s="411" t="str"/>
      <x:c r="B174" s="468" t="str"/>
      <x:c r="C174" s="411" t="str"/>
      <x:c r="D174" s="411" t="str"/>
      <x:c r="E174" s="411" t="str"/>
      <x:c r="F174" s="411" t="str"/>
      <x:c r="G174" s="411" t="str"/>
      <x:c r="H174" s="411" t="str"/>
      <x:c r="I174" s="411" t="str"/>
      <x:c r="J174" s="411" t="str"/>
      <x:c r="K174" s="411" t="str"/>
      <x:c r="L174" s="411" t="str"/>
      <x:c r="M174" s="411" t="str"/>
      <x:c r="N174" s="464" t="str">
        <x:f>IF(OR(L174="",M174=""),"",IF(L174&lt;=M174,"Passed","Review"))</x:f>
      </x:c>
      <x:c r="O174" s="411" t="str"/>
      <x:c r="P174" s="411" t="str"/>
      <x:c r="Q174" s="411" t="str"/>
      <x:c r="R174" s="411" t="str"/>
      <x:c r="S174" s="373"/>
      <x:c r="T174" s="373"/>
      <x:c r="U174" s="373"/>
      <x:c r="V174" s="373"/>
      <x:c r="W174" s="373"/>
      <x:c r="X174" s="373"/>
      <x:c r="Y174" s="373"/>
      <x:c r="Z174" s="373"/>
    </x:row>
    <x:row r="175">
      <x:c r="A175" s="411" t="str"/>
      <x:c r="B175" s="468" t="str"/>
      <x:c r="C175" s="411" t="str"/>
      <x:c r="D175" s="411" t="str"/>
      <x:c r="E175" s="411" t="str"/>
      <x:c r="F175" s="411" t="str"/>
      <x:c r="G175" s="411" t="str"/>
      <x:c r="H175" s="411" t="str"/>
      <x:c r="I175" s="411" t="str"/>
      <x:c r="J175" s="411" t="str"/>
      <x:c r="K175" s="411" t="str"/>
      <x:c r="L175" s="411" t="str"/>
      <x:c r="M175" s="411" t="str"/>
      <x:c r="N175" s="464" t="str">
        <x:f>IF(OR(L175="",M175=""),"",IF(L175&lt;=M175,"Passed","Review"))</x:f>
      </x:c>
      <x:c r="O175" s="411" t="str"/>
      <x:c r="P175" s="411" t="str"/>
      <x:c r="Q175" s="411" t="str"/>
      <x:c r="R175" s="411" t="str"/>
      <x:c r="S175" s="373"/>
      <x:c r="T175" s="373"/>
      <x:c r="U175" s="373"/>
      <x:c r="V175" s="373"/>
      <x:c r="W175" s="373"/>
      <x:c r="X175" s="373"/>
      <x:c r="Y175" s="373"/>
      <x:c r="Z175" s="373"/>
    </x:row>
    <x:row r="176">
      <x:c r="A176" s="411" t="str"/>
      <x:c r="B176" s="468" t="str"/>
      <x:c r="C176" s="411" t="str"/>
      <x:c r="D176" s="411" t="str"/>
      <x:c r="E176" s="411" t="str"/>
      <x:c r="F176" s="411" t="str"/>
      <x:c r="G176" s="411" t="str"/>
      <x:c r="H176" s="411" t="str"/>
      <x:c r="I176" s="411" t="str"/>
      <x:c r="J176" s="411" t="str"/>
      <x:c r="K176" s="411" t="str"/>
      <x:c r="L176" s="411" t="str"/>
      <x:c r="M176" s="411" t="str"/>
      <x:c r="N176" s="464" t="str">
        <x:f>IF(OR(L176="",M176=""),"",IF(L176&lt;=M176,"Passed","Review"))</x:f>
      </x:c>
      <x:c r="O176" s="411" t="str"/>
      <x:c r="P176" s="411" t="str"/>
      <x:c r="Q176" s="411" t="str"/>
      <x:c r="R176" s="411" t="str"/>
      <x:c r="S176" s="373"/>
      <x:c r="T176" s="373"/>
      <x:c r="U176" s="373"/>
      <x:c r="V176" s="373"/>
      <x:c r="W176" s="373"/>
      <x:c r="X176" s="373"/>
      <x:c r="Y176" s="373"/>
      <x:c r="Z176" s="373"/>
    </x:row>
    <x:row r="177">
      <x:c r="A177" s="411" t="str"/>
      <x:c r="B177" s="468" t="str"/>
      <x:c r="C177" s="411" t="str"/>
      <x:c r="D177" s="411" t="str"/>
      <x:c r="E177" s="411" t="str"/>
      <x:c r="F177" s="411" t="str"/>
      <x:c r="G177" s="411" t="str"/>
      <x:c r="H177" s="411" t="str"/>
      <x:c r="I177" s="411" t="str"/>
      <x:c r="J177" s="411" t="str"/>
      <x:c r="K177" s="411" t="str"/>
      <x:c r="L177" s="411" t="str"/>
      <x:c r="M177" s="411" t="str"/>
      <x:c r="N177" s="464" t="str">
        <x:f>IF(OR(L177="",M177=""),"",IF(L177&lt;=M177,"Passed","Review"))</x:f>
      </x:c>
      <x:c r="O177" s="411" t="str"/>
      <x:c r="P177" s="411" t="str"/>
      <x:c r="Q177" s="411" t="str"/>
      <x:c r="R177" s="411" t="str"/>
      <x:c r="S177" s="373"/>
      <x:c r="T177" s="373"/>
      <x:c r="U177" s="373"/>
      <x:c r="V177" s="373"/>
      <x:c r="W177" s="373"/>
      <x:c r="X177" s="373"/>
      <x:c r="Y177" s="373"/>
      <x:c r="Z177" s="373"/>
    </x:row>
    <x:row r="178">
      <x:c r="A178" s="411" t="str"/>
      <x:c r="B178" s="468" t="str"/>
      <x:c r="C178" s="411" t="str"/>
      <x:c r="D178" s="411" t="str"/>
      <x:c r="E178" s="411" t="str"/>
      <x:c r="F178" s="411" t="str"/>
      <x:c r="G178" s="411" t="str"/>
      <x:c r="H178" s="411" t="str"/>
      <x:c r="I178" s="411" t="str"/>
      <x:c r="J178" s="411" t="str"/>
      <x:c r="K178" s="411" t="str"/>
      <x:c r="L178" s="411" t="str"/>
      <x:c r="M178" s="411" t="str"/>
      <x:c r="N178" s="464" t="str">
        <x:f>IF(OR(L178="",M178=""),"",IF(L178&lt;=M178,"Passed","Review"))</x:f>
      </x:c>
      <x:c r="O178" s="411" t="str"/>
      <x:c r="P178" s="411" t="str"/>
      <x:c r="Q178" s="411" t="str"/>
      <x:c r="R178" s="411" t="str"/>
      <x:c r="S178" s="373"/>
      <x:c r="T178" s="373"/>
      <x:c r="U178" s="373"/>
      <x:c r="V178" s="373"/>
      <x:c r="W178" s="373"/>
      <x:c r="X178" s="373"/>
      <x:c r="Y178" s="373"/>
      <x:c r="Z178" s="373"/>
    </x:row>
    <x:row r="179">
      <x:c r="A179" s="411" t="str"/>
      <x:c r="B179" s="468" t="str"/>
      <x:c r="C179" s="411" t="str"/>
      <x:c r="D179" s="411" t="str"/>
      <x:c r="E179" s="411" t="str"/>
      <x:c r="F179" s="411" t="str"/>
      <x:c r="G179" s="411" t="str"/>
      <x:c r="H179" s="411" t="str"/>
      <x:c r="I179" s="411" t="str"/>
      <x:c r="J179" s="411" t="str"/>
      <x:c r="K179" s="411" t="str"/>
      <x:c r="L179" s="411" t="str"/>
      <x:c r="M179" s="411" t="str"/>
      <x:c r="N179" s="464" t="str">
        <x:f>IF(OR(L179="",M179=""),"",IF(L179&lt;=M179,"Passed","Review"))</x:f>
      </x:c>
      <x:c r="O179" s="411" t="str"/>
      <x:c r="P179" s="411" t="str"/>
      <x:c r="Q179" s="411" t="str"/>
      <x:c r="R179" s="411" t="str"/>
      <x:c r="S179" s="373"/>
      <x:c r="T179" s="373"/>
      <x:c r="U179" s="373"/>
      <x:c r="V179" s="373"/>
      <x:c r="W179" s="373"/>
      <x:c r="X179" s="373"/>
      <x:c r="Y179" s="373"/>
      <x:c r="Z179" s="373"/>
    </x:row>
    <x:row r="180">
      <x:c r="A180" s="411" t="str"/>
      <x:c r="B180" s="468" t="str"/>
      <x:c r="C180" s="411" t="str"/>
      <x:c r="D180" s="411" t="str"/>
      <x:c r="E180" s="411" t="str"/>
      <x:c r="F180" s="411" t="str"/>
      <x:c r="G180" s="411" t="str"/>
      <x:c r="H180" s="411" t="str"/>
      <x:c r="I180" s="411" t="str"/>
      <x:c r="J180" s="411" t="str"/>
      <x:c r="K180" s="411" t="str"/>
      <x:c r="L180" s="411" t="str"/>
      <x:c r="M180" s="411" t="str"/>
      <x:c r="N180" s="464" t="str">
        <x:f>IF(OR(L180="",M180=""),"",IF(L180&lt;=M180,"Passed","Review"))</x:f>
      </x:c>
      <x:c r="O180" s="411" t="str"/>
      <x:c r="P180" s="411" t="str"/>
      <x:c r="Q180" s="411" t="str"/>
      <x:c r="R180" s="411" t="str"/>
      <x:c r="S180" s="373"/>
      <x:c r="T180" s="373"/>
      <x:c r="U180" s="373"/>
      <x:c r="V180" s="373"/>
      <x:c r="W180" s="373"/>
      <x:c r="X180" s="373"/>
      <x:c r="Y180" s="373"/>
      <x:c r="Z180" s="373"/>
    </x:row>
    <x:row r="181">
      <x:c r="A181" s="411" t="str"/>
      <x:c r="B181" s="468" t="str"/>
      <x:c r="C181" s="411" t="str"/>
      <x:c r="D181" s="411" t="str"/>
      <x:c r="E181" s="411" t="str"/>
      <x:c r="F181" s="411" t="str"/>
      <x:c r="G181" s="411" t="str"/>
      <x:c r="H181" s="411" t="str"/>
      <x:c r="I181" s="411" t="str"/>
      <x:c r="J181" s="411" t="str"/>
      <x:c r="K181" s="411" t="str"/>
      <x:c r="L181" s="411" t="str"/>
      <x:c r="M181" s="411" t="str"/>
      <x:c r="N181" s="464" t="str">
        <x:f>IF(OR(L181="",M181=""),"",IF(L181&lt;=M181,"Passed","Review"))</x:f>
      </x:c>
      <x:c r="O181" s="411" t="str"/>
      <x:c r="P181" s="411" t="str"/>
      <x:c r="Q181" s="411" t="str"/>
      <x:c r="R181" s="411" t="str"/>
      <x:c r="S181" s="373"/>
      <x:c r="T181" s="373"/>
      <x:c r="U181" s="373"/>
      <x:c r="V181" s="373"/>
      <x:c r="W181" s="373"/>
      <x:c r="X181" s="373"/>
      <x:c r="Y181" s="373"/>
      <x:c r="Z181" s="373"/>
    </x:row>
    <x:row r="182">
      <x:c r="A182" s="411" t="str"/>
      <x:c r="B182" s="468" t="str"/>
      <x:c r="C182" s="411" t="str"/>
      <x:c r="D182" s="411" t="str"/>
      <x:c r="E182" s="411" t="str"/>
      <x:c r="F182" s="411" t="str"/>
      <x:c r="G182" s="411" t="str"/>
      <x:c r="H182" s="411" t="str"/>
      <x:c r="I182" s="411" t="str"/>
      <x:c r="J182" s="411" t="str"/>
      <x:c r="K182" s="411" t="str"/>
      <x:c r="L182" s="411" t="str"/>
      <x:c r="M182" s="411" t="str"/>
      <x:c r="N182" s="464" t="str">
        <x:f>IF(OR(L182="",M182=""),"",IF(L182&lt;=M182,"Passed","Review"))</x:f>
      </x:c>
      <x:c r="O182" s="411" t="str"/>
      <x:c r="P182" s="411" t="str"/>
      <x:c r="Q182" s="411" t="str"/>
      <x:c r="R182" s="411" t="str"/>
      <x:c r="S182" s="373"/>
      <x:c r="T182" s="373"/>
      <x:c r="U182" s="373"/>
      <x:c r="V182" s="373"/>
      <x:c r="W182" s="373"/>
      <x:c r="X182" s="373"/>
      <x:c r="Y182" s="373"/>
      <x:c r="Z182" s="373"/>
    </x:row>
    <x:row r="183">
      <x:c r="A183" s="411" t="str"/>
      <x:c r="B183" s="468" t="str"/>
      <x:c r="C183" s="411" t="str"/>
      <x:c r="D183" s="411" t="str"/>
      <x:c r="E183" s="411" t="str"/>
      <x:c r="F183" s="411" t="str"/>
      <x:c r="G183" s="411" t="str"/>
      <x:c r="H183" s="411" t="str"/>
      <x:c r="I183" s="411" t="str"/>
      <x:c r="J183" s="411" t="str"/>
      <x:c r="K183" s="411" t="str"/>
      <x:c r="L183" s="411" t="str"/>
      <x:c r="M183" s="411" t="str"/>
      <x:c r="N183" s="464" t="str">
        <x:f>IF(OR(L183="",M183=""),"",IF(L183&lt;=M183,"Passed","Review"))</x:f>
      </x:c>
      <x:c r="O183" s="411" t="str"/>
      <x:c r="P183" s="411" t="str"/>
      <x:c r="Q183" s="411" t="str"/>
      <x:c r="R183" s="411" t="str"/>
      <x:c r="S183" s="373"/>
      <x:c r="T183" s="373"/>
      <x:c r="U183" s="373"/>
      <x:c r="V183" s="373"/>
      <x:c r="W183" s="373"/>
      <x:c r="X183" s="373"/>
      <x:c r="Y183" s="373"/>
      <x:c r="Z183" s="373"/>
    </x:row>
    <x:row r="184">
      <x:c r="A184" s="411" t="str"/>
      <x:c r="B184" s="468" t="str"/>
      <x:c r="C184" s="411" t="str"/>
      <x:c r="D184" s="411" t="str"/>
      <x:c r="E184" s="411" t="str"/>
      <x:c r="F184" s="411" t="str"/>
      <x:c r="G184" s="411" t="str"/>
      <x:c r="H184" s="411" t="str"/>
      <x:c r="I184" s="411" t="str"/>
      <x:c r="J184" s="411" t="str"/>
      <x:c r="K184" s="411" t="str"/>
      <x:c r="L184" s="411" t="str"/>
      <x:c r="M184" s="411" t="str"/>
      <x:c r="N184" s="464" t="str">
        <x:f>IF(OR(L184="",M184=""),"",IF(L184&lt;=M184,"Passed","Review"))</x:f>
      </x:c>
      <x:c r="O184" s="411" t="str"/>
      <x:c r="P184" s="411" t="str"/>
      <x:c r="Q184" s="411" t="str"/>
      <x:c r="R184" s="411" t="str"/>
      <x:c r="S184" s="373"/>
      <x:c r="T184" s="373"/>
      <x:c r="U184" s="373"/>
      <x:c r="V184" s="373"/>
      <x:c r="W184" s="373"/>
      <x:c r="X184" s="373"/>
      <x:c r="Y184" s="373"/>
      <x:c r="Z184" s="373"/>
    </x:row>
    <x:row r="185">
      <x:c r="A185" s="411" t="str"/>
      <x:c r="B185" s="468" t="str"/>
      <x:c r="C185" s="411" t="str"/>
      <x:c r="D185" s="411" t="str"/>
      <x:c r="E185" s="411" t="str"/>
      <x:c r="F185" s="411" t="str"/>
      <x:c r="G185" s="411" t="str"/>
      <x:c r="H185" s="411" t="str"/>
      <x:c r="I185" s="411" t="str"/>
      <x:c r="J185" s="411" t="str"/>
      <x:c r="K185" s="411" t="str"/>
      <x:c r="L185" s="411" t="str"/>
      <x:c r="M185" s="411" t="str"/>
      <x:c r="N185" s="464" t="str">
        <x:f>IF(OR(L185="",M185=""),"",IF(L185&lt;=M185,"Passed","Review"))</x:f>
      </x:c>
      <x:c r="O185" s="411" t="str"/>
      <x:c r="P185" s="411" t="str"/>
      <x:c r="Q185" s="411" t="str"/>
      <x:c r="R185" s="411" t="str"/>
      <x:c r="S185" s="373"/>
      <x:c r="T185" s="373"/>
      <x:c r="U185" s="373"/>
      <x:c r="V185" s="373"/>
      <x:c r="W185" s="373"/>
      <x:c r="X185" s="373"/>
      <x:c r="Y185" s="373"/>
      <x:c r="Z185" s="373"/>
    </x:row>
    <x:row r="186">
      <x:c r="A186" s="411" t="str"/>
      <x:c r="B186" s="468" t="str"/>
      <x:c r="C186" s="411" t="str"/>
      <x:c r="D186" s="411" t="str"/>
      <x:c r="E186" s="411" t="str"/>
      <x:c r="F186" s="411" t="str"/>
      <x:c r="G186" s="411" t="str"/>
      <x:c r="H186" s="411" t="str"/>
      <x:c r="I186" s="411" t="str"/>
      <x:c r="J186" s="411" t="str"/>
      <x:c r="K186" s="411" t="str"/>
      <x:c r="L186" s="411" t="str"/>
      <x:c r="M186" s="411" t="str"/>
      <x:c r="N186" s="464" t="str">
        <x:f>IF(OR(L186="",M186=""),"",IF(L186&lt;=M186,"Passed","Review"))</x:f>
      </x:c>
      <x:c r="O186" s="411" t="str"/>
      <x:c r="P186" s="411" t="str"/>
      <x:c r="Q186" s="411" t="str"/>
      <x:c r="R186" s="411" t="str"/>
      <x:c r="S186" s="373"/>
      <x:c r="T186" s="373"/>
      <x:c r="U186" s="373"/>
      <x:c r="V186" s="373"/>
      <x:c r="W186" s="373"/>
      <x:c r="X186" s="373"/>
      <x:c r="Y186" s="373"/>
      <x:c r="Z186" s="373"/>
    </x:row>
    <x:row r="187">
      <x:c r="A187" s="411" t="str"/>
      <x:c r="B187" s="468" t="str"/>
      <x:c r="C187" s="411" t="str"/>
      <x:c r="D187" s="411" t="str"/>
      <x:c r="E187" s="411" t="str"/>
      <x:c r="F187" s="411" t="str"/>
      <x:c r="G187" s="411" t="str"/>
      <x:c r="H187" s="411" t="str"/>
      <x:c r="I187" s="411" t="str"/>
      <x:c r="J187" s="411" t="str"/>
      <x:c r="K187" s="411" t="str"/>
      <x:c r="L187" s="411" t="str"/>
      <x:c r="M187" s="411" t="str"/>
      <x:c r="N187" s="464" t="str">
        <x:f>IF(OR(L187="",M187=""),"",IF(L187&lt;=M187,"Passed","Review"))</x:f>
      </x:c>
      <x:c r="O187" s="411" t="str"/>
      <x:c r="P187" s="411" t="str"/>
      <x:c r="Q187" s="411" t="str"/>
      <x:c r="R187" s="411" t="str"/>
      <x:c r="S187" s="373"/>
      <x:c r="T187" s="373"/>
      <x:c r="U187" s="373"/>
      <x:c r="V187" s="373"/>
      <x:c r="W187" s="373"/>
      <x:c r="X187" s="373"/>
      <x:c r="Y187" s="373"/>
      <x:c r="Z187" s="373"/>
    </x:row>
    <x:row r="188">
      <x:c r="A188" s="411" t="str"/>
      <x:c r="B188" s="468" t="str"/>
      <x:c r="C188" s="411" t="str"/>
      <x:c r="D188" s="411" t="str"/>
      <x:c r="E188" s="411" t="str"/>
      <x:c r="F188" s="411" t="str"/>
      <x:c r="G188" s="411" t="str"/>
      <x:c r="H188" s="411" t="str"/>
      <x:c r="I188" s="411" t="str"/>
      <x:c r="J188" s="411" t="str"/>
      <x:c r="K188" s="411" t="str"/>
      <x:c r="L188" s="411" t="str"/>
      <x:c r="M188" s="411" t="str"/>
      <x:c r="N188" s="464" t="str">
        <x:f>IF(OR(L188="",M188=""),"",IF(L188&lt;=M188,"Passed","Review"))</x:f>
      </x:c>
      <x:c r="O188" s="411" t="str"/>
      <x:c r="P188" s="411" t="str"/>
      <x:c r="Q188" s="411" t="str"/>
      <x:c r="R188" s="411" t="str"/>
      <x:c r="S188" s="373"/>
      <x:c r="T188" s="373"/>
      <x:c r="U188" s="373"/>
      <x:c r="V188" s="373"/>
      <x:c r="W188" s="373"/>
      <x:c r="X188" s="373"/>
      <x:c r="Y188" s="373"/>
      <x:c r="Z188" s="373"/>
    </x:row>
    <x:row r="189">
      <x:c r="A189" s="411" t="str"/>
      <x:c r="B189" s="468" t="str"/>
      <x:c r="C189" s="411" t="str"/>
      <x:c r="D189" s="411" t="str"/>
      <x:c r="E189" s="411" t="str"/>
      <x:c r="F189" s="411" t="str"/>
      <x:c r="G189" s="411" t="str"/>
      <x:c r="H189" s="411" t="str"/>
      <x:c r="I189" s="411" t="str"/>
      <x:c r="J189" s="411" t="str"/>
      <x:c r="K189" s="411" t="str"/>
      <x:c r="L189" s="411" t="str"/>
      <x:c r="M189" s="411" t="str"/>
      <x:c r="N189" s="464" t="str">
        <x:f>IF(OR(L189="",M189=""),"",IF(L189&lt;=M189,"Passed","Review"))</x:f>
      </x:c>
      <x:c r="O189" s="411" t="str"/>
      <x:c r="P189" s="411" t="str"/>
      <x:c r="Q189" s="411" t="str"/>
      <x:c r="R189" s="411" t="str"/>
      <x:c r="S189" s="373"/>
      <x:c r="T189" s="373"/>
      <x:c r="U189" s="373"/>
      <x:c r="V189" s="373"/>
      <x:c r="W189" s="373"/>
      <x:c r="X189" s="373"/>
      <x:c r="Y189" s="373"/>
      <x:c r="Z189" s="373"/>
    </x:row>
    <x:row r="190">
      <x:c r="A190" s="411" t="str"/>
      <x:c r="B190" s="468" t="str"/>
      <x:c r="C190" s="411" t="str"/>
      <x:c r="D190" s="411" t="str"/>
      <x:c r="E190" s="411" t="str"/>
      <x:c r="F190" s="411" t="str"/>
      <x:c r="G190" s="411" t="str"/>
      <x:c r="H190" s="411" t="str"/>
      <x:c r="I190" s="411" t="str"/>
      <x:c r="J190" s="411" t="str"/>
      <x:c r="K190" s="411" t="str"/>
      <x:c r="L190" s="411" t="str"/>
      <x:c r="M190" s="411" t="str"/>
      <x:c r="N190" s="464" t="str">
        <x:f>IF(OR(L190="",M190=""),"",IF(L190&lt;=M190,"Passed","Review"))</x:f>
      </x:c>
      <x:c r="O190" s="411" t="str"/>
      <x:c r="P190" s="411" t="str"/>
      <x:c r="Q190" s="411" t="str"/>
      <x:c r="R190" s="411" t="str"/>
      <x:c r="S190" s="373"/>
      <x:c r="T190" s="373"/>
      <x:c r="U190" s="373"/>
      <x:c r="V190" s="373"/>
      <x:c r="W190" s="373"/>
      <x:c r="X190" s="373"/>
      <x:c r="Y190" s="373"/>
      <x:c r="Z190" s="373"/>
    </x:row>
    <x:row r="191">
      <x:c r="A191" s="411" t="str"/>
      <x:c r="B191" s="468" t="str"/>
      <x:c r="C191" s="411" t="str"/>
      <x:c r="D191" s="411" t="str"/>
      <x:c r="E191" s="411" t="str"/>
      <x:c r="F191" s="411" t="str"/>
      <x:c r="G191" s="411" t="str"/>
      <x:c r="H191" s="411" t="str"/>
      <x:c r="I191" s="411" t="str"/>
      <x:c r="J191" s="411" t="str"/>
      <x:c r="K191" s="411" t="str"/>
      <x:c r="L191" s="411" t="str"/>
      <x:c r="M191" s="411" t="str"/>
      <x:c r="N191" s="464" t="str">
        <x:f>IF(OR(L191="",M191=""),"",IF(L191&lt;=M191,"Passed","Review"))</x:f>
      </x:c>
      <x:c r="O191" s="411" t="str"/>
      <x:c r="P191" s="411" t="str"/>
      <x:c r="Q191" s="411" t="str"/>
      <x:c r="R191" s="411" t="str"/>
      <x:c r="S191" s="373"/>
      <x:c r="T191" s="373"/>
      <x:c r="U191" s="373"/>
      <x:c r="V191" s="373"/>
      <x:c r="W191" s="373"/>
      <x:c r="X191" s="373"/>
      <x:c r="Y191" s="373"/>
      <x:c r="Z191" s="373"/>
    </x:row>
    <x:row r="192">
      <x:c r="A192" s="411" t="str"/>
      <x:c r="B192" s="468" t="str"/>
      <x:c r="C192" s="411" t="str"/>
      <x:c r="D192" s="411" t="str"/>
      <x:c r="E192" s="411" t="str"/>
      <x:c r="F192" s="411" t="str"/>
      <x:c r="G192" s="411" t="str"/>
      <x:c r="H192" s="411" t="str"/>
      <x:c r="I192" s="411" t="str"/>
      <x:c r="J192" s="411" t="str"/>
      <x:c r="K192" s="411" t="str"/>
      <x:c r="L192" s="411" t="str"/>
      <x:c r="M192" s="411" t="str"/>
      <x:c r="N192" s="464" t="str">
        <x:f>IF(OR(L192="",M192=""),"",IF(L192&lt;=M192,"Passed","Review"))</x:f>
      </x:c>
      <x:c r="O192" s="411" t="str"/>
      <x:c r="P192" s="411" t="str"/>
      <x:c r="Q192" s="411" t="str"/>
      <x:c r="R192" s="411" t="str"/>
      <x:c r="S192" s="373"/>
      <x:c r="T192" s="373"/>
      <x:c r="U192" s="373"/>
      <x:c r="V192" s="373"/>
      <x:c r="W192" s="373"/>
      <x:c r="X192" s="373"/>
      <x:c r="Y192" s="373"/>
      <x:c r="Z192" s="373"/>
    </x:row>
    <x:row r="193">
      <x:c r="A193" s="411" t="str"/>
      <x:c r="B193" s="468" t="str"/>
      <x:c r="C193" s="411" t="str"/>
      <x:c r="D193" s="411" t="str"/>
      <x:c r="E193" s="411" t="str"/>
      <x:c r="F193" s="411" t="str"/>
      <x:c r="G193" s="411" t="str"/>
      <x:c r="H193" s="411" t="str"/>
      <x:c r="I193" s="411" t="str"/>
      <x:c r="J193" s="411" t="str"/>
      <x:c r="K193" s="411" t="str"/>
      <x:c r="L193" s="411" t="str"/>
      <x:c r="M193" s="411" t="str"/>
      <x:c r="N193" s="464" t="str">
        <x:f>IF(OR(L193="",M193=""),"",IF(L193&lt;=M193,"Passed","Review"))</x:f>
      </x:c>
      <x:c r="O193" s="411" t="str"/>
      <x:c r="P193" s="411" t="str"/>
      <x:c r="Q193" s="411" t="str"/>
      <x:c r="R193" s="411" t="str"/>
      <x:c r="S193" s="373"/>
      <x:c r="T193" s="373"/>
      <x:c r="U193" s="373"/>
      <x:c r="V193" s="373"/>
      <x:c r="W193" s="373"/>
      <x:c r="X193" s="373"/>
      <x:c r="Y193" s="373"/>
      <x:c r="Z193" s="373"/>
    </x:row>
    <x:row r="194">
      <x:c r="A194" s="411" t="str"/>
      <x:c r="B194" s="468" t="str"/>
      <x:c r="C194" s="411" t="str"/>
      <x:c r="D194" s="411" t="str"/>
      <x:c r="E194" s="411" t="str"/>
      <x:c r="F194" s="411" t="str"/>
      <x:c r="G194" s="411" t="str"/>
      <x:c r="H194" s="411" t="str"/>
      <x:c r="I194" s="411" t="str"/>
      <x:c r="J194" s="411" t="str"/>
      <x:c r="K194" s="411" t="str"/>
      <x:c r="L194" s="411" t="str"/>
      <x:c r="M194" s="411" t="str"/>
      <x:c r="N194" s="464" t="str">
        <x:f>IF(OR(L194="",M194=""),"",IF(L194&lt;=M194,"Passed","Review"))</x:f>
      </x:c>
      <x:c r="O194" s="411" t="str"/>
      <x:c r="P194" s="411" t="str"/>
      <x:c r="Q194" s="411" t="str"/>
      <x:c r="R194" s="411" t="str"/>
      <x:c r="S194" s="373"/>
      <x:c r="T194" s="373"/>
      <x:c r="U194" s="373"/>
      <x:c r="V194" s="373"/>
      <x:c r="W194" s="373"/>
      <x:c r="X194" s="373"/>
      <x:c r="Y194" s="373"/>
      <x:c r="Z194" s="373"/>
    </x:row>
    <x:row r="195">
      <x:c r="A195" s="411" t="str"/>
      <x:c r="B195" s="468" t="str"/>
      <x:c r="C195" s="411" t="str"/>
      <x:c r="D195" s="411" t="str"/>
      <x:c r="E195" s="411" t="str"/>
      <x:c r="F195" s="411" t="str"/>
      <x:c r="G195" s="411" t="str"/>
      <x:c r="H195" s="411" t="str"/>
      <x:c r="I195" s="411" t="str"/>
      <x:c r="J195" s="411" t="str"/>
      <x:c r="K195" s="411" t="str"/>
      <x:c r="L195" s="411" t="str"/>
      <x:c r="M195" s="411" t="str"/>
      <x:c r="N195" s="464" t="str">
        <x:f>IF(OR(L195="",M195=""),"",IF(L195&lt;=M195,"Passed","Review"))</x:f>
      </x:c>
      <x:c r="O195" s="411" t="str"/>
      <x:c r="P195" s="411" t="str"/>
      <x:c r="Q195" s="411" t="str"/>
      <x:c r="R195" s="411" t="str"/>
      <x:c r="S195" s="373"/>
      <x:c r="T195" s="373"/>
      <x:c r="U195" s="373"/>
      <x:c r="V195" s="373"/>
      <x:c r="W195" s="373"/>
      <x:c r="X195" s="373"/>
      <x:c r="Y195" s="373"/>
      <x:c r="Z195" s="373"/>
    </x:row>
    <x:row r="196">
      <x:c r="A196" s="411" t="str"/>
      <x:c r="B196" s="468" t="str"/>
      <x:c r="C196" s="411" t="str"/>
      <x:c r="D196" s="411" t="str"/>
      <x:c r="E196" s="411" t="str"/>
      <x:c r="F196" s="411" t="str"/>
      <x:c r="G196" s="411" t="str"/>
      <x:c r="H196" s="411" t="str"/>
      <x:c r="I196" s="411" t="str"/>
      <x:c r="J196" s="411" t="str"/>
      <x:c r="K196" s="411" t="str"/>
      <x:c r="L196" s="411" t="str"/>
      <x:c r="M196" s="411" t="str"/>
      <x:c r="N196" s="464" t="str">
        <x:f>IF(OR(L196="",M196=""),"",IF(L196&lt;=M196,"Passed","Review"))</x:f>
      </x:c>
      <x:c r="O196" s="411" t="str"/>
      <x:c r="P196" s="411" t="str"/>
      <x:c r="Q196" s="411" t="str"/>
      <x:c r="R196" s="411" t="str"/>
      <x:c r="S196" s="373"/>
      <x:c r="T196" s="373"/>
      <x:c r="U196" s="373"/>
      <x:c r="V196" s="373"/>
      <x:c r="W196" s="373"/>
      <x:c r="X196" s="373"/>
      <x:c r="Y196" s="373"/>
      <x:c r="Z196" s="373"/>
    </x:row>
    <x:row r="197">
      <x:c r="A197" s="411" t="str"/>
      <x:c r="B197" s="468" t="str"/>
      <x:c r="C197" s="411" t="str"/>
      <x:c r="D197" s="411" t="str"/>
      <x:c r="E197" s="411" t="str"/>
      <x:c r="F197" s="411" t="str"/>
      <x:c r="G197" s="411" t="str"/>
      <x:c r="H197" s="411" t="str"/>
      <x:c r="I197" s="411" t="str"/>
      <x:c r="J197" s="411" t="str"/>
      <x:c r="K197" s="411" t="str"/>
      <x:c r="L197" s="411" t="str"/>
      <x:c r="M197" s="411" t="str"/>
      <x:c r="N197" s="464" t="str">
        <x:f>IF(OR(L197="",M197=""),"",IF(L197&lt;=M197,"Passed","Review"))</x:f>
      </x:c>
      <x:c r="O197" s="411" t="str"/>
      <x:c r="P197" s="411" t="str"/>
      <x:c r="Q197" s="411" t="str"/>
      <x:c r="R197" s="411" t="str"/>
      <x:c r="S197" s="373"/>
      <x:c r="T197" s="373"/>
      <x:c r="U197" s="373"/>
      <x:c r="V197" s="373"/>
      <x:c r="W197" s="373"/>
      <x:c r="X197" s="373"/>
      <x:c r="Y197" s="373"/>
      <x:c r="Z197" s="373"/>
    </x:row>
    <x:row r="198">
      <x:c r="A198" s="411" t="str"/>
      <x:c r="B198" s="468" t="str"/>
      <x:c r="C198" s="411" t="str"/>
      <x:c r="D198" s="411" t="str"/>
      <x:c r="E198" s="411" t="str"/>
      <x:c r="F198" s="411" t="str"/>
      <x:c r="G198" s="411" t="str"/>
      <x:c r="H198" s="411" t="str"/>
      <x:c r="I198" s="411" t="str"/>
      <x:c r="J198" s="411" t="str"/>
      <x:c r="K198" s="411" t="str"/>
      <x:c r="L198" s="411" t="str"/>
      <x:c r="M198" s="411" t="str"/>
      <x:c r="N198" s="464" t="str">
        <x:f>IF(OR(L198="",M198=""),"",IF(L198&lt;=M198,"Passed","Review"))</x:f>
      </x:c>
      <x:c r="O198" s="411" t="str"/>
      <x:c r="P198" s="411" t="str"/>
      <x:c r="Q198" s="411" t="str"/>
      <x:c r="R198" s="411" t="str"/>
      <x:c r="S198" s="373"/>
      <x:c r="T198" s="373"/>
      <x:c r="U198" s="373"/>
      <x:c r="V198" s="373"/>
      <x:c r="W198" s="373"/>
      <x:c r="X198" s="373"/>
      <x:c r="Y198" s="373"/>
      <x:c r="Z198" s="373"/>
    </x:row>
    <x:row r="199">
      <x:c r="A199" s="411" t="str"/>
      <x:c r="B199" s="468" t="str"/>
      <x:c r="C199" s="411" t="str"/>
      <x:c r="D199" s="411" t="str"/>
      <x:c r="E199" s="411" t="str"/>
      <x:c r="F199" s="411" t="str"/>
      <x:c r="G199" s="411" t="str"/>
      <x:c r="H199" s="411" t="str"/>
      <x:c r="I199" s="411" t="str"/>
      <x:c r="J199" s="411" t="str"/>
      <x:c r="K199" s="411" t="str"/>
      <x:c r="L199" s="411" t="str"/>
      <x:c r="M199" s="411" t="str"/>
      <x:c r="N199" s="464" t="str">
        <x:f>IF(OR(L199="",M199=""),"",IF(L199&lt;=M199,"Passed","Review"))</x:f>
      </x:c>
      <x:c r="O199" s="411" t="str"/>
      <x:c r="P199" s="411" t="str"/>
      <x:c r="Q199" s="411" t="str"/>
      <x:c r="R199" s="411" t="str"/>
      <x:c r="S199" s="373"/>
      <x:c r="T199" s="373"/>
      <x:c r="U199" s="373"/>
      <x:c r="V199" s="373"/>
      <x:c r="W199" s="373"/>
      <x:c r="X199" s="373"/>
      <x:c r="Y199" s="373"/>
      <x:c r="Z199" s="373"/>
    </x:row>
    <x:row r="200">
      <x:c r="A200" s="411" t="str"/>
      <x:c r="B200" s="468" t="str"/>
      <x:c r="C200" s="411" t="str"/>
      <x:c r="D200" s="411" t="str"/>
      <x:c r="E200" s="411" t="str"/>
      <x:c r="F200" s="411" t="str"/>
      <x:c r="G200" s="411" t="str"/>
      <x:c r="H200" s="411" t="str"/>
      <x:c r="I200" s="411" t="str"/>
      <x:c r="J200" s="411" t="str"/>
      <x:c r="K200" s="411" t="str"/>
      <x:c r="L200" s="411" t="str"/>
      <x:c r="M200" s="411" t="str"/>
      <x:c r="N200" s="464" t="str">
        <x:f>IF(OR(L200="",M200=""),"",IF(L200&lt;=M200,"Passed","Review"))</x:f>
      </x:c>
      <x:c r="O200" s="411" t="str"/>
      <x:c r="P200" s="411" t="str"/>
      <x:c r="Q200" s="411" t="str"/>
      <x:c r="R200" s="411" t="str"/>
      <x:c r="S200" s="373"/>
      <x:c r="T200" s="373"/>
      <x:c r="U200" s="373"/>
      <x:c r="V200" s="373"/>
      <x:c r="W200" s="373"/>
      <x:c r="X200" s="373"/>
      <x:c r="Y200" s="373"/>
      <x:c r="Z200" s="373"/>
    </x:row>
    <x:row r="201">
      <x:c r="A201" s="411" t="str"/>
      <x:c r="B201" s="468" t="str"/>
      <x:c r="C201" s="411" t="str"/>
      <x:c r="D201" s="411" t="str"/>
      <x:c r="E201" s="411" t="str"/>
      <x:c r="F201" s="411" t="str"/>
      <x:c r="G201" s="411" t="str"/>
      <x:c r="H201" s="411" t="str"/>
      <x:c r="I201" s="411" t="str"/>
      <x:c r="J201" s="411" t="str"/>
      <x:c r="K201" s="411" t="str"/>
      <x:c r="L201" s="411" t="str"/>
      <x:c r="M201" s="411" t="str"/>
      <x:c r="N201" s="464" t="str">
        <x:f>IF(OR(L201="",M201=""),"",IF(L201&lt;=M201,"Passed","Review"))</x:f>
      </x:c>
      <x:c r="O201" s="411" t="str"/>
      <x:c r="P201" s="411" t="str"/>
      <x:c r="Q201" s="411" t="str"/>
      <x:c r="R201" s="411" t="str"/>
      <x:c r="S201" s="373"/>
      <x:c r="T201" s="373"/>
      <x:c r="U201" s="373"/>
      <x:c r="V201" s="373"/>
      <x:c r="W201" s="373"/>
      <x:c r="X201" s="373"/>
      <x:c r="Y201" s="373"/>
      <x:c r="Z201" s="373"/>
    </x:row>
    <x:row r="202">
      <x:c r="A202" s="411" t="str"/>
      <x:c r="B202" s="468" t="str"/>
      <x:c r="C202" s="411" t="str"/>
      <x:c r="D202" s="411" t="str"/>
      <x:c r="E202" s="411" t="str"/>
      <x:c r="F202" s="411" t="str"/>
      <x:c r="G202" s="411" t="str"/>
      <x:c r="H202" s="411" t="str"/>
      <x:c r="I202" s="411" t="str"/>
      <x:c r="J202" s="411" t="str"/>
      <x:c r="K202" s="411" t="str"/>
      <x:c r="L202" s="411" t="str"/>
      <x:c r="M202" s="411" t="str"/>
      <x:c r="N202" s="464" t="str">
        <x:f>IF(OR(L202="",M202=""),"",IF(L202&lt;=M202,"Passed","Review"))</x:f>
      </x:c>
      <x:c r="O202" s="411" t="str"/>
      <x:c r="P202" s="411" t="str"/>
      <x:c r="Q202" s="411" t="str"/>
      <x:c r="R202" s="411" t="str"/>
      <x:c r="S202" s="373"/>
      <x:c r="T202" s="373"/>
      <x:c r="U202" s="373"/>
      <x:c r="V202" s="373"/>
      <x:c r="W202" s="373"/>
      <x:c r="X202" s="373"/>
      <x:c r="Y202" s="373"/>
      <x:c r="Z202" s="373"/>
    </x:row>
    <x:row r="203">
      <x:c r="A203" s="411" t="str"/>
      <x:c r="B203" s="468" t="str"/>
      <x:c r="C203" s="411" t="str"/>
      <x:c r="D203" s="411" t="str"/>
      <x:c r="E203" s="411" t="str"/>
      <x:c r="F203" s="411" t="str"/>
      <x:c r="G203" s="411" t="str"/>
      <x:c r="H203" s="411" t="str"/>
      <x:c r="I203" s="411" t="str"/>
      <x:c r="J203" s="411" t="str"/>
      <x:c r="K203" s="411" t="str"/>
      <x:c r="L203" s="411" t="str"/>
      <x:c r="M203" s="411" t="str"/>
      <x:c r="N203" s="464" t="str">
        <x:f>IF(OR(L203="",M203=""),"",IF(L203&lt;=M203,"Passed","Review"))</x:f>
      </x:c>
      <x:c r="O203" s="411" t="str"/>
      <x:c r="P203" s="411" t="str"/>
      <x:c r="Q203" s="411" t="str"/>
      <x:c r="R203" s="411" t="str"/>
      <x:c r="S203" s="373"/>
      <x:c r="T203" s="373"/>
      <x:c r="U203" s="373"/>
      <x:c r="V203" s="373"/>
      <x:c r="W203" s="373"/>
      <x:c r="X203" s="373"/>
      <x:c r="Y203" s="373"/>
      <x:c r="Z203" s="373"/>
    </x:row>
    <x:row r="204">
      <x:c r="A204" s="411" t="str"/>
      <x:c r="B204" s="468" t="str"/>
      <x:c r="C204" s="411" t="str"/>
      <x:c r="D204" s="411" t="str"/>
      <x:c r="E204" s="411" t="str"/>
      <x:c r="F204" s="411" t="str"/>
      <x:c r="G204" s="411" t="str"/>
      <x:c r="H204" s="411" t="str"/>
      <x:c r="I204" s="411" t="str"/>
      <x:c r="J204" s="411" t="str"/>
      <x:c r="K204" s="411" t="str"/>
      <x:c r="L204" s="411" t="str"/>
      <x:c r="M204" s="411" t="str"/>
      <x:c r="N204" s="464" t="str">
        <x:f>IF(OR(L204="",M204=""),"",IF(L204&lt;=M204,"Passed","Review"))</x:f>
      </x:c>
      <x:c r="O204" s="411" t="str"/>
      <x:c r="P204" s="411" t="str"/>
      <x:c r="Q204" s="411" t="str"/>
      <x:c r="R204" s="411" t="str"/>
      <x:c r="S204" s="373"/>
      <x:c r="T204" s="373"/>
      <x:c r="U204" s="373"/>
      <x:c r="V204" s="373"/>
      <x:c r="W204" s="373"/>
      <x:c r="X204" s="373"/>
      <x:c r="Y204" s="373"/>
      <x:c r="Z204" s="373"/>
    </x:row>
    <x:row r="205">
      <x:c r="A205" s="411" t="str"/>
      <x:c r="B205" s="468" t="str"/>
      <x:c r="C205" s="411" t="str"/>
      <x:c r="D205" s="411" t="str"/>
      <x:c r="E205" s="411" t="str"/>
      <x:c r="F205" s="411" t="str"/>
      <x:c r="G205" s="411" t="str"/>
      <x:c r="H205" s="411" t="str"/>
      <x:c r="I205" s="411" t="str"/>
      <x:c r="J205" s="411" t="str"/>
      <x:c r="K205" s="411" t="str"/>
      <x:c r="L205" s="411" t="str"/>
      <x:c r="M205" s="411" t="str"/>
      <x:c r="N205" s="464" t="str">
        <x:f>IF(OR(L205="",M205=""),"",IF(L205&lt;=M205,"Passed","Review"))</x:f>
      </x:c>
      <x:c r="O205" s="411" t="str"/>
      <x:c r="P205" s="411" t="str"/>
      <x:c r="Q205" s="411" t="str"/>
      <x:c r="R205" s="411" t="str"/>
      <x:c r="S205" s="373"/>
      <x:c r="T205" s="373"/>
      <x:c r="U205" s="373"/>
      <x:c r="V205" s="373"/>
      <x:c r="W205" s="373"/>
      <x:c r="X205" s="373"/>
      <x:c r="Y205" s="373"/>
      <x:c r="Z205" s="373"/>
    </x:row>
    <x:row r="206">
      <x:c r="A206" s="411" t="str"/>
      <x:c r="B206" s="468" t="str"/>
      <x:c r="C206" s="411" t="str"/>
      <x:c r="D206" s="411" t="str"/>
      <x:c r="E206" s="411" t="str"/>
      <x:c r="F206" s="411" t="str"/>
      <x:c r="G206" s="411" t="str"/>
      <x:c r="H206" s="411" t="str"/>
      <x:c r="I206" s="411" t="str"/>
      <x:c r="J206" s="411" t="str"/>
      <x:c r="K206" s="411" t="str"/>
      <x:c r="L206" s="411" t="str"/>
      <x:c r="M206" s="411" t="str"/>
      <x:c r="N206" s="464" t="str">
        <x:f>IF(OR(L206="",M206=""),"",IF(L206&lt;=M206,"Passed","Review"))</x:f>
      </x:c>
      <x:c r="O206" s="411" t="str"/>
      <x:c r="P206" s="411" t="str"/>
      <x:c r="Q206" s="411" t="str"/>
      <x:c r="R206" s="411" t="str"/>
      <x:c r="S206" s="373"/>
      <x:c r="T206" s="373"/>
      <x:c r="U206" s="373"/>
      <x:c r="V206" s="373"/>
      <x:c r="W206" s="373"/>
      <x:c r="X206" s="373"/>
      <x:c r="Y206" s="373"/>
      <x:c r="Z206" s="373"/>
    </x:row>
    <x:row r="207">
      <x:c r="A207" s="411" t="str"/>
      <x:c r="B207" s="468" t="str"/>
      <x:c r="C207" s="411" t="str"/>
      <x:c r="D207" s="411" t="str"/>
      <x:c r="E207" s="411" t="str"/>
      <x:c r="F207" s="411" t="str"/>
      <x:c r="G207" s="411" t="str"/>
      <x:c r="H207" s="411" t="str"/>
      <x:c r="I207" s="411" t="str"/>
      <x:c r="J207" s="411" t="str"/>
      <x:c r="K207" s="411" t="str"/>
      <x:c r="L207" s="411" t="str"/>
      <x:c r="M207" s="411" t="str"/>
      <x:c r="N207" s="464" t="str">
        <x:f>IF(OR(L207="",M207=""),"",IF(L207&lt;=M207,"Passed","Review"))</x:f>
      </x:c>
      <x:c r="O207" s="411" t="str"/>
      <x:c r="P207" s="411" t="str"/>
      <x:c r="Q207" s="411" t="str"/>
      <x:c r="R207" s="411" t="str"/>
      <x:c r="S207" s="373"/>
      <x:c r="T207" s="373"/>
      <x:c r="U207" s="373"/>
      <x:c r="V207" s="373"/>
      <x:c r="W207" s="373"/>
      <x:c r="X207" s="373"/>
      <x:c r="Y207" s="373"/>
      <x:c r="Z207" s="373"/>
    </x:row>
    <x:row r="208">
      <x:c r="A208" s="411" t="str"/>
      <x:c r="B208" s="468" t="str"/>
      <x:c r="C208" s="411" t="str"/>
      <x:c r="D208" s="411" t="str"/>
      <x:c r="E208" s="411" t="str"/>
      <x:c r="F208" s="411" t="str"/>
      <x:c r="G208" s="411" t="str"/>
      <x:c r="H208" s="411" t="str"/>
      <x:c r="I208" s="411" t="str"/>
      <x:c r="J208" s="411" t="str"/>
      <x:c r="K208" s="411" t="str"/>
      <x:c r="L208" s="411" t="str"/>
      <x:c r="M208" s="411" t="str"/>
      <x:c r="N208" s="464" t="str">
        <x:f>IF(OR(L208="",M208=""),"",IF(L208&lt;=M208,"Passed","Review"))</x:f>
      </x:c>
      <x:c r="O208" s="411" t="str"/>
      <x:c r="P208" s="411" t="str"/>
      <x:c r="Q208" s="411" t="str"/>
      <x:c r="R208" s="411" t="str"/>
      <x:c r="S208" s="373"/>
      <x:c r="T208" s="373"/>
      <x:c r="U208" s="373"/>
      <x:c r="V208" s="373"/>
      <x:c r="W208" s="373"/>
      <x:c r="X208" s="373"/>
      <x:c r="Y208" s="373"/>
      <x:c r="Z208" s="373"/>
    </x:row>
    <x:row r="209">
      <x:c r="A209" s="411" t="str"/>
      <x:c r="B209" s="468" t="str"/>
      <x:c r="C209" s="411" t="str"/>
      <x:c r="D209" s="411" t="str"/>
      <x:c r="E209" s="411" t="str"/>
      <x:c r="F209" s="411" t="str"/>
      <x:c r="G209" s="411" t="str"/>
      <x:c r="H209" s="411" t="str"/>
      <x:c r="I209" s="411" t="str"/>
      <x:c r="J209" s="411" t="str"/>
      <x:c r="K209" s="411" t="str"/>
      <x:c r="L209" s="411" t="str"/>
      <x:c r="M209" s="411" t="str"/>
      <x:c r="N209" s="464" t="str">
        <x:f>IF(OR(L209="",M209=""),"",IF(L209&lt;=M209,"Passed","Review"))</x:f>
      </x:c>
      <x:c r="O209" s="411" t="str"/>
      <x:c r="P209" s="411" t="str"/>
      <x:c r="Q209" s="411" t="str"/>
      <x:c r="R209" s="411" t="str"/>
      <x:c r="S209" s="373"/>
      <x:c r="T209" s="373"/>
      <x:c r="U209" s="373"/>
      <x:c r="V209" s="373"/>
      <x:c r="W209" s="373"/>
      <x:c r="X209" s="373"/>
      <x:c r="Y209" s="373"/>
      <x:c r="Z209" s="373"/>
    </x:row>
    <x:row r="210">
      <x:c r="A210" s="411" t="str"/>
      <x:c r="B210" s="468" t="str"/>
      <x:c r="C210" s="411" t="str"/>
      <x:c r="D210" s="411" t="str"/>
      <x:c r="E210" s="411" t="str"/>
      <x:c r="F210" s="411" t="str"/>
      <x:c r="G210" s="411" t="str"/>
      <x:c r="H210" s="411" t="str"/>
      <x:c r="I210" s="411" t="str"/>
      <x:c r="J210" s="411" t="str"/>
      <x:c r="K210" s="411" t="str"/>
      <x:c r="L210" s="411" t="str"/>
      <x:c r="M210" s="411" t="str"/>
      <x:c r="N210" s="464" t="str">
        <x:f>IF(OR(L210="",M210=""),"",IF(L210&lt;=M210,"Passed","Review"))</x:f>
      </x:c>
      <x:c r="O210" s="411" t="str"/>
      <x:c r="P210" s="411" t="str"/>
      <x:c r="Q210" s="411" t="str"/>
      <x:c r="R210" s="411" t="str"/>
      <x:c r="S210" s="373"/>
      <x:c r="T210" s="373"/>
      <x:c r="U210" s="373"/>
      <x:c r="V210" s="373"/>
      <x:c r="W210" s="373"/>
      <x:c r="X210" s="373"/>
      <x:c r="Y210" s="373"/>
      <x:c r="Z210" s="373"/>
    </x:row>
    <x:row r="211">
      <x:c r="A211" s="411" t="str"/>
      <x:c r="B211" s="468" t="str"/>
      <x:c r="C211" s="411" t="str"/>
      <x:c r="D211" s="411" t="str"/>
      <x:c r="E211" s="411" t="str"/>
      <x:c r="F211" s="411" t="str"/>
      <x:c r="G211" s="411" t="str"/>
      <x:c r="H211" s="411" t="str"/>
      <x:c r="I211" s="411" t="str"/>
      <x:c r="J211" s="411" t="str"/>
      <x:c r="K211" s="411" t="str"/>
      <x:c r="L211" s="411" t="str"/>
      <x:c r="M211" s="411" t="str"/>
      <x:c r="N211" s="464" t="str">
        <x:f>IF(OR(L211="",M211=""),"",IF(L211&lt;=M211,"Passed","Review"))</x:f>
      </x:c>
      <x:c r="O211" s="411" t="str"/>
      <x:c r="P211" s="411" t="str"/>
      <x:c r="Q211" s="411" t="str"/>
      <x:c r="R211" s="411" t="str"/>
      <x:c r="S211" s="373"/>
      <x:c r="T211" s="373"/>
      <x:c r="U211" s="373"/>
      <x:c r="V211" s="373"/>
      <x:c r="W211" s="373"/>
      <x:c r="X211" s="373"/>
      <x:c r="Y211" s="373"/>
      <x:c r="Z211" s="373"/>
    </x:row>
    <x:row r="212">
      <x:c r="A212" s="411" t="str"/>
      <x:c r="B212" s="468" t="str"/>
      <x:c r="C212" s="411" t="str"/>
      <x:c r="D212" s="411" t="str"/>
      <x:c r="E212" s="411" t="str"/>
      <x:c r="F212" s="411" t="str"/>
      <x:c r="G212" s="411" t="str"/>
      <x:c r="H212" s="411" t="str"/>
      <x:c r="I212" s="411" t="str"/>
      <x:c r="J212" s="411" t="str"/>
      <x:c r="K212" s="411" t="str"/>
      <x:c r="L212" s="411" t="str"/>
      <x:c r="M212" s="411" t="str"/>
      <x:c r="N212" s="464" t="str">
        <x:f>IF(OR(L212="",M212=""),"",IF(L212&lt;=M212,"Passed","Review"))</x:f>
      </x:c>
      <x:c r="O212" s="411" t="str"/>
      <x:c r="P212" s="411" t="str"/>
      <x:c r="Q212" s="411" t="str"/>
      <x:c r="R212" s="411" t="str"/>
      <x:c r="S212" s="373"/>
      <x:c r="T212" s="373"/>
      <x:c r="U212" s="373"/>
      <x:c r="V212" s="373"/>
      <x:c r="W212" s="373"/>
      <x:c r="X212" s="373"/>
      <x:c r="Y212" s="373"/>
      <x:c r="Z212" s="373"/>
    </x:row>
    <x:row r="213">
      <x:c r="A213" s="411" t="str"/>
      <x:c r="B213" s="468" t="str"/>
      <x:c r="C213" s="411" t="str"/>
      <x:c r="D213" s="411" t="str"/>
      <x:c r="E213" s="411" t="str"/>
      <x:c r="F213" s="411" t="str"/>
      <x:c r="G213" s="411" t="str"/>
      <x:c r="H213" s="411" t="str"/>
      <x:c r="I213" s="411" t="str"/>
      <x:c r="J213" s="411" t="str"/>
      <x:c r="K213" s="411" t="str"/>
      <x:c r="L213" s="411" t="str"/>
      <x:c r="M213" s="411" t="str"/>
      <x:c r="N213" s="464" t="str">
        <x:f>IF(OR(L213="",M213=""),"",IF(L213&lt;=M213,"Passed","Review"))</x:f>
      </x:c>
      <x:c r="O213" s="411" t="str"/>
      <x:c r="P213" s="411" t="str"/>
      <x:c r="Q213" s="411" t="str"/>
      <x:c r="R213" s="411" t="str"/>
      <x:c r="S213" s="373"/>
      <x:c r="T213" s="373"/>
      <x:c r="U213" s="373"/>
      <x:c r="V213" s="373"/>
      <x:c r="W213" s="373"/>
      <x:c r="X213" s="373"/>
      <x:c r="Y213" s="373"/>
      <x:c r="Z213" s="373"/>
    </x:row>
    <x:row r="214">
      <x:c r="A214" s="411" t="str"/>
      <x:c r="B214" s="468" t="str"/>
      <x:c r="C214" s="411" t="str"/>
      <x:c r="D214" s="411" t="str"/>
      <x:c r="E214" s="411" t="str"/>
      <x:c r="F214" s="411" t="str"/>
      <x:c r="G214" s="411" t="str"/>
      <x:c r="H214" s="411" t="str"/>
      <x:c r="I214" s="411" t="str"/>
      <x:c r="J214" s="411" t="str"/>
      <x:c r="K214" s="411" t="str"/>
      <x:c r="L214" s="411" t="str"/>
      <x:c r="M214" s="411" t="str"/>
      <x:c r="N214" s="464" t="str">
        <x:f>IF(OR(L214="",M214=""),"",IF(L214&lt;=M214,"Passed","Review"))</x:f>
      </x:c>
      <x:c r="O214" s="411" t="str"/>
      <x:c r="P214" s="411" t="str"/>
      <x:c r="Q214" s="411" t="str"/>
      <x:c r="R214" s="411" t="str"/>
      <x:c r="S214" s="373"/>
      <x:c r="T214" s="373"/>
      <x:c r="U214" s="373"/>
      <x:c r="V214" s="373"/>
      <x:c r="W214" s="373"/>
      <x:c r="X214" s="373"/>
      <x:c r="Y214" s="373"/>
      <x:c r="Z214" s="373"/>
    </x:row>
    <x:row r="215">
      <x:c r="A215" s="411" t="str"/>
      <x:c r="B215" s="468" t="str"/>
      <x:c r="C215" s="411" t="str"/>
      <x:c r="D215" s="411" t="str"/>
      <x:c r="E215" s="411" t="str"/>
      <x:c r="F215" s="411" t="str"/>
      <x:c r="G215" s="411" t="str"/>
      <x:c r="H215" s="411" t="str"/>
      <x:c r="I215" s="411" t="str"/>
      <x:c r="J215" s="411" t="str"/>
      <x:c r="K215" s="411" t="str"/>
      <x:c r="L215" s="411" t="str"/>
      <x:c r="M215" s="411" t="str"/>
      <x:c r="N215" s="464" t="str">
        <x:f>IF(OR(L215="",M215=""),"",IF(L215&lt;=M215,"Passed","Review"))</x:f>
      </x:c>
      <x:c r="O215" s="411" t="str"/>
      <x:c r="P215" s="411" t="str"/>
      <x:c r="Q215" s="411" t="str"/>
      <x:c r="R215" s="411" t="str"/>
      <x:c r="S215" s="373"/>
      <x:c r="T215" s="373"/>
      <x:c r="U215" s="373"/>
      <x:c r="V215" s="373"/>
      <x:c r="W215" s="373"/>
      <x:c r="X215" s="373"/>
      <x:c r="Y215" s="373"/>
      <x:c r="Z215" s="373"/>
    </x:row>
    <x:row r="216">
      <x:c r="A216" s="411" t="str"/>
      <x:c r="B216" s="468" t="str"/>
      <x:c r="C216" s="411" t="str"/>
      <x:c r="D216" s="411" t="str"/>
      <x:c r="E216" s="411" t="str"/>
      <x:c r="F216" s="411" t="str"/>
      <x:c r="G216" s="411" t="str"/>
      <x:c r="H216" s="411" t="str"/>
      <x:c r="I216" s="411" t="str"/>
      <x:c r="J216" s="411" t="str"/>
      <x:c r="K216" s="411" t="str"/>
      <x:c r="L216" s="411" t="str"/>
      <x:c r="M216" s="411" t="str"/>
      <x:c r="N216" s="464" t="str">
        <x:f>IF(OR(L216="",M216=""),"",IF(L216&lt;=M216,"Passed","Review"))</x:f>
      </x:c>
      <x:c r="O216" s="411" t="str"/>
      <x:c r="P216" s="411" t="str"/>
      <x:c r="Q216" s="411" t="str"/>
      <x:c r="R216" s="411" t="str"/>
      <x:c r="S216" s="373"/>
      <x:c r="T216" s="373"/>
      <x:c r="U216" s="373"/>
      <x:c r="V216" s="373"/>
      <x:c r="W216" s="373"/>
      <x:c r="X216" s="373"/>
      <x:c r="Y216" s="373"/>
      <x:c r="Z216" s="373"/>
    </x:row>
    <x:row r="217">
      <x:c r="A217" s="411" t="str"/>
      <x:c r="B217" s="468" t="str"/>
      <x:c r="C217" s="411" t="str"/>
      <x:c r="D217" s="411" t="str"/>
      <x:c r="E217" s="411" t="str"/>
      <x:c r="F217" s="411" t="str"/>
      <x:c r="G217" s="411" t="str"/>
      <x:c r="H217" s="411" t="str"/>
      <x:c r="I217" s="411" t="str"/>
      <x:c r="J217" s="411" t="str"/>
      <x:c r="K217" s="411" t="str"/>
      <x:c r="L217" s="411" t="str"/>
      <x:c r="M217" s="411" t="str"/>
      <x:c r="N217" s="464" t="str">
        <x:f>IF(OR(L217="",M217=""),"",IF(L217&lt;=M217,"Passed","Review"))</x:f>
      </x:c>
      <x:c r="O217" s="411" t="str"/>
      <x:c r="P217" s="411" t="str"/>
      <x:c r="Q217" s="411" t="str"/>
      <x:c r="R217" s="411" t="str"/>
      <x:c r="S217" s="373"/>
      <x:c r="T217" s="373"/>
      <x:c r="U217" s="373"/>
      <x:c r="V217" s="373"/>
      <x:c r="W217" s="373"/>
      <x:c r="X217" s="373"/>
      <x:c r="Y217" s="373"/>
      <x:c r="Z217" s="373"/>
    </x:row>
    <x:row r="218">
      <x:c r="A218" s="411" t="str"/>
      <x:c r="B218" s="468" t="str"/>
      <x:c r="C218" s="411" t="str"/>
      <x:c r="D218" s="411" t="str"/>
      <x:c r="E218" s="411" t="str"/>
      <x:c r="F218" s="411" t="str"/>
      <x:c r="G218" s="411" t="str"/>
      <x:c r="H218" s="411" t="str"/>
      <x:c r="I218" s="411" t="str"/>
      <x:c r="J218" s="411" t="str"/>
      <x:c r="K218" s="411" t="str"/>
      <x:c r="L218" s="411" t="str"/>
      <x:c r="M218" s="411" t="str"/>
      <x:c r="N218" s="464" t="str">
        <x:f>IF(OR(L218="",M218=""),"",IF(L218&lt;=M218,"Passed","Review"))</x:f>
      </x:c>
      <x:c r="O218" s="411" t="str"/>
      <x:c r="P218" s="411" t="str"/>
      <x:c r="Q218" s="411" t="str"/>
      <x:c r="R218" s="411" t="str"/>
      <x:c r="S218" s="373"/>
      <x:c r="T218" s="373"/>
      <x:c r="U218" s="373"/>
      <x:c r="V218" s="373"/>
      <x:c r="W218" s="373"/>
      <x:c r="X218" s="373"/>
      <x:c r="Y218" s="373"/>
      <x:c r="Z218" s="373"/>
    </x:row>
    <x:row r="219">
      <x:c r="A219" s="411" t="str"/>
      <x:c r="B219" s="468" t="str"/>
      <x:c r="C219" s="411" t="str"/>
      <x:c r="D219" s="411" t="str"/>
      <x:c r="E219" s="411" t="str"/>
      <x:c r="F219" s="411" t="str"/>
      <x:c r="G219" s="411" t="str"/>
      <x:c r="H219" s="411" t="str"/>
      <x:c r="I219" s="411" t="str"/>
      <x:c r="J219" s="411" t="str"/>
      <x:c r="K219" s="411" t="str"/>
      <x:c r="L219" s="411" t="str"/>
      <x:c r="M219" s="411" t="str"/>
      <x:c r="N219" s="464" t="str">
        <x:f>IF(OR(L219="",M219=""),"",IF(L219&lt;=M219,"Passed","Review"))</x:f>
      </x:c>
      <x:c r="O219" s="411" t="str"/>
      <x:c r="P219" s="411" t="str"/>
      <x:c r="Q219" s="411" t="str"/>
      <x:c r="R219" s="411" t="str"/>
      <x:c r="S219" s="373"/>
      <x:c r="T219" s="373"/>
      <x:c r="U219" s="373"/>
      <x:c r="V219" s="373"/>
      <x:c r="W219" s="373"/>
      <x:c r="X219" s="373"/>
      <x:c r="Y219" s="373"/>
      <x:c r="Z219" s="373"/>
    </x:row>
    <x:row r="220">
      <x:c r="A220" s="411" t="str"/>
      <x:c r="B220" s="468" t="str"/>
      <x:c r="C220" s="411" t="str"/>
      <x:c r="D220" s="411" t="str"/>
      <x:c r="E220" s="411" t="str"/>
      <x:c r="F220" s="411" t="str"/>
      <x:c r="G220" s="411" t="str"/>
      <x:c r="H220" s="411" t="str"/>
      <x:c r="I220" s="411" t="str"/>
      <x:c r="J220" s="411" t="str"/>
      <x:c r="K220" s="411" t="str"/>
      <x:c r="L220" s="411" t="str"/>
      <x:c r="M220" s="411" t="str"/>
      <x:c r="N220" s="464" t="str">
        <x:f>IF(OR(L220="",M220=""),"",IF(L220&lt;=M220,"Passed","Review"))</x:f>
      </x:c>
      <x:c r="O220" s="411" t="str"/>
      <x:c r="P220" s="411" t="str"/>
      <x:c r="Q220" s="411" t="str"/>
      <x:c r="R220" s="411" t="str"/>
      <x:c r="S220" s="373"/>
      <x:c r="T220" s="373"/>
      <x:c r="U220" s="373"/>
      <x:c r="V220" s="373"/>
      <x:c r="W220" s="373"/>
      <x:c r="X220" s="373"/>
      <x:c r="Y220" s="373"/>
      <x:c r="Z220" s="373"/>
    </x:row>
    <x:row r="221">
      <x:c r="A221" s="411" t="str"/>
      <x:c r="B221" s="468" t="str"/>
      <x:c r="C221" s="411" t="str"/>
      <x:c r="D221" s="411" t="str"/>
      <x:c r="E221" s="411" t="str"/>
      <x:c r="F221" s="411" t="str"/>
      <x:c r="G221" s="411" t="str"/>
      <x:c r="H221" s="411" t="str"/>
      <x:c r="I221" s="411" t="str"/>
      <x:c r="J221" s="411" t="str"/>
      <x:c r="K221" s="411" t="str"/>
      <x:c r="L221" s="411" t="str"/>
      <x:c r="M221" s="411" t="str"/>
      <x:c r="N221" s="464" t="str">
        <x:f>IF(OR(L221="",M221=""),"",IF(L221&lt;=M221,"Passed","Review"))</x:f>
      </x:c>
      <x:c r="O221" s="411" t="str"/>
      <x:c r="P221" s="411" t="str"/>
      <x:c r="Q221" s="411" t="str"/>
      <x:c r="R221" s="411" t="str"/>
      <x:c r="S221" s="373"/>
      <x:c r="T221" s="373"/>
      <x:c r="U221" s="373"/>
      <x:c r="V221" s="373"/>
      <x:c r="W221" s="373"/>
      <x:c r="X221" s="373"/>
      <x:c r="Y221" s="373"/>
      <x:c r="Z221" s="373"/>
    </x:row>
    <x:row r="222">
      <x:c r="A222" s="411" t="str"/>
      <x:c r="B222" s="468" t="str"/>
      <x:c r="C222" s="411" t="str"/>
      <x:c r="D222" s="411" t="str"/>
      <x:c r="E222" s="411" t="str"/>
      <x:c r="F222" s="411" t="str"/>
      <x:c r="G222" s="411" t="str"/>
      <x:c r="H222" s="411" t="str"/>
      <x:c r="I222" s="411" t="str"/>
      <x:c r="J222" s="411" t="str"/>
      <x:c r="K222" s="411" t="str"/>
      <x:c r="L222" s="411" t="str"/>
      <x:c r="M222" s="411" t="str"/>
      <x:c r="N222" s="464" t="str">
        <x:f>IF(OR(L222="",M222=""),"",IF(L222&lt;=M222,"Passed","Review"))</x:f>
      </x:c>
      <x:c r="O222" s="411" t="str"/>
      <x:c r="P222" s="411" t="str"/>
      <x:c r="Q222" s="411" t="str"/>
      <x:c r="R222" s="411" t="str"/>
      <x:c r="S222" s="373"/>
      <x:c r="T222" s="373"/>
      <x:c r="U222" s="373"/>
      <x:c r="V222" s="373"/>
      <x:c r="W222" s="373"/>
      <x:c r="X222" s="373"/>
      <x:c r="Y222" s="373"/>
      <x:c r="Z222" s="373"/>
    </x:row>
    <x:row r="223">
      <x:c r="A223" s="411" t="str"/>
      <x:c r="B223" s="468" t="str"/>
      <x:c r="C223" s="411" t="str"/>
      <x:c r="D223" s="411" t="str"/>
      <x:c r="E223" s="411" t="str"/>
      <x:c r="F223" s="411" t="str"/>
      <x:c r="G223" s="411" t="str"/>
      <x:c r="H223" s="411" t="str"/>
      <x:c r="I223" s="411" t="str"/>
      <x:c r="J223" s="411" t="str"/>
      <x:c r="K223" s="411" t="str"/>
      <x:c r="L223" s="411" t="str"/>
      <x:c r="M223" s="411" t="str"/>
      <x:c r="N223" s="464" t="str">
        <x:f>IF(OR(L223="",M223=""),"",IF(L223&lt;=M223,"Passed","Review"))</x:f>
      </x:c>
      <x:c r="O223" s="411" t="str"/>
      <x:c r="P223" s="411" t="str"/>
      <x:c r="Q223" s="411" t="str"/>
      <x:c r="R223" s="411" t="str"/>
      <x:c r="S223" s="373"/>
      <x:c r="T223" s="373"/>
      <x:c r="U223" s="373"/>
      <x:c r="V223" s="373"/>
      <x:c r="W223" s="373"/>
      <x:c r="X223" s="373"/>
      <x:c r="Y223" s="373"/>
      <x:c r="Z223" s="373"/>
    </x:row>
    <x:row r="224">
      <x:c r="A224" s="411" t="str"/>
      <x:c r="B224" s="468" t="str"/>
      <x:c r="C224" s="411" t="str"/>
      <x:c r="D224" s="411" t="str"/>
      <x:c r="E224" s="411" t="str"/>
      <x:c r="F224" s="411" t="str"/>
      <x:c r="G224" s="411" t="str"/>
      <x:c r="H224" s="411" t="str"/>
      <x:c r="I224" s="411" t="str"/>
      <x:c r="J224" s="411" t="str"/>
      <x:c r="K224" s="411" t="str"/>
      <x:c r="L224" s="411" t="str"/>
      <x:c r="M224" s="411" t="str"/>
      <x:c r="N224" s="464" t="str">
        <x:f>IF(OR(L224="",M224=""),"",IF(L224&lt;=M224,"Passed","Review"))</x:f>
      </x:c>
      <x:c r="O224" s="411" t="str"/>
      <x:c r="P224" s="411" t="str"/>
      <x:c r="Q224" s="411" t="str"/>
      <x:c r="R224" s="411" t="str"/>
      <x:c r="S224" s="373"/>
      <x:c r="T224" s="373"/>
      <x:c r="U224" s="373"/>
      <x:c r="V224" s="373"/>
      <x:c r="W224" s="373"/>
      <x:c r="X224" s="373"/>
      <x:c r="Y224" s="373"/>
      <x:c r="Z224" s="373"/>
    </x:row>
    <x:row r="225">
      <x:c r="A225" s="411" t="str"/>
      <x:c r="B225" s="468" t="str"/>
      <x:c r="C225" s="411" t="str"/>
      <x:c r="D225" s="411" t="str"/>
      <x:c r="E225" s="411" t="str"/>
      <x:c r="F225" s="411" t="str"/>
      <x:c r="G225" s="411" t="str"/>
      <x:c r="H225" s="411" t="str"/>
      <x:c r="I225" s="411" t="str"/>
      <x:c r="J225" s="411" t="str"/>
      <x:c r="K225" s="411" t="str"/>
      <x:c r="L225" s="411" t="str"/>
      <x:c r="M225" s="411" t="str"/>
      <x:c r="N225" s="464" t="str">
        <x:f>IF(OR(L225="",M225=""),"",IF(L225&lt;=M225,"Passed","Review"))</x:f>
      </x:c>
      <x:c r="O225" s="411" t="str"/>
      <x:c r="P225" s="411" t="str"/>
      <x:c r="Q225" s="411" t="str"/>
      <x:c r="R225" s="411" t="str"/>
      <x:c r="S225" s="373"/>
      <x:c r="T225" s="373"/>
      <x:c r="U225" s="373"/>
      <x:c r="V225" s="373"/>
      <x:c r="W225" s="373"/>
      <x:c r="X225" s="373"/>
      <x:c r="Y225" s="373"/>
      <x:c r="Z225" s="373"/>
    </x:row>
    <x:row r="226">
      <x:c r="A226" s="411" t="str"/>
      <x:c r="B226" s="468" t="str"/>
      <x:c r="C226" s="411" t="str"/>
      <x:c r="D226" s="411" t="str"/>
      <x:c r="E226" s="411" t="str"/>
      <x:c r="F226" s="411" t="str"/>
      <x:c r="G226" s="411" t="str"/>
      <x:c r="H226" s="411" t="str"/>
      <x:c r="I226" s="411" t="str"/>
      <x:c r="J226" s="411" t="str"/>
      <x:c r="K226" s="411" t="str"/>
      <x:c r="L226" s="411" t="str"/>
      <x:c r="M226" s="411" t="str"/>
      <x:c r="N226" s="464" t="str">
        <x:f>IF(OR(L226="",M226=""),"",IF(L226&lt;=M226,"Passed","Review"))</x:f>
      </x:c>
      <x:c r="O226" s="411" t="str"/>
      <x:c r="P226" s="411" t="str"/>
      <x:c r="Q226" s="411" t="str"/>
      <x:c r="R226" s="411" t="str"/>
      <x:c r="S226" s="373"/>
      <x:c r="T226" s="373"/>
      <x:c r="U226" s="373"/>
      <x:c r="V226" s="373"/>
      <x:c r="W226" s="373"/>
      <x:c r="X226" s="373"/>
      <x:c r="Y226" s="373"/>
      <x:c r="Z226" s="373"/>
    </x:row>
    <x:row r="227">
      <x:c r="A227" s="411" t="str"/>
      <x:c r="B227" s="468" t="str"/>
      <x:c r="C227" s="411" t="str"/>
      <x:c r="D227" s="411" t="str"/>
      <x:c r="E227" s="411" t="str"/>
      <x:c r="F227" s="411" t="str"/>
      <x:c r="G227" s="411" t="str"/>
      <x:c r="H227" s="411" t="str"/>
      <x:c r="I227" s="411" t="str"/>
      <x:c r="J227" s="411" t="str"/>
      <x:c r="K227" s="411" t="str"/>
      <x:c r="L227" s="411" t="str"/>
      <x:c r="M227" s="411" t="str"/>
      <x:c r="N227" s="464" t="str">
        <x:f>IF(OR(L227="",M227=""),"",IF(L227&lt;=M227,"Passed","Review"))</x:f>
      </x:c>
      <x:c r="O227" s="411" t="str"/>
      <x:c r="P227" s="411" t="str"/>
      <x:c r="Q227" s="411" t="str"/>
      <x:c r="R227" s="411" t="str"/>
      <x:c r="S227" s="373"/>
      <x:c r="T227" s="373"/>
      <x:c r="U227" s="373"/>
      <x:c r="V227" s="373"/>
      <x:c r="W227" s="373"/>
      <x:c r="X227" s="373"/>
      <x:c r="Y227" s="373"/>
      <x:c r="Z227" s="373"/>
    </x:row>
    <x:row r="228">
      <x:c r="A228" s="411" t="str"/>
      <x:c r="B228" s="468" t="str"/>
      <x:c r="C228" s="411" t="str"/>
      <x:c r="D228" s="411" t="str"/>
      <x:c r="E228" s="411" t="str"/>
      <x:c r="F228" s="411" t="str"/>
      <x:c r="G228" s="411" t="str"/>
      <x:c r="H228" s="411" t="str"/>
      <x:c r="I228" s="411" t="str"/>
      <x:c r="J228" s="411" t="str"/>
      <x:c r="K228" s="411" t="str"/>
      <x:c r="L228" s="411" t="str"/>
      <x:c r="M228" s="411" t="str"/>
      <x:c r="N228" s="464" t="str">
        <x:f>IF(OR(L228="",M228=""),"",IF(L228&lt;=M228,"Passed","Review"))</x:f>
      </x:c>
      <x:c r="O228" s="411" t="str"/>
      <x:c r="P228" s="411" t="str"/>
      <x:c r="Q228" s="411" t="str"/>
      <x:c r="R228" s="411" t="str"/>
      <x:c r="S228" s="373"/>
      <x:c r="T228" s="373"/>
      <x:c r="U228" s="373"/>
      <x:c r="V228" s="373"/>
      <x:c r="W228" s="373"/>
      <x:c r="X228" s="373"/>
      <x:c r="Y228" s="373"/>
      <x:c r="Z228" s="373"/>
    </x:row>
    <x:row r="229">
      <x:c r="A229" s="411" t="str"/>
      <x:c r="B229" s="468" t="str"/>
      <x:c r="C229" s="411" t="str"/>
      <x:c r="D229" s="411" t="str"/>
      <x:c r="E229" s="411" t="str"/>
      <x:c r="F229" s="411" t="str"/>
      <x:c r="G229" s="411" t="str"/>
      <x:c r="H229" s="411" t="str"/>
      <x:c r="I229" s="411" t="str"/>
      <x:c r="J229" s="411" t="str"/>
      <x:c r="K229" s="411" t="str"/>
      <x:c r="L229" s="411" t="str"/>
      <x:c r="M229" s="411" t="str"/>
      <x:c r="N229" s="464" t="str">
        <x:f>IF(OR(L229="",M229=""),"",IF(L229&lt;=M229,"Passed","Review"))</x:f>
      </x:c>
      <x:c r="O229" s="411" t="str"/>
      <x:c r="P229" s="411" t="str"/>
      <x:c r="Q229" s="411" t="str"/>
      <x:c r="R229" s="411" t="str"/>
      <x:c r="S229" s="373"/>
      <x:c r="T229" s="373"/>
      <x:c r="U229" s="373"/>
      <x:c r="V229" s="373"/>
      <x:c r="W229" s="373"/>
      <x:c r="X229" s="373"/>
      <x:c r="Y229" s="373"/>
      <x:c r="Z229" s="373"/>
    </x:row>
    <x:row r="230">
      <x:c r="A230" s="411" t="str"/>
      <x:c r="B230" s="468" t="str"/>
      <x:c r="C230" s="411" t="str"/>
      <x:c r="D230" s="411" t="str"/>
      <x:c r="E230" s="411" t="str"/>
      <x:c r="F230" s="411" t="str"/>
      <x:c r="G230" s="411" t="str"/>
      <x:c r="H230" s="411" t="str"/>
      <x:c r="I230" s="411" t="str"/>
      <x:c r="J230" s="411" t="str"/>
      <x:c r="K230" s="411" t="str"/>
      <x:c r="L230" s="411" t="str"/>
      <x:c r="M230" s="411" t="str"/>
      <x:c r="N230" s="464" t="str">
        <x:f>IF(OR(L230="",M230=""),"",IF(L230&lt;=M230,"Passed","Review"))</x:f>
      </x:c>
      <x:c r="O230" s="411" t="str"/>
      <x:c r="P230" s="411" t="str"/>
      <x:c r="Q230" s="411" t="str"/>
      <x:c r="R230" s="411" t="str"/>
      <x:c r="S230" s="373"/>
      <x:c r="T230" s="373"/>
      <x:c r="U230" s="373"/>
      <x:c r="V230" s="373"/>
      <x:c r="W230" s="373"/>
      <x:c r="X230" s="373"/>
      <x:c r="Y230" s="373"/>
      <x:c r="Z230" s="373"/>
    </x:row>
    <x:row r="231">
      <x:c r="A231" s="411" t="str"/>
      <x:c r="B231" s="468" t="str"/>
      <x:c r="C231" s="411" t="str"/>
      <x:c r="D231" s="411" t="str"/>
      <x:c r="E231" s="411" t="str"/>
      <x:c r="F231" s="411" t="str"/>
      <x:c r="G231" s="411" t="str"/>
      <x:c r="H231" s="411" t="str"/>
      <x:c r="I231" s="411" t="str"/>
      <x:c r="J231" s="411" t="str"/>
      <x:c r="K231" s="411" t="str"/>
      <x:c r="L231" s="411" t="str"/>
      <x:c r="M231" s="411" t="str"/>
      <x:c r="N231" s="464" t="str">
        <x:f>IF(OR(L231="",M231=""),"",IF(L231&lt;=M231,"Passed","Review"))</x:f>
      </x:c>
      <x:c r="O231" s="411" t="str"/>
      <x:c r="P231" s="411" t="str"/>
      <x:c r="Q231" s="411" t="str"/>
      <x:c r="R231" s="411" t="str"/>
      <x:c r="S231" s="373"/>
      <x:c r="T231" s="373"/>
      <x:c r="U231" s="373"/>
      <x:c r="V231" s="373"/>
      <x:c r="W231" s="373"/>
      <x:c r="X231" s="373"/>
      <x:c r="Y231" s="373"/>
      <x:c r="Z231" s="373"/>
    </x:row>
    <x:row r="232">
      <x:c r="A232" s="411" t="str"/>
      <x:c r="B232" s="468" t="str"/>
      <x:c r="C232" s="411" t="str"/>
      <x:c r="D232" s="411" t="str"/>
      <x:c r="E232" s="411" t="str"/>
      <x:c r="F232" s="411" t="str"/>
      <x:c r="G232" s="411" t="str"/>
      <x:c r="H232" s="411" t="str"/>
      <x:c r="I232" s="411" t="str"/>
      <x:c r="J232" s="411" t="str"/>
      <x:c r="K232" s="411" t="str"/>
      <x:c r="L232" s="411" t="str"/>
      <x:c r="M232" s="411" t="str"/>
      <x:c r="N232" s="464" t="str">
        <x:f>IF(OR(L232="",M232=""),"",IF(L232&lt;=M232,"Passed","Review"))</x:f>
      </x:c>
      <x:c r="O232" s="411" t="str"/>
      <x:c r="P232" s="411" t="str"/>
      <x:c r="Q232" s="411" t="str"/>
      <x:c r="R232" s="411" t="str"/>
      <x:c r="S232" s="373"/>
      <x:c r="T232" s="373"/>
      <x:c r="U232" s="373"/>
      <x:c r="V232" s="373"/>
      <x:c r="W232" s="373"/>
      <x:c r="X232" s="373"/>
      <x:c r="Y232" s="373"/>
      <x:c r="Z232" s="373"/>
    </x:row>
    <x:row r="233">
      <x:c r="A233" s="411" t="str"/>
      <x:c r="B233" s="468" t="str"/>
      <x:c r="C233" s="411" t="str"/>
      <x:c r="D233" s="411" t="str"/>
      <x:c r="E233" s="411" t="str"/>
      <x:c r="F233" s="411" t="str"/>
      <x:c r="G233" s="411" t="str"/>
      <x:c r="H233" s="411" t="str"/>
      <x:c r="I233" s="411" t="str"/>
      <x:c r="J233" s="411" t="str"/>
      <x:c r="K233" s="411" t="str"/>
      <x:c r="L233" s="411" t="str"/>
      <x:c r="M233" s="411" t="str"/>
      <x:c r="N233" s="464" t="str">
        <x:f>IF(OR(L233="",M233=""),"",IF(L233&lt;=M233,"Passed","Review"))</x:f>
      </x:c>
      <x:c r="O233" s="411" t="str"/>
      <x:c r="P233" s="411" t="str"/>
      <x:c r="Q233" s="411" t="str"/>
      <x:c r="R233" s="411" t="str"/>
      <x:c r="S233" s="373"/>
      <x:c r="T233" s="373"/>
      <x:c r="U233" s="373"/>
      <x:c r="V233" s="373"/>
      <x:c r="W233" s="373"/>
      <x:c r="X233" s="373"/>
      <x:c r="Y233" s="373"/>
      <x:c r="Z233" s="373"/>
    </x:row>
    <x:row r="234">
      <x:c r="A234" s="411" t="str"/>
      <x:c r="B234" s="468" t="str"/>
      <x:c r="C234" s="411" t="str"/>
      <x:c r="D234" s="411" t="str"/>
      <x:c r="E234" s="411" t="str"/>
      <x:c r="F234" s="411" t="str"/>
      <x:c r="G234" s="411" t="str"/>
      <x:c r="H234" s="411" t="str"/>
      <x:c r="I234" s="411" t="str"/>
      <x:c r="J234" s="411" t="str"/>
      <x:c r="K234" s="411" t="str"/>
      <x:c r="L234" s="411" t="str"/>
      <x:c r="M234" s="411" t="str"/>
      <x:c r="N234" s="464" t="str">
        <x:f>IF(OR(L234="",M234=""),"",IF(L234&lt;=M234,"Passed","Review"))</x:f>
      </x:c>
      <x:c r="O234" s="411" t="str"/>
      <x:c r="P234" s="411" t="str"/>
      <x:c r="Q234" s="411" t="str"/>
      <x:c r="R234" s="411" t="str"/>
      <x:c r="S234" s="373"/>
      <x:c r="T234" s="373"/>
      <x:c r="U234" s="373"/>
      <x:c r="V234" s="373"/>
      <x:c r="W234" s="373"/>
      <x:c r="X234" s="373"/>
      <x:c r="Y234" s="373"/>
      <x:c r="Z234" s="373"/>
    </x:row>
    <x:row r="235">
      <x:c r="A235" s="411" t="str"/>
      <x:c r="B235" s="468" t="str"/>
      <x:c r="C235" s="411" t="str"/>
      <x:c r="D235" s="411" t="str"/>
      <x:c r="E235" s="411" t="str"/>
      <x:c r="F235" s="411" t="str"/>
      <x:c r="G235" s="411" t="str"/>
      <x:c r="H235" s="411" t="str"/>
      <x:c r="I235" s="411" t="str"/>
      <x:c r="J235" s="411" t="str"/>
      <x:c r="K235" s="411" t="str"/>
      <x:c r="L235" s="411" t="str"/>
      <x:c r="M235" s="411" t="str"/>
      <x:c r="N235" s="464" t="str">
        <x:f>IF(OR(L235="",M235=""),"",IF(L235&lt;=M235,"Passed","Review"))</x:f>
      </x:c>
      <x:c r="O235" s="411" t="str"/>
      <x:c r="P235" s="411" t="str"/>
      <x:c r="Q235" s="411" t="str"/>
      <x:c r="R235" s="411" t="str"/>
      <x:c r="S235" s="373"/>
      <x:c r="T235" s="373"/>
      <x:c r="U235" s="373"/>
      <x:c r="V235" s="373"/>
      <x:c r="W235" s="373"/>
      <x:c r="X235" s="373"/>
      <x:c r="Y235" s="373"/>
      <x:c r="Z235" s="373"/>
    </x:row>
    <x:row r="236">
      <x:c r="A236" s="411" t="str"/>
      <x:c r="B236" s="468" t="str"/>
      <x:c r="C236" s="411" t="str"/>
      <x:c r="D236" s="411" t="str"/>
      <x:c r="E236" s="411" t="str"/>
      <x:c r="F236" s="411" t="str"/>
      <x:c r="G236" s="411" t="str"/>
      <x:c r="H236" s="411" t="str"/>
      <x:c r="I236" s="411" t="str"/>
      <x:c r="J236" s="411" t="str"/>
      <x:c r="K236" s="411" t="str"/>
      <x:c r="L236" s="411" t="str"/>
      <x:c r="M236" s="411" t="str"/>
      <x:c r="N236" s="464" t="str">
        <x:f>IF(OR(L236="",M236=""),"",IF(L236&lt;=M236,"Passed","Review"))</x:f>
      </x:c>
      <x:c r="O236" s="411" t="str"/>
      <x:c r="P236" s="411" t="str"/>
      <x:c r="Q236" s="411" t="str"/>
      <x:c r="R236" s="411" t="str"/>
      <x:c r="S236" s="373"/>
      <x:c r="T236" s="373"/>
      <x:c r="U236" s="373"/>
      <x:c r="V236" s="373"/>
      <x:c r="W236" s="373"/>
      <x:c r="X236" s="373"/>
      <x:c r="Y236" s="373"/>
      <x:c r="Z236" s="373"/>
    </x:row>
    <x:row r="237">
      <x:c r="A237" s="411" t="str"/>
      <x:c r="B237" s="468" t="str"/>
      <x:c r="C237" s="411" t="str"/>
      <x:c r="D237" s="411" t="str"/>
      <x:c r="E237" s="411" t="str"/>
      <x:c r="F237" s="411" t="str"/>
      <x:c r="G237" s="411" t="str"/>
      <x:c r="H237" s="411" t="str"/>
      <x:c r="I237" s="411" t="str"/>
      <x:c r="J237" s="411" t="str"/>
      <x:c r="K237" s="411" t="str"/>
      <x:c r="L237" s="411" t="str"/>
      <x:c r="M237" s="411" t="str"/>
      <x:c r="N237" s="464" t="str">
        <x:f>IF(OR(L237="",M237=""),"",IF(L237&lt;=M237,"Passed","Review"))</x:f>
      </x:c>
      <x:c r="O237" s="411" t="str"/>
      <x:c r="P237" s="411" t="str"/>
      <x:c r="Q237" s="411" t="str"/>
      <x:c r="R237" s="411" t="str"/>
      <x:c r="S237" s="373"/>
      <x:c r="T237" s="373"/>
      <x:c r="U237" s="373"/>
      <x:c r="V237" s="373"/>
      <x:c r="W237" s="373"/>
      <x:c r="X237" s="373"/>
      <x:c r="Y237" s="373"/>
      <x:c r="Z237" s="373"/>
    </x:row>
    <x:row r="238">
      <x:c r="A238" s="411" t="str"/>
      <x:c r="B238" s="468" t="str"/>
      <x:c r="C238" s="411" t="str"/>
      <x:c r="D238" s="411" t="str"/>
      <x:c r="E238" s="411" t="str"/>
      <x:c r="F238" s="411" t="str"/>
      <x:c r="G238" s="411" t="str"/>
      <x:c r="H238" s="411" t="str"/>
      <x:c r="I238" s="411" t="str"/>
      <x:c r="J238" s="411" t="str"/>
      <x:c r="K238" s="411" t="str"/>
      <x:c r="L238" s="411" t="str"/>
      <x:c r="M238" s="411" t="str"/>
      <x:c r="N238" s="464" t="str">
        <x:f>IF(OR(L238="",M238=""),"",IF(L238&lt;=M238,"Passed","Review"))</x:f>
      </x:c>
      <x:c r="O238" s="411" t="str"/>
      <x:c r="P238" s="411" t="str"/>
      <x:c r="Q238" s="411" t="str"/>
      <x:c r="R238" s="411" t="str"/>
      <x:c r="S238" s="373"/>
      <x:c r="T238" s="373"/>
      <x:c r="U238" s="373"/>
      <x:c r="V238" s="373"/>
      <x:c r="W238" s="373"/>
      <x:c r="X238" s="373"/>
      <x:c r="Y238" s="373"/>
      <x:c r="Z238" s="373"/>
    </x:row>
    <x:row r="239">
      <x:c r="A239" s="411" t="str"/>
      <x:c r="B239" s="468" t="str"/>
      <x:c r="C239" s="411" t="str"/>
      <x:c r="D239" s="411" t="str"/>
      <x:c r="E239" s="411" t="str"/>
      <x:c r="F239" s="411" t="str"/>
      <x:c r="G239" s="411" t="str"/>
      <x:c r="H239" s="411" t="str"/>
      <x:c r="I239" s="411" t="str"/>
      <x:c r="J239" s="411" t="str"/>
      <x:c r="K239" s="411" t="str"/>
      <x:c r="L239" s="411" t="str"/>
      <x:c r="M239" s="411" t="str"/>
      <x:c r="N239" s="464" t="str">
        <x:f>IF(OR(L239="",M239=""),"",IF(L239&lt;=M239,"Passed","Review"))</x:f>
      </x:c>
      <x:c r="O239" s="411" t="str"/>
      <x:c r="P239" s="411" t="str"/>
      <x:c r="Q239" s="411" t="str"/>
      <x:c r="R239" s="411" t="str"/>
      <x:c r="S239" s="373"/>
      <x:c r="T239" s="373"/>
      <x:c r="U239" s="373"/>
      <x:c r="V239" s="373"/>
      <x:c r="W239" s="373"/>
      <x:c r="X239" s="373"/>
      <x:c r="Y239" s="373"/>
      <x:c r="Z239" s="373"/>
    </x:row>
    <x:row r="240">
      <x:c r="A240" s="411" t="str"/>
      <x:c r="B240" s="468" t="str"/>
      <x:c r="C240" s="411" t="str"/>
      <x:c r="D240" s="411" t="str"/>
      <x:c r="E240" s="411" t="str"/>
      <x:c r="F240" s="411" t="str"/>
      <x:c r="G240" s="411" t="str"/>
      <x:c r="H240" s="411" t="str"/>
      <x:c r="I240" s="411" t="str"/>
      <x:c r="J240" s="411" t="str"/>
      <x:c r="K240" s="411" t="str"/>
      <x:c r="L240" s="411" t="str"/>
      <x:c r="M240" s="411" t="str"/>
      <x:c r="N240" s="464" t="str">
        <x:f>IF(OR(L240="",M240=""),"",IF(L240&lt;=M240,"Passed","Review"))</x:f>
      </x:c>
      <x:c r="O240" s="411" t="str"/>
      <x:c r="P240" s="411" t="str"/>
      <x:c r="Q240" s="411" t="str"/>
      <x:c r="R240" s="411" t="str"/>
      <x:c r="S240" s="373"/>
      <x:c r="T240" s="373"/>
      <x:c r="U240" s="373"/>
      <x:c r="V240" s="373"/>
      <x:c r="W240" s="373"/>
      <x:c r="X240" s="373"/>
      <x:c r="Y240" s="373"/>
      <x:c r="Z240" s="373"/>
    </x:row>
    <x:row r="241">
      <x:c r="A241" s="411" t="str"/>
      <x:c r="B241" s="468" t="str"/>
      <x:c r="C241" s="411" t="str"/>
      <x:c r="D241" s="411" t="str"/>
      <x:c r="E241" s="411" t="str"/>
      <x:c r="F241" s="411" t="str"/>
      <x:c r="G241" s="411" t="str"/>
      <x:c r="H241" s="411" t="str"/>
      <x:c r="I241" s="411" t="str"/>
      <x:c r="J241" s="411" t="str"/>
      <x:c r="K241" s="411" t="str"/>
      <x:c r="L241" s="411" t="str"/>
      <x:c r="M241" s="411" t="str"/>
      <x:c r="N241" s="464" t="str">
        <x:f>IF(OR(L241="",M241=""),"",IF(L241&lt;=M241,"Passed","Review"))</x:f>
      </x:c>
      <x:c r="O241" s="411" t="str"/>
      <x:c r="P241" s="411" t="str"/>
      <x:c r="Q241" s="411" t="str"/>
      <x:c r="R241" s="411" t="str"/>
      <x:c r="S241" s="373"/>
      <x:c r="T241" s="373"/>
      <x:c r="U241" s="373"/>
      <x:c r="V241" s="373"/>
      <x:c r="W241" s="373"/>
      <x:c r="X241" s="373"/>
      <x:c r="Y241" s="373"/>
      <x:c r="Z241" s="373"/>
    </x:row>
    <x:row r="242">
      <x:c r="A242" s="411" t="str"/>
      <x:c r="B242" s="468" t="str"/>
      <x:c r="C242" s="411" t="str"/>
      <x:c r="D242" s="411" t="str"/>
      <x:c r="E242" s="411" t="str"/>
      <x:c r="F242" s="411" t="str"/>
      <x:c r="G242" s="411" t="str"/>
      <x:c r="H242" s="411" t="str"/>
      <x:c r="I242" s="411" t="str"/>
      <x:c r="J242" s="411" t="str"/>
      <x:c r="K242" s="411" t="str"/>
      <x:c r="L242" s="411" t="str"/>
      <x:c r="M242" s="411" t="str"/>
      <x:c r="N242" s="464" t="str">
        <x:f>IF(OR(L242="",M242=""),"",IF(L242&lt;=M242,"Passed","Review"))</x:f>
      </x:c>
      <x:c r="O242" s="411" t="str"/>
      <x:c r="P242" s="411" t="str"/>
      <x:c r="Q242" s="411" t="str"/>
      <x:c r="R242" s="411" t="str"/>
      <x:c r="S242" s="373"/>
      <x:c r="T242" s="373"/>
      <x:c r="U242" s="373"/>
      <x:c r="V242" s="373"/>
      <x:c r="W242" s="373"/>
      <x:c r="X242" s="373"/>
      <x:c r="Y242" s="373"/>
      <x:c r="Z242" s="373"/>
    </x:row>
    <x:row r="243">
      <x:c r="A243" s="411" t="str"/>
      <x:c r="B243" s="468" t="str"/>
      <x:c r="C243" s="411" t="str"/>
      <x:c r="D243" s="411" t="str"/>
      <x:c r="E243" s="411" t="str"/>
      <x:c r="F243" s="411" t="str"/>
      <x:c r="G243" s="411" t="str"/>
      <x:c r="H243" s="411" t="str"/>
      <x:c r="I243" s="411" t="str"/>
      <x:c r="J243" s="411" t="str"/>
      <x:c r="K243" s="411" t="str"/>
      <x:c r="L243" s="411" t="str"/>
      <x:c r="M243" s="411" t="str"/>
      <x:c r="N243" s="464" t="str">
        <x:f>IF(OR(L243="",M243=""),"",IF(L243&lt;=M243,"Passed","Review"))</x:f>
      </x:c>
      <x:c r="O243" s="411" t="str"/>
      <x:c r="P243" s="411" t="str"/>
      <x:c r="Q243" s="411" t="str"/>
      <x:c r="R243" s="411" t="str"/>
      <x:c r="S243" s="373"/>
      <x:c r="T243" s="373"/>
      <x:c r="U243" s="373"/>
      <x:c r="V243" s="373"/>
      <x:c r="W243" s="373"/>
      <x:c r="X243" s="373"/>
      <x:c r="Y243" s="373"/>
      <x:c r="Z243" s="373"/>
    </x:row>
    <x:row r="244">
      <x:c r="A244" s="411" t="str"/>
      <x:c r="B244" s="468" t="str"/>
      <x:c r="C244" s="411" t="str"/>
      <x:c r="D244" s="411" t="str"/>
      <x:c r="E244" s="411" t="str"/>
      <x:c r="F244" s="411" t="str"/>
      <x:c r="G244" s="411" t="str"/>
      <x:c r="H244" s="411" t="str"/>
      <x:c r="I244" s="411" t="str"/>
      <x:c r="J244" s="411" t="str"/>
      <x:c r="K244" s="411" t="str"/>
      <x:c r="L244" s="411" t="str"/>
      <x:c r="M244" s="411" t="str"/>
      <x:c r="N244" s="464" t="str">
        <x:f>IF(OR(L244="",M244=""),"",IF(L244&lt;=M244,"Passed","Review"))</x:f>
      </x:c>
      <x:c r="O244" s="411" t="str"/>
      <x:c r="P244" s="411" t="str"/>
      <x:c r="Q244" s="411" t="str"/>
      <x:c r="R244" s="411" t="str"/>
      <x:c r="S244" s="373"/>
      <x:c r="T244" s="373"/>
      <x:c r="U244" s="373"/>
      <x:c r="V244" s="373"/>
      <x:c r="W244" s="373"/>
      <x:c r="X244" s="373"/>
      <x:c r="Y244" s="373"/>
      <x:c r="Z244" s="373"/>
    </x:row>
    <x:row r="245">
      <x:c r="A245" s="411" t="str"/>
      <x:c r="B245" s="468" t="str"/>
      <x:c r="C245" s="411" t="str"/>
      <x:c r="D245" s="411" t="str"/>
      <x:c r="E245" s="411" t="str"/>
      <x:c r="F245" s="411" t="str"/>
      <x:c r="G245" s="411" t="str"/>
      <x:c r="H245" s="411" t="str"/>
      <x:c r="I245" s="411" t="str"/>
      <x:c r="J245" s="411" t="str"/>
      <x:c r="K245" s="411" t="str"/>
      <x:c r="L245" s="411" t="str"/>
      <x:c r="M245" s="411" t="str"/>
      <x:c r="N245" s="464" t="str">
        <x:f>IF(OR(L245="",M245=""),"",IF(L245&lt;=M245,"Passed","Review"))</x:f>
      </x:c>
      <x:c r="O245" s="411" t="str"/>
      <x:c r="P245" s="411" t="str"/>
      <x:c r="Q245" s="411" t="str"/>
      <x:c r="R245" s="411" t="str"/>
      <x:c r="S245" s="373"/>
      <x:c r="T245" s="373"/>
      <x:c r="U245" s="373"/>
      <x:c r="V245" s="373"/>
      <x:c r="W245" s="373"/>
      <x:c r="X245" s="373"/>
      <x:c r="Y245" s="373"/>
      <x:c r="Z245" s="373"/>
    </x:row>
    <x:row r="246">
      <x:c r="A246" s="411" t="str"/>
      <x:c r="B246" s="468" t="str"/>
      <x:c r="C246" s="411" t="str"/>
      <x:c r="D246" s="411" t="str"/>
      <x:c r="E246" s="411" t="str"/>
      <x:c r="F246" s="411" t="str"/>
      <x:c r="G246" s="411" t="str"/>
      <x:c r="H246" s="411" t="str"/>
      <x:c r="I246" s="411" t="str"/>
      <x:c r="J246" s="411" t="str"/>
      <x:c r="K246" s="411" t="str"/>
      <x:c r="L246" s="411" t="str"/>
      <x:c r="M246" s="411" t="str"/>
      <x:c r="N246" s="464" t="str">
        <x:f>IF(OR(L246="",M246=""),"",IF(L246&lt;=M246,"Passed","Review"))</x:f>
      </x:c>
      <x:c r="O246" s="411" t="str"/>
      <x:c r="P246" s="411" t="str"/>
      <x:c r="Q246" s="411" t="str"/>
      <x:c r="R246" s="411" t="str"/>
      <x:c r="S246" s="373"/>
      <x:c r="T246" s="373"/>
      <x:c r="U246" s="373"/>
      <x:c r="V246" s="373"/>
      <x:c r="W246" s="373"/>
      <x:c r="X246" s="373"/>
      <x:c r="Y246" s="373"/>
      <x:c r="Z246" s="373"/>
    </x:row>
    <x:row r="247">
      <x:c r="A247" s="411" t="str"/>
      <x:c r="B247" s="468" t="str"/>
      <x:c r="C247" s="411" t="str"/>
      <x:c r="D247" s="411" t="str"/>
      <x:c r="E247" s="411" t="str"/>
      <x:c r="F247" s="411" t="str"/>
      <x:c r="G247" s="411" t="str"/>
      <x:c r="H247" s="411" t="str"/>
      <x:c r="I247" s="411" t="str"/>
      <x:c r="J247" s="411" t="str"/>
      <x:c r="K247" s="411" t="str"/>
      <x:c r="L247" s="411" t="str"/>
      <x:c r="M247" s="411" t="str"/>
      <x:c r="N247" s="464" t="str">
        <x:f>IF(OR(L247="",M247=""),"",IF(L247&lt;=M247,"Passed","Review"))</x:f>
      </x:c>
      <x:c r="O247" s="411" t="str"/>
      <x:c r="P247" s="411" t="str"/>
      <x:c r="Q247" s="411" t="str"/>
      <x:c r="R247" s="411" t="str"/>
      <x:c r="S247" s="373"/>
      <x:c r="T247" s="373"/>
      <x:c r="U247" s="373"/>
      <x:c r="V247" s="373"/>
      <x:c r="W247" s="373"/>
      <x:c r="X247" s="373"/>
      <x:c r="Y247" s="373"/>
      <x:c r="Z247" s="373"/>
    </x:row>
    <x:row r="248">
      <x:c r="A248" s="411" t="str"/>
      <x:c r="B248" s="468" t="str"/>
      <x:c r="C248" s="411" t="str"/>
      <x:c r="D248" s="411" t="str"/>
      <x:c r="E248" s="411" t="str"/>
      <x:c r="F248" s="411" t="str"/>
      <x:c r="G248" s="411" t="str"/>
      <x:c r="H248" s="411" t="str"/>
      <x:c r="I248" s="411" t="str"/>
      <x:c r="J248" s="411" t="str"/>
      <x:c r="K248" s="411" t="str"/>
      <x:c r="L248" s="411" t="str"/>
      <x:c r="M248" s="411" t="str"/>
      <x:c r="N248" s="464" t="str">
        <x:f>IF(OR(L248="",M248=""),"",IF(L248&lt;=M248,"Passed","Review"))</x:f>
      </x:c>
      <x:c r="O248" s="411" t="str"/>
      <x:c r="P248" s="411" t="str"/>
      <x:c r="Q248" s="411" t="str"/>
      <x:c r="R248" s="411" t="str"/>
      <x:c r="S248" s="373"/>
      <x:c r="T248" s="373"/>
      <x:c r="U248" s="373"/>
      <x:c r="V248" s="373"/>
      <x:c r="W248" s="373"/>
      <x:c r="X248" s="373"/>
      <x:c r="Y248" s="373"/>
      <x:c r="Z248" s="373"/>
    </x:row>
    <x:row r="249">
      <x:c r="A249" s="411" t="str"/>
      <x:c r="B249" s="468" t="str"/>
      <x:c r="C249" s="411" t="str"/>
      <x:c r="D249" s="411" t="str"/>
      <x:c r="E249" s="411" t="str"/>
      <x:c r="F249" s="411" t="str"/>
      <x:c r="G249" s="411" t="str"/>
      <x:c r="H249" s="411" t="str"/>
      <x:c r="I249" s="411" t="str"/>
      <x:c r="J249" s="411" t="str"/>
      <x:c r="K249" s="411" t="str"/>
      <x:c r="L249" s="411" t="str"/>
      <x:c r="M249" s="411" t="str"/>
      <x:c r="N249" s="464" t="str">
        <x:f>IF(OR(L249="",M249=""),"",IF(L249&lt;=M249,"Passed","Review"))</x:f>
      </x:c>
      <x:c r="O249" s="411" t="str"/>
      <x:c r="P249" s="411" t="str"/>
      <x:c r="Q249" s="411" t="str"/>
      <x:c r="R249" s="411" t="str"/>
      <x:c r="S249" s="373"/>
      <x:c r="T249" s="373"/>
      <x:c r="U249" s="373"/>
      <x:c r="V249" s="373"/>
      <x:c r="W249" s="373"/>
      <x:c r="X249" s="373"/>
      <x:c r="Y249" s="373"/>
      <x:c r="Z249" s="373"/>
    </x:row>
    <x:row r="250">
      <x:c r="A250" s="411" t="str"/>
      <x:c r="B250" s="468" t="str"/>
      <x:c r="C250" s="411" t="str"/>
      <x:c r="D250" s="411" t="str"/>
      <x:c r="E250" s="411" t="str"/>
      <x:c r="F250" s="411" t="str"/>
      <x:c r="G250" s="411" t="str"/>
      <x:c r="H250" s="411" t="str"/>
      <x:c r="I250" s="411" t="str"/>
      <x:c r="J250" s="411" t="str"/>
      <x:c r="K250" s="411" t="str"/>
      <x:c r="L250" s="411" t="str"/>
      <x:c r="M250" s="411" t="str"/>
      <x:c r="N250" s="464" t="str">
        <x:f>IF(OR(L250="",M250=""),"",IF(L250&lt;=M250,"Passed","Review"))</x:f>
      </x:c>
      <x:c r="O250" s="411" t="str"/>
      <x:c r="P250" s="411" t="str"/>
      <x:c r="Q250" s="411" t="str"/>
      <x:c r="R250" s="411" t="str"/>
      <x:c r="S250" s="373"/>
      <x:c r="T250" s="373"/>
      <x:c r="U250" s="373"/>
      <x:c r="V250" s="373"/>
      <x:c r="W250" s="373"/>
      <x:c r="X250" s="373"/>
      <x:c r="Y250" s="373"/>
      <x:c r="Z250" s="373"/>
    </x:row>
    <x:row r="251">
      <x:c r="A251" s="411" t="str"/>
      <x:c r="B251" s="468" t="str"/>
      <x:c r="C251" s="411" t="str"/>
      <x:c r="D251" s="411" t="str"/>
      <x:c r="E251" s="411" t="str"/>
      <x:c r="F251" s="411" t="str"/>
      <x:c r="G251" s="411" t="str"/>
      <x:c r="H251" s="411" t="str"/>
      <x:c r="I251" s="411" t="str"/>
      <x:c r="J251" s="411" t="str"/>
      <x:c r="K251" s="411" t="str"/>
      <x:c r="L251" s="411" t="str"/>
      <x:c r="M251" s="411" t="str"/>
      <x:c r="N251" s="464" t="str">
        <x:f>IF(OR(L251="",M251=""),"",IF(L251&lt;=M251,"Passed","Review"))</x:f>
      </x:c>
      <x:c r="O251" s="411" t="str"/>
      <x:c r="P251" s="411" t="str"/>
      <x:c r="Q251" s="411" t="str"/>
      <x:c r="R251" s="411" t="str"/>
      <x:c r="S251" s="373"/>
      <x:c r="T251" s="373"/>
      <x:c r="U251" s="373"/>
      <x:c r="V251" s="373"/>
      <x:c r="W251" s="373"/>
      <x:c r="X251" s="373"/>
      <x:c r="Y251" s="373"/>
      <x:c r="Z251" s="373"/>
    </x:row>
    <x:row r="252">
      <x:c r="A252" s="411" t="str"/>
      <x:c r="B252" s="468" t="str"/>
      <x:c r="C252" s="411" t="str"/>
      <x:c r="D252" s="411" t="str"/>
      <x:c r="E252" s="411" t="str"/>
      <x:c r="F252" s="411" t="str"/>
      <x:c r="G252" s="411" t="str"/>
      <x:c r="H252" s="411" t="str"/>
      <x:c r="I252" s="411" t="str"/>
      <x:c r="J252" s="411" t="str"/>
      <x:c r="K252" s="411" t="str"/>
      <x:c r="L252" s="411" t="str"/>
      <x:c r="M252" s="411" t="str"/>
      <x:c r="N252" s="464" t="str">
        <x:f>IF(OR(L252="",M252=""),"",IF(L252&lt;=M252,"Passed","Review"))</x:f>
      </x:c>
      <x:c r="O252" s="411" t="str"/>
      <x:c r="P252" s="411" t="str"/>
      <x:c r="Q252" s="411" t="str"/>
      <x:c r="R252" s="411" t="str"/>
      <x:c r="S252" s="373"/>
      <x:c r="T252" s="373"/>
      <x:c r="U252" s="373"/>
      <x:c r="V252" s="373"/>
      <x:c r="W252" s="373"/>
      <x:c r="X252" s="373"/>
      <x:c r="Y252" s="373"/>
      <x:c r="Z252" s="373"/>
    </x:row>
    <x:row r="253">
      <x:c r="A253" s="411" t="str"/>
      <x:c r="B253" s="468" t="str"/>
      <x:c r="C253" s="411" t="str"/>
      <x:c r="D253" s="411" t="str"/>
      <x:c r="E253" s="411" t="str"/>
      <x:c r="F253" s="411" t="str"/>
      <x:c r="G253" s="411" t="str"/>
      <x:c r="H253" s="411" t="str"/>
      <x:c r="I253" s="411" t="str"/>
      <x:c r="J253" s="411" t="str"/>
      <x:c r="K253" s="411" t="str"/>
      <x:c r="L253" s="411" t="str"/>
      <x:c r="M253" s="411" t="str"/>
      <x:c r="N253" s="464" t="str">
        <x:f>IF(OR(L253="",M253=""),"",IF(L253&lt;=M253,"Passed","Review"))</x:f>
      </x:c>
      <x:c r="O253" s="411" t="str"/>
      <x:c r="P253" s="411" t="str"/>
      <x:c r="Q253" s="411" t="str"/>
      <x:c r="R253" s="411" t="str"/>
      <x:c r="S253" s="373"/>
      <x:c r="T253" s="373"/>
      <x:c r="U253" s="373"/>
      <x:c r="V253" s="373"/>
      <x:c r="W253" s="373"/>
      <x:c r="X253" s="373"/>
      <x:c r="Y253" s="373"/>
      <x:c r="Z253" s="373"/>
    </x:row>
    <x:row r="254">
      <x:c r="A254" s="411" t="str"/>
      <x:c r="B254" s="468" t="str"/>
      <x:c r="C254" s="411" t="str"/>
      <x:c r="D254" s="411" t="str"/>
      <x:c r="E254" s="411" t="str"/>
      <x:c r="F254" s="411" t="str"/>
      <x:c r="G254" s="411" t="str"/>
      <x:c r="H254" s="411" t="str"/>
      <x:c r="I254" s="411" t="str"/>
      <x:c r="J254" s="411" t="str"/>
      <x:c r="K254" s="411" t="str"/>
      <x:c r="L254" s="411" t="str"/>
      <x:c r="M254" s="411" t="str"/>
      <x:c r="N254" s="464" t="str">
        <x:f>IF(OR(L254="",M254=""),"",IF(L254&lt;=M254,"Passed","Review"))</x:f>
      </x:c>
      <x:c r="O254" s="411" t="str"/>
      <x:c r="P254" s="411" t="str"/>
      <x:c r="Q254" s="411" t="str"/>
      <x:c r="R254" s="411" t="str"/>
      <x:c r="S254" s="373"/>
      <x:c r="T254" s="373"/>
      <x:c r="U254" s="373"/>
      <x:c r="V254" s="373"/>
      <x:c r="W254" s="373"/>
      <x:c r="X254" s="373"/>
      <x:c r="Y254" s="373"/>
      <x:c r="Z254" s="373"/>
    </x:row>
    <x:row r="255">
      <x:c r="A255" s="411" t="str"/>
      <x:c r="B255" s="468" t="str"/>
      <x:c r="C255" s="411" t="str"/>
      <x:c r="D255" s="411" t="str"/>
      <x:c r="E255" s="411" t="str"/>
      <x:c r="F255" s="411" t="str"/>
      <x:c r="G255" s="411" t="str"/>
      <x:c r="H255" s="411" t="str"/>
      <x:c r="I255" s="411" t="str"/>
      <x:c r="J255" s="411" t="str"/>
      <x:c r="K255" s="411" t="str"/>
      <x:c r="L255" s="411" t="str"/>
      <x:c r="M255" s="411" t="str"/>
      <x:c r="N255" s="464" t="str">
        <x:f>IF(OR(L255="",M255=""),"",IF(L255&lt;=M255,"Passed","Review"))</x:f>
      </x:c>
      <x:c r="O255" s="411" t="str"/>
      <x:c r="P255" s="411" t="str"/>
      <x:c r="Q255" s="411" t="str"/>
      <x:c r="R255" s="411" t="str"/>
      <x:c r="S255" s="373"/>
      <x:c r="T255" s="373"/>
      <x:c r="U255" s="373"/>
      <x:c r="V255" s="373"/>
      <x:c r="W255" s="373"/>
      <x:c r="X255" s="373"/>
      <x:c r="Y255" s="373"/>
      <x:c r="Z255" s="373"/>
    </x:row>
    <x:row r="256">
      <x:c r="A256" s="411" t="str"/>
      <x:c r="B256" s="468" t="str"/>
      <x:c r="C256" s="411" t="str"/>
      <x:c r="D256" s="411" t="str"/>
      <x:c r="E256" s="411" t="str"/>
      <x:c r="F256" s="411" t="str"/>
      <x:c r="G256" s="411" t="str"/>
      <x:c r="H256" s="411" t="str"/>
      <x:c r="I256" s="411" t="str"/>
      <x:c r="J256" s="411" t="str"/>
      <x:c r="K256" s="411" t="str"/>
      <x:c r="L256" s="411" t="str"/>
      <x:c r="M256" s="411" t="str"/>
      <x:c r="N256" s="464" t="str">
        <x:f>IF(OR(L256="",M256=""),"",IF(L256&lt;=M256,"Passed","Review"))</x:f>
      </x:c>
      <x:c r="O256" s="411" t="str"/>
      <x:c r="P256" s="411" t="str"/>
      <x:c r="Q256" s="411" t="str"/>
      <x:c r="R256" s="411" t="str"/>
      <x:c r="S256" s="373"/>
      <x:c r="T256" s="373"/>
      <x:c r="U256" s="373"/>
      <x:c r="V256" s="373"/>
      <x:c r="W256" s="373"/>
      <x:c r="X256" s="373"/>
      <x:c r="Y256" s="373"/>
      <x:c r="Z256" s="373"/>
    </x:row>
    <x:row r="257">
      <x:c r="A257" s="411" t="str"/>
      <x:c r="B257" s="468" t="str"/>
      <x:c r="C257" s="411" t="str"/>
      <x:c r="D257" s="411" t="str"/>
      <x:c r="E257" s="411" t="str"/>
      <x:c r="F257" s="411" t="str"/>
      <x:c r="G257" s="411" t="str"/>
      <x:c r="H257" s="411" t="str"/>
      <x:c r="I257" s="411" t="str"/>
      <x:c r="J257" s="411" t="str"/>
      <x:c r="K257" s="411" t="str"/>
      <x:c r="L257" s="411" t="str"/>
      <x:c r="M257" s="411" t="str"/>
      <x:c r="N257" s="464" t="str">
        <x:f>IF(OR(L257="",M257=""),"",IF(L257&lt;=M257,"Passed","Review"))</x:f>
      </x:c>
      <x:c r="O257" s="411" t="str"/>
      <x:c r="P257" s="411" t="str"/>
      <x:c r="Q257" s="411" t="str"/>
      <x:c r="R257" s="411" t="str"/>
      <x:c r="S257" s="373"/>
      <x:c r="T257" s="373"/>
      <x:c r="U257" s="373"/>
      <x:c r="V257" s="373"/>
      <x:c r="W257" s="373"/>
      <x:c r="X257" s="373"/>
      <x:c r="Y257" s="373"/>
      <x:c r="Z257" s="373"/>
    </x:row>
    <x:row r="258">
      <x:c r="A258" s="411" t="str"/>
      <x:c r="B258" s="468" t="str"/>
      <x:c r="C258" s="411" t="str"/>
      <x:c r="D258" s="411" t="str"/>
      <x:c r="E258" s="411" t="str"/>
      <x:c r="F258" s="411" t="str"/>
      <x:c r="G258" s="411" t="str"/>
      <x:c r="H258" s="411" t="str"/>
      <x:c r="I258" s="411" t="str"/>
      <x:c r="J258" s="411" t="str"/>
      <x:c r="K258" s="411" t="str"/>
      <x:c r="L258" s="411" t="str"/>
      <x:c r="M258" s="411" t="str"/>
      <x:c r="N258" s="464" t="str">
        <x:f>IF(OR(L258="",M258=""),"",IF(L258&lt;=M258,"Passed","Review"))</x:f>
      </x:c>
      <x:c r="O258" s="411" t="str"/>
      <x:c r="P258" s="411" t="str"/>
      <x:c r="Q258" s="411" t="str"/>
      <x:c r="R258" s="411" t="str"/>
      <x:c r="S258" s="373"/>
      <x:c r="T258" s="373"/>
      <x:c r="U258" s="373"/>
      <x:c r="V258" s="373"/>
      <x:c r="W258" s="373"/>
      <x:c r="X258" s="373"/>
      <x:c r="Y258" s="373"/>
      <x:c r="Z258" s="373"/>
    </x:row>
    <x:row r="259">
      <x:c r="A259" s="411" t="str"/>
      <x:c r="B259" s="468" t="str"/>
      <x:c r="C259" s="411" t="str"/>
      <x:c r="D259" s="411" t="str"/>
      <x:c r="E259" s="411" t="str"/>
      <x:c r="F259" s="411" t="str"/>
      <x:c r="G259" s="411" t="str"/>
      <x:c r="H259" s="411" t="str"/>
      <x:c r="I259" s="411" t="str"/>
      <x:c r="J259" s="411" t="str"/>
      <x:c r="K259" s="411" t="str"/>
      <x:c r="L259" s="411" t="str"/>
      <x:c r="M259" s="411" t="str"/>
      <x:c r="N259" s="464" t="str">
        <x:f>IF(OR(L259="",M259=""),"",IF(L259&lt;=M259,"Passed","Review"))</x:f>
      </x:c>
      <x:c r="O259" s="411" t="str"/>
      <x:c r="P259" s="411" t="str"/>
      <x:c r="Q259" s="411" t="str"/>
      <x:c r="R259" s="411" t="str"/>
      <x:c r="S259" s="373"/>
      <x:c r="T259" s="373"/>
      <x:c r="U259" s="373"/>
      <x:c r="V259" s="373"/>
      <x:c r="W259" s="373"/>
      <x:c r="X259" s="373"/>
      <x:c r="Y259" s="373"/>
      <x:c r="Z259" s="373"/>
    </x:row>
    <x:row r="260">
      <x:c r="A260" s="411" t="str"/>
      <x:c r="B260" s="468" t="str"/>
      <x:c r="C260" s="411" t="str"/>
      <x:c r="D260" s="411" t="str"/>
      <x:c r="E260" s="411" t="str"/>
      <x:c r="F260" s="411" t="str"/>
      <x:c r="G260" s="411" t="str"/>
      <x:c r="H260" s="411" t="str"/>
      <x:c r="I260" s="411" t="str"/>
      <x:c r="J260" s="411" t="str"/>
      <x:c r="K260" s="411" t="str"/>
      <x:c r="L260" s="411" t="str"/>
      <x:c r="M260" s="411" t="str"/>
      <x:c r="N260" s="464" t="str">
        <x:f>IF(OR(L260="",M260=""),"",IF(L260&lt;=M260,"Passed","Review"))</x:f>
      </x:c>
      <x:c r="O260" s="411" t="str"/>
      <x:c r="P260" s="411" t="str"/>
      <x:c r="Q260" s="411" t="str"/>
      <x:c r="R260" s="411" t="str"/>
      <x:c r="S260" s="373"/>
      <x:c r="T260" s="373"/>
      <x:c r="U260" s="373"/>
      <x:c r="V260" s="373"/>
      <x:c r="W260" s="373"/>
      <x:c r="X260" s="373"/>
      <x:c r="Y260" s="373"/>
      <x:c r="Z260" s="373"/>
    </x:row>
    <x:row r="261">
      <x:c r="A261" s="411" t="str"/>
      <x:c r="B261" s="468" t="str"/>
      <x:c r="C261" s="411" t="str"/>
      <x:c r="D261" s="411" t="str"/>
      <x:c r="E261" s="411" t="str"/>
      <x:c r="F261" s="411" t="str"/>
      <x:c r="G261" s="411" t="str"/>
      <x:c r="H261" s="411" t="str"/>
      <x:c r="I261" s="411" t="str"/>
      <x:c r="J261" s="411" t="str"/>
      <x:c r="K261" s="411" t="str"/>
      <x:c r="L261" s="411" t="str"/>
      <x:c r="M261" s="411" t="str"/>
      <x:c r="N261" s="464" t="str">
        <x:f>IF(OR(L261="",M261=""),"",IF(L261&lt;=M261,"Passed","Review"))</x:f>
      </x:c>
      <x:c r="O261" s="411" t="str"/>
      <x:c r="P261" s="411" t="str"/>
      <x:c r="Q261" s="411" t="str"/>
      <x:c r="R261" s="411" t="str"/>
      <x:c r="S261" s="373"/>
      <x:c r="T261" s="373"/>
      <x:c r="U261" s="373"/>
      <x:c r="V261" s="373"/>
      <x:c r="W261" s="373"/>
      <x:c r="X261" s="373"/>
      <x:c r="Y261" s="373"/>
      <x:c r="Z261" s="373"/>
    </x:row>
    <x:row r="262">
      <x:c r="A262" s="411" t="str"/>
      <x:c r="B262" s="468" t="str"/>
      <x:c r="C262" s="411" t="str"/>
      <x:c r="D262" s="411" t="str"/>
      <x:c r="E262" s="411" t="str"/>
      <x:c r="F262" s="411" t="str"/>
      <x:c r="G262" s="411" t="str"/>
      <x:c r="H262" s="411" t="str"/>
      <x:c r="I262" s="411" t="str"/>
      <x:c r="J262" s="411" t="str"/>
      <x:c r="K262" s="411" t="str"/>
      <x:c r="L262" s="411" t="str"/>
      <x:c r="M262" s="411" t="str"/>
      <x:c r="N262" s="464" t="str">
        <x:f>IF(OR(L262="",M262=""),"",IF(L262&lt;=M262,"Passed","Review"))</x:f>
      </x:c>
      <x:c r="O262" s="411" t="str"/>
      <x:c r="P262" s="411" t="str"/>
      <x:c r="Q262" s="411" t="str"/>
      <x:c r="R262" s="411" t="str"/>
      <x:c r="S262" s="373"/>
      <x:c r="T262" s="373"/>
      <x:c r="U262" s="373"/>
      <x:c r="V262" s="373"/>
      <x:c r="W262" s="373"/>
      <x:c r="X262" s="373"/>
      <x:c r="Y262" s="373"/>
      <x:c r="Z262" s="373"/>
    </x:row>
    <x:row r="263">
      <x:c r="A263" s="411" t="str"/>
      <x:c r="B263" s="468" t="str"/>
      <x:c r="C263" s="411" t="str"/>
      <x:c r="D263" s="411" t="str"/>
      <x:c r="E263" s="411" t="str"/>
      <x:c r="F263" s="411" t="str"/>
      <x:c r="G263" s="411" t="str"/>
      <x:c r="H263" s="411" t="str"/>
      <x:c r="I263" s="411" t="str"/>
      <x:c r="J263" s="411" t="str"/>
      <x:c r="K263" s="411" t="str"/>
      <x:c r="L263" s="411" t="str"/>
      <x:c r="M263" s="411" t="str"/>
      <x:c r="N263" s="464" t="str">
        <x:f>IF(OR(L263="",M263=""),"",IF(L263&lt;=M263,"Passed","Review"))</x:f>
      </x:c>
      <x:c r="O263" s="411" t="str"/>
      <x:c r="P263" s="411" t="str"/>
      <x:c r="Q263" s="411" t="str"/>
      <x:c r="R263" s="411" t="str"/>
      <x:c r="S263" s="373"/>
      <x:c r="T263" s="373"/>
      <x:c r="U263" s="373"/>
      <x:c r="V263" s="373"/>
      <x:c r="W263" s="373"/>
      <x:c r="X263" s="373"/>
      <x:c r="Y263" s="373"/>
      <x:c r="Z263" s="373"/>
    </x:row>
    <x:row r="264">
      <x:c r="A264" s="411" t="str"/>
      <x:c r="B264" s="468" t="str"/>
      <x:c r="C264" s="411" t="str"/>
      <x:c r="D264" s="411" t="str"/>
      <x:c r="E264" s="411" t="str"/>
      <x:c r="F264" s="411" t="str"/>
      <x:c r="G264" s="411" t="str"/>
      <x:c r="H264" s="411" t="str"/>
      <x:c r="I264" s="411" t="str"/>
      <x:c r="J264" s="411" t="str"/>
      <x:c r="K264" s="411" t="str"/>
      <x:c r="L264" s="411" t="str"/>
      <x:c r="M264" s="411" t="str"/>
      <x:c r="N264" s="464" t="str">
        <x:f>IF(OR(L264="",M264=""),"",IF(L264&lt;=M264,"Passed","Review"))</x:f>
      </x:c>
      <x:c r="O264" s="411" t="str"/>
      <x:c r="P264" s="411" t="str"/>
      <x:c r="Q264" s="411" t="str"/>
      <x:c r="R264" s="411" t="str"/>
      <x:c r="S264" s="373"/>
      <x:c r="T264" s="373"/>
      <x:c r="U264" s="373"/>
      <x:c r="V264" s="373"/>
      <x:c r="W264" s="373"/>
      <x:c r="X264" s="373"/>
      <x:c r="Y264" s="373"/>
      <x:c r="Z264" s="373"/>
    </x:row>
    <x:row r="265">
      <x:c r="A265" s="411" t="str"/>
      <x:c r="B265" s="468" t="str"/>
      <x:c r="C265" s="411" t="str"/>
      <x:c r="D265" s="411" t="str"/>
      <x:c r="E265" s="411" t="str"/>
      <x:c r="F265" s="411" t="str"/>
      <x:c r="G265" s="411" t="str"/>
      <x:c r="H265" s="411" t="str"/>
      <x:c r="I265" s="411" t="str"/>
      <x:c r="J265" s="411" t="str"/>
      <x:c r="K265" s="411" t="str"/>
      <x:c r="L265" s="411" t="str"/>
      <x:c r="M265" s="411" t="str"/>
      <x:c r="N265" s="464" t="str">
        <x:f>IF(OR(L265="",M265=""),"",IF(L265&lt;=M265,"Passed","Review"))</x:f>
      </x:c>
      <x:c r="O265" s="411" t="str"/>
      <x:c r="P265" s="411" t="str"/>
      <x:c r="Q265" s="411" t="str"/>
      <x:c r="R265" s="411" t="str"/>
      <x:c r="S265" s="373"/>
      <x:c r="T265" s="373"/>
      <x:c r="U265" s="373"/>
      <x:c r="V265" s="373"/>
      <x:c r="W265" s="373"/>
      <x:c r="X265" s="373"/>
      <x:c r="Y265" s="373"/>
      <x:c r="Z265" s="373"/>
    </x:row>
    <x:row r="266">
      <x:c r="A266" s="411" t="str"/>
      <x:c r="B266" s="468" t="str"/>
      <x:c r="C266" s="411" t="str"/>
      <x:c r="D266" s="411" t="str"/>
      <x:c r="E266" s="411" t="str"/>
      <x:c r="F266" s="411" t="str"/>
      <x:c r="G266" s="411" t="str"/>
      <x:c r="H266" s="411" t="str"/>
      <x:c r="I266" s="411" t="str"/>
      <x:c r="J266" s="411" t="str"/>
      <x:c r="K266" s="411" t="str"/>
      <x:c r="L266" s="411" t="str"/>
      <x:c r="M266" s="411" t="str"/>
      <x:c r="N266" s="464" t="str">
        <x:f>IF(OR(L266="",M266=""),"",IF(L266&lt;=M266,"Passed","Review"))</x:f>
      </x:c>
      <x:c r="O266" s="411" t="str"/>
      <x:c r="P266" s="411" t="str"/>
      <x:c r="Q266" s="411" t="str"/>
      <x:c r="R266" s="411" t="str"/>
      <x:c r="S266" s="373"/>
      <x:c r="T266" s="373"/>
      <x:c r="U266" s="373"/>
      <x:c r="V266" s="373"/>
      <x:c r="W266" s="373"/>
      <x:c r="X266" s="373"/>
      <x:c r="Y266" s="373"/>
      <x:c r="Z266" s="373"/>
    </x:row>
    <x:row r="267">
      <x:c r="A267" s="411" t="str"/>
      <x:c r="B267" s="468" t="str"/>
      <x:c r="C267" s="411" t="str"/>
      <x:c r="D267" s="411" t="str"/>
      <x:c r="E267" s="411" t="str"/>
      <x:c r="F267" s="411" t="str"/>
      <x:c r="G267" s="411" t="str"/>
      <x:c r="H267" s="411" t="str"/>
      <x:c r="I267" s="411" t="str"/>
      <x:c r="J267" s="411" t="str"/>
      <x:c r="K267" s="411" t="str"/>
      <x:c r="L267" s="411" t="str"/>
      <x:c r="M267" s="411" t="str"/>
      <x:c r="N267" s="464" t="str">
        <x:f>IF(OR(L267="",M267=""),"",IF(L267&lt;=M267,"Passed","Review"))</x:f>
      </x:c>
      <x:c r="O267" s="411" t="str"/>
      <x:c r="P267" s="411" t="str"/>
      <x:c r="Q267" s="411" t="str"/>
      <x:c r="R267" s="411" t="str"/>
      <x:c r="S267" s="373"/>
      <x:c r="T267" s="373"/>
      <x:c r="U267" s="373"/>
      <x:c r="V267" s="373"/>
      <x:c r="W267" s="373"/>
      <x:c r="X267" s="373"/>
      <x:c r="Y267" s="373"/>
      <x:c r="Z267" s="373"/>
    </x:row>
    <x:row r="268">
      <x:c r="A268" s="411" t="str"/>
      <x:c r="B268" s="468" t="str"/>
      <x:c r="C268" s="411" t="str"/>
      <x:c r="D268" s="411" t="str"/>
      <x:c r="E268" s="411" t="str"/>
      <x:c r="F268" s="411" t="str"/>
      <x:c r="G268" s="411" t="str"/>
      <x:c r="H268" s="411" t="str"/>
      <x:c r="I268" s="411" t="str"/>
      <x:c r="J268" s="411" t="str"/>
      <x:c r="K268" s="411" t="str"/>
      <x:c r="L268" s="411" t="str"/>
      <x:c r="M268" s="411" t="str"/>
      <x:c r="N268" s="464" t="str">
        <x:f>IF(OR(L268="",M268=""),"",IF(L268&lt;=M268,"Passed","Review"))</x:f>
      </x:c>
      <x:c r="O268" s="411" t="str"/>
      <x:c r="P268" s="411" t="str"/>
      <x:c r="Q268" s="411" t="str"/>
      <x:c r="R268" s="411" t="str"/>
      <x:c r="S268" s="373"/>
      <x:c r="T268" s="373"/>
      <x:c r="U268" s="373"/>
      <x:c r="V268" s="373"/>
      <x:c r="W268" s="373"/>
      <x:c r="X268" s="373"/>
      <x:c r="Y268" s="373"/>
      <x:c r="Z268" s="373"/>
    </x:row>
    <x:row r="269">
      <x:c r="A269" s="411" t="str"/>
      <x:c r="B269" s="468" t="str"/>
      <x:c r="C269" s="411" t="str"/>
      <x:c r="D269" s="411" t="str"/>
      <x:c r="E269" s="411" t="str"/>
      <x:c r="F269" s="411" t="str"/>
      <x:c r="G269" s="411" t="str"/>
      <x:c r="H269" s="411" t="str"/>
      <x:c r="I269" s="411" t="str"/>
      <x:c r="J269" s="411" t="str"/>
      <x:c r="K269" s="411" t="str"/>
      <x:c r="L269" s="411" t="str"/>
      <x:c r="M269" s="411" t="str"/>
      <x:c r="N269" s="464" t="str">
        <x:f>IF(OR(L269="",M269=""),"",IF(L269&lt;=M269,"Passed","Review"))</x:f>
      </x:c>
      <x:c r="O269" s="411" t="str"/>
      <x:c r="P269" s="411" t="str"/>
      <x:c r="Q269" s="411" t="str"/>
      <x:c r="R269" s="411" t="str"/>
      <x:c r="S269" s="373"/>
      <x:c r="T269" s="373"/>
      <x:c r="U269" s="373"/>
      <x:c r="V269" s="373"/>
      <x:c r="W269" s="373"/>
      <x:c r="X269" s="373"/>
      <x:c r="Y269" s="373"/>
      <x:c r="Z269" s="373"/>
    </x:row>
    <x:row r="270">
      <x:c r="A270" s="411" t="str"/>
      <x:c r="B270" s="468" t="str"/>
      <x:c r="C270" s="411" t="str"/>
      <x:c r="D270" s="411" t="str"/>
      <x:c r="E270" s="411" t="str"/>
      <x:c r="F270" s="411" t="str"/>
      <x:c r="G270" s="411" t="str"/>
      <x:c r="H270" s="411" t="str"/>
      <x:c r="I270" s="411" t="str"/>
      <x:c r="J270" s="411" t="str"/>
      <x:c r="K270" s="411" t="str"/>
      <x:c r="L270" s="411" t="str"/>
      <x:c r="M270" s="411" t="str"/>
      <x:c r="N270" s="464" t="str">
        <x:f>IF(OR(L270="",M270=""),"",IF(L270&lt;=M270,"Passed","Review"))</x:f>
      </x:c>
      <x:c r="O270" s="411" t="str"/>
      <x:c r="P270" s="411" t="str"/>
      <x:c r="Q270" s="411" t="str"/>
      <x:c r="R270" s="411" t="str"/>
      <x:c r="S270" s="373"/>
      <x:c r="T270" s="373"/>
      <x:c r="U270" s="373"/>
      <x:c r="V270" s="373"/>
      <x:c r="W270" s="373"/>
      <x:c r="X270" s="373"/>
      <x:c r="Y270" s="373"/>
      <x:c r="Z270" s="373"/>
    </x:row>
    <x:row r="271">
      <x:c r="A271" s="411" t="str"/>
      <x:c r="B271" s="468" t="str"/>
      <x:c r="C271" s="411" t="str"/>
      <x:c r="D271" s="411" t="str"/>
      <x:c r="E271" s="411" t="str"/>
      <x:c r="F271" s="411" t="str"/>
      <x:c r="G271" s="411" t="str"/>
      <x:c r="H271" s="411" t="str"/>
      <x:c r="I271" s="411" t="str"/>
      <x:c r="J271" s="411" t="str"/>
      <x:c r="K271" s="411" t="str"/>
      <x:c r="L271" s="411" t="str"/>
      <x:c r="M271" s="411" t="str"/>
      <x:c r="N271" s="464" t="str">
        <x:f>IF(OR(L271="",M271=""),"",IF(L271&lt;=M271,"Passed","Review"))</x:f>
      </x:c>
      <x:c r="O271" s="411" t="str"/>
      <x:c r="P271" s="411" t="str"/>
      <x:c r="Q271" s="411" t="str"/>
      <x:c r="R271" s="411" t="str"/>
      <x:c r="S271" s="373"/>
      <x:c r="T271" s="373"/>
      <x:c r="U271" s="373"/>
      <x:c r="V271" s="373"/>
      <x:c r="W271" s="373"/>
      <x:c r="X271" s="373"/>
      <x:c r="Y271" s="373"/>
      <x:c r="Z271" s="373"/>
    </x:row>
    <x:row r="272">
      <x:c r="A272" s="411" t="str"/>
      <x:c r="B272" s="468" t="str"/>
      <x:c r="C272" s="411" t="str"/>
      <x:c r="D272" s="411" t="str"/>
      <x:c r="E272" s="411" t="str"/>
      <x:c r="F272" s="411" t="str"/>
      <x:c r="G272" s="411" t="str"/>
      <x:c r="H272" s="411" t="str"/>
      <x:c r="I272" s="411" t="str"/>
      <x:c r="J272" s="411" t="str"/>
      <x:c r="K272" s="411" t="str"/>
      <x:c r="L272" s="411" t="str"/>
      <x:c r="M272" s="411" t="str"/>
      <x:c r="N272" s="464" t="str">
        <x:f>IF(OR(L272="",M272=""),"",IF(L272&lt;=M272,"Passed","Review"))</x:f>
      </x:c>
      <x:c r="O272" s="411" t="str"/>
      <x:c r="P272" s="411" t="str"/>
      <x:c r="Q272" s="411" t="str"/>
      <x:c r="R272" s="411" t="str"/>
      <x:c r="S272" s="373"/>
      <x:c r="T272" s="373"/>
      <x:c r="U272" s="373"/>
      <x:c r="V272" s="373"/>
      <x:c r="W272" s="373"/>
      <x:c r="X272" s="373"/>
      <x:c r="Y272" s="373"/>
      <x:c r="Z272" s="373"/>
    </x:row>
    <x:row r="273">
      <x:c r="A273" s="411" t="str"/>
      <x:c r="B273" s="468" t="str"/>
      <x:c r="C273" s="411" t="str"/>
      <x:c r="D273" s="411" t="str"/>
      <x:c r="E273" s="411" t="str"/>
      <x:c r="F273" s="411" t="str"/>
      <x:c r="G273" s="411" t="str"/>
      <x:c r="H273" s="411" t="str"/>
      <x:c r="I273" s="411" t="str"/>
      <x:c r="J273" s="411" t="str"/>
      <x:c r="K273" s="411" t="str"/>
      <x:c r="L273" s="411" t="str"/>
      <x:c r="M273" s="411" t="str"/>
      <x:c r="N273" s="464" t="str">
        <x:f>IF(OR(L273="",M273=""),"",IF(L273&lt;=M273,"Passed","Review"))</x:f>
      </x:c>
      <x:c r="O273" s="411" t="str"/>
      <x:c r="P273" s="411" t="str"/>
      <x:c r="Q273" s="411" t="str"/>
      <x:c r="R273" s="411" t="str"/>
      <x:c r="S273" s="373"/>
      <x:c r="T273" s="373"/>
      <x:c r="U273" s="373"/>
      <x:c r="V273" s="373"/>
      <x:c r="W273" s="373"/>
      <x:c r="X273" s="373"/>
      <x:c r="Y273" s="373"/>
      <x:c r="Z273" s="373"/>
    </x:row>
    <x:row r="274">
      <x:c r="A274" s="411" t="str"/>
      <x:c r="B274" s="468" t="str"/>
      <x:c r="C274" s="411" t="str"/>
      <x:c r="D274" s="411" t="str"/>
      <x:c r="E274" s="411" t="str"/>
      <x:c r="F274" s="411" t="str"/>
      <x:c r="G274" s="411" t="str"/>
      <x:c r="H274" s="411" t="str"/>
      <x:c r="I274" s="411" t="str"/>
      <x:c r="J274" s="411" t="str"/>
      <x:c r="K274" s="411" t="str"/>
      <x:c r="L274" s="411" t="str"/>
      <x:c r="M274" s="411" t="str"/>
      <x:c r="N274" s="464" t="str">
        <x:f>IF(OR(L274="",M274=""),"",IF(L274&lt;=M274,"Passed","Review"))</x:f>
      </x:c>
      <x:c r="O274" s="411" t="str"/>
      <x:c r="P274" s="411" t="str"/>
      <x:c r="Q274" s="411" t="str"/>
      <x:c r="R274" s="411" t="str"/>
      <x:c r="S274" s="373"/>
      <x:c r="T274" s="373"/>
      <x:c r="U274" s="373"/>
      <x:c r="V274" s="373"/>
      <x:c r="W274" s="373"/>
      <x:c r="X274" s="373"/>
      <x:c r="Y274" s="373"/>
      <x:c r="Z274" s="373"/>
    </x:row>
    <x:row r="275">
      <x:c r="A275" s="411" t="str"/>
      <x:c r="B275" s="468" t="str"/>
      <x:c r="C275" s="411" t="str"/>
      <x:c r="D275" s="411" t="str"/>
      <x:c r="E275" s="411" t="str"/>
      <x:c r="F275" s="411" t="str"/>
      <x:c r="G275" s="411" t="str"/>
      <x:c r="H275" s="411" t="str"/>
      <x:c r="I275" s="411" t="str"/>
      <x:c r="J275" s="411" t="str"/>
      <x:c r="K275" s="411" t="str"/>
      <x:c r="L275" s="411" t="str"/>
      <x:c r="M275" s="411" t="str"/>
      <x:c r="N275" s="464" t="str">
        <x:f>IF(OR(L275="",M275=""),"",IF(L275&lt;=M275,"Passed","Review"))</x:f>
      </x:c>
      <x:c r="O275" s="411" t="str"/>
      <x:c r="P275" s="411" t="str"/>
      <x:c r="Q275" s="411" t="str"/>
      <x:c r="R275" s="411" t="str"/>
      <x:c r="S275" s="373"/>
      <x:c r="T275" s="373"/>
      <x:c r="U275" s="373"/>
      <x:c r="V275" s="373"/>
      <x:c r="W275" s="373"/>
      <x:c r="X275" s="373"/>
      <x:c r="Y275" s="373"/>
      <x:c r="Z275" s="373"/>
    </x:row>
    <x:row r="276">
      <x:c r="A276" s="411" t="str"/>
      <x:c r="B276" s="468" t="str"/>
      <x:c r="C276" s="411" t="str"/>
      <x:c r="D276" s="411" t="str"/>
      <x:c r="E276" s="411" t="str"/>
      <x:c r="F276" s="411" t="str"/>
      <x:c r="G276" s="411" t="str"/>
      <x:c r="H276" s="411" t="str"/>
      <x:c r="I276" s="411" t="str"/>
      <x:c r="J276" s="411" t="str"/>
      <x:c r="K276" s="411" t="str"/>
      <x:c r="L276" s="411" t="str"/>
      <x:c r="M276" s="411" t="str"/>
      <x:c r="N276" s="464" t="str">
        <x:f>IF(OR(L276="",M276=""),"",IF(L276&lt;=M276,"Passed","Review"))</x:f>
      </x:c>
      <x:c r="O276" s="411" t="str"/>
      <x:c r="P276" s="411" t="str"/>
      <x:c r="Q276" s="411" t="str"/>
      <x:c r="R276" s="411" t="str"/>
      <x:c r="S276" s="373"/>
      <x:c r="T276" s="373"/>
      <x:c r="U276" s="373"/>
      <x:c r="V276" s="373"/>
      <x:c r="W276" s="373"/>
      <x:c r="X276" s="373"/>
      <x:c r="Y276" s="373"/>
      <x:c r="Z276" s="373"/>
    </x:row>
    <x:row r="277">
      <x:c r="A277" s="411" t="str"/>
      <x:c r="B277" s="468" t="str"/>
      <x:c r="C277" s="411" t="str"/>
      <x:c r="D277" s="411" t="str"/>
      <x:c r="E277" s="411" t="str"/>
      <x:c r="F277" s="411" t="str"/>
      <x:c r="G277" s="411" t="str"/>
      <x:c r="H277" s="411" t="str"/>
      <x:c r="I277" s="411" t="str"/>
      <x:c r="J277" s="411" t="str"/>
      <x:c r="K277" s="411" t="str"/>
      <x:c r="L277" s="411" t="str"/>
      <x:c r="M277" s="411" t="str"/>
      <x:c r="N277" s="464" t="str">
        <x:f>IF(OR(L277="",M277=""),"",IF(L277&lt;=M277,"Passed","Review"))</x:f>
      </x:c>
      <x:c r="O277" s="411" t="str"/>
      <x:c r="P277" s="411" t="str"/>
      <x:c r="Q277" s="411" t="str"/>
      <x:c r="R277" s="411" t="str"/>
      <x:c r="S277" s="373"/>
      <x:c r="T277" s="373"/>
      <x:c r="U277" s="373"/>
      <x:c r="V277" s="373"/>
      <x:c r="W277" s="373"/>
      <x:c r="X277" s="373"/>
      <x:c r="Y277" s="373"/>
      <x:c r="Z277" s="373"/>
    </x:row>
    <x:row r="278">
      <x:c r="A278" s="411" t="str"/>
      <x:c r="B278" s="468" t="str"/>
      <x:c r="C278" s="411" t="str"/>
      <x:c r="D278" s="411" t="str"/>
      <x:c r="E278" s="411" t="str"/>
      <x:c r="F278" s="411" t="str"/>
      <x:c r="G278" s="411" t="str"/>
      <x:c r="H278" s="411" t="str"/>
      <x:c r="I278" s="411" t="str"/>
      <x:c r="J278" s="411" t="str"/>
      <x:c r="K278" s="411" t="str"/>
      <x:c r="L278" s="411" t="str"/>
      <x:c r="M278" s="411" t="str"/>
      <x:c r="N278" s="464" t="str">
        <x:f>IF(OR(L278="",M278=""),"",IF(L278&lt;=M278,"Passed","Review"))</x:f>
      </x:c>
      <x:c r="O278" s="411" t="str"/>
      <x:c r="P278" s="411" t="str"/>
      <x:c r="Q278" s="411" t="str"/>
      <x:c r="R278" s="411" t="str"/>
      <x:c r="S278" s="373"/>
      <x:c r="T278" s="373"/>
      <x:c r="U278" s="373"/>
      <x:c r="V278" s="373"/>
      <x:c r="W278" s="373"/>
      <x:c r="X278" s="373"/>
      <x:c r="Y278" s="373"/>
      <x:c r="Z278" s="373"/>
    </x:row>
    <x:row r="279">
      <x:c r="A279" s="411" t="str"/>
      <x:c r="B279" s="468" t="str"/>
      <x:c r="C279" s="411" t="str"/>
      <x:c r="D279" s="411" t="str"/>
      <x:c r="E279" s="411" t="str"/>
      <x:c r="F279" s="411" t="str"/>
      <x:c r="G279" s="411" t="str"/>
      <x:c r="H279" s="411" t="str"/>
      <x:c r="I279" s="411" t="str"/>
      <x:c r="J279" s="411" t="str"/>
      <x:c r="K279" s="411" t="str"/>
      <x:c r="L279" s="411" t="str"/>
      <x:c r="M279" s="411" t="str"/>
      <x:c r="N279" s="464" t="str">
        <x:f>IF(OR(L279="",M279=""),"",IF(L279&lt;=M279,"Passed","Review"))</x:f>
      </x:c>
      <x:c r="O279" s="411" t="str"/>
      <x:c r="P279" s="411" t="str"/>
      <x:c r="Q279" s="411" t="str"/>
      <x:c r="R279" s="411" t="str"/>
      <x:c r="S279" s="373"/>
      <x:c r="T279" s="373"/>
      <x:c r="U279" s="373"/>
      <x:c r="V279" s="373"/>
      <x:c r="W279" s="373"/>
      <x:c r="X279" s="373"/>
      <x:c r="Y279" s="373"/>
      <x:c r="Z279" s="373"/>
    </x:row>
    <x:row r="280">
      <x:c r="A280" s="411" t="str"/>
      <x:c r="B280" s="468" t="str"/>
      <x:c r="C280" s="411" t="str"/>
      <x:c r="D280" s="411" t="str"/>
      <x:c r="E280" s="411" t="str"/>
      <x:c r="F280" s="411" t="str"/>
      <x:c r="G280" s="411" t="str"/>
      <x:c r="H280" s="411" t="str"/>
      <x:c r="I280" s="411" t="str"/>
      <x:c r="J280" s="411" t="str"/>
      <x:c r="K280" s="411" t="str"/>
      <x:c r="L280" s="411" t="str"/>
      <x:c r="M280" s="411" t="str"/>
      <x:c r="N280" s="464" t="str">
        <x:f>IF(OR(L280="",M280=""),"",IF(L280&lt;=M280,"Passed","Review"))</x:f>
      </x:c>
      <x:c r="O280" s="411" t="str"/>
      <x:c r="P280" s="411" t="str"/>
      <x:c r="Q280" s="411" t="str"/>
      <x:c r="R280" s="411" t="str"/>
      <x:c r="S280" s="373"/>
      <x:c r="T280" s="373"/>
      <x:c r="U280" s="373"/>
      <x:c r="V280" s="373"/>
      <x:c r="W280" s="373"/>
      <x:c r="X280" s="373"/>
      <x:c r="Y280" s="373"/>
      <x:c r="Z280" s="373"/>
    </x:row>
    <x:row r="281">
      <x:c r="A281" s="411" t="str"/>
      <x:c r="B281" s="468" t="str"/>
      <x:c r="C281" s="411" t="str"/>
      <x:c r="D281" s="411" t="str"/>
      <x:c r="E281" s="411" t="str"/>
      <x:c r="F281" s="411" t="str"/>
      <x:c r="G281" s="411" t="str"/>
      <x:c r="H281" s="411" t="str"/>
      <x:c r="I281" s="411" t="str"/>
      <x:c r="J281" s="411" t="str"/>
      <x:c r="K281" s="411" t="str"/>
      <x:c r="L281" s="411" t="str"/>
      <x:c r="M281" s="411" t="str"/>
      <x:c r="N281" s="464" t="str">
        <x:f>IF(OR(L281="",M281=""),"",IF(L281&lt;=M281,"Passed","Review"))</x:f>
      </x:c>
      <x:c r="O281" s="411" t="str"/>
      <x:c r="P281" s="411" t="str"/>
      <x:c r="Q281" s="411" t="str"/>
      <x:c r="R281" s="411" t="str"/>
      <x:c r="S281" s="373"/>
      <x:c r="T281" s="373"/>
      <x:c r="U281" s="373"/>
      <x:c r="V281" s="373"/>
      <x:c r="W281" s="373"/>
      <x:c r="X281" s="373"/>
      <x:c r="Y281" s="373"/>
      <x:c r="Z281" s="373"/>
    </x:row>
    <x:row r="282">
      <x:c r="A282" s="411" t="str"/>
      <x:c r="B282" s="468" t="str"/>
      <x:c r="C282" s="411" t="str"/>
      <x:c r="D282" s="411" t="str"/>
      <x:c r="E282" s="411" t="str"/>
      <x:c r="F282" s="411" t="str"/>
      <x:c r="G282" s="411" t="str"/>
      <x:c r="H282" s="411" t="str"/>
      <x:c r="I282" s="411" t="str"/>
      <x:c r="J282" s="411" t="str"/>
      <x:c r="K282" s="411" t="str"/>
      <x:c r="L282" s="411" t="str"/>
      <x:c r="M282" s="411" t="str"/>
      <x:c r="N282" s="464" t="str">
        <x:f>IF(OR(L282="",M282=""),"",IF(L282&lt;=M282,"Passed","Review"))</x:f>
      </x:c>
      <x:c r="O282" s="411" t="str"/>
      <x:c r="P282" s="411" t="str"/>
      <x:c r="Q282" s="411" t="str"/>
      <x:c r="R282" s="411" t="str"/>
      <x:c r="S282" s="373"/>
      <x:c r="T282" s="373"/>
      <x:c r="U282" s="373"/>
      <x:c r="V282" s="373"/>
      <x:c r="W282" s="373"/>
      <x:c r="X282" s="373"/>
      <x:c r="Y282" s="373"/>
      <x:c r="Z282" s="373"/>
    </x:row>
    <x:row r="283">
      <x:c r="A283" s="411" t="str"/>
      <x:c r="B283" s="468" t="str"/>
      <x:c r="C283" s="411" t="str"/>
      <x:c r="D283" s="411" t="str"/>
      <x:c r="E283" s="411" t="str"/>
      <x:c r="F283" s="411" t="str"/>
      <x:c r="G283" s="411" t="str"/>
      <x:c r="H283" s="411" t="str"/>
      <x:c r="I283" s="411" t="str"/>
      <x:c r="J283" s="411" t="str"/>
      <x:c r="K283" s="411" t="str"/>
      <x:c r="L283" s="411" t="str"/>
      <x:c r="M283" s="411" t="str"/>
      <x:c r="N283" s="464" t="str">
        <x:f>IF(OR(L283="",M283=""),"",IF(L283&lt;=M283,"Passed","Review"))</x:f>
      </x:c>
      <x:c r="O283" s="411" t="str"/>
      <x:c r="P283" s="411" t="str"/>
      <x:c r="Q283" s="411" t="str"/>
      <x:c r="R283" s="411" t="str"/>
      <x:c r="S283" s="373"/>
      <x:c r="T283" s="373"/>
      <x:c r="U283" s="373"/>
      <x:c r="V283" s="373"/>
      <x:c r="W283" s="373"/>
      <x:c r="X283" s="373"/>
      <x:c r="Y283" s="373"/>
      <x:c r="Z283" s="373"/>
    </x:row>
    <x:row r="284">
      <x:c r="A284" s="411" t="str"/>
      <x:c r="B284" s="468" t="str"/>
      <x:c r="C284" s="411" t="str"/>
      <x:c r="D284" s="411" t="str"/>
      <x:c r="E284" s="411" t="str"/>
      <x:c r="F284" s="411" t="str"/>
      <x:c r="G284" s="411" t="str"/>
      <x:c r="H284" s="411" t="str"/>
      <x:c r="I284" s="411" t="str"/>
      <x:c r="J284" s="411" t="str"/>
      <x:c r="K284" s="411" t="str"/>
      <x:c r="L284" s="411" t="str"/>
      <x:c r="M284" s="411" t="str"/>
      <x:c r="N284" s="464" t="str">
        <x:f>IF(OR(L284="",M284=""),"",IF(L284&lt;=M284,"Passed","Review"))</x:f>
      </x:c>
      <x:c r="O284" s="411" t="str"/>
      <x:c r="P284" s="411" t="str"/>
      <x:c r="Q284" s="411" t="str"/>
      <x:c r="R284" s="411" t="str"/>
      <x:c r="S284" s="373"/>
      <x:c r="T284" s="373"/>
      <x:c r="U284" s="373"/>
      <x:c r="V284" s="373"/>
      <x:c r="W284" s="373"/>
      <x:c r="X284" s="373"/>
      <x:c r="Y284" s="373"/>
      <x:c r="Z284" s="373"/>
    </x:row>
    <x:row r="285">
      <x:c r="A285" s="411" t="str"/>
      <x:c r="B285" s="468" t="str"/>
      <x:c r="C285" s="411" t="str"/>
      <x:c r="D285" s="411" t="str"/>
      <x:c r="E285" s="411" t="str"/>
      <x:c r="F285" s="411" t="str"/>
      <x:c r="G285" s="411" t="str"/>
      <x:c r="H285" s="411" t="str"/>
      <x:c r="I285" s="411" t="str"/>
      <x:c r="J285" s="411" t="str"/>
      <x:c r="K285" s="411" t="str"/>
      <x:c r="L285" s="411" t="str"/>
      <x:c r="M285" s="411" t="str"/>
      <x:c r="N285" s="464" t="str">
        <x:f>IF(OR(L285="",M285=""),"",IF(L285&lt;=M285,"Passed","Review"))</x:f>
      </x:c>
      <x:c r="O285" s="411" t="str"/>
      <x:c r="P285" s="411" t="str"/>
      <x:c r="Q285" s="411" t="str"/>
      <x:c r="R285" s="411" t="str"/>
      <x:c r="S285" s="373"/>
      <x:c r="T285" s="373"/>
      <x:c r="U285" s="373"/>
      <x:c r="V285" s="373"/>
      <x:c r="W285" s="373"/>
      <x:c r="X285" s="373"/>
      <x:c r="Y285" s="373"/>
      <x:c r="Z285" s="373"/>
    </x:row>
    <x:row r="286">
      <x:c r="A286" s="411" t="str"/>
      <x:c r="B286" s="468" t="str"/>
      <x:c r="C286" s="411" t="str"/>
      <x:c r="D286" s="411" t="str"/>
      <x:c r="E286" s="411" t="str"/>
      <x:c r="F286" s="411" t="str"/>
      <x:c r="G286" s="411" t="str"/>
      <x:c r="H286" s="411" t="str"/>
      <x:c r="I286" s="411" t="str"/>
      <x:c r="J286" s="411" t="str"/>
      <x:c r="K286" s="411" t="str"/>
      <x:c r="L286" s="411" t="str"/>
      <x:c r="M286" s="411" t="str"/>
      <x:c r="N286" s="464" t="str">
        <x:f>IF(OR(L286="",M286=""),"",IF(L286&lt;=M286,"Passed","Review"))</x:f>
      </x:c>
      <x:c r="O286" s="411" t="str"/>
      <x:c r="P286" s="411" t="str"/>
      <x:c r="Q286" s="411" t="str"/>
      <x:c r="R286" s="411" t="str"/>
      <x:c r="S286" s="373"/>
      <x:c r="T286" s="373"/>
      <x:c r="U286" s="373"/>
      <x:c r="V286" s="373"/>
      <x:c r="W286" s="373"/>
      <x:c r="X286" s="373"/>
      <x:c r="Y286" s="373"/>
      <x:c r="Z286" s="373"/>
    </x:row>
    <x:row r="287">
      <x:c r="A287" s="411" t="str"/>
      <x:c r="B287" s="468" t="str"/>
      <x:c r="C287" s="411" t="str"/>
      <x:c r="D287" s="411" t="str"/>
      <x:c r="E287" s="411" t="str"/>
      <x:c r="F287" s="411" t="str"/>
      <x:c r="G287" s="411" t="str"/>
      <x:c r="H287" s="411" t="str"/>
      <x:c r="I287" s="411" t="str"/>
      <x:c r="J287" s="411" t="str"/>
      <x:c r="K287" s="411" t="str"/>
      <x:c r="L287" s="411" t="str"/>
      <x:c r="M287" s="411" t="str"/>
      <x:c r="N287" s="464" t="str">
        <x:f>IF(OR(L287="",M287=""),"",IF(L287&lt;=M287,"Passed","Review"))</x:f>
      </x:c>
      <x:c r="O287" s="411" t="str"/>
      <x:c r="P287" s="411" t="str"/>
      <x:c r="Q287" s="411" t="str"/>
      <x:c r="R287" s="411" t="str"/>
      <x:c r="S287" s="373"/>
      <x:c r="T287" s="373"/>
      <x:c r="U287" s="373"/>
      <x:c r="V287" s="373"/>
      <x:c r="W287" s="373"/>
      <x:c r="X287" s="373"/>
      <x:c r="Y287" s="373"/>
      <x:c r="Z287" s="373"/>
    </x:row>
    <x:row r="288">
      <x:c r="A288" s="411" t="str"/>
      <x:c r="B288" s="468" t="str"/>
      <x:c r="C288" s="411" t="str"/>
      <x:c r="D288" s="411" t="str"/>
      <x:c r="E288" s="411" t="str"/>
      <x:c r="F288" s="411" t="str"/>
      <x:c r="G288" s="411" t="str"/>
      <x:c r="H288" s="411" t="str"/>
      <x:c r="I288" s="411" t="str"/>
      <x:c r="J288" s="411" t="str"/>
      <x:c r="K288" s="411" t="str"/>
      <x:c r="L288" s="411" t="str"/>
      <x:c r="M288" s="411" t="str"/>
      <x:c r="N288" s="464" t="str">
        <x:f>IF(OR(L288="",M288=""),"",IF(L288&lt;=M288,"Passed","Review"))</x:f>
      </x:c>
      <x:c r="O288" s="411" t="str"/>
      <x:c r="P288" s="411" t="str"/>
      <x:c r="Q288" s="411" t="str"/>
      <x:c r="R288" s="411" t="str"/>
      <x:c r="S288" s="373"/>
      <x:c r="T288" s="373"/>
      <x:c r="U288" s="373"/>
      <x:c r="V288" s="373"/>
      <x:c r="W288" s="373"/>
      <x:c r="X288" s="373"/>
      <x:c r="Y288" s="373"/>
      <x:c r="Z288" s="373"/>
    </x:row>
    <x:row r="289">
      <x:c r="A289" s="411" t="str"/>
      <x:c r="B289" s="468" t="str"/>
      <x:c r="C289" s="411" t="str"/>
      <x:c r="D289" s="411" t="str"/>
      <x:c r="E289" s="411" t="str"/>
      <x:c r="F289" s="411" t="str"/>
      <x:c r="G289" s="411" t="str"/>
      <x:c r="H289" s="411" t="str"/>
      <x:c r="I289" s="411" t="str"/>
      <x:c r="J289" s="411" t="str"/>
      <x:c r="K289" s="411" t="str"/>
      <x:c r="L289" s="411" t="str"/>
      <x:c r="M289" s="411" t="str"/>
      <x:c r="N289" s="464" t="str">
        <x:f>IF(OR(L289="",M289=""),"",IF(L289&lt;=M289,"Passed","Review"))</x:f>
      </x:c>
      <x:c r="O289" s="411" t="str"/>
      <x:c r="P289" s="411" t="str"/>
      <x:c r="Q289" s="411" t="str"/>
      <x:c r="R289" s="411" t="str"/>
      <x:c r="S289" s="373"/>
      <x:c r="T289" s="373"/>
      <x:c r="U289" s="373"/>
      <x:c r="V289" s="373"/>
      <x:c r="W289" s="373"/>
      <x:c r="X289" s="373"/>
      <x:c r="Y289" s="373"/>
      <x:c r="Z289" s="373"/>
    </x:row>
    <x:row r="290">
      <x:c r="A290" s="411" t="str"/>
      <x:c r="B290" s="468" t="str"/>
      <x:c r="C290" s="411" t="str"/>
      <x:c r="D290" s="411" t="str"/>
      <x:c r="E290" s="411" t="str"/>
      <x:c r="F290" s="411" t="str"/>
      <x:c r="G290" s="411" t="str"/>
      <x:c r="H290" s="411" t="str"/>
      <x:c r="I290" s="411" t="str"/>
      <x:c r="J290" s="411" t="str"/>
      <x:c r="K290" s="411" t="str"/>
      <x:c r="L290" s="411" t="str"/>
      <x:c r="M290" s="411" t="str"/>
      <x:c r="N290" s="464" t="str">
        <x:f>IF(OR(L290="",M290=""),"",IF(L290&lt;=M290,"Passed","Review"))</x:f>
      </x:c>
      <x:c r="O290" s="411" t="str"/>
      <x:c r="P290" s="411" t="str"/>
      <x:c r="Q290" s="411" t="str"/>
      <x:c r="R290" s="411" t="str"/>
      <x:c r="S290" s="373"/>
      <x:c r="T290" s="373"/>
      <x:c r="U290" s="373"/>
      <x:c r="V290" s="373"/>
      <x:c r="W290" s="373"/>
      <x:c r="X290" s="373"/>
      <x:c r="Y290" s="373"/>
      <x:c r="Z290" s="373"/>
    </x:row>
    <x:row r="291">
      <x:c r="A291" s="411" t="str"/>
      <x:c r="B291" s="468" t="str"/>
      <x:c r="C291" s="411" t="str"/>
      <x:c r="D291" s="411" t="str"/>
      <x:c r="E291" s="411" t="str"/>
      <x:c r="F291" s="411" t="str"/>
      <x:c r="G291" s="411" t="str"/>
      <x:c r="H291" s="411" t="str"/>
      <x:c r="I291" s="411" t="str"/>
      <x:c r="J291" s="411" t="str"/>
      <x:c r="K291" s="411" t="str"/>
      <x:c r="L291" s="411" t="str"/>
      <x:c r="M291" s="411" t="str"/>
      <x:c r="N291" s="464" t="str">
        <x:f>IF(OR(L291="",M291=""),"",IF(L291&lt;=M291,"Passed","Review"))</x:f>
      </x:c>
      <x:c r="O291" s="411" t="str"/>
      <x:c r="P291" s="411" t="str"/>
      <x:c r="Q291" s="411" t="str"/>
      <x:c r="R291" s="411" t="str"/>
      <x:c r="S291" s="373"/>
      <x:c r="T291" s="373"/>
      <x:c r="U291" s="373"/>
      <x:c r="V291" s="373"/>
      <x:c r="W291" s="373"/>
      <x:c r="X291" s="373"/>
      <x:c r="Y291" s="373"/>
      <x:c r="Z291" s="373"/>
    </x:row>
    <x:row r="292">
      <x:c r="A292" s="411" t="str"/>
      <x:c r="B292" s="468" t="str"/>
      <x:c r="C292" s="411" t="str"/>
      <x:c r="D292" s="411" t="str"/>
      <x:c r="E292" s="411" t="str"/>
      <x:c r="F292" s="411" t="str"/>
      <x:c r="G292" s="411" t="str"/>
      <x:c r="H292" s="411" t="str"/>
      <x:c r="I292" s="411" t="str"/>
      <x:c r="J292" s="411" t="str"/>
      <x:c r="K292" s="411" t="str"/>
      <x:c r="L292" s="411" t="str"/>
      <x:c r="M292" s="411" t="str"/>
      <x:c r="N292" s="464" t="str">
        <x:f>IF(OR(L292="",M292=""),"",IF(L292&lt;=M292,"Passed","Review"))</x:f>
      </x:c>
      <x:c r="O292" s="411" t="str"/>
      <x:c r="P292" s="411" t="str"/>
      <x:c r="Q292" s="411" t="str"/>
      <x:c r="R292" s="411" t="str"/>
      <x:c r="S292" s="373"/>
      <x:c r="T292" s="373"/>
      <x:c r="U292" s="373"/>
      <x:c r="V292" s="373"/>
      <x:c r="W292" s="373"/>
      <x:c r="X292" s="373"/>
      <x:c r="Y292" s="373"/>
      <x:c r="Z292" s="373"/>
    </x:row>
    <x:row r="293">
      <x:c r="A293" s="411" t="str"/>
      <x:c r="B293" s="468" t="str"/>
      <x:c r="C293" s="411" t="str"/>
      <x:c r="D293" s="411" t="str"/>
      <x:c r="E293" s="411" t="str"/>
      <x:c r="F293" s="411" t="str"/>
      <x:c r="G293" s="411" t="str"/>
      <x:c r="H293" s="411" t="str"/>
      <x:c r="I293" s="411" t="str"/>
      <x:c r="J293" s="411" t="str"/>
      <x:c r="K293" s="411" t="str"/>
      <x:c r="L293" s="411" t="str"/>
      <x:c r="M293" s="411" t="str"/>
      <x:c r="N293" s="464" t="str">
        <x:f>IF(OR(L293="",M293=""),"",IF(L293&lt;=M293,"Passed","Review"))</x:f>
      </x:c>
      <x:c r="O293" s="411" t="str"/>
      <x:c r="P293" s="411" t="str"/>
      <x:c r="Q293" s="411" t="str"/>
      <x:c r="R293" s="411" t="str"/>
      <x:c r="S293" s="373"/>
      <x:c r="T293" s="373"/>
      <x:c r="U293" s="373"/>
      <x:c r="V293" s="373"/>
      <x:c r="W293" s="373"/>
      <x:c r="X293" s="373"/>
      <x:c r="Y293" s="373"/>
      <x:c r="Z293" s="373"/>
    </x:row>
    <x:row r="294">
      <x:c r="A294" s="411" t="str"/>
      <x:c r="B294" s="468" t="str"/>
      <x:c r="C294" s="411" t="str"/>
      <x:c r="D294" s="411" t="str"/>
      <x:c r="E294" s="411" t="str"/>
      <x:c r="F294" s="411" t="str"/>
      <x:c r="G294" s="411" t="str"/>
      <x:c r="H294" s="411" t="str"/>
      <x:c r="I294" s="411" t="str"/>
      <x:c r="J294" s="411" t="str"/>
      <x:c r="K294" s="411" t="str"/>
      <x:c r="L294" s="411" t="str"/>
      <x:c r="M294" s="411" t="str"/>
      <x:c r="N294" s="464" t="str">
        <x:f>IF(OR(L294="",M294=""),"",IF(L294&lt;=M294,"Passed","Review"))</x:f>
      </x:c>
      <x:c r="O294" s="411" t="str"/>
      <x:c r="P294" s="411" t="str"/>
      <x:c r="Q294" s="411" t="str"/>
      <x:c r="R294" s="411" t="str"/>
      <x:c r="S294" s="373"/>
      <x:c r="T294" s="373"/>
      <x:c r="U294" s="373"/>
      <x:c r="V294" s="373"/>
      <x:c r="W294" s="373"/>
      <x:c r="X294" s="373"/>
      <x:c r="Y294" s="373"/>
      <x:c r="Z294" s="373"/>
    </x:row>
    <x:row r="295">
      <x:c r="A295" s="411" t="str"/>
      <x:c r="B295" s="468" t="str"/>
      <x:c r="C295" s="411" t="str"/>
      <x:c r="D295" s="411" t="str"/>
      <x:c r="E295" s="411" t="str"/>
      <x:c r="F295" s="411" t="str"/>
      <x:c r="G295" s="411" t="str"/>
      <x:c r="H295" s="411" t="str"/>
      <x:c r="I295" s="411" t="str"/>
      <x:c r="J295" s="411" t="str"/>
      <x:c r="K295" s="411" t="str"/>
      <x:c r="L295" s="411" t="str"/>
      <x:c r="M295" s="411" t="str"/>
      <x:c r="N295" s="464" t="str">
        <x:f>IF(OR(L295="",M295=""),"",IF(L295&lt;=M295,"Passed","Review"))</x:f>
      </x:c>
      <x:c r="O295" s="411" t="str"/>
      <x:c r="P295" s="411" t="str"/>
      <x:c r="Q295" s="411" t="str"/>
      <x:c r="R295" s="411" t="str"/>
      <x:c r="S295" s="373"/>
      <x:c r="T295" s="373"/>
      <x:c r="U295" s="373"/>
      <x:c r="V295" s="373"/>
      <x:c r="W295" s="373"/>
      <x:c r="X295" s="373"/>
      <x:c r="Y295" s="373"/>
      <x:c r="Z295" s="373"/>
    </x:row>
    <x:row r="296">
      <x:c r="A296" s="411" t="str"/>
      <x:c r="B296" s="468" t="str"/>
      <x:c r="C296" s="411" t="str"/>
      <x:c r="D296" s="411" t="str"/>
      <x:c r="E296" s="411" t="str"/>
      <x:c r="F296" s="411" t="str"/>
      <x:c r="G296" s="411" t="str"/>
      <x:c r="H296" s="411" t="str"/>
      <x:c r="I296" s="411" t="str"/>
      <x:c r="J296" s="411" t="str"/>
      <x:c r="K296" s="411" t="str"/>
      <x:c r="L296" s="411" t="str"/>
      <x:c r="M296" s="411" t="str"/>
      <x:c r="N296" s="464" t="str">
        <x:f>IF(OR(L296="",M296=""),"",IF(L296&lt;=M296,"Passed","Review"))</x:f>
      </x:c>
      <x:c r="O296" s="411" t="str"/>
      <x:c r="P296" s="411" t="str"/>
      <x:c r="Q296" s="411" t="str"/>
      <x:c r="R296" s="411" t="str"/>
      <x:c r="S296" s="373"/>
      <x:c r="T296" s="373"/>
      <x:c r="U296" s="373"/>
      <x:c r="V296" s="373"/>
      <x:c r="W296" s="373"/>
      <x:c r="X296" s="373"/>
      <x:c r="Y296" s="373"/>
      <x:c r="Z296" s="373"/>
    </x:row>
    <x:row r="297">
      <x:c r="A297" s="411" t="str"/>
      <x:c r="B297" s="468" t="str"/>
      <x:c r="C297" s="411" t="str"/>
      <x:c r="D297" s="411" t="str"/>
      <x:c r="E297" s="411" t="str"/>
      <x:c r="F297" s="411" t="str"/>
      <x:c r="G297" s="411" t="str"/>
      <x:c r="H297" s="411" t="str"/>
      <x:c r="I297" s="411" t="str"/>
      <x:c r="J297" s="411" t="str"/>
      <x:c r="K297" s="411" t="str"/>
      <x:c r="L297" s="411" t="str"/>
      <x:c r="M297" s="411" t="str"/>
      <x:c r="N297" s="464" t="str">
        <x:f>IF(OR(L297="",M297=""),"",IF(L297&lt;=M297,"Passed","Review"))</x:f>
      </x:c>
      <x:c r="O297" s="411" t="str"/>
      <x:c r="P297" s="411" t="str"/>
      <x:c r="Q297" s="411" t="str"/>
      <x:c r="R297" s="411" t="str"/>
      <x:c r="S297" s="373"/>
      <x:c r="T297" s="373"/>
      <x:c r="U297" s="373"/>
      <x:c r="V297" s="373"/>
      <x:c r="W297" s="373"/>
      <x:c r="X297" s="373"/>
      <x:c r="Y297" s="373"/>
      <x:c r="Z297" s="373"/>
    </x:row>
    <x:row r="298">
      <x:c r="A298" s="411" t="str"/>
      <x:c r="B298" s="468" t="str"/>
      <x:c r="C298" s="411" t="str"/>
      <x:c r="D298" s="411" t="str"/>
      <x:c r="E298" s="411" t="str"/>
      <x:c r="F298" s="411" t="str"/>
      <x:c r="G298" s="411" t="str"/>
      <x:c r="H298" s="411" t="str"/>
      <x:c r="I298" s="411" t="str"/>
      <x:c r="J298" s="411" t="str"/>
      <x:c r="K298" s="411" t="str"/>
      <x:c r="L298" s="411" t="str"/>
      <x:c r="M298" s="411" t="str"/>
      <x:c r="N298" s="464" t="str">
        <x:f>IF(OR(L298="",M298=""),"",IF(L298&lt;=M298,"Passed","Review"))</x:f>
      </x:c>
      <x:c r="O298" s="411" t="str"/>
      <x:c r="P298" s="411" t="str"/>
      <x:c r="Q298" s="411" t="str"/>
      <x:c r="R298" s="411" t="str"/>
      <x:c r="S298" s="373"/>
      <x:c r="T298" s="373"/>
      <x:c r="U298" s="373"/>
      <x:c r="V298" s="373"/>
      <x:c r="W298" s="373"/>
      <x:c r="X298" s="373"/>
      <x:c r="Y298" s="373"/>
      <x:c r="Z298" s="373"/>
    </x:row>
    <x:row r="299">
      <x:c r="A299" s="411" t="str"/>
      <x:c r="B299" s="468" t="str"/>
      <x:c r="C299" s="411" t="str"/>
      <x:c r="D299" s="411" t="str"/>
      <x:c r="E299" s="411" t="str"/>
      <x:c r="F299" s="411" t="str"/>
      <x:c r="G299" s="411" t="str"/>
      <x:c r="H299" s="411" t="str"/>
      <x:c r="I299" s="411" t="str"/>
      <x:c r="J299" s="411" t="str"/>
      <x:c r="K299" s="411" t="str"/>
      <x:c r="L299" s="411" t="str"/>
      <x:c r="M299" s="411" t="str"/>
      <x:c r="N299" s="464" t="str">
        <x:f>IF(OR(L299="",M299=""),"",IF(L299&lt;=M299,"Passed","Review"))</x:f>
      </x:c>
      <x:c r="O299" s="411" t="str"/>
      <x:c r="P299" s="411" t="str"/>
      <x:c r="Q299" s="411" t="str"/>
      <x:c r="R299" s="411" t="str"/>
      <x:c r="S299" s="373"/>
      <x:c r="T299" s="373"/>
      <x:c r="U299" s="373"/>
      <x:c r="V299" s="373"/>
      <x:c r="W299" s="373"/>
      <x:c r="X299" s="373"/>
      <x:c r="Y299" s="373"/>
      <x:c r="Z299" s="373"/>
    </x:row>
    <x:row r="300">
      <x:c r="A300" s="411" t="str"/>
      <x:c r="B300" s="468" t="str"/>
      <x:c r="C300" s="411" t="str"/>
      <x:c r="D300" s="411" t="str"/>
      <x:c r="E300" s="411" t="str"/>
      <x:c r="F300" s="411" t="str"/>
      <x:c r="G300" s="411" t="str"/>
      <x:c r="H300" s="411" t="str"/>
      <x:c r="I300" s="411" t="str"/>
      <x:c r="J300" s="411" t="str"/>
      <x:c r="K300" s="411" t="str"/>
      <x:c r="L300" s="411" t="str"/>
      <x:c r="M300" s="411" t="str"/>
      <x:c r="N300" s="464" t="str">
        <x:f>IF(OR(L300="",M300=""),"",IF(L300&lt;=M300,"Passed","Review"))</x:f>
      </x:c>
      <x:c r="O300" s="411" t="str"/>
      <x:c r="P300" s="411" t="str"/>
      <x:c r="Q300" s="411" t="str"/>
      <x:c r="R300" s="411" t="str"/>
      <x:c r="S300" s="373"/>
      <x:c r="T300" s="373"/>
      <x:c r="U300" s="373"/>
      <x:c r="V300" s="373"/>
      <x:c r="W300" s="373"/>
      <x:c r="X300" s="373"/>
      <x:c r="Y300" s="373"/>
      <x:c r="Z300" s="373"/>
    </x:row>
    <x:row r="301">
      <x:c r="A301" s="411" t="str"/>
      <x:c r="B301" s="468" t="str"/>
      <x:c r="C301" s="411" t="str"/>
      <x:c r="D301" s="411" t="str"/>
      <x:c r="E301" s="411" t="str"/>
      <x:c r="F301" s="411" t="str"/>
      <x:c r="G301" s="411" t="str"/>
      <x:c r="H301" s="411" t="str"/>
      <x:c r="I301" s="411" t="str"/>
      <x:c r="J301" s="411" t="str"/>
      <x:c r="K301" s="411" t="str"/>
      <x:c r="L301" s="411" t="str"/>
      <x:c r="M301" s="411" t="str"/>
      <x:c r="N301" s="464" t="str">
        <x:f>IF(OR(L301="",M301=""),"",IF(L301&lt;=M301,"Passed","Review"))</x:f>
      </x:c>
      <x:c r="O301" s="411" t="str"/>
      <x:c r="P301" s="411" t="str"/>
      <x:c r="Q301" s="411" t="str"/>
      <x:c r="R301" s="411" t="str"/>
      <x:c r="S301" s="373"/>
      <x:c r="T301" s="373"/>
      <x:c r="U301" s="373"/>
      <x:c r="V301" s="373"/>
      <x:c r="W301" s="373"/>
      <x:c r="X301" s="373"/>
      <x:c r="Y301" s="373"/>
      <x:c r="Z301" s="373"/>
    </x:row>
    <x:row r="302">
      <x:c r="A302" s="411" t="str"/>
      <x:c r="B302" s="468" t="str"/>
      <x:c r="C302" s="411" t="str"/>
      <x:c r="D302" s="411" t="str"/>
      <x:c r="E302" s="411" t="str"/>
      <x:c r="F302" s="411" t="str"/>
      <x:c r="G302" s="411" t="str"/>
      <x:c r="H302" s="411" t="str"/>
      <x:c r="I302" s="411" t="str"/>
      <x:c r="J302" s="411" t="str"/>
      <x:c r="K302" s="411" t="str"/>
      <x:c r="L302" s="411" t="str"/>
      <x:c r="M302" s="411" t="str"/>
      <x:c r="N302" s="464" t="str">
        <x:f>IF(OR(L302="",M302=""),"",IF(L302&lt;=M302,"Passed","Review"))</x:f>
      </x:c>
      <x:c r="O302" s="411" t="str"/>
      <x:c r="P302" s="411" t="str"/>
      <x:c r="Q302" s="411" t="str"/>
      <x:c r="R302" s="411" t="str"/>
      <x:c r="S302" s="373"/>
      <x:c r="T302" s="373"/>
      <x:c r="U302" s="373"/>
      <x:c r="V302" s="373"/>
      <x:c r="W302" s="373"/>
      <x:c r="X302" s="373"/>
      <x:c r="Y302" s="373"/>
      <x:c r="Z302" s="373"/>
    </x:row>
    <x:row r="303">
      <x:c r="A303" s="411" t="str"/>
      <x:c r="B303" s="468" t="str"/>
      <x:c r="C303" s="411" t="str"/>
      <x:c r="D303" s="411" t="str"/>
      <x:c r="E303" s="411" t="str"/>
      <x:c r="F303" s="411" t="str"/>
      <x:c r="G303" s="411" t="str"/>
      <x:c r="H303" s="411" t="str"/>
      <x:c r="I303" s="411" t="str"/>
      <x:c r="J303" s="411" t="str"/>
      <x:c r="K303" s="411" t="str"/>
      <x:c r="L303" s="411" t="str"/>
      <x:c r="M303" s="411" t="str"/>
      <x:c r="N303" s="464" t="str">
        <x:f>IF(OR(L303="",M303=""),"",IF(L303&lt;=M303,"Passed","Review"))</x:f>
      </x:c>
      <x:c r="O303" s="411" t="str"/>
      <x:c r="P303" s="411" t="str"/>
      <x:c r="Q303" s="411" t="str"/>
      <x:c r="R303" s="411" t="str"/>
      <x:c r="S303" s="373"/>
      <x:c r="T303" s="373"/>
      <x:c r="U303" s="373"/>
      <x:c r="V303" s="373"/>
      <x:c r="W303" s="373"/>
      <x:c r="X303" s="373"/>
      <x:c r="Y303" s="373"/>
      <x:c r="Z303" s="373"/>
    </x:row>
    <x:row r="304">
      <x:c r="A304" s="412" t="str"/>
      <x:c r="B304" s="469" t="str"/>
      <x:c r="C304" s="412" t="str"/>
      <x:c r="D304" s="412" t="str"/>
      <x:c r="E304" s="412" t="str"/>
      <x:c r="F304" s="412" t="str"/>
      <x:c r="G304" s="412" t="str"/>
      <x:c r="H304" s="412" t="str"/>
      <x:c r="I304" s="412" t="str"/>
      <x:c r="J304" s="412" t="str"/>
      <x:c r="K304" s="412" t="str"/>
      <x:c r="L304" s="412" t="str"/>
      <x:c r="M304" s="412" t="str"/>
      <x:c r="N304" s="465" t="str">
        <x:f>IF(OR(L304="",M304=""),"",IF(L304&lt;=M304,"Passed","Review"))</x:f>
      </x:c>
      <x:c r="O304" s="412" t="str"/>
      <x:c r="P304" s="412" t="str"/>
      <x:c r="Q304" s="412" t="str"/>
      <x:c r="R304" s="412" t="str"/>
      <x:c r="S304" s="373"/>
      <x:c r="T304" s="373"/>
      <x:c r="U304" s="373"/>
      <x:c r="V304" s="373"/>
      <x:c r="W304" s="373"/>
      <x:c r="X304" s="373"/>
      <x:c r="Y304" s="373"/>
      <x:c r="Z304" s="373"/>
    </x:row>
    <x:row r="305">
      <x:c r="A305" s="373"/>
      <x:c r="B305" s="373"/>
      <x:c r="C305" s="373"/>
      <x:c r="D305" s="373"/>
      <x:c r="E305" s="373"/>
      <x:c r="F305" s="373"/>
      <x:c r="G305" s="373"/>
      <x:c r="H305" s="373"/>
      <x:c r="I305" s="373"/>
      <x:c r="J305" s="373"/>
      <x:c r="K305" s="373"/>
      <x:c r="L305" s="373"/>
      <x:c r="M305" s="373"/>
      <x:c r="N305" s="373"/>
      <x:c r="O305" s="373"/>
      <x:c r="P305" s="373"/>
      <x:c r="Q305" s="373"/>
      <x:c r="R305" s="373"/>
      <x:c r="S305" s="373"/>
      <x:c r="T305" s="373"/>
      <x:c r="U305" s="373"/>
      <x:c r="V305" s="373"/>
      <x:c r="W305" s="373"/>
      <x:c r="X305" s="373"/>
      <x:c r="Y305" s="373"/>
      <x:c r="Z305" s="373"/>
    </x:row>
    <x:row r="306">
      <x:c r="A306" s="373"/>
      <x:c r="B306" s="373"/>
      <x:c r="C306" s="373"/>
      <x:c r="D306" s="373"/>
      <x:c r="E306" s="373"/>
      <x:c r="F306" s="373"/>
      <x:c r="G306" s="373"/>
      <x:c r="H306" s="373"/>
      <x:c r="I306" s="373"/>
      <x:c r="J306" s="373"/>
      <x:c r="K306" s="373"/>
      <x:c r="L306" s="373"/>
      <x:c r="M306" s="373"/>
      <x:c r="N306" s="373"/>
      <x:c r="O306" s="373"/>
      <x:c r="P306" s="373"/>
      <x:c r="Q306" s="373"/>
      <x:c r="R306" s="373"/>
      <x:c r="S306" s="373"/>
      <x:c r="T306" s="373"/>
      <x:c r="U306" s="373"/>
      <x:c r="V306" s="373"/>
      <x:c r="W306" s="373"/>
      <x:c r="X306" s="373"/>
      <x:c r="Y306" s="373"/>
      <x:c r="Z306" s="373"/>
    </x:row>
    <x:row r="307">
      <x:c r="A307" s="373"/>
      <x:c r="B307" s="373"/>
      <x:c r="C307" s="373"/>
      <x:c r="D307" s="373"/>
      <x:c r="E307" s="373"/>
      <x:c r="F307" s="373"/>
      <x:c r="G307" s="373"/>
      <x:c r="H307" s="373"/>
      <x:c r="I307" s="373"/>
      <x:c r="J307" s="373"/>
      <x:c r="K307" s="373"/>
      <x:c r="L307" s="373"/>
      <x:c r="M307" s="373"/>
      <x:c r="N307" s="373"/>
      <x:c r="O307" s="373"/>
      <x:c r="P307" s="373"/>
      <x:c r="Q307" s="373"/>
      <x:c r="R307" s="373"/>
      <x:c r="S307" s="373"/>
      <x:c r="T307" s="373"/>
      <x:c r="U307" s="373"/>
      <x:c r="V307" s="373"/>
      <x:c r="W307" s="373"/>
      <x:c r="X307" s="373"/>
      <x:c r="Y307" s="373"/>
      <x:c r="Z307" s="373"/>
    </x:row>
    <x:row r="308">
      <x:c r="A308" s="373"/>
      <x:c r="B308" s="373"/>
      <x:c r="C308" s="373"/>
      <x:c r="D308" s="373"/>
      <x:c r="E308" s="373"/>
      <x:c r="F308" s="373"/>
      <x:c r="G308" s="373"/>
      <x:c r="H308" s="373"/>
      <x:c r="I308" s="373"/>
      <x:c r="J308" s="373"/>
      <x:c r="K308" s="373"/>
      <x:c r="L308" s="373"/>
      <x:c r="M308" s="373"/>
      <x:c r="N308" s="373"/>
      <x:c r="O308" s="373"/>
      <x:c r="P308" s="373"/>
      <x:c r="Q308" s="373"/>
      <x:c r="R308" s="373"/>
      <x:c r="S308" s="373"/>
      <x:c r="T308" s="373"/>
      <x:c r="U308" s="373"/>
      <x:c r="V308" s="373"/>
      <x:c r="W308" s="373"/>
      <x:c r="X308" s="373"/>
      <x:c r="Y308" s="373"/>
      <x:c r="Z308" s="373"/>
    </x:row>
    <x:row r="309">
      <x:c r="A309" s="373"/>
      <x:c r="B309" s="373"/>
      <x:c r="C309" s="373"/>
      <x:c r="D309" s="373"/>
      <x:c r="E309" s="373"/>
      <x:c r="F309" s="373"/>
      <x:c r="G309" s="373"/>
      <x:c r="H309" s="373"/>
      <x:c r="I309" s="373"/>
      <x:c r="J309" s="373"/>
      <x:c r="K309" s="373"/>
      <x:c r="L309" s="373"/>
      <x:c r="M309" s="373"/>
      <x:c r="N309" s="373"/>
      <x:c r="O309" s="373"/>
      <x:c r="P309" s="373"/>
      <x:c r="Q309" s="373"/>
      <x:c r="R309" s="373"/>
      <x:c r="S309" s="373"/>
      <x:c r="T309" s="373"/>
      <x:c r="U309" s="373"/>
      <x:c r="V309" s="373"/>
      <x:c r="W309" s="373"/>
      <x:c r="X309" s="373"/>
      <x:c r="Y309" s="373"/>
      <x:c r="Z309" s="373"/>
    </x:row>
    <x:row r="310">
      <x:c r="A310" s="373"/>
      <x:c r="B310" s="373"/>
      <x:c r="C310" s="373"/>
      <x:c r="D310" s="373"/>
      <x:c r="E310" s="373"/>
      <x:c r="F310" s="373"/>
      <x:c r="G310" s="373"/>
      <x:c r="H310" s="373"/>
      <x:c r="I310" s="373"/>
      <x:c r="J310" s="373"/>
      <x:c r="K310" s="373"/>
      <x:c r="L310" s="373"/>
      <x:c r="M310" s="373"/>
      <x:c r="N310" s="373"/>
      <x:c r="O310" s="373"/>
      <x:c r="P310" s="373"/>
      <x:c r="Q310" s="373"/>
      <x:c r="R310" s="373"/>
      <x:c r="S310" s="373"/>
      <x:c r="T310" s="373"/>
      <x:c r="U310" s="373"/>
      <x:c r="V310" s="373"/>
      <x:c r="W310" s="373"/>
      <x:c r="X310" s="373"/>
      <x:c r="Y310" s="373"/>
      <x:c r="Z310" s="373"/>
    </x:row>
    <x:row r="311">
      <x:c r="A311" s="373"/>
      <x:c r="B311" s="373"/>
      <x:c r="C311" s="373"/>
      <x:c r="D311" s="373"/>
      <x:c r="E311" s="373"/>
      <x:c r="F311" s="373"/>
      <x:c r="G311" s="373"/>
      <x:c r="H311" s="373"/>
      <x:c r="I311" s="373"/>
      <x:c r="J311" s="373"/>
      <x:c r="K311" s="373"/>
      <x:c r="L311" s="373"/>
      <x:c r="M311" s="373"/>
      <x:c r="N311" s="373"/>
      <x:c r="O311" s="373"/>
      <x:c r="P311" s="373"/>
      <x:c r="Q311" s="373"/>
      <x:c r="R311" s="373"/>
      <x:c r="S311" s="373"/>
      <x:c r="T311" s="373"/>
      <x:c r="U311" s="373"/>
      <x:c r="V311" s="373"/>
      <x:c r="W311" s="373"/>
      <x:c r="X311" s="373"/>
      <x:c r="Y311" s="373"/>
      <x:c r="Z311" s="373"/>
    </x:row>
    <x:row r="312">
      <x:c r="A312" s="373"/>
      <x:c r="B312" s="373"/>
      <x:c r="C312" s="373"/>
      <x:c r="D312" s="373"/>
      <x:c r="E312" s="373"/>
      <x:c r="F312" s="373"/>
      <x:c r="G312" s="373"/>
      <x:c r="H312" s="373"/>
      <x:c r="I312" s="373"/>
      <x:c r="J312" s="373"/>
      <x:c r="K312" s="373"/>
      <x:c r="L312" s="373"/>
      <x:c r="M312" s="373"/>
      <x:c r="N312" s="373"/>
      <x:c r="O312" s="373"/>
      <x:c r="P312" s="373"/>
      <x:c r="Q312" s="373"/>
      <x:c r="R312" s="373"/>
      <x:c r="S312" s="373"/>
      <x:c r="T312" s="373"/>
      <x:c r="U312" s="373"/>
      <x:c r="V312" s="373"/>
      <x:c r="W312" s="373"/>
      <x:c r="X312" s="373"/>
      <x:c r="Y312" s="373"/>
      <x:c r="Z312" s="373"/>
    </x:row>
    <x:row r="313">
      <x:c r="A313" s="373"/>
      <x:c r="B313" s="373"/>
      <x:c r="C313" s="373"/>
      <x:c r="D313" s="373"/>
      <x:c r="E313" s="373"/>
      <x:c r="F313" s="373"/>
      <x:c r="G313" s="373"/>
      <x:c r="H313" s="373"/>
      <x:c r="I313" s="373"/>
      <x:c r="J313" s="373"/>
      <x:c r="K313" s="373"/>
      <x:c r="L313" s="373"/>
      <x:c r="M313" s="373"/>
      <x:c r="N313" s="373"/>
      <x:c r="O313" s="373"/>
      <x:c r="P313" s="373"/>
      <x:c r="Q313" s="373"/>
      <x:c r="R313" s="373"/>
      <x:c r="S313" s="373"/>
      <x:c r="T313" s="373"/>
      <x:c r="U313" s="373"/>
      <x:c r="V313" s="373"/>
      <x:c r="W313" s="373"/>
      <x:c r="X313" s="373"/>
      <x:c r="Y313" s="373"/>
      <x:c r="Z313" s="373"/>
    </x:row>
    <x:row r="314">
      <x:c r="A314" s="373"/>
      <x:c r="B314" s="373"/>
      <x:c r="C314" s="373"/>
      <x:c r="D314" s="373"/>
      <x:c r="E314" s="373"/>
      <x:c r="F314" s="373"/>
      <x:c r="G314" s="373"/>
      <x:c r="H314" s="373"/>
      <x:c r="I314" s="373"/>
      <x:c r="J314" s="373"/>
      <x:c r="K314" s="373"/>
      <x:c r="L314" s="373"/>
      <x:c r="M314" s="373"/>
      <x:c r="N314" s="373"/>
      <x:c r="O314" s="373"/>
      <x:c r="P314" s="373"/>
      <x:c r="Q314" s="373"/>
      <x:c r="R314" s="373"/>
      <x:c r="S314" s="373"/>
      <x:c r="T314" s="373"/>
      <x:c r="U314" s="373"/>
      <x:c r="V314" s="373"/>
      <x:c r="W314" s="373"/>
      <x:c r="X314" s="373"/>
      <x:c r="Y314" s="373"/>
      <x:c r="Z314" s="373"/>
    </x:row>
    <x:row r="315">
      <x:c r="A315" s="373"/>
      <x:c r="B315" s="373"/>
      <x:c r="C315" s="373"/>
      <x:c r="D315" s="373"/>
      <x:c r="E315" s="373"/>
      <x:c r="F315" s="373"/>
      <x:c r="G315" s="373"/>
      <x:c r="H315" s="373"/>
      <x:c r="I315" s="373"/>
      <x:c r="J315" s="373"/>
      <x:c r="K315" s="373"/>
      <x:c r="L315" s="373"/>
      <x:c r="M315" s="373"/>
      <x:c r="N315" s="373"/>
      <x:c r="O315" s="373"/>
      <x:c r="P315" s="373"/>
      <x:c r="Q315" s="373"/>
      <x:c r="R315" s="373"/>
      <x:c r="S315" s="373"/>
      <x:c r="T315" s="373"/>
      <x:c r="U315" s="373"/>
      <x:c r="V315" s="373"/>
      <x:c r="W315" s="373"/>
      <x:c r="X315" s="373"/>
      <x:c r="Y315" s="373"/>
      <x:c r="Z315" s="373"/>
    </x:row>
    <x:row r="316">
      <x:c r="A316" s="373"/>
      <x:c r="B316" s="373"/>
      <x:c r="C316" s="373"/>
      <x:c r="D316" s="373"/>
      <x:c r="E316" s="373"/>
      <x:c r="F316" s="373"/>
      <x:c r="G316" s="373"/>
      <x:c r="H316" s="373"/>
      <x:c r="I316" s="373"/>
      <x:c r="J316" s="373"/>
      <x:c r="K316" s="373"/>
      <x:c r="L316" s="373"/>
      <x:c r="M316" s="373"/>
      <x:c r="N316" s="373"/>
      <x:c r="O316" s="373"/>
      <x:c r="P316" s="373"/>
      <x:c r="Q316" s="373"/>
      <x:c r="R316" s="373"/>
      <x:c r="S316" s="373"/>
      <x:c r="T316" s="373"/>
      <x:c r="U316" s="373"/>
      <x:c r="V316" s="373"/>
      <x:c r="W316" s="373"/>
      <x:c r="X316" s="373"/>
      <x:c r="Y316" s="373"/>
      <x:c r="Z316" s="373"/>
    </x:row>
    <x:row r="317">
      <x:c r="A317" s="373"/>
      <x:c r="B317" s="373"/>
      <x:c r="C317" s="373"/>
      <x:c r="D317" s="373"/>
      <x:c r="E317" s="373"/>
      <x:c r="F317" s="373"/>
      <x:c r="G317" s="373"/>
      <x:c r="H317" s="373"/>
      <x:c r="I317" s="373"/>
      <x:c r="J317" s="373"/>
      <x:c r="K317" s="373"/>
      <x:c r="L317" s="373"/>
      <x:c r="M317" s="373"/>
      <x:c r="N317" s="373"/>
      <x:c r="O317" s="373"/>
      <x:c r="P317" s="373"/>
      <x:c r="Q317" s="373"/>
      <x:c r="R317" s="373"/>
      <x:c r="S317" s="373"/>
      <x:c r="T317" s="373"/>
      <x:c r="U317" s="373"/>
      <x:c r="V317" s="373"/>
      <x:c r="W317" s="373"/>
      <x:c r="X317" s="373"/>
      <x:c r="Y317" s="373"/>
      <x:c r="Z317" s="373"/>
    </x:row>
    <x:row r="318">
      <x:c r="A318" s="373"/>
      <x:c r="B318" s="373"/>
      <x:c r="C318" s="373"/>
      <x:c r="D318" s="373"/>
      <x:c r="E318" s="373"/>
      <x:c r="F318" s="373"/>
      <x:c r="G318" s="373"/>
      <x:c r="H318" s="373"/>
      <x:c r="I318" s="373"/>
      <x:c r="J318" s="373"/>
      <x:c r="K318" s="373"/>
      <x:c r="L318" s="373"/>
      <x:c r="M318" s="373"/>
      <x:c r="N318" s="373"/>
      <x:c r="O318" s="373"/>
      <x:c r="P318" s="373"/>
      <x:c r="Q318" s="373"/>
      <x:c r="R318" s="373"/>
      <x:c r="S318" s="373"/>
      <x:c r="T318" s="373"/>
      <x:c r="U318" s="373"/>
      <x:c r="V318" s="373"/>
      <x:c r="W318" s="373"/>
      <x:c r="X318" s="373"/>
      <x:c r="Y318" s="373"/>
      <x:c r="Z318" s="373"/>
    </x:row>
    <x:row r="319">
      <x:c r="A319" s="373"/>
      <x:c r="B319" s="373"/>
      <x:c r="C319" s="373"/>
      <x:c r="D319" s="373"/>
      <x:c r="E319" s="373"/>
      <x:c r="F319" s="373"/>
      <x:c r="G319" s="373"/>
      <x:c r="H319" s="373"/>
      <x:c r="I319" s="373"/>
      <x:c r="J319" s="373"/>
      <x:c r="K319" s="373"/>
      <x:c r="L319" s="373"/>
      <x:c r="M319" s="373"/>
      <x:c r="N319" s="373"/>
      <x:c r="O319" s="373"/>
      <x:c r="P319" s="373"/>
      <x:c r="Q319" s="373"/>
      <x:c r="R319" s="373"/>
      <x:c r="S319" s="373"/>
      <x:c r="T319" s="373"/>
      <x:c r="U319" s="373"/>
      <x:c r="V319" s="373"/>
      <x:c r="W319" s="373"/>
      <x:c r="X319" s="373"/>
      <x:c r="Y319" s="373"/>
      <x:c r="Z319" s="373"/>
    </x:row>
    <x:row r="320">
      <x:c r="A320" s="373"/>
      <x:c r="B320" s="373"/>
      <x:c r="C320" s="373"/>
      <x:c r="D320" s="373"/>
      <x:c r="E320" s="373"/>
      <x:c r="F320" s="373"/>
      <x:c r="G320" s="373"/>
      <x:c r="H320" s="373"/>
      <x:c r="I320" s="373"/>
      <x:c r="J320" s="373"/>
      <x:c r="K320" s="373"/>
      <x:c r="L320" s="373"/>
      <x:c r="M320" s="373"/>
      <x:c r="N320" s="373"/>
      <x:c r="O320" s="373"/>
      <x:c r="P320" s="373"/>
      <x:c r="Q320" s="373"/>
      <x:c r="R320" s="373"/>
      <x:c r="S320" s="373"/>
      <x:c r="T320" s="373"/>
      <x:c r="U320" s="373"/>
      <x:c r="V320" s="373"/>
      <x:c r="W320" s="373"/>
      <x:c r="X320" s="373"/>
      <x:c r="Y320" s="373"/>
      <x:c r="Z320" s="373"/>
    </x:row>
    <x:row r="321">
      <x:c r="A321" s="373"/>
      <x:c r="B321" s="373"/>
      <x:c r="C321" s="373"/>
      <x:c r="D321" s="373"/>
      <x:c r="E321" s="373"/>
      <x:c r="F321" s="373"/>
      <x:c r="G321" s="373"/>
      <x:c r="H321" s="373"/>
      <x:c r="I321" s="373"/>
      <x:c r="J321" s="373"/>
      <x:c r="K321" s="373"/>
      <x:c r="L321" s="373"/>
      <x:c r="M321" s="373"/>
      <x:c r="N321" s="373"/>
      <x:c r="O321" s="373"/>
      <x:c r="P321" s="373"/>
      <x:c r="Q321" s="373"/>
      <x:c r="R321" s="373"/>
      <x:c r="S321" s="373"/>
      <x:c r="T321" s="373"/>
      <x:c r="U321" s="373"/>
      <x:c r="V321" s="373"/>
      <x:c r="W321" s="373"/>
      <x:c r="X321" s="373"/>
      <x:c r="Y321" s="373"/>
      <x:c r="Z321" s="373"/>
    </x:row>
    <x:row r="322">
      <x:c r="A322" s="373"/>
      <x:c r="B322" s="373"/>
      <x:c r="C322" s="373"/>
      <x:c r="D322" s="373"/>
      <x:c r="E322" s="373"/>
      <x:c r="F322" s="373"/>
      <x:c r="G322" s="373"/>
      <x:c r="H322" s="373"/>
      <x:c r="I322" s="373"/>
      <x:c r="J322" s="373"/>
      <x:c r="K322" s="373"/>
      <x:c r="L322" s="373"/>
      <x:c r="M322" s="373"/>
      <x:c r="N322" s="373"/>
      <x:c r="O322" s="373"/>
      <x:c r="P322" s="373"/>
      <x:c r="Q322" s="373"/>
      <x:c r="R322" s="373"/>
      <x:c r="S322" s="373"/>
      <x:c r="T322" s="373"/>
      <x:c r="U322" s="373"/>
      <x:c r="V322" s="373"/>
      <x:c r="W322" s="373"/>
      <x:c r="X322" s="373"/>
      <x:c r="Y322" s="373"/>
      <x:c r="Z322" s="373"/>
    </x:row>
    <x:row r="323">
      <x:c r="A323" s="373"/>
      <x:c r="B323" s="373"/>
      <x:c r="C323" s="373"/>
      <x:c r="D323" s="373"/>
      <x:c r="E323" s="373"/>
      <x:c r="F323" s="373"/>
      <x:c r="G323" s="373"/>
      <x:c r="H323" s="373"/>
      <x:c r="I323" s="373"/>
      <x:c r="J323" s="373"/>
      <x:c r="K323" s="373"/>
      <x:c r="L323" s="373"/>
      <x:c r="M323" s="373"/>
      <x:c r="N323" s="373"/>
      <x:c r="O323" s="373"/>
      <x:c r="P323" s="373"/>
      <x:c r="Q323" s="373"/>
      <x:c r="R323" s="373"/>
      <x:c r="S323" s="373"/>
      <x:c r="T323" s="373"/>
      <x:c r="U323" s="373"/>
      <x:c r="V323" s="373"/>
      <x:c r="W323" s="373"/>
      <x:c r="X323" s="373"/>
      <x:c r="Y323" s="373"/>
      <x:c r="Z323" s="373"/>
    </x:row>
    <x:row r="324">
      <x:c r="A324" s="373"/>
      <x:c r="B324" s="373"/>
      <x:c r="C324" s="373"/>
      <x:c r="D324" s="373"/>
      <x:c r="E324" s="373"/>
      <x:c r="F324" s="373"/>
      <x:c r="G324" s="373"/>
      <x:c r="H324" s="373"/>
      <x:c r="I324" s="373"/>
      <x:c r="J324" s="373"/>
      <x:c r="K324" s="373"/>
      <x:c r="L324" s="373"/>
      <x:c r="M324" s="373"/>
      <x:c r="N324" s="373"/>
      <x:c r="O324" s="373"/>
      <x:c r="P324" s="373"/>
      <x:c r="Q324" s="373"/>
      <x:c r="R324" s="373"/>
      <x:c r="S324" s="373"/>
      <x:c r="T324" s="373"/>
      <x:c r="U324" s="373"/>
      <x:c r="V324" s="373"/>
      <x:c r="W324" s="373"/>
      <x:c r="X324" s="373"/>
      <x:c r="Y324" s="373"/>
      <x:c r="Z324" s="373"/>
    </x:row>
    <x:row r="325">
      <x:c r="A325" s="373"/>
      <x:c r="B325" s="373"/>
      <x:c r="C325" s="373"/>
      <x:c r="D325" s="373"/>
      <x:c r="E325" s="373"/>
      <x:c r="F325" s="373"/>
      <x:c r="G325" s="373"/>
      <x:c r="H325" s="373"/>
      <x:c r="I325" s="373"/>
      <x:c r="J325" s="373"/>
      <x:c r="K325" s="373"/>
      <x:c r="L325" s="373"/>
      <x:c r="M325" s="373"/>
      <x:c r="N325" s="373"/>
      <x:c r="O325" s="373"/>
      <x:c r="P325" s="373"/>
      <x:c r="Q325" s="373"/>
      <x:c r="R325" s="373"/>
      <x:c r="S325" s="373"/>
      <x:c r="T325" s="373"/>
      <x:c r="U325" s="373"/>
      <x:c r="V325" s="373"/>
      <x:c r="W325" s="373"/>
      <x:c r="X325" s="373"/>
      <x:c r="Y325" s="373"/>
      <x:c r="Z325" s="373"/>
    </x:row>
    <x:row r="326">
      <x:c r="A326" s="373"/>
      <x:c r="B326" s="373"/>
      <x:c r="C326" s="373"/>
      <x:c r="D326" s="373"/>
      <x:c r="E326" s="373"/>
      <x:c r="F326" s="373"/>
      <x:c r="G326" s="373"/>
      <x:c r="H326" s="373"/>
      <x:c r="I326" s="373"/>
      <x:c r="J326" s="373"/>
      <x:c r="K326" s="373"/>
      <x:c r="L326" s="373"/>
      <x:c r="M326" s="373"/>
      <x:c r="N326" s="373"/>
      <x:c r="O326" s="373"/>
      <x:c r="P326" s="373"/>
      <x:c r="Q326" s="373"/>
      <x:c r="R326" s="373"/>
      <x:c r="S326" s="373"/>
      <x:c r="T326" s="373"/>
      <x:c r="U326" s="373"/>
      <x:c r="V326" s="373"/>
      <x:c r="W326" s="373"/>
      <x:c r="X326" s="373"/>
      <x:c r="Y326" s="373"/>
      <x:c r="Z326" s="373"/>
    </x:row>
    <x:row r="327">
      <x:c r="A327" s="373"/>
      <x:c r="B327" s="373"/>
      <x:c r="C327" s="373"/>
      <x:c r="D327" s="373"/>
      <x:c r="E327" s="373"/>
      <x:c r="F327" s="373"/>
      <x:c r="G327" s="373"/>
      <x:c r="H327" s="373"/>
      <x:c r="I327" s="373"/>
      <x:c r="J327" s="373"/>
      <x:c r="K327" s="373"/>
      <x:c r="L327" s="373"/>
      <x:c r="M327" s="373"/>
      <x:c r="N327" s="373"/>
      <x:c r="O327" s="373"/>
      <x:c r="P327" s="373"/>
      <x:c r="Q327" s="373"/>
      <x:c r="R327" s="373"/>
      <x:c r="S327" s="373"/>
      <x:c r="T327" s="373"/>
      <x:c r="U327" s="373"/>
      <x:c r="V327" s="373"/>
      <x:c r="W327" s="373"/>
      <x:c r="X327" s="373"/>
      <x:c r="Y327" s="373"/>
      <x:c r="Z327" s="373"/>
    </x:row>
    <x:row r="328">
      <x:c r="A328" s="373"/>
      <x:c r="B328" s="373"/>
      <x:c r="C328" s="373"/>
      <x:c r="D328" s="373"/>
      <x:c r="E328" s="373"/>
      <x:c r="F328" s="373"/>
      <x:c r="G328" s="373"/>
      <x:c r="H328" s="373"/>
      <x:c r="I328" s="373"/>
      <x:c r="J328" s="373"/>
      <x:c r="K328" s="373"/>
      <x:c r="L328" s="373"/>
      <x:c r="M328" s="373"/>
      <x:c r="N328" s="373"/>
      <x:c r="O328" s="373"/>
      <x:c r="P328" s="373"/>
      <x:c r="Q328" s="373"/>
      <x:c r="R328" s="373"/>
      <x:c r="S328" s="373"/>
      <x:c r="T328" s="373"/>
      <x:c r="U328" s="373"/>
      <x:c r="V328" s="373"/>
      <x:c r="W328" s="373"/>
      <x:c r="X328" s="373"/>
      <x:c r="Y328" s="373"/>
      <x:c r="Z328" s="373"/>
    </x:row>
    <x:row r="329">
      <x:c r="A329" s="373"/>
      <x:c r="B329" s="373"/>
      <x:c r="C329" s="373"/>
      <x:c r="D329" s="373"/>
      <x:c r="E329" s="373"/>
      <x:c r="F329" s="373"/>
      <x:c r="G329" s="373"/>
      <x:c r="H329" s="373"/>
      <x:c r="I329" s="373"/>
      <x:c r="J329" s="373"/>
      <x:c r="K329" s="373"/>
      <x:c r="L329" s="373"/>
      <x:c r="M329" s="373"/>
      <x:c r="N329" s="373"/>
      <x:c r="O329" s="373"/>
      <x:c r="P329" s="373"/>
      <x:c r="Q329" s="373"/>
      <x:c r="R329" s="373"/>
      <x:c r="S329" s="373"/>
      <x:c r="T329" s="373"/>
      <x:c r="U329" s="373"/>
      <x:c r="V329" s="373"/>
      <x:c r="W329" s="373"/>
      <x:c r="X329" s="373"/>
      <x:c r="Y329" s="373"/>
      <x:c r="Z329" s="373"/>
    </x:row>
    <x:row r="330">
      <x:c r="A330" s="373"/>
      <x:c r="B330" s="373"/>
      <x:c r="C330" s="373"/>
      <x:c r="D330" s="373"/>
      <x:c r="E330" s="373"/>
      <x:c r="F330" s="373"/>
      <x:c r="G330" s="373"/>
      <x:c r="H330" s="373"/>
      <x:c r="I330" s="373"/>
      <x:c r="J330" s="373"/>
      <x:c r="K330" s="373"/>
      <x:c r="L330" s="373"/>
      <x:c r="M330" s="373"/>
      <x:c r="N330" s="373"/>
      <x:c r="O330" s="373"/>
      <x:c r="P330" s="373"/>
      <x:c r="Q330" s="373"/>
      <x:c r="R330" s="373"/>
      <x:c r="S330" s="373"/>
      <x:c r="T330" s="373"/>
      <x:c r="U330" s="373"/>
      <x:c r="V330" s="373"/>
      <x:c r="W330" s="373"/>
      <x:c r="X330" s="373"/>
      <x:c r="Y330" s="373"/>
      <x:c r="Z330" s="373"/>
    </x:row>
    <x:row r="331">
      <x:c r="A331" s="373"/>
      <x:c r="B331" s="373"/>
      <x:c r="C331" s="373"/>
      <x:c r="D331" s="373"/>
      <x:c r="E331" s="373"/>
      <x:c r="F331" s="373"/>
      <x:c r="G331" s="373"/>
      <x:c r="H331" s="373"/>
      <x:c r="I331" s="373"/>
      <x:c r="J331" s="373"/>
      <x:c r="K331" s="373"/>
      <x:c r="L331" s="373"/>
      <x:c r="M331" s="373"/>
      <x:c r="N331" s="373"/>
      <x:c r="O331" s="373"/>
      <x:c r="P331" s="373"/>
      <x:c r="Q331" s="373"/>
      <x:c r="R331" s="373"/>
      <x:c r="S331" s="373"/>
      <x:c r="T331" s="373"/>
      <x:c r="U331" s="373"/>
      <x:c r="V331" s="373"/>
      <x:c r="W331" s="373"/>
      <x:c r="X331" s="373"/>
      <x:c r="Y331" s="373"/>
      <x:c r="Z331" s="373"/>
    </x:row>
    <x:row r="332">
      <x:c r="A332" s="373"/>
      <x:c r="B332" s="373"/>
      <x:c r="C332" s="373"/>
      <x:c r="D332" s="373"/>
      <x:c r="E332" s="373"/>
      <x:c r="F332" s="373"/>
      <x:c r="G332" s="373"/>
      <x:c r="H332" s="373"/>
      <x:c r="I332" s="373"/>
      <x:c r="J332" s="373"/>
      <x:c r="K332" s="373"/>
      <x:c r="L332" s="373"/>
      <x:c r="M332" s="373"/>
      <x:c r="N332" s="373"/>
      <x:c r="O332" s="373"/>
      <x:c r="P332" s="373"/>
      <x:c r="Q332" s="373"/>
      <x:c r="R332" s="373"/>
      <x:c r="S332" s="373"/>
      <x:c r="T332" s="373"/>
      <x:c r="U332" s="373"/>
      <x:c r="V332" s="373"/>
      <x:c r="W332" s="373"/>
      <x:c r="X332" s="373"/>
      <x:c r="Y332" s="373"/>
      <x:c r="Z332" s="373"/>
    </x:row>
    <x:row r="333">
      <x:c r="A333" s="373"/>
      <x:c r="B333" s="373"/>
      <x:c r="C333" s="373"/>
      <x:c r="D333" s="373"/>
      <x:c r="E333" s="373"/>
      <x:c r="F333" s="373"/>
      <x:c r="G333" s="373"/>
      <x:c r="H333" s="373"/>
      <x:c r="I333" s="373"/>
      <x:c r="J333" s="373"/>
      <x:c r="K333" s="373"/>
      <x:c r="L333" s="373"/>
      <x:c r="M333" s="373"/>
      <x:c r="N333" s="373"/>
      <x:c r="O333" s="373"/>
      <x:c r="P333" s="373"/>
      <x:c r="Q333" s="373"/>
      <x:c r="R333" s="373"/>
      <x:c r="S333" s="373"/>
      <x:c r="T333" s="373"/>
      <x:c r="U333" s="373"/>
      <x:c r="V333" s="373"/>
      <x:c r="W333" s="373"/>
      <x:c r="X333" s="373"/>
      <x:c r="Y333" s="373"/>
      <x:c r="Z333" s="373"/>
    </x:row>
    <x:row r="334">
      <x:c r="A334" s="373"/>
      <x:c r="B334" s="373"/>
      <x:c r="C334" s="373"/>
      <x:c r="D334" s="373"/>
      <x:c r="E334" s="373"/>
      <x:c r="F334" s="373"/>
      <x:c r="G334" s="373"/>
      <x:c r="H334" s="373"/>
      <x:c r="I334" s="373"/>
      <x:c r="J334" s="373"/>
      <x:c r="K334" s="373"/>
      <x:c r="L334" s="373"/>
      <x:c r="M334" s="373"/>
      <x:c r="N334" s="373"/>
      <x:c r="O334" s="373"/>
      <x:c r="P334" s="373"/>
      <x:c r="Q334" s="373"/>
      <x:c r="R334" s="373"/>
      <x:c r="S334" s="373"/>
      <x:c r="T334" s="373"/>
      <x:c r="U334" s="373"/>
      <x:c r="V334" s="373"/>
      <x:c r="W334" s="373"/>
      <x:c r="X334" s="373"/>
      <x:c r="Y334" s="373"/>
      <x:c r="Z334" s="373"/>
    </x:row>
    <x:row r="335">
      <x:c r="A335" s="373"/>
      <x:c r="B335" s="373"/>
      <x:c r="C335" s="373"/>
      <x:c r="D335" s="373"/>
      <x:c r="E335" s="373"/>
      <x:c r="F335" s="373"/>
      <x:c r="G335" s="373"/>
      <x:c r="H335" s="373"/>
      <x:c r="I335" s="373"/>
      <x:c r="J335" s="373"/>
      <x:c r="K335" s="373"/>
      <x:c r="L335" s="373"/>
      <x:c r="M335" s="373"/>
      <x:c r="N335" s="373"/>
      <x:c r="O335" s="373"/>
      <x:c r="P335" s="373"/>
      <x:c r="Q335" s="373"/>
      <x:c r="R335" s="373"/>
      <x:c r="S335" s="373"/>
      <x:c r="T335" s="373"/>
      <x:c r="U335" s="373"/>
      <x:c r="V335" s="373"/>
      <x:c r="W335" s="373"/>
      <x:c r="X335" s="373"/>
      <x:c r="Y335" s="373"/>
      <x:c r="Z335" s="373"/>
    </x:row>
    <x:row r="336">
      <x:c r="A336" s="373"/>
      <x:c r="B336" s="373"/>
      <x:c r="C336" s="373"/>
      <x:c r="D336" s="373"/>
      <x:c r="E336" s="373"/>
      <x:c r="F336" s="373"/>
      <x:c r="G336" s="373"/>
      <x:c r="H336" s="373"/>
      <x:c r="I336" s="373"/>
      <x:c r="J336" s="373"/>
      <x:c r="K336" s="373"/>
      <x:c r="L336" s="373"/>
      <x:c r="M336" s="373"/>
      <x:c r="N336" s="373"/>
      <x:c r="O336" s="373"/>
      <x:c r="P336" s="373"/>
      <x:c r="Q336" s="373"/>
      <x:c r="R336" s="373"/>
      <x:c r="S336" s="373"/>
      <x:c r="T336" s="373"/>
      <x:c r="U336" s="373"/>
      <x:c r="V336" s="373"/>
      <x:c r="W336" s="373"/>
      <x:c r="X336" s="373"/>
      <x:c r="Y336" s="373"/>
      <x:c r="Z336" s="373"/>
    </x:row>
    <x:row r="337">
      <x:c r="A337" s="373"/>
      <x:c r="B337" s="373"/>
      <x:c r="C337" s="373"/>
      <x:c r="D337" s="373"/>
      <x:c r="E337" s="373"/>
      <x:c r="F337" s="373"/>
      <x:c r="G337" s="373"/>
      <x:c r="H337" s="373"/>
      <x:c r="I337" s="373"/>
      <x:c r="J337" s="373"/>
      <x:c r="K337" s="373"/>
      <x:c r="L337" s="373"/>
      <x:c r="M337" s="373"/>
      <x:c r="N337" s="373"/>
      <x:c r="O337" s="373"/>
      <x:c r="P337" s="373"/>
      <x:c r="Q337" s="373"/>
      <x:c r="R337" s="373"/>
      <x:c r="S337" s="373"/>
      <x:c r="T337" s="373"/>
      <x:c r="U337" s="373"/>
      <x:c r="V337" s="373"/>
      <x:c r="W337" s="373"/>
      <x:c r="X337" s="373"/>
      <x:c r="Y337" s="373"/>
      <x:c r="Z337" s="373"/>
    </x:row>
    <x:row r="338">
      <x:c r="A338" s="373"/>
      <x:c r="B338" s="373"/>
      <x:c r="C338" s="373"/>
      <x:c r="D338" s="373"/>
      <x:c r="E338" s="373"/>
      <x:c r="F338" s="373"/>
      <x:c r="G338" s="373"/>
      <x:c r="H338" s="373"/>
      <x:c r="I338" s="373"/>
      <x:c r="J338" s="373"/>
      <x:c r="K338" s="373"/>
      <x:c r="L338" s="373"/>
      <x:c r="M338" s="373"/>
      <x:c r="N338" s="373"/>
      <x:c r="O338" s="373"/>
      <x:c r="P338" s="373"/>
      <x:c r="Q338" s="373"/>
      <x:c r="R338" s="373"/>
      <x:c r="S338" s="373"/>
      <x:c r="T338" s="373"/>
      <x:c r="U338" s="373"/>
      <x:c r="V338" s="373"/>
      <x:c r="W338" s="373"/>
      <x:c r="X338" s="373"/>
      <x:c r="Y338" s="373"/>
      <x:c r="Z338" s="373"/>
    </x:row>
    <x:row r="339">
      <x:c r="A339" s="373"/>
      <x:c r="B339" s="373"/>
      <x:c r="C339" s="373"/>
      <x:c r="D339" s="373"/>
      <x:c r="E339" s="373"/>
      <x:c r="F339" s="373"/>
      <x:c r="G339" s="373"/>
      <x:c r="H339" s="373"/>
      <x:c r="I339" s="373"/>
      <x:c r="J339" s="373"/>
      <x:c r="K339" s="373"/>
      <x:c r="L339" s="373"/>
      <x:c r="M339" s="373"/>
      <x:c r="N339" s="373"/>
      <x:c r="O339" s="373"/>
      <x:c r="P339" s="373"/>
      <x:c r="Q339" s="373"/>
      <x:c r="R339" s="373"/>
      <x:c r="S339" s="373"/>
      <x:c r="T339" s="373"/>
      <x:c r="U339" s="373"/>
      <x:c r="V339" s="373"/>
      <x:c r="W339" s="373"/>
      <x:c r="X339" s="373"/>
      <x:c r="Y339" s="373"/>
      <x:c r="Z339" s="373"/>
    </x:row>
    <x:row r="340">
      <x:c r="A340" s="373"/>
      <x:c r="B340" s="373"/>
      <x:c r="C340" s="373"/>
      <x:c r="D340" s="373"/>
      <x:c r="E340" s="373"/>
      <x:c r="F340" s="373"/>
      <x:c r="G340" s="373"/>
      <x:c r="H340" s="373"/>
      <x:c r="I340" s="373"/>
      <x:c r="J340" s="373"/>
      <x:c r="K340" s="373"/>
      <x:c r="L340" s="373"/>
      <x:c r="M340" s="373"/>
      <x:c r="N340" s="373"/>
      <x:c r="O340" s="373"/>
      <x:c r="P340" s="373"/>
      <x:c r="Q340" s="373"/>
      <x:c r="R340" s="373"/>
      <x:c r="S340" s="373"/>
      <x:c r="T340" s="373"/>
      <x:c r="U340" s="373"/>
      <x:c r="V340" s="373"/>
      <x:c r="W340" s="373"/>
      <x:c r="X340" s="373"/>
      <x:c r="Y340" s="373"/>
      <x:c r="Z340" s="373"/>
    </x:row>
    <x:row r="341">
      <x:c r="A341" s="373"/>
      <x:c r="B341" s="373"/>
      <x:c r="C341" s="373"/>
      <x:c r="D341" s="373"/>
      <x:c r="E341" s="373"/>
      <x:c r="F341" s="373"/>
      <x:c r="G341" s="373"/>
      <x:c r="H341" s="373"/>
      <x:c r="I341" s="373"/>
      <x:c r="J341" s="373"/>
      <x:c r="K341" s="373"/>
      <x:c r="L341" s="373"/>
      <x:c r="M341" s="373"/>
      <x:c r="N341" s="373"/>
      <x:c r="O341" s="373"/>
      <x:c r="P341" s="373"/>
      <x:c r="Q341" s="373"/>
      <x:c r="R341" s="373"/>
      <x:c r="S341" s="373"/>
      <x:c r="T341" s="373"/>
      <x:c r="U341" s="373"/>
      <x:c r="V341" s="373"/>
      <x:c r="W341" s="373"/>
      <x:c r="X341" s="373"/>
      <x:c r="Y341" s="373"/>
      <x:c r="Z341" s="373"/>
    </x:row>
    <x:row r="342">
      <x:c r="A342" s="373"/>
      <x:c r="B342" s="373"/>
      <x:c r="C342" s="373"/>
      <x:c r="D342" s="373"/>
      <x:c r="E342" s="373"/>
      <x:c r="F342" s="373"/>
      <x:c r="G342" s="373"/>
      <x:c r="H342" s="373"/>
      <x:c r="I342" s="373"/>
      <x:c r="J342" s="373"/>
      <x:c r="K342" s="373"/>
      <x:c r="L342" s="373"/>
      <x:c r="M342" s="373"/>
      <x:c r="N342" s="373"/>
      <x:c r="O342" s="373"/>
      <x:c r="P342" s="373"/>
      <x:c r="Q342" s="373"/>
      <x:c r="R342" s="373"/>
      <x:c r="S342" s="373"/>
      <x:c r="T342" s="373"/>
      <x:c r="U342" s="373"/>
      <x:c r="V342" s="373"/>
      <x:c r="W342" s="373"/>
      <x:c r="X342" s="373"/>
      <x:c r="Y342" s="373"/>
      <x:c r="Z342" s="373"/>
    </x:row>
    <x:row r="343">
      <x:c r="A343" s="373"/>
      <x:c r="B343" s="373"/>
      <x:c r="C343" s="373"/>
      <x:c r="D343" s="373"/>
      <x:c r="E343" s="373"/>
      <x:c r="F343" s="373"/>
      <x:c r="G343" s="373"/>
      <x:c r="H343" s="373"/>
      <x:c r="I343" s="373"/>
      <x:c r="J343" s="373"/>
      <x:c r="K343" s="373"/>
      <x:c r="L343" s="373"/>
      <x:c r="M343" s="373"/>
      <x:c r="N343" s="373"/>
      <x:c r="O343" s="373"/>
      <x:c r="P343" s="373"/>
      <x:c r="Q343" s="373"/>
      <x:c r="R343" s="373"/>
      <x:c r="S343" s="373"/>
      <x:c r="T343" s="373"/>
      <x:c r="U343" s="373"/>
      <x:c r="V343" s="373"/>
      <x:c r="W343" s="373"/>
      <x:c r="X343" s="373"/>
      <x:c r="Y343" s="373"/>
      <x:c r="Z343" s="373"/>
    </x:row>
    <x:row r="344">
      <x:c r="A344" s="373"/>
      <x:c r="B344" s="373"/>
      <x:c r="C344" s="373"/>
      <x:c r="D344" s="373"/>
      <x:c r="E344" s="373"/>
      <x:c r="F344" s="373"/>
      <x:c r="G344" s="373"/>
      <x:c r="H344" s="373"/>
      <x:c r="I344" s="373"/>
      <x:c r="J344" s="373"/>
      <x:c r="K344" s="373"/>
      <x:c r="L344" s="373"/>
      <x:c r="M344" s="373"/>
      <x:c r="N344" s="373"/>
      <x:c r="O344" s="373"/>
      <x:c r="P344" s="373"/>
      <x:c r="Q344" s="373"/>
      <x:c r="R344" s="373"/>
      <x:c r="S344" s="373"/>
      <x:c r="T344" s="373"/>
      <x:c r="U344" s="373"/>
      <x:c r="V344" s="373"/>
      <x:c r="W344" s="373"/>
      <x:c r="X344" s="373"/>
      <x:c r="Y344" s="373"/>
      <x:c r="Z344" s="373"/>
    </x:row>
    <x:row r="345">
      <x:c r="A345" s="373"/>
      <x:c r="B345" s="373"/>
      <x:c r="C345" s="373"/>
      <x:c r="D345" s="373"/>
      <x:c r="E345" s="373"/>
      <x:c r="F345" s="373"/>
      <x:c r="G345" s="373"/>
      <x:c r="H345" s="373"/>
      <x:c r="I345" s="373"/>
      <x:c r="J345" s="373"/>
      <x:c r="K345" s="373"/>
      <x:c r="L345" s="373"/>
      <x:c r="M345" s="373"/>
      <x:c r="N345" s="373"/>
      <x:c r="O345" s="373"/>
      <x:c r="P345" s="373"/>
      <x:c r="Q345" s="373"/>
      <x:c r="R345" s="373"/>
      <x:c r="S345" s="373"/>
      <x:c r="T345" s="373"/>
      <x:c r="U345" s="373"/>
      <x:c r="V345" s="373"/>
      <x:c r="W345" s="373"/>
      <x:c r="X345" s="373"/>
      <x:c r="Y345" s="373"/>
      <x:c r="Z345" s="373"/>
    </x:row>
    <x:row r="346">
      <x:c r="A346" s="373"/>
      <x:c r="B346" s="373"/>
      <x:c r="C346" s="373"/>
      <x:c r="D346" s="373"/>
      <x:c r="E346" s="373"/>
      <x:c r="F346" s="373"/>
      <x:c r="G346" s="373"/>
      <x:c r="H346" s="373"/>
      <x:c r="I346" s="373"/>
      <x:c r="J346" s="373"/>
      <x:c r="K346" s="373"/>
      <x:c r="L346" s="373"/>
      <x:c r="M346" s="373"/>
      <x:c r="N346" s="373"/>
      <x:c r="O346" s="373"/>
      <x:c r="P346" s="373"/>
      <x:c r="Q346" s="373"/>
      <x:c r="R346" s="373"/>
      <x:c r="S346" s="373"/>
      <x:c r="T346" s="373"/>
      <x:c r="U346" s="373"/>
      <x:c r="V346" s="373"/>
      <x:c r="W346" s="373"/>
      <x:c r="X346" s="373"/>
      <x:c r="Y346" s="373"/>
      <x:c r="Z346" s="373"/>
    </x:row>
    <x:row r="347">
      <x:c r="A347" s="373"/>
      <x:c r="B347" s="373"/>
      <x:c r="C347" s="373"/>
      <x:c r="D347" s="373"/>
      <x:c r="E347" s="373"/>
      <x:c r="F347" s="373"/>
      <x:c r="G347" s="373"/>
      <x:c r="H347" s="373"/>
      <x:c r="I347" s="373"/>
      <x:c r="J347" s="373"/>
      <x:c r="K347" s="373"/>
      <x:c r="L347" s="373"/>
      <x:c r="M347" s="373"/>
      <x:c r="N347" s="373"/>
      <x:c r="O347" s="373"/>
      <x:c r="P347" s="373"/>
      <x:c r="Q347" s="373"/>
      <x:c r="R347" s="373"/>
      <x:c r="S347" s="373"/>
      <x:c r="T347" s="373"/>
      <x:c r="U347" s="373"/>
      <x:c r="V347" s="373"/>
      <x:c r="W347" s="373"/>
      <x:c r="X347" s="373"/>
      <x:c r="Y347" s="373"/>
      <x:c r="Z347" s="373"/>
    </x:row>
    <x:row r="348">
      <x:c r="A348" s="373"/>
      <x:c r="B348" s="373"/>
      <x:c r="C348" s="373"/>
      <x:c r="D348" s="373"/>
      <x:c r="E348" s="373"/>
      <x:c r="F348" s="373"/>
      <x:c r="G348" s="373"/>
      <x:c r="H348" s="373"/>
      <x:c r="I348" s="373"/>
      <x:c r="J348" s="373"/>
      <x:c r="K348" s="373"/>
      <x:c r="L348" s="373"/>
      <x:c r="M348" s="373"/>
      <x:c r="N348" s="373"/>
      <x:c r="O348" s="373"/>
      <x:c r="P348" s="373"/>
      <x:c r="Q348" s="373"/>
      <x:c r="R348" s="373"/>
      <x:c r="S348" s="373"/>
      <x:c r="T348" s="373"/>
      <x:c r="U348" s="373"/>
      <x:c r="V348" s="373"/>
      <x:c r="W348" s="373"/>
      <x:c r="X348" s="373"/>
      <x:c r="Y348" s="373"/>
      <x:c r="Z348" s="373"/>
    </x:row>
    <x:row r="349">
      <x:c r="A349" s="373"/>
      <x:c r="B349" s="373"/>
      <x:c r="C349" s="373"/>
      <x:c r="D349" s="373"/>
      <x:c r="E349" s="373"/>
      <x:c r="F349" s="373"/>
      <x:c r="G349" s="373"/>
      <x:c r="H349" s="373"/>
      <x:c r="I349" s="373"/>
      <x:c r="J349" s="373"/>
      <x:c r="K349" s="373"/>
      <x:c r="L349" s="373"/>
      <x:c r="M349" s="373"/>
      <x:c r="N349" s="373"/>
      <x:c r="O349" s="373"/>
      <x:c r="P349" s="373"/>
      <x:c r="Q349" s="373"/>
      <x:c r="R349" s="373"/>
      <x:c r="S349" s="373"/>
      <x:c r="T349" s="373"/>
      <x:c r="U349" s="373"/>
      <x:c r="V349" s="373"/>
      <x:c r="W349" s="373"/>
      <x:c r="X349" s="373"/>
      <x:c r="Y349" s="373"/>
      <x:c r="Z349" s="373"/>
    </x:row>
    <x:row r="350">
      <x:c r="A350" s="373"/>
      <x:c r="B350" s="373"/>
      <x:c r="C350" s="373"/>
      <x:c r="D350" s="373"/>
      <x:c r="E350" s="373"/>
      <x:c r="F350" s="373"/>
      <x:c r="G350" s="373"/>
      <x:c r="H350" s="373"/>
      <x:c r="I350" s="373"/>
      <x:c r="J350" s="373"/>
      <x:c r="K350" s="373"/>
      <x:c r="L350" s="373"/>
      <x:c r="M350" s="373"/>
      <x:c r="N350" s="373"/>
      <x:c r="O350" s="373"/>
      <x:c r="P350" s="373"/>
      <x:c r="Q350" s="373"/>
      <x:c r="R350" s="373"/>
      <x:c r="S350" s="373"/>
      <x:c r="T350" s="373"/>
      <x:c r="U350" s="373"/>
      <x:c r="V350" s="373"/>
      <x:c r="W350" s="373"/>
      <x:c r="X350" s="373"/>
      <x:c r="Y350" s="373"/>
      <x:c r="Z350" s="373"/>
    </x:row>
    <x:row r="351">
      <x:c r="A351" s="373"/>
      <x:c r="B351" s="373"/>
      <x:c r="C351" s="373"/>
      <x:c r="D351" s="373"/>
      <x:c r="E351" s="373"/>
      <x:c r="F351" s="373"/>
      <x:c r="G351" s="373"/>
      <x:c r="H351" s="373"/>
      <x:c r="I351" s="373"/>
      <x:c r="J351" s="373"/>
      <x:c r="K351" s="373"/>
      <x:c r="L351" s="373"/>
      <x:c r="M351" s="373"/>
      <x:c r="N351" s="373"/>
      <x:c r="O351" s="373"/>
      <x:c r="P351" s="373"/>
      <x:c r="Q351" s="373"/>
      <x:c r="R351" s="373"/>
      <x:c r="S351" s="373"/>
      <x:c r="T351" s="373"/>
      <x:c r="U351" s="373"/>
      <x:c r="V351" s="373"/>
      <x:c r="W351" s="373"/>
      <x:c r="X351" s="373"/>
      <x:c r="Y351" s="373"/>
      <x:c r="Z351" s="373"/>
    </x:row>
    <x:row r="352">
      <x:c r="A352" s="373"/>
      <x:c r="B352" s="373"/>
      <x:c r="C352" s="373"/>
      <x:c r="D352" s="373"/>
      <x:c r="E352" s="373"/>
      <x:c r="F352" s="373"/>
      <x:c r="G352" s="373"/>
      <x:c r="H352" s="373"/>
      <x:c r="I352" s="373"/>
      <x:c r="J352" s="373"/>
      <x:c r="K352" s="373"/>
      <x:c r="L352" s="373"/>
      <x:c r="M352" s="373"/>
      <x:c r="N352" s="373"/>
      <x:c r="O352" s="373"/>
      <x:c r="P352" s="373"/>
      <x:c r="Q352" s="373"/>
      <x:c r="R352" s="373"/>
      <x:c r="S352" s="373"/>
      <x:c r="T352" s="373"/>
      <x:c r="U352" s="373"/>
      <x:c r="V352" s="373"/>
      <x:c r="W352" s="373"/>
      <x:c r="X352" s="373"/>
      <x:c r="Y352" s="373"/>
      <x:c r="Z352" s="373"/>
    </x:row>
    <x:row r="353">
      <x:c r="A353" s="373"/>
      <x:c r="B353" s="373"/>
      <x:c r="C353" s="373"/>
      <x:c r="D353" s="373"/>
      <x:c r="E353" s="373"/>
      <x:c r="F353" s="373"/>
      <x:c r="G353" s="373"/>
      <x:c r="H353" s="373"/>
      <x:c r="I353" s="373"/>
      <x:c r="J353" s="373"/>
      <x:c r="K353" s="373"/>
      <x:c r="L353" s="373"/>
      <x:c r="M353" s="373"/>
      <x:c r="N353" s="373"/>
      <x:c r="O353" s="373"/>
      <x:c r="P353" s="373"/>
      <x:c r="Q353" s="373"/>
      <x:c r="R353" s="373"/>
      <x:c r="S353" s="373"/>
      <x:c r="T353" s="373"/>
      <x:c r="U353" s="373"/>
      <x:c r="V353" s="373"/>
      <x:c r="W353" s="373"/>
      <x:c r="X353" s="373"/>
      <x:c r="Y353" s="373"/>
      <x:c r="Z353" s="373"/>
    </x:row>
    <x:row r="354">
      <x:c r="A354" s="373"/>
      <x:c r="B354" s="373"/>
      <x:c r="C354" s="373"/>
      <x:c r="D354" s="373"/>
      <x:c r="E354" s="373"/>
      <x:c r="F354" s="373"/>
      <x:c r="G354" s="373"/>
      <x:c r="H354" s="373"/>
      <x:c r="I354" s="373"/>
      <x:c r="J354" s="373"/>
      <x:c r="K354" s="373"/>
      <x:c r="L354" s="373"/>
      <x:c r="M354" s="373"/>
      <x:c r="N354" s="373"/>
      <x:c r="O354" s="373"/>
      <x:c r="P354" s="373"/>
      <x:c r="Q354" s="373"/>
      <x:c r="R354" s="373"/>
      <x:c r="S354" s="373"/>
      <x:c r="T354" s="373"/>
      <x:c r="U354" s="373"/>
      <x:c r="V354" s="373"/>
      <x:c r="W354" s="373"/>
      <x:c r="X354" s="373"/>
      <x:c r="Y354" s="373"/>
      <x:c r="Z354" s="373"/>
    </x:row>
    <x:row r="355">
      <x:c r="A355" s="373"/>
      <x:c r="B355" s="373"/>
      <x:c r="C355" s="373"/>
      <x:c r="D355" s="373"/>
      <x:c r="E355" s="373"/>
      <x:c r="F355" s="373"/>
      <x:c r="G355" s="373"/>
      <x:c r="H355" s="373"/>
      <x:c r="I355" s="373"/>
      <x:c r="J355" s="373"/>
      <x:c r="K355" s="373"/>
      <x:c r="L355" s="373"/>
      <x:c r="M355" s="373"/>
      <x:c r="N355" s="373"/>
      <x:c r="O355" s="373"/>
      <x:c r="P355" s="373"/>
      <x:c r="Q355" s="373"/>
      <x:c r="R355" s="373"/>
      <x:c r="S355" s="373"/>
      <x:c r="T355" s="373"/>
      <x:c r="U355" s="373"/>
      <x:c r="V355" s="373"/>
      <x:c r="W355" s="373"/>
      <x:c r="X355" s="373"/>
      <x:c r="Y355" s="373"/>
      <x:c r="Z355" s="373"/>
    </x:row>
    <x:row r="356">
      <x:c r="A356" s="373"/>
      <x:c r="B356" s="373"/>
      <x:c r="C356" s="373"/>
      <x:c r="D356" s="373"/>
      <x:c r="E356" s="373"/>
      <x:c r="F356" s="373"/>
      <x:c r="G356" s="373"/>
      <x:c r="H356" s="373"/>
      <x:c r="I356" s="373"/>
      <x:c r="J356" s="373"/>
      <x:c r="K356" s="373"/>
      <x:c r="L356" s="373"/>
      <x:c r="M356" s="373"/>
      <x:c r="N356" s="373"/>
      <x:c r="O356" s="373"/>
      <x:c r="P356" s="373"/>
      <x:c r="Q356" s="373"/>
      <x:c r="R356" s="373"/>
      <x:c r="S356" s="373"/>
      <x:c r="T356" s="373"/>
      <x:c r="U356" s="373"/>
      <x:c r="V356" s="373"/>
      <x:c r="W356" s="373"/>
      <x:c r="X356" s="373"/>
      <x:c r="Y356" s="373"/>
      <x:c r="Z356" s="373"/>
    </x:row>
    <x:row r="357">
      <x:c r="A357" s="373"/>
      <x:c r="B357" s="373"/>
      <x:c r="C357" s="373"/>
      <x:c r="D357" s="373"/>
      <x:c r="E357" s="373"/>
      <x:c r="F357" s="373"/>
      <x:c r="G357" s="373"/>
      <x:c r="H357" s="373"/>
      <x:c r="I357" s="373"/>
      <x:c r="J357" s="373"/>
      <x:c r="K357" s="373"/>
      <x:c r="L357" s="373"/>
      <x:c r="M357" s="373"/>
      <x:c r="N357" s="373"/>
      <x:c r="O357" s="373"/>
      <x:c r="P357" s="373"/>
      <x:c r="Q357" s="373"/>
      <x:c r="R357" s="373"/>
      <x:c r="S357" s="373"/>
      <x:c r="T357" s="373"/>
      <x:c r="U357" s="373"/>
      <x:c r="V357" s="373"/>
      <x:c r="W357" s="373"/>
      <x:c r="X357" s="373"/>
      <x:c r="Y357" s="373"/>
      <x:c r="Z357" s="373"/>
    </x:row>
    <x:row r="358">
      <x:c r="A358" s="373"/>
      <x:c r="B358" s="373"/>
      <x:c r="C358" s="373"/>
      <x:c r="D358" s="373"/>
      <x:c r="E358" s="373"/>
      <x:c r="F358" s="373"/>
      <x:c r="G358" s="373"/>
      <x:c r="H358" s="373"/>
      <x:c r="I358" s="373"/>
      <x:c r="J358" s="373"/>
      <x:c r="K358" s="373"/>
      <x:c r="L358" s="373"/>
      <x:c r="M358" s="373"/>
      <x:c r="N358" s="373"/>
      <x:c r="O358" s="373"/>
      <x:c r="P358" s="373"/>
      <x:c r="Q358" s="373"/>
      <x:c r="R358" s="373"/>
      <x:c r="S358" s="373"/>
      <x:c r="T358" s="373"/>
      <x:c r="U358" s="373"/>
      <x:c r="V358" s="373"/>
      <x:c r="W358" s="373"/>
      <x:c r="X358" s="373"/>
      <x:c r="Y358" s="373"/>
      <x:c r="Z358" s="373"/>
    </x:row>
    <x:row r="359">
      <x:c r="A359" s="373"/>
      <x:c r="B359" s="373"/>
      <x:c r="C359" s="373"/>
      <x:c r="D359" s="373"/>
      <x:c r="E359" s="373"/>
      <x:c r="F359" s="373"/>
      <x:c r="G359" s="373"/>
      <x:c r="H359" s="373"/>
      <x:c r="I359" s="373"/>
      <x:c r="J359" s="373"/>
      <x:c r="K359" s="373"/>
      <x:c r="L359" s="373"/>
      <x:c r="M359" s="373"/>
      <x:c r="N359" s="373"/>
      <x:c r="O359" s="373"/>
      <x:c r="P359" s="373"/>
      <x:c r="Q359" s="373"/>
      <x:c r="R359" s="373"/>
      <x:c r="S359" s="373"/>
      <x:c r="T359" s="373"/>
      <x:c r="U359" s="373"/>
      <x:c r="V359" s="373"/>
      <x:c r="W359" s="373"/>
      <x:c r="X359" s="373"/>
      <x:c r="Y359" s="373"/>
      <x:c r="Z359" s="373"/>
    </x:row>
    <x:row r="360">
      <x:c r="A360" s="373"/>
      <x:c r="B360" s="373"/>
      <x:c r="C360" s="373"/>
      <x:c r="D360" s="373"/>
      <x:c r="E360" s="373"/>
      <x:c r="F360" s="373"/>
      <x:c r="G360" s="373"/>
      <x:c r="H360" s="373"/>
      <x:c r="I360" s="373"/>
      <x:c r="J360" s="373"/>
      <x:c r="K360" s="373"/>
      <x:c r="L360" s="373"/>
      <x:c r="M360" s="373"/>
      <x:c r="N360" s="373"/>
      <x:c r="O360" s="373"/>
      <x:c r="P360" s="373"/>
      <x:c r="Q360" s="373"/>
      <x:c r="R360" s="373"/>
      <x:c r="S360" s="373"/>
      <x:c r="T360" s="373"/>
      <x:c r="U360" s="373"/>
      <x:c r="V360" s="373"/>
      <x:c r="W360" s="373"/>
      <x:c r="X360" s="373"/>
      <x:c r="Y360" s="373"/>
      <x:c r="Z360" s="373"/>
    </x:row>
    <x:row r="361">
      <x:c r="A361" s="373"/>
      <x:c r="B361" s="373"/>
      <x:c r="C361" s="373"/>
      <x:c r="D361" s="373"/>
      <x:c r="E361" s="373"/>
      <x:c r="F361" s="373"/>
      <x:c r="G361" s="373"/>
      <x:c r="H361" s="373"/>
      <x:c r="I361" s="373"/>
      <x:c r="J361" s="373"/>
      <x:c r="K361" s="373"/>
      <x:c r="L361" s="373"/>
      <x:c r="M361" s="373"/>
      <x:c r="N361" s="373"/>
      <x:c r="O361" s="373"/>
      <x:c r="P361" s="373"/>
      <x:c r="Q361" s="373"/>
      <x:c r="R361" s="373"/>
      <x:c r="S361" s="373"/>
      <x:c r="T361" s="373"/>
      <x:c r="U361" s="373"/>
      <x:c r="V361" s="373"/>
      <x:c r="W361" s="373"/>
      <x:c r="X361" s="373"/>
      <x:c r="Y361" s="373"/>
      <x:c r="Z361" s="373"/>
    </x:row>
    <x:row r="362">
      <x:c r="A362" s="373"/>
      <x:c r="B362" s="373"/>
      <x:c r="C362" s="373"/>
      <x:c r="D362" s="373"/>
      <x:c r="E362" s="373"/>
      <x:c r="F362" s="373"/>
      <x:c r="G362" s="373"/>
      <x:c r="H362" s="373"/>
      <x:c r="I362" s="373"/>
      <x:c r="J362" s="373"/>
      <x:c r="K362" s="373"/>
      <x:c r="L362" s="373"/>
      <x:c r="M362" s="373"/>
      <x:c r="N362" s="373"/>
      <x:c r="O362" s="373"/>
      <x:c r="P362" s="373"/>
      <x:c r="Q362" s="373"/>
      <x:c r="R362" s="373"/>
      <x:c r="S362" s="373"/>
      <x:c r="T362" s="373"/>
      <x:c r="U362" s="373"/>
      <x:c r="V362" s="373"/>
      <x:c r="W362" s="373"/>
      <x:c r="X362" s="373"/>
      <x:c r="Y362" s="373"/>
      <x:c r="Z362" s="373"/>
    </x:row>
    <x:row r="363">
      <x:c r="A363" s="373"/>
      <x:c r="B363" s="373"/>
      <x:c r="C363" s="373"/>
      <x:c r="D363" s="373"/>
      <x:c r="E363" s="373"/>
      <x:c r="F363" s="373"/>
      <x:c r="G363" s="373"/>
      <x:c r="H363" s="373"/>
      <x:c r="I363" s="373"/>
      <x:c r="J363" s="373"/>
      <x:c r="K363" s="373"/>
      <x:c r="L363" s="373"/>
      <x:c r="M363" s="373"/>
      <x:c r="N363" s="373"/>
      <x:c r="O363" s="373"/>
      <x:c r="P363" s="373"/>
      <x:c r="Q363" s="373"/>
      <x:c r="R363" s="373"/>
      <x:c r="S363" s="373"/>
      <x:c r="T363" s="373"/>
      <x:c r="U363" s="373"/>
      <x:c r="V363" s="373"/>
      <x:c r="W363" s="373"/>
      <x:c r="X363" s="373"/>
      <x:c r="Y363" s="373"/>
      <x:c r="Z363" s="373"/>
    </x:row>
    <x:row r="364">
      <x:c r="A364" s="373"/>
      <x:c r="B364" s="373"/>
      <x:c r="C364" s="373"/>
      <x:c r="D364" s="373"/>
      <x:c r="E364" s="373"/>
      <x:c r="F364" s="373"/>
      <x:c r="G364" s="373"/>
      <x:c r="H364" s="373"/>
      <x:c r="I364" s="373"/>
      <x:c r="J364" s="373"/>
      <x:c r="K364" s="373"/>
      <x:c r="L364" s="373"/>
      <x:c r="M364" s="373"/>
      <x:c r="N364" s="373"/>
      <x:c r="O364" s="373"/>
      <x:c r="P364" s="373"/>
      <x:c r="Q364" s="373"/>
      <x:c r="R364" s="373"/>
      <x:c r="S364" s="373"/>
      <x:c r="T364" s="373"/>
      <x:c r="U364" s="373"/>
      <x:c r="V364" s="373"/>
      <x:c r="W364" s="373"/>
      <x:c r="X364" s="373"/>
      <x:c r="Y364" s="373"/>
      <x:c r="Z364" s="373"/>
    </x:row>
    <x:row r="365">
      <x:c r="A365" s="373"/>
      <x:c r="B365" s="373"/>
      <x:c r="C365" s="373"/>
      <x:c r="D365" s="373"/>
      <x:c r="E365" s="373"/>
      <x:c r="F365" s="373"/>
      <x:c r="G365" s="373"/>
      <x:c r="H365" s="373"/>
      <x:c r="I365" s="373"/>
      <x:c r="J365" s="373"/>
      <x:c r="K365" s="373"/>
      <x:c r="L365" s="373"/>
      <x:c r="M365" s="373"/>
      <x:c r="N365" s="373"/>
      <x:c r="O365" s="373"/>
      <x:c r="P365" s="373"/>
      <x:c r="Q365" s="373"/>
      <x:c r="R365" s="373"/>
      <x:c r="S365" s="373"/>
      <x:c r="T365" s="373"/>
      <x:c r="U365" s="373"/>
      <x:c r="V365" s="373"/>
      <x:c r="W365" s="373"/>
      <x:c r="X365" s="373"/>
      <x:c r="Y365" s="373"/>
      <x:c r="Z365" s="373"/>
    </x:row>
    <x:row r="366">
      <x:c r="A366" s="373"/>
      <x:c r="B366" s="373"/>
      <x:c r="C366" s="373"/>
      <x:c r="D366" s="373"/>
      <x:c r="E366" s="373"/>
      <x:c r="F366" s="373"/>
      <x:c r="G366" s="373"/>
      <x:c r="H366" s="373"/>
      <x:c r="I366" s="373"/>
      <x:c r="J366" s="373"/>
      <x:c r="K366" s="373"/>
      <x:c r="L366" s="373"/>
      <x:c r="M366" s="373"/>
      <x:c r="N366" s="373"/>
      <x:c r="O366" s="373"/>
      <x:c r="P366" s="373"/>
      <x:c r="Q366" s="373"/>
      <x:c r="R366" s="373"/>
      <x:c r="S366" s="373"/>
      <x:c r="T366" s="373"/>
      <x:c r="U366" s="373"/>
      <x:c r="V366" s="373"/>
      <x:c r="W366" s="373"/>
      <x:c r="X366" s="373"/>
      <x:c r="Y366" s="373"/>
      <x:c r="Z366" s="373"/>
    </x:row>
    <x:row r="367">
      <x:c r="A367" s="373"/>
      <x:c r="B367" s="373"/>
      <x:c r="C367" s="373"/>
      <x:c r="D367" s="373"/>
      <x:c r="E367" s="373"/>
      <x:c r="F367" s="373"/>
      <x:c r="G367" s="373"/>
      <x:c r="H367" s="373"/>
      <x:c r="I367" s="373"/>
      <x:c r="J367" s="373"/>
      <x:c r="K367" s="373"/>
      <x:c r="L367" s="373"/>
      <x:c r="M367" s="373"/>
      <x:c r="N367" s="373"/>
      <x:c r="O367" s="373"/>
      <x:c r="P367" s="373"/>
      <x:c r="Q367" s="373"/>
      <x:c r="R367" s="373"/>
      <x:c r="S367" s="373"/>
      <x:c r="T367" s="373"/>
      <x:c r="U367" s="373"/>
      <x:c r="V367" s="373"/>
      <x:c r="W367" s="373"/>
      <x:c r="X367" s="373"/>
      <x:c r="Y367" s="373"/>
      <x:c r="Z367" s="373"/>
    </x:row>
    <x:row r="368">
      <x:c r="A368" s="373"/>
      <x:c r="B368" s="373"/>
      <x:c r="C368" s="373"/>
      <x:c r="D368" s="373"/>
      <x:c r="E368" s="373"/>
      <x:c r="F368" s="373"/>
      <x:c r="G368" s="373"/>
      <x:c r="H368" s="373"/>
      <x:c r="I368" s="373"/>
      <x:c r="J368" s="373"/>
      <x:c r="K368" s="373"/>
      <x:c r="L368" s="373"/>
      <x:c r="M368" s="373"/>
      <x:c r="N368" s="373"/>
      <x:c r="O368" s="373"/>
      <x:c r="P368" s="373"/>
      <x:c r="Q368" s="373"/>
      <x:c r="R368" s="373"/>
      <x:c r="S368" s="373"/>
      <x:c r="T368" s="373"/>
      <x:c r="U368" s="373"/>
      <x:c r="V368" s="373"/>
      <x:c r="W368" s="373"/>
      <x:c r="X368" s="373"/>
      <x:c r="Y368" s="373"/>
      <x:c r="Z368" s="373"/>
    </x:row>
    <x:row r="369">
      <x:c r="A369" s="373"/>
      <x:c r="B369" s="373"/>
      <x:c r="C369" s="373"/>
      <x:c r="D369" s="373"/>
      <x:c r="E369" s="373"/>
      <x:c r="F369" s="373"/>
      <x:c r="G369" s="373"/>
      <x:c r="H369" s="373"/>
      <x:c r="I369" s="373"/>
      <x:c r="J369" s="373"/>
      <x:c r="K369" s="373"/>
      <x:c r="L369" s="373"/>
      <x:c r="M369" s="373"/>
      <x:c r="N369" s="373"/>
      <x:c r="O369" s="373"/>
      <x:c r="P369" s="373"/>
      <x:c r="Q369" s="373"/>
      <x:c r="R369" s="373"/>
      <x:c r="S369" s="373"/>
      <x:c r="T369" s="373"/>
      <x:c r="U369" s="373"/>
      <x:c r="V369" s="373"/>
      <x:c r="W369" s="373"/>
      <x:c r="X369" s="373"/>
      <x:c r="Y369" s="373"/>
      <x:c r="Z369" s="373"/>
    </x:row>
    <x:row r="370">
      <x:c r="A370" s="373"/>
      <x:c r="B370" s="373"/>
      <x:c r="C370" s="373"/>
      <x:c r="D370" s="373"/>
      <x:c r="E370" s="373"/>
      <x:c r="F370" s="373"/>
      <x:c r="G370" s="373"/>
      <x:c r="H370" s="373"/>
      <x:c r="I370" s="373"/>
      <x:c r="J370" s="373"/>
      <x:c r="K370" s="373"/>
      <x:c r="L370" s="373"/>
      <x:c r="M370" s="373"/>
      <x:c r="N370" s="373"/>
      <x:c r="O370" s="373"/>
      <x:c r="P370" s="373"/>
      <x:c r="Q370" s="373"/>
      <x:c r="R370" s="373"/>
      <x:c r="S370" s="373"/>
      <x:c r="T370" s="373"/>
      <x:c r="U370" s="373"/>
      <x:c r="V370" s="373"/>
      <x:c r="W370" s="373"/>
      <x:c r="X370" s="373"/>
      <x:c r="Y370" s="373"/>
      <x:c r="Z370" s="373"/>
    </x:row>
    <x:row r="371">
      <x:c r="A371" s="373"/>
      <x:c r="B371" s="373"/>
      <x:c r="C371" s="373"/>
      <x:c r="D371" s="373"/>
      <x:c r="E371" s="373"/>
      <x:c r="F371" s="373"/>
      <x:c r="G371" s="373"/>
      <x:c r="H371" s="373"/>
      <x:c r="I371" s="373"/>
      <x:c r="J371" s="373"/>
      <x:c r="K371" s="373"/>
      <x:c r="L371" s="373"/>
      <x:c r="M371" s="373"/>
      <x:c r="N371" s="373"/>
      <x:c r="O371" s="373"/>
      <x:c r="P371" s="373"/>
      <x:c r="Q371" s="373"/>
      <x:c r="R371" s="373"/>
      <x:c r="S371" s="373"/>
      <x:c r="T371" s="373"/>
      <x:c r="U371" s="373"/>
      <x:c r="V371" s="373"/>
      <x:c r="W371" s="373"/>
      <x:c r="X371" s="373"/>
      <x:c r="Y371" s="373"/>
      <x:c r="Z371" s="373"/>
    </x:row>
    <x:row r="372">
      <x:c r="A372" s="373"/>
      <x:c r="B372" s="373"/>
      <x:c r="C372" s="373"/>
      <x:c r="D372" s="373"/>
      <x:c r="E372" s="373"/>
      <x:c r="F372" s="373"/>
      <x:c r="G372" s="373"/>
      <x:c r="H372" s="373"/>
      <x:c r="I372" s="373"/>
      <x:c r="J372" s="373"/>
      <x:c r="K372" s="373"/>
      <x:c r="L372" s="373"/>
      <x:c r="M372" s="373"/>
      <x:c r="N372" s="373"/>
      <x:c r="O372" s="373"/>
      <x:c r="P372" s="373"/>
      <x:c r="Q372" s="373"/>
      <x:c r="R372" s="373"/>
      <x:c r="S372" s="373"/>
      <x:c r="T372" s="373"/>
      <x:c r="U372" s="373"/>
      <x:c r="V372" s="373"/>
      <x:c r="W372" s="373"/>
      <x:c r="X372" s="373"/>
      <x:c r="Y372" s="373"/>
      <x:c r="Z372" s="373"/>
    </x:row>
    <x:row r="373">
      <x:c r="A373" s="373"/>
      <x:c r="B373" s="373"/>
      <x:c r="C373" s="373"/>
      <x:c r="D373" s="373"/>
      <x:c r="E373" s="373"/>
      <x:c r="F373" s="373"/>
      <x:c r="G373" s="373"/>
      <x:c r="H373" s="373"/>
      <x:c r="I373" s="373"/>
      <x:c r="J373" s="373"/>
      <x:c r="K373" s="373"/>
      <x:c r="L373" s="373"/>
      <x:c r="M373" s="373"/>
      <x:c r="N373" s="373"/>
      <x:c r="O373" s="373"/>
      <x:c r="P373" s="373"/>
      <x:c r="Q373" s="373"/>
      <x:c r="R373" s="373"/>
      <x:c r="S373" s="373"/>
      <x:c r="T373" s="373"/>
      <x:c r="U373" s="373"/>
      <x:c r="V373" s="373"/>
      <x:c r="W373" s="373"/>
      <x:c r="X373" s="373"/>
      <x:c r="Y373" s="373"/>
      <x:c r="Z373" s="373"/>
    </x:row>
    <x:row r="374">
      <x:c r="A374" s="373"/>
      <x:c r="B374" s="373"/>
      <x:c r="C374" s="373"/>
      <x:c r="D374" s="373"/>
      <x:c r="E374" s="373"/>
      <x:c r="F374" s="373"/>
      <x:c r="G374" s="373"/>
      <x:c r="H374" s="373"/>
      <x:c r="I374" s="373"/>
      <x:c r="J374" s="373"/>
      <x:c r="K374" s="373"/>
      <x:c r="L374" s="373"/>
      <x:c r="M374" s="373"/>
      <x:c r="N374" s="373"/>
      <x:c r="O374" s="373"/>
      <x:c r="P374" s="373"/>
      <x:c r="Q374" s="373"/>
      <x:c r="R374" s="373"/>
      <x:c r="S374" s="373"/>
      <x:c r="T374" s="373"/>
      <x:c r="U374" s="373"/>
      <x:c r="V374" s="373"/>
      <x:c r="W374" s="373"/>
      <x:c r="X374" s="373"/>
      <x:c r="Y374" s="373"/>
      <x:c r="Z374" s="373"/>
    </x:row>
    <x:row r="375">
      <x:c r="A375" s="373"/>
      <x:c r="B375" s="373"/>
      <x:c r="C375" s="373"/>
      <x:c r="D375" s="373"/>
      <x:c r="E375" s="373"/>
      <x:c r="F375" s="373"/>
      <x:c r="G375" s="373"/>
      <x:c r="H375" s="373"/>
      <x:c r="I375" s="373"/>
      <x:c r="J375" s="373"/>
      <x:c r="K375" s="373"/>
      <x:c r="L375" s="373"/>
      <x:c r="M375" s="373"/>
      <x:c r="N375" s="373"/>
      <x:c r="O375" s="373"/>
      <x:c r="P375" s="373"/>
      <x:c r="Q375" s="373"/>
      <x:c r="R375" s="373"/>
      <x:c r="S375" s="373"/>
      <x:c r="T375" s="373"/>
      <x:c r="U375" s="373"/>
      <x:c r="V375" s="373"/>
      <x:c r="W375" s="373"/>
      <x:c r="X375" s="373"/>
      <x:c r="Y375" s="373"/>
      <x:c r="Z375" s="373"/>
    </x:row>
    <x:row r="376">
      <x:c r="A376" s="373"/>
      <x:c r="B376" s="373"/>
      <x:c r="C376" s="373"/>
      <x:c r="D376" s="373"/>
      <x:c r="E376" s="373"/>
      <x:c r="F376" s="373"/>
      <x:c r="G376" s="373"/>
      <x:c r="H376" s="373"/>
      <x:c r="I376" s="373"/>
      <x:c r="J376" s="373"/>
      <x:c r="K376" s="373"/>
      <x:c r="L376" s="373"/>
      <x:c r="M376" s="373"/>
      <x:c r="N376" s="373"/>
      <x:c r="O376" s="373"/>
      <x:c r="P376" s="373"/>
      <x:c r="Q376" s="373"/>
      <x:c r="R376" s="373"/>
      <x:c r="S376" s="373"/>
      <x:c r="T376" s="373"/>
      <x:c r="U376" s="373"/>
      <x:c r="V376" s="373"/>
      <x:c r="W376" s="373"/>
      <x:c r="X376" s="373"/>
      <x:c r="Y376" s="373"/>
      <x:c r="Z376" s="373"/>
    </x:row>
    <x:row r="377">
      <x:c r="A377" s="373"/>
      <x:c r="B377" s="373"/>
      <x:c r="C377" s="373"/>
      <x:c r="D377" s="373"/>
      <x:c r="E377" s="373"/>
      <x:c r="F377" s="373"/>
      <x:c r="G377" s="373"/>
      <x:c r="H377" s="373"/>
      <x:c r="I377" s="373"/>
      <x:c r="J377" s="373"/>
      <x:c r="K377" s="373"/>
      <x:c r="L377" s="373"/>
      <x:c r="M377" s="373"/>
      <x:c r="N377" s="373"/>
      <x:c r="O377" s="373"/>
      <x:c r="P377" s="373"/>
      <x:c r="Q377" s="373"/>
      <x:c r="R377" s="373"/>
      <x:c r="S377" s="373"/>
      <x:c r="T377" s="373"/>
      <x:c r="U377" s="373"/>
      <x:c r="V377" s="373"/>
      <x:c r="W377" s="373"/>
      <x:c r="X377" s="373"/>
      <x:c r="Y377" s="373"/>
      <x:c r="Z377" s="373"/>
    </x:row>
    <x:row r="378">
      <x:c r="A378" s="373"/>
      <x:c r="B378" s="373"/>
      <x:c r="C378" s="373"/>
      <x:c r="D378" s="373"/>
      <x:c r="E378" s="373"/>
      <x:c r="F378" s="373"/>
      <x:c r="G378" s="373"/>
      <x:c r="H378" s="373"/>
      <x:c r="I378" s="373"/>
      <x:c r="J378" s="373"/>
      <x:c r="K378" s="373"/>
      <x:c r="L378" s="373"/>
      <x:c r="M378" s="373"/>
      <x:c r="N378" s="373"/>
      <x:c r="O378" s="373"/>
      <x:c r="P378" s="373"/>
      <x:c r="Q378" s="373"/>
      <x:c r="R378" s="373"/>
      <x:c r="S378" s="373"/>
      <x:c r="T378" s="373"/>
      <x:c r="U378" s="373"/>
      <x:c r="V378" s="373"/>
      <x:c r="W378" s="373"/>
      <x:c r="X378" s="373"/>
      <x:c r="Y378" s="373"/>
      <x:c r="Z378" s="373"/>
    </x:row>
    <x:row r="379">
      <x:c r="A379" s="373"/>
      <x:c r="B379" s="373"/>
      <x:c r="C379" s="373"/>
      <x:c r="D379" s="373"/>
      <x:c r="E379" s="373"/>
      <x:c r="F379" s="373"/>
      <x:c r="G379" s="373"/>
      <x:c r="H379" s="373"/>
      <x:c r="I379" s="373"/>
      <x:c r="J379" s="373"/>
      <x:c r="K379" s="373"/>
      <x:c r="L379" s="373"/>
      <x:c r="M379" s="373"/>
      <x:c r="N379" s="373"/>
      <x:c r="O379" s="373"/>
      <x:c r="P379" s="373"/>
      <x:c r="Q379" s="373"/>
      <x:c r="R379" s="373"/>
      <x:c r="S379" s="373"/>
      <x:c r="T379" s="373"/>
      <x:c r="U379" s="373"/>
      <x:c r="V379" s="373"/>
      <x:c r="W379" s="373"/>
      <x:c r="X379" s="373"/>
      <x:c r="Y379" s="373"/>
      <x:c r="Z379" s="373"/>
    </x:row>
    <x:row r="380">
      <x:c r="A380" s="373"/>
      <x:c r="B380" s="373"/>
      <x:c r="C380" s="373"/>
      <x:c r="D380" s="373"/>
      <x:c r="E380" s="373"/>
      <x:c r="F380" s="373"/>
      <x:c r="G380" s="373"/>
      <x:c r="H380" s="373"/>
      <x:c r="I380" s="373"/>
      <x:c r="J380" s="373"/>
      <x:c r="K380" s="373"/>
      <x:c r="L380" s="373"/>
      <x:c r="M380" s="373"/>
      <x:c r="N380" s="373"/>
      <x:c r="O380" s="373"/>
      <x:c r="P380" s="373"/>
      <x:c r="Q380" s="373"/>
      <x:c r="R380" s="373"/>
      <x:c r="S380" s="373"/>
      <x:c r="T380" s="373"/>
      <x:c r="U380" s="373"/>
      <x:c r="V380" s="373"/>
      <x:c r="W380" s="373"/>
      <x:c r="X380" s="373"/>
      <x:c r="Y380" s="373"/>
      <x:c r="Z380" s="373"/>
    </x:row>
    <x:row r="381">
      <x:c r="A381" s="373"/>
      <x:c r="B381" s="373"/>
      <x:c r="C381" s="373"/>
      <x:c r="D381" s="373"/>
      <x:c r="E381" s="373"/>
      <x:c r="F381" s="373"/>
      <x:c r="G381" s="373"/>
      <x:c r="H381" s="373"/>
      <x:c r="I381" s="373"/>
      <x:c r="J381" s="373"/>
      <x:c r="K381" s="373"/>
      <x:c r="L381" s="373"/>
      <x:c r="M381" s="373"/>
      <x:c r="N381" s="373"/>
      <x:c r="O381" s="373"/>
      <x:c r="P381" s="373"/>
      <x:c r="Q381" s="373"/>
      <x:c r="R381" s="373"/>
      <x:c r="S381" s="373"/>
      <x:c r="T381" s="373"/>
      <x:c r="U381" s="373"/>
      <x:c r="V381" s="373"/>
      <x:c r="W381" s="373"/>
      <x:c r="X381" s="373"/>
      <x:c r="Y381" s="373"/>
      <x:c r="Z381" s="373"/>
    </x:row>
    <x:row r="382">
      <x:c r="A382" s="373"/>
      <x:c r="B382" s="373"/>
      <x:c r="C382" s="373"/>
      <x:c r="D382" s="373"/>
      <x:c r="E382" s="373"/>
      <x:c r="F382" s="373"/>
      <x:c r="G382" s="373"/>
      <x:c r="H382" s="373"/>
      <x:c r="I382" s="373"/>
      <x:c r="J382" s="373"/>
      <x:c r="K382" s="373"/>
      <x:c r="L382" s="373"/>
      <x:c r="M382" s="373"/>
      <x:c r="N382" s="373"/>
      <x:c r="O382" s="373"/>
      <x:c r="P382" s="373"/>
      <x:c r="Q382" s="373"/>
      <x:c r="R382" s="373"/>
      <x:c r="S382" s="373"/>
      <x:c r="T382" s="373"/>
      <x:c r="U382" s="373"/>
      <x:c r="V382" s="373"/>
      <x:c r="W382" s="373"/>
      <x:c r="X382" s="373"/>
      <x:c r="Y382" s="373"/>
      <x:c r="Z382" s="373"/>
    </x:row>
    <x:row r="383">
      <x:c r="A383" s="373"/>
      <x:c r="B383" s="373"/>
      <x:c r="C383" s="373"/>
      <x:c r="D383" s="373"/>
      <x:c r="E383" s="373"/>
      <x:c r="F383" s="373"/>
      <x:c r="G383" s="373"/>
      <x:c r="H383" s="373"/>
      <x:c r="I383" s="373"/>
      <x:c r="J383" s="373"/>
      <x:c r="K383" s="373"/>
      <x:c r="L383" s="373"/>
      <x:c r="M383" s="373"/>
      <x:c r="N383" s="373"/>
      <x:c r="O383" s="373"/>
      <x:c r="P383" s="373"/>
      <x:c r="Q383" s="373"/>
      <x:c r="R383" s="373"/>
      <x:c r="S383" s="373"/>
      <x:c r="T383" s="373"/>
      <x:c r="U383" s="373"/>
      <x:c r="V383" s="373"/>
      <x:c r="W383" s="373"/>
      <x:c r="X383" s="373"/>
      <x:c r="Y383" s="373"/>
      <x:c r="Z383" s="373"/>
    </x:row>
    <x:row r="384">
      <x:c r="A384" s="373"/>
      <x:c r="B384" s="373"/>
      <x:c r="C384" s="373"/>
      <x:c r="D384" s="373"/>
      <x:c r="E384" s="373"/>
      <x:c r="F384" s="373"/>
      <x:c r="G384" s="373"/>
      <x:c r="H384" s="373"/>
      <x:c r="I384" s="373"/>
      <x:c r="J384" s="373"/>
      <x:c r="K384" s="373"/>
      <x:c r="L384" s="373"/>
      <x:c r="M384" s="373"/>
      <x:c r="N384" s="373"/>
      <x:c r="O384" s="373"/>
      <x:c r="P384" s="373"/>
      <x:c r="Q384" s="373"/>
      <x:c r="R384" s="373"/>
      <x:c r="S384" s="373"/>
      <x:c r="T384" s="373"/>
      <x:c r="U384" s="373"/>
      <x:c r="V384" s="373"/>
      <x:c r="W384" s="373"/>
      <x:c r="X384" s="373"/>
      <x:c r="Y384" s="373"/>
      <x:c r="Z384" s="373"/>
    </x:row>
    <x:row r="385">
      <x:c r="A385" s="373"/>
      <x:c r="B385" s="373"/>
      <x:c r="C385" s="373"/>
      <x:c r="D385" s="373"/>
      <x:c r="E385" s="373"/>
      <x:c r="F385" s="373"/>
      <x:c r="G385" s="373"/>
      <x:c r="H385" s="373"/>
      <x:c r="I385" s="373"/>
      <x:c r="J385" s="373"/>
      <x:c r="K385" s="373"/>
      <x:c r="L385" s="373"/>
      <x:c r="M385" s="373"/>
      <x:c r="N385" s="373"/>
      <x:c r="O385" s="373"/>
      <x:c r="P385" s="373"/>
      <x:c r="Q385" s="373"/>
      <x:c r="R385" s="373"/>
      <x:c r="S385" s="373"/>
      <x:c r="T385" s="373"/>
      <x:c r="U385" s="373"/>
      <x:c r="V385" s="373"/>
      <x:c r="W385" s="373"/>
      <x:c r="X385" s="373"/>
      <x:c r="Y385" s="373"/>
      <x:c r="Z385" s="373"/>
    </x:row>
    <x:row r="386">
      <x:c r="A386" s="373"/>
      <x:c r="B386" s="373"/>
      <x:c r="C386" s="373"/>
      <x:c r="D386" s="373"/>
      <x:c r="E386" s="373"/>
      <x:c r="F386" s="373"/>
      <x:c r="G386" s="373"/>
      <x:c r="H386" s="373"/>
      <x:c r="I386" s="373"/>
      <x:c r="J386" s="373"/>
      <x:c r="K386" s="373"/>
      <x:c r="L386" s="373"/>
      <x:c r="M386" s="373"/>
      <x:c r="N386" s="373"/>
      <x:c r="O386" s="373"/>
      <x:c r="P386" s="373"/>
      <x:c r="Q386" s="373"/>
      <x:c r="R386" s="373"/>
      <x:c r="S386" s="373"/>
      <x:c r="T386" s="373"/>
      <x:c r="U386" s="373"/>
      <x:c r="V386" s="373"/>
      <x:c r="W386" s="373"/>
      <x:c r="X386" s="373"/>
      <x:c r="Y386" s="373"/>
      <x:c r="Z386" s="373"/>
    </x:row>
    <x:row r="387">
      <x:c r="A387" s="373"/>
      <x:c r="B387" s="373"/>
      <x:c r="C387" s="373"/>
      <x:c r="D387" s="373"/>
      <x:c r="E387" s="373"/>
      <x:c r="F387" s="373"/>
      <x:c r="G387" s="373"/>
      <x:c r="H387" s="373"/>
      <x:c r="I387" s="373"/>
      <x:c r="J387" s="373"/>
      <x:c r="K387" s="373"/>
      <x:c r="L387" s="373"/>
      <x:c r="M387" s="373"/>
      <x:c r="N387" s="373"/>
      <x:c r="O387" s="373"/>
      <x:c r="P387" s="373"/>
      <x:c r="Q387" s="373"/>
      <x:c r="R387" s="373"/>
      <x:c r="S387" s="373"/>
      <x:c r="T387" s="373"/>
      <x:c r="U387" s="373"/>
      <x:c r="V387" s="373"/>
      <x:c r="W387" s="373"/>
      <x:c r="X387" s="373"/>
      <x:c r="Y387" s="373"/>
      <x:c r="Z387" s="373"/>
    </x:row>
    <x:row r="388">
      <x:c r="A388" s="373"/>
      <x:c r="B388" s="373"/>
      <x:c r="C388" s="373"/>
      <x:c r="D388" s="373"/>
      <x:c r="E388" s="373"/>
      <x:c r="F388" s="373"/>
      <x:c r="G388" s="373"/>
      <x:c r="H388" s="373"/>
      <x:c r="I388" s="373"/>
      <x:c r="J388" s="373"/>
      <x:c r="K388" s="373"/>
      <x:c r="L388" s="373"/>
      <x:c r="M388" s="373"/>
      <x:c r="N388" s="373"/>
      <x:c r="O388" s="373"/>
      <x:c r="P388" s="373"/>
      <x:c r="Q388" s="373"/>
      <x:c r="R388" s="373"/>
      <x:c r="S388" s="373"/>
      <x:c r="T388" s="373"/>
      <x:c r="U388" s="373"/>
      <x:c r="V388" s="373"/>
      <x:c r="W388" s="373"/>
      <x:c r="X388" s="373"/>
      <x:c r="Y388" s="373"/>
      <x:c r="Z388" s="373"/>
    </x:row>
    <x:row r="389">
      <x:c r="A389" s="373"/>
      <x:c r="B389" s="373"/>
      <x:c r="C389" s="373"/>
      <x:c r="D389" s="373"/>
      <x:c r="E389" s="373"/>
      <x:c r="F389" s="373"/>
      <x:c r="G389" s="373"/>
      <x:c r="H389" s="373"/>
      <x:c r="I389" s="373"/>
      <x:c r="J389" s="373"/>
      <x:c r="K389" s="373"/>
      <x:c r="L389" s="373"/>
      <x:c r="M389" s="373"/>
      <x:c r="N389" s="373"/>
      <x:c r="O389" s="373"/>
      <x:c r="P389" s="373"/>
      <x:c r="Q389" s="373"/>
      <x:c r="R389" s="373"/>
      <x:c r="S389" s="373"/>
      <x:c r="T389" s="373"/>
      <x:c r="U389" s="373"/>
      <x:c r="V389" s="373"/>
      <x:c r="W389" s="373"/>
      <x:c r="X389" s="373"/>
      <x:c r="Y389" s="373"/>
      <x:c r="Z389" s="373"/>
    </x:row>
    <x:row r="390">
      <x:c r="A390" s="373"/>
      <x:c r="B390" s="373"/>
      <x:c r="C390" s="373"/>
      <x:c r="D390" s="373"/>
      <x:c r="E390" s="373"/>
      <x:c r="F390" s="373"/>
      <x:c r="G390" s="373"/>
      <x:c r="H390" s="373"/>
      <x:c r="I390" s="373"/>
      <x:c r="J390" s="373"/>
      <x:c r="K390" s="373"/>
      <x:c r="L390" s="373"/>
      <x:c r="M390" s="373"/>
      <x:c r="N390" s="373"/>
      <x:c r="O390" s="373"/>
      <x:c r="P390" s="373"/>
      <x:c r="Q390" s="373"/>
      <x:c r="R390" s="373"/>
      <x:c r="S390" s="373"/>
      <x:c r="T390" s="373"/>
      <x:c r="U390" s="373"/>
      <x:c r="V390" s="373"/>
      <x:c r="W390" s="373"/>
      <x:c r="X390" s="373"/>
      <x:c r="Y390" s="373"/>
      <x:c r="Z390" s="373"/>
    </x:row>
    <x:row r="391">
      <x:c r="A391" s="373"/>
      <x:c r="B391" s="373"/>
      <x:c r="C391" s="373"/>
      <x:c r="D391" s="373"/>
      <x:c r="E391" s="373"/>
      <x:c r="F391" s="373"/>
      <x:c r="G391" s="373"/>
      <x:c r="H391" s="373"/>
      <x:c r="I391" s="373"/>
      <x:c r="J391" s="373"/>
      <x:c r="K391" s="373"/>
      <x:c r="L391" s="373"/>
      <x:c r="M391" s="373"/>
      <x:c r="N391" s="373"/>
      <x:c r="O391" s="373"/>
      <x:c r="P391" s="373"/>
      <x:c r="Q391" s="373"/>
      <x:c r="R391" s="373"/>
      <x:c r="S391" s="373"/>
      <x:c r="T391" s="373"/>
      <x:c r="U391" s="373"/>
      <x:c r="V391" s="373"/>
      <x:c r="W391" s="373"/>
      <x:c r="X391" s="373"/>
      <x:c r="Y391" s="373"/>
      <x:c r="Z391" s="373"/>
    </x:row>
    <x:row r="392">
      <x:c r="A392" s="373"/>
      <x:c r="B392" s="373"/>
      <x:c r="C392" s="373"/>
      <x:c r="D392" s="373"/>
      <x:c r="E392" s="373"/>
      <x:c r="F392" s="373"/>
      <x:c r="G392" s="373"/>
      <x:c r="H392" s="373"/>
      <x:c r="I392" s="373"/>
      <x:c r="J392" s="373"/>
      <x:c r="K392" s="373"/>
      <x:c r="L392" s="373"/>
      <x:c r="M392" s="373"/>
      <x:c r="N392" s="373"/>
      <x:c r="O392" s="373"/>
      <x:c r="P392" s="373"/>
      <x:c r="Q392" s="373"/>
      <x:c r="R392" s="373"/>
      <x:c r="S392" s="373"/>
      <x:c r="T392" s="373"/>
      <x:c r="U392" s="373"/>
      <x:c r="V392" s="373"/>
      <x:c r="W392" s="373"/>
      <x:c r="X392" s="373"/>
      <x:c r="Y392" s="373"/>
      <x:c r="Z392" s="373"/>
    </x:row>
    <x:row r="393">
      <x:c r="A393" s="373"/>
      <x:c r="B393" s="373"/>
      <x:c r="C393" s="373"/>
      <x:c r="D393" s="373"/>
      <x:c r="E393" s="373"/>
      <x:c r="F393" s="373"/>
      <x:c r="G393" s="373"/>
      <x:c r="H393" s="373"/>
      <x:c r="I393" s="373"/>
      <x:c r="J393" s="373"/>
      <x:c r="K393" s="373"/>
      <x:c r="L393" s="373"/>
      <x:c r="M393" s="373"/>
      <x:c r="N393" s="373"/>
      <x:c r="O393" s="373"/>
      <x:c r="P393" s="373"/>
      <x:c r="Q393" s="373"/>
      <x:c r="R393" s="373"/>
      <x:c r="S393" s="373"/>
      <x:c r="T393" s="373"/>
      <x:c r="U393" s="373"/>
      <x:c r="V393" s="373"/>
      <x:c r="W393" s="373"/>
      <x:c r="X393" s="373"/>
      <x:c r="Y393" s="373"/>
      <x:c r="Z393" s="373"/>
    </x:row>
    <x:row r="394">
      <x:c r="A394" s="373"/>
      <x:c r="B394" s="373"/>
      <x:c r="C394" s="373"/>
      <x:c r="D394" s="373"/>
      <x:c r="E394" s="373"/>
      <x:c r="F394" s="373"/>
      <x:c r="G394" s="373"/>
      <x:c r="H394" s="373"/>
      <x:c r="I394" s="373"/>
      <x:c r="J394" s="373"/>
      <x:c r="K394" s="373"/>
      <x:c r="L394" s="373"/>
      <x:c r="M394" s="373"/>
      <x:c r="N394" s="373"/>
      <x:c r="O394" s="373"/>
      <x:c r="P394" s="373"/>
      <x:c r="Q394" s="373"/>
      <x:c r="R394" s="373"/>
      <x:c r="S394" s="373"/>
      <x:c r="T394" s="373"/>
      <x:c r="U394" s="373"/>
      <x:c r="V394" s="373"/>
      <x:c r="W394" s="373"/>
      <x:c r="X394" s="373"/>
      <x:c r="Y394" s="373"/>
      <x:c r="Z394" s="373"/>
    </x:row>
    <x:row r="395">
      <x:c r="A395" s="373"/>
      <x:c r="B395" s="373"/>
      <x:c r="C395" s="373"/>
      <x:c r="D395" s="373"/>
      <x:c r="E395" s="373"/>
      <x:c r="F395" s="373"/>
      <x:c r="G395" s="373"/>
      <x:c r="H395" s="373"/>
      <x:c r="I395" s="373"/>
      <x:c r="J395" s="373"/>
      <x:c r="K395" s="373"/>
      <x:c r="L395" s="373"/>
      <x:c r="M395" s="373"/>
      <x:c r="N395" s="373"/>
      <x:c r="O395" s="373"/>
      <x:c r="P395" s="373"/>
      <x:c r="Q395" s="373"/>
      <x:c r="R395" s="373"/>
      <x:c r="S395" s="373"/>
      <x:c r="T395" s="373"/>
      <x:c r="U395" s="373"/>
      <x:c r="V395" s="373"/>
      <x:c r="W395" s="373"/>
      <x:c r="X395" s="373"/>
      <x:c r="Y395" s="373"/>
      <x:c r="Z395" s="373"/>
    </x:row>
    <x:row r="396">
      <x:c r="A396" s="373"/>
      <x:c r="B396" s="373"/>
      <x:c r="C396" s="373"/>
      <x:c r="D396" s="373"/>
      <x:c r="E396" s="373"/>
      <x:c r="F396" s="373"/>
      <x:c r="G396" s="373"/>
      <x:c r="H396" s="373"/>
      <x:c r="I396" s="373"/>
      <x:c r="J396" s="373"/>
      <x:c r="K396" s="373"/>
      <x:c r="L396" s="373"/>
      <x:c r="M396" s="373"/>
      <x:c r="N396" s="373"/>
      <x:c r="O396" s="373"/>
      <x:c r="P396" s="373"/>
      <x:c r="Q396" s="373"/>
      <x:c r="R396" s="373"/>
      <x:c r="S396" s="373"/>
      <x:c r="T396" s="373"/>
      <x:c r="U396" s="373"/>
      <x:c r="V396" s="373"/>
      <x:c r="W396" s="373"/>
      <x:c r="X396" s="373"/>
      <x:c r="Y396" s="373"/>
      <x:c r="Z396" s="373"/>
    </x:row>
    <x:row r="397">
      <x:c r="A397" s="373"/>
      <x:c r="B397" s="373"/>
      <x:c r="C397" s="373"/>
      <x:c r="D397" s="373"/>
      <x:c r="E397" s="373"/>
      <x:c r="F397" s="373"/>
      <x:c r="G397" s="373"/>
      <x:c r="H397" s="373"/>
      <x:c r="I397" s="373"/>
      <x:c r="J397" s="373"/>
      <x:c r="K397" s="373"/>
      <x:c r="L397" s="373"/>
      <x:c r="M397" s="373"/>
      <x:c r="N397" s="373"/>
      <x:c r="O397" s="373"/>
      <x:c r="P397" s="373"/>
      <x:c r="Q397" s="373"/>
      <x:c r="R397" s="373"/>
      <x:c r="S397" s="373"/>
      <x:c r="T397" s="373"/>
      <x:c r="U397" s="373"/>
      <x:c r="V397" s="373"/>
      <x:c r="W397" s="373"/>
      <x:c r="X397" s="373"/>
      <x:c r="Y397" s="373"/>
      <x:c r="Z397" s="373"/>
    </x:row>
    <x:row r="398">
      <x:c r="A398" s="373"/>
      <x:c r="B398" s="373"/>
      <x:c r="C398" s="373"/>
      <x:c r="D398" s="373"/>
      <x:c r="E398" s="373"/>
      <x:c r="F398" s="373"/>
      <x:c r="G398" s="373"/>
      <x:c r="H398" s="373"/>
      <x:c r="I398" s="373"/>
      <x:c r="J398" s="373"/>
      <x:c r="K398" s="373"/>
      <x:c r="L398" s="373"/>
      <x:c r="M398" s="373"/>
      <x:c r="N398" s="373"/>
      <x:c r="O398" s="373"/>
      <x:c r="P398" s="373"/>
      <x:c r="Q398" s="373"/>
      <x:c r="R398" s="373"/>
      <x:c r="S398" s="373"/>
      <x:c r="T398" s="373"/>
      <x:c r="U398" s="373"/>
      <x:c r="V398" s="373"/>
      <x:c r="W398" s="373"/>
      <x:c r="X398" s="373"/>
      <x:c r="Y398" s="373"/>
      <x:c r="Z398" s="373"/>
    </x:row>
    <x:row r="399">
      <x:c r="A399" s="373"/>
      <x:c r="B399" s="373"/>
      <x:c r="C399" s="373"/>
      <x:c r="D399" s="373"/>
      <x:c r="E399" s="373"/>
      <x:c r="F399" s="373"/>
      <x:c r="G399" s="373"/>
      <x:c r="H399" s="373"/>
      <x:c r="I399" s="373"/>
      <x:c r="J399" s="373"/>
      <x:c r="K399" s="373"/>
      <x:c r="L399" s="373"/>
      <x:c r="M399" s="373"/>
      <x:c r="N399" s="373"/>
      <x:c r="O399" s="373"/>
      <x:c r="P399" s="373"/>
      <x:c r="Q399" s="373"/>
      <x:c r="R399" s="373"/>
      <x:c r="S399" s="373"/>
      <x:c r="T399" s="373"/>
      <x:c r="U399" s="373"/>
      <x:c r="V399" s="373"/>
      <x:c r="W399" s="373"/>
      <x:c r="X399" s="373"/>
      <x:c r="Y399" s="373"/>
      <x:c r="Z399" s="373"/>
    </x:row>
    <x:row r="400">
      <x:c r="A400" s="373"/>
      <x:c r="B400" s="373"/>
      <x:c r="C400" s="373"/>
      <x:c r="D400" s="373"/>
      <x:c r="E400" s="373"/>
      <x:c r="F400" s="373"/>
      <x:c r="G400" s="373"/>
      <x:c r="H400" s="373"/>
      <x:c r="I400" s="373"/>
      <x:c r="J400" s="373"/>
      <x:c r="K400" s="373"/>
      <x:c r="L400" s="373"/>
      <x:c r="M400" s="373"/>
      <x:c r="N400" s="373"/>
      <x:c r="O400" s="373"/>
      <x:c r="P400" s="373"/>
      <x:c r="Q400" s="373"/>
      <x:c r="R400" s="373"/>
      <x:c r="S400" s="373"/>
      <x:c r="T400" s="373"/>
      <x:c r="U400" s="373"/>
      <x:c r="V400" s="373"/>
      <x:c r="W400" s="373"/>
      <x:c r="X400" s="373"/>
      <x:c r="Y400" s="373"/>
      <x:c r="Z400" s="373"/>
    </x:row>
    <x:row r="401">
      <x:c r="A401" s="373"/>
      <x:c r="B401" s="373"/>
      <x:c r="C401" s="373"/>
      <x:c r="D401" s="373"/>
      <x:c r="E401" s="373"/>
      <x:c r="F401" s="373"/>
      <x:c r="G401" s="373"/>
      <x:c r="H401" s="373"/>
      <x:c r="I401" s="373"/>
      <x:c r="J401" s="373"/>
      <x:c r="K401" s="373"/>
      <x:c r="L401" s="373"/>
      <x:c r="M401" s="373"/>
      <x:c r="N401" s="373"/>
      <x:c r="O401" s="373"/>
      <x:c r="P401" s="373"/>
      <x:c r="Q401" s="373"/>
      <x:c r="R401" s="373"/>
      <x:c r="S401" s="373"/>
      <x:c r="T401" s="373"/>
      <x:c r="U401" s="373"/>
      <x:c r="V401" s="373"/>
      <x:c r="W401" s="373"/>
      <x:c r="X401" s="373"/>
      <x:c r="Y401" s="373"/>
      <x:c r="Z401" s="373"/>
    </x:row>
    <x:row r="402">
      <x:c r="A402" s="373"/>
      <x:c r="B402" s="373"/>
      <x:c r="C402" s="373"/>
      <x:c r="D402" s="373"/>
      <x:c r="E402" s="373"/>
      <x:c r="F402" s="373"/>
      <x:c r="G402" s="373"/>
      <x:c r="H402" s="373"/>
      <x:c r="I402" s="373"/>
      <x:c r="J402" s="373"/>
      <x:c r="K402" s="373"/>
      <x:c r="L402" s="373"/>
      <x:c r="M402" s="373"/>
      <x:c r="N402" s="373"/>
      <x:c r="O402" s="373"/>
      <x:c r="P402" s="373"/>
      <x:c r="Q402" s="373"/>
      <x:c r="R402" s="373"/>
      <x:c r="S402" s="373"/>
      <x:c r="T402" s="373"/>
      <x:c r="U402" s="373"/>
      <x:c r="V402" s="373"/>
      <x:c r="W402" s="373"/>
      <x:c r="X402" s="373"/>
      <x:c r="Y402" s="373"/>
      <x:c r="Z402" s="373"/>
    </x:row>
    <x:row r="403">
      <x:c r="A403" s="373"/>
      <x:c r="B403" s="373"/>
      <x:c r="C403" s="373"/>
      <x:c r="D403" s="373"/>
      <x:c r="E403" s="373"/>
      <x:c r="F403" s="373"/>
      <x:c r="G403" s="373"/>
      <x:c r="H403" s="373"/>
      <x:c r="I403" s="373"/>
      <x:c r="J403" s="373"/>
      <x:c r="K403" s="373"/>
      <x:c r="L403" s="373"/>
      <x:c r="M403" s="373"/>
      <x:c r="N403" s="373"/>
      <x:c r="O403" s="373"/>
      <x:c r="P403" s="373"/>
      <x:c r="Q403" s="373"/>
      <x:c r="R403" s="373"/>
      <x:c r="S403" s="373"/>
      <x:c r="T403" s="373"/>
      <x:c r="U403" s="373"/>
      <x:c r="V403" s="373"/>
      <x:c r="W403" s="373"/>
      <x:c r="X403" s="373"/>
      <x:c r="Y403" s="373"/>
      <x:c r="Z403" s="373"/>
    </x:row>
    <x:row r="404">
      <x:c r="A404" s="373"/>
      <x:c r="B404" s="373"/>
      <x:c r="C404" s="373"/>
      <x:c r="D404" s="373"/>
      <x:c r="E404" s="373"/>
      <x:c r="F404" s="373"/>
      <x:c r="G404" s="373"/>
      <x:c r="H404" s="373"/>
      <x:c r="I404" s="373"/>
      <x:c r="J404" s="373"/>
      <x:c r="K404" s="373"/>
      <x:c r="L404" s="373"/>
      <x:c r="M404" s="373"/>
      <x:c r="N404" s="373"/>
      <x:c r="O404" s="373"/>
      <x:c r="P404" s="373"/>
      <x:c r="Q404" s="373"/>
      <x:c r="R404" s="373"/>
      <x:c r="S404" s="373"/>
      <x:c r="T404" s="373"/>
      <x:c r="U404" s="373"/>
      <x:c r="V404" s="373"/>
      <x:c r="W404" s="373"/>
      <x:c r="X404" s="373"/>
      <x:c r="Y404" s="373"/>
      <x:c r="Z404" s="373"/>
    </x:row>
    <x:row r="405">
      <x:c r="A405" s="373"/>
      <x:c r="B405" s="373"/>
      <x:c r="C405" s="373"/>
      <x:c r="D405" s="373"/>
      <x:c r="E405" s="373"/>
      <x:c r="F405" s="373"/>
      <x:c r="G405" s="373"/>
      <x:c r="H405" s="373"/>
      <x:c r="I405" s="373"/>
      <x:c r="J405" s="373"/>
      <x:c r="K405" s="373"/>
      <x:c r="L405" s="373"/>
      <x:c r="M405" s="373"/>
      <x:c r="N405" s="373"/>
      <x:c r="O405" s="373"/>
      <x:c r="P405" s="373"/>
      <x:c r="Q405" s="373"/>
      <x:c r="R405" s="373"/>
      <x:c r="S405" s="373"/>
      <x:c r="T405" s="373"/>
      <x:c r="U405" s="373"/>
      <x:c r="V405" s="373"/>
      <x:c r="W405" s="373"/>
      <x:c r="X405" s="373"/>
      <x:c r="Y405" s="373"/>
      <x:c r="Z405" s="373"/>
    </x:row>
    <x:row r="406">
      <x:c r="A406" s="373"/>
      <x:c r="B406" s="373"/>
      <x:c r="C406" s="373"/>
      <x:c r="D406" s="373"/>
      <x:c r="E406" s="373"/>
      <x:c r="F406" s="373"/>
      <x:c r="G406" s="373"/>
      <x:c r="H406" s="373"/>
      <x:c r="I406" s="373"/>
      <x:c r="J406" s="373"/>
      <x:c r="K406" s="373"/>
      <x:c r="L406" s="373"/>
      <x:c r="M406" s="373"/>
      <x:c r="N406" s="373"/>
      <x:c r="O406" s="373"/>
      <x:c r="P406" s="373"/>
      <x:c r="Q406" s="373"/>
      <x:c r="R406" s="373"/>
      <x:c r="S406" s="373"/>
      <x:c r="T406" s="373"/>
      <x:c r="U406" s="373"/>
      <x:c r="V406" s="373"/>
      <x:c r="W406" s="373"/>
      <x:c r="X406" s="373"/>
      <x:c r="Y406" s="373"/>
      <x:c r="Z406" s="373"/>
    </x:row>
    <x:row r="407">
      <x:c r="A407" s="373"/>
      <x:c r="B407" s="373"/>
      <x:c r="C407" s="373"/>
      <x:c r="D407" s="373"/>
      <x:c r="E407" s="373"/>
      <x:c r="F407" s="373"/>
      <x:c r="G407" s="373"/>
      <x:c r="H407" s="373"/>
      <x:c r="I407" s="373"/>
      <x:c r="J407" s="373"/>
      <x:c r="K407" s="373"/>
      <x:c r="L407" s="373"/>
      <x:c r="M407" s="373"/>
      <x:c r="N407" s="373"/>
      <x:c r="O407" s="373"/>
      <x:c r="P407" s="373"/>
      <x:c r="Q407" s="373"/>
      <x:c r="R407" s="373"/>
      <x:c r="S407" s="373"/>
      <x:c r="T407" s="373"/>
      <x:c r="U407" s="373"/>
      <x:c r="V407" s="373"/>
      <x:c r="W407" s="373"/>
      <x:c r="X407" s="373"/>
      <x:c r="Y407" s="373"/>
      <x:c r="Z407" s="373"/>
    </x:row>
    <x:row r="408">
      <x:c r="A408" s="373"/>
      <x:c r="B408" s="373"/>
      <x:c r="C408" s="373"/>
      <x:c r="D408" s="373"/>
      <x:c r="E408" s="373"/>
      <x:c r="F408" s="373"/>
      <x:c r="G408" s="373"/>
      <x:c r="H408" s="373"/>
      <x:c r="I408" s="373"/>
      <x:c r="J408" s="373"/>
      <x:c r="K408" s="373"/>
      <x:c r="L408" s="373"/>
      <x:c r="M408" s="373"/>
      <x:c r="N408" s="373"/>
      <x:c r="O408" s="373"/>
      <x:c r="P408" s="373"/>
      <x:c r="Q408" s="373"/>
      <x:c r="R408" s="373"/>
      <x:c r="S408" s="373"/>
      <x:c r="T408" s="373"/>
      <x:c r="U408" s="373"/>
      <x:c r="V408" s="373"/>
      <x:c r="W408" s="373"/>
      <x:c r="X408" s="373"/>
      <x:c r="Y408" s="373"/>
      <x:c r="Z408" s="373"/>
    </x:row>
    <x:row r="409">
      <x:c r="A409" s="373"/>
      <x:c r="B409" s="373"/>
      <x:c r="C409" s="373"/>
      <x:c r="D409" s="373"/>
      <x:c r="E409" s="373"/>
      <x:c r="F409" s="373"/>
      <x:c r="G409" s="373"/>
      <x:c r="H409" s="373"/>
      <x:c r="I409" s="373"/>
      <x:c r="J409" s="373"/>
      <x:c r="K409" s="373"/>
      <x:c r="L409" s="373"/>
      <x:c r="M409" s="373"/>
      <x:c r="N409" s="373"/>
      <x:c r="O409" s="373"/>
      <x:c r="P409" s="373"/>
      <x:c r="Q409" s="373"/>
      <x:c r="R409" s="373"/>
      <x:c r="S409" s="373"/>
      <x:c r="T409" s="373"/>
      <x:c r="U409" s="373"/>
      <x:c r="V409" s="373"/>
      <x:c r="W409" s="373"/>
      <x:c r="X409" s="373"/>
      <x:c r="Y409" s="373"/>
      <x:c r="Z409" s="373"/>
    </x:row>
    <x:row r="410">
      <x:c r="A410" s="373"/>
      <x:c r="B410" s="373"/>
      <x:c r="C410" s="373"/>
      <x:c r="D410" s="373"/>
      <x:c r="E410" s="373"/>
      <x:c r="F410" s="373"/>
      <x:c r="G410" s="373"/>
      <x:c r="H410" s="373"/>
      <x:c r="I410" s="373"/>
      <x:c r="J410" s="373"/>
      <x:c r="K410" s="373"/>
      <x:c r="L410" s="373"/>
      <x:c r="M410" s="373"/>
      <x:c r="N410" s="373"/>
      <x:c r="O410" s="373"/>
      <x:c r="P410" s="373"/>
      <x:c r="Q410" s="373"/>
      <x:c r="R410" s="373"/>
      <x:c r="S410" s="373"/>
      <x:c r="T410" s="373"/>
      <x:c r="U410" s="373"/>
      <x:c r="V410" s="373"/>
      <x:c r="W410" s="373"/>
      <x:c r="X410" s="373"/>
      <x:c r="Y410" s="373"/>
      <x:c r="Z410" s="373"/>
    </x:row>
    <x:row r="411">
      <x:c r="A411" s="373"/>
      <x:c r="B411" s="373"/>
      <x:c r="C411" s="373"/>
      <x:c r="D411" s="373"/>
      <x:c r="E411" s="373"/>
      <x:c r="F411" s="373"/>
      <x:c r="G411" s="373"/>
      <x:c r="H411" s="373"/>
      <x:c r="I411" s="373"/>
      <x:c r="J411" s="373"/>
      <x:c r="K411" s="373"/>
      <x:c r="L411" s="373"/>
      <x:c r="M411" s="373"/>
      <x:c r="N411" s="373"/>
      <x:c r="O411" s="373"/>
      <x:c r="P411" s="373"/>
      <x:c r="Q411" s="373"/>
      <x:c r="R411" s="373"/>
      <x:c r="S411" s="373"/>
      <x:c r="T411" s="373"/>
      <x:c r="U411" s="373"/>
      <x:c r="V411" s="373"/>
      <x:c r="W411" s="373"/>
      <x:c r="X411" s="373"/>
      <x:c r="Y411" s="373"/>
      <x:c r="Z411" s="373"/>
    </x:row>
    <x:row r="412">
      <x:c r="A412" s="373"/>
      <x:c r="B412" s="373"/>
      <x:c r="C412" s="373"/>
      <x:c r="D412" s="373"/>
      <x:c r="E412" s="373"/>
      <x:c r="F412" s="373"/>
      <x:c r="G412" s="373"/>
      <x:c r="H412" s="373"/>
      <x:c r="I412" s="373"/>
      <x:c r="J412" s="373"/>
      <x:c r="K412" s="373"/>
      <x:c r="L412" s="373"/>
      <x:c r="M412" s="373"/>
      <x:c r="N412" s="373"/>
      <x:c r="O412" s="373"/>
      <x:c r="P412" s="373"/>
      <x:c r="Q412" s="373"/>
      <x:c r="R412" s="373"/>
      <x:c r="S412" s="373"/>
      <x:c r="T412" s="373"/>
      <x:c r="U412" s="373"/>
      <x:c r="V412" s="373"/>
      <x:c r="W412" s="373"/>
      <x:c r="X412" s="373"/>
      <x:c r="Y412" s="373"/>
      <x:c r="Z412" s="373"/>
    </x:row>
    <x:row r="413">
      <x:c r="A413" s="373"/>
      <x:c r="B413" s="373"/>
      <x:c r="C413" s="373"/>
      <x:c r="D413" s="373"/>
      <x:c r="E413" s="373"/>
      <x:c r="F413" s="373"/>
      <x:c r="G413" s="373"/>
      <x:c r="H413" s="373"/>
      <x:c r="I413" s="373"/>
      <x:c r="J413" s="373"/>
      <x:c r="K413" s="373"/>
      <x:c r="L413" s="373"/>
      <x:c r="M413" s="373"/>
      <x:c r="N413" s="373"/>
      <x:c r="O413" s="373"/>
      <x:c r="P413" s="373"/>
      <x:c r="Q413" s="373"/>
      <x:c r="R413" s="373"/>
      <x:c r="S413" s="373"/>
      <x:c r="T413" s="373"/>
      <x:c r="U413" s="373"/>
      <x:c r="V413" s="373"/>
      <x:c r="W413" s="373"/>
      <x:c r="X413" s="373"/>
      <x:c r="Y413" s="373"/>
      <x:c r="Z413" s="373"/>
    </x:row>
    <x:row r="414">
      <x:c r="A414" s="373"/>
      <x:c r="B414" s="373"/>
      <x:c r="C414" s="373"/>
      <x:c r="D414" s="373"/>
      <x:c r="E414" s="373"/>
      <x:c r="F414" s="373"/>
      <x:c r="G414" s="373"/>
      <x:c r="H414" s="373"/>
      <x:c r="I414" s="373"/>
      <x:c r="J414" s="373"/>
      <x:c r="K414" s="373"/>
      <x:c r="L414" s="373"/>
      <x:c r="M414" s="373"/>
      <x:c r="N414" s="373"/>
      <x:c r="O414" s="373"/>
      <x:c r="P414" s="373"/>
      <x:c r="Q414" s="373"/>
      <x:c r="R414" s="373"/>
      <x:c r="S414" s="373"/>
      <x:c r="T414" s="373"/>
      <x:c r="U414" s="373"/>
      <x:c r="V414" s="373"/>
      <x:c r="W414" s="373"/>
      <x:c r="X414" s="373"/>
      <x:c r="Y414" s="373"/>
      <x:c r="Z414" s="373"/>
    </x:row>
    <x:row r="415">
      <x:c r="A415" s="373"/>
      <x:c r="B415" s="373"/>
      <x:c r="C415" s="373"/>
      <x:c r="D415" s="373"/>
      <x:c r="E415" s="373"/>
      <x:c r="F415" s="373"/>
      <x:c r="G415" s="373"/>
      <x:c r="H415" s="373"/>
      <x:c r="I415" s="373"/>
      <x:c r="J415" s="373"/>
      <x:c r="K415" s="373"/>
      <x:c r="L415" s="373"/>
      <x:c r="M415" s="373"/>
      <x:c r="N415" s="373"/>
      <x:c r="O415" s="373"/>
      <x:c r="P415" s="373"/>
      <x:c r="Q415" s="373"/>
      <x:c r="R415" s="373"/>
      <x:c r="S415" s="373"/>
      <x:c r="T415" s="373"/>
      <x:c r="U415" s="373"/>
      <x:c r="V415" s="373"/>
      <x:c r="W415" s="373"/>
      <x:c r="X415" s="373"/>
      <x:c r="Y415" s="373"/>
      <x:c r="Z415" s="373"/>
    </x:row>
    <x:row r="416">
      <x:c r="A416" s="373"/>
      <x:c r="B416" s="373"/>
      <x:c r="C416" s="373"/>
      <x:c r="D416" s="373"/>
      <x:c r="E416" s="373"/>
      <x:c r="F416" s="373"/>
      <x:c r="G416" s="373"/>
      <x:c r="H416" s="373"/>
      <x:c r="I416" s="373"/>
      <x:c r="J416" s="373"/>
      <x:c r="K416" s="373"/>
      <x:c r="L416" s="373"/>
      <x:c r="M416" s="373"/>
      <x:c r="N416" s="373"/>
      <x:c r="O416" s="373"/>
      <x:c r="P416" s="373"/>
      <x:c r="Q416" s="373"/>
      <x:c r="R416" s="373"/>
      <x:c r="S416" s="373"/>
      <x:c r="T416" s="373"/>
      <x:c r="U416" s="373"/>
      <x:c r="V416" s="373"/>
      <x:c r="W416" s="373"/>
      <x:c r="X416" s="373"/>
      <x:c r="Y416" s="373"/>
      <x:c r="Z416" s="373"/>
    </x:row>
    <x:row r="417">
      <x:c r="A417" s="373"/>
      <x:c r="B417" s="373"/>
      <x:c r="C417" s="373"/>
      <x:c r="D417" s="373"/>
      <x:c r="E417" s="373"/>
      <x:c r="F417" s="373"/>
      <x:c r="G417" s="373"/>
      <x:c r="H417" s="373"/>
      <x:c r="I417" s="373"/>
      <x:c r="J417" s="373"/>
      <x:c r="K417" s="373"/>
      <x:c r="L417" s="373"/>
      <x:c r="M417" s="373"/>
      <x:c r="N417" s="373"/>
      <x:c r="O417" s="373"/>
      <x:c r="P417" s="373"/>
      <x:c r="Q417" s="373"/>
      <x:c r="R417" s="373"/>
      <x:c r="S417" s="373"/>
      <x:c r="T417" s="373"/>
      <x:c r="U417" s="373"/>
      <x:c r="V417" s="373"/>
      <x:c r="W417" s="373"/>
      <x:c r="X417" s="373"/>
      <x:c r="Y417" s="373"/>
      <x:c r="Z417" s="373"/>
    </x:row>
    <x:row r="418">
      <x:c r="A418" s="373"/>
      <x:c r="B418" s="373"/>
      <x:c r="C418" s="373"/>
      <x:c r="D418" s="373"/>
      <x:c r="E418" s="373"/>
      <x:c r="F418" s="373"/>
      <x:c r="G418" s="373"/>
      <x:c r="H418" s="373"/>
      <x:c r="I418" s="373"/>
      <x:c r="J418" s="373"/>
      <x:c r="K418" s="373"/>
      <x:c r="L418" s="373"/>
      <x:c r="M418" s="373"/>
      <x:c r="N418" s="373"/>
      <x:c r="O418" s="373"/>
      <x:c r="P418" s="373"/>
      <x:c r="Q418" s="373"/>
      <x:c r="R418" s="373"/>
      <x:c r="S418" s="373"/>
      <x:c r="T418" s="373"/>
      <x:c r="U418" s="373"/>
      <x:c r="V418" s="373"/>
      <x:c r="W418" s="373"/>
      <x:c r="X418" s="373"/>
      <x:c r="Y418" s="373"/>
      <x:c r="Z418" s="373"/>
    </x:row>
    <x:row r="419">
      <x:c r="A419" s="373"/>
      <x:c r="B419" s="373"/>
      <x:c r="C419" s="373"/>
      <x:c r="D419" s="373"/>
      <x:c r="E419" s="373"/>
      <x:c r="F419" s="373"/>
      <x:c r="G419" s="373"/>
      <x:c r="H419" s="373"/>
      <x:c r="I419" s="373"/>
      <x:c r="J419" s="373"/>
      <x:c r="K419" s="373"/>
      <x:c r="L419" s="373"/>
      <x:c r="M419" s="373"/>
      <x:c r="N419" s="373"/>
      <x:c r="O419" s="373"/>
      <x:c r="P419" s="373"/>
      <x:c r="Q419" s="373"/>
      <x:c r="R419" s="373"/>
      <x:c r="S419" s="373"/>
      <x:c r="T419" s="373"/>
      <x:c r="U419" s="373"/>
      <x:c r="V419" s="373"/>
      <x:c r="W419" s="373"/>
      <x:c r="X419" s="373"/>
      <x:c r="Y419" s="373"/>
      <x:c r="Z419" s="373"/>
    </x:row>
    <x:row r="420">
      <x:c r="A420" s="373"/>
      <x:c r="B420" s="373"/>
      <x:c r="C420" s="373"/>
      <x:c r="D420" s="373"/>
      <x:c r="E420" s="373"/>
      <x:c r="F420" s="373"/>
      <x:c r="G420" s="373"/>
      <x:c r="H420" s="373"/>
      <x:c r="I420" s="373"/>
      <x:c r="J420" s="373"/>
      <x:c r="K420" s="373"/>
      <x:c r="L420" s="373"/>
      <x:c r="M420" s="373"/>
      <x:c r="N420" s="373"/>
      <x:c r="O420" s="373"/>
      <x:c r="P420" s="373"/>
      <x:c r="Q420" s="373"/>
      <x:c r="R420" s="373"/>
      <x:c r="S420" s="373"/>
      <x:c r="T420" s="373"/>
      <x:c r="U420" s="373"/>
      <x:c r="V420" s="373"/>
      <x:c r="W420" s="373"/>
      <x:c r="X420" s="373"/>
      <x:c r="Y420" s="373"/>
      <x:c r="Z420" s="373"/>
    </x:row>
    <x:row r="421">
      <x:c r="A421" s="373"/>
      <x:c r="B421" s="373"/>
      <x:c r="C421" s="373"/>
      <x:c r="D421" s="373"/>
      <x:c r="E421" s="373"/>
      <x:c r="F421" s="373"/>
      <x:c r="G421" s="373"/>
      <x:c r="H421" s="373"/>
      <x:c r="I421" s="373"/>
      <x:c r="J421" s="373"/>
      <x:c r="K421" s="373"/>
      <x:c r="L421" s="373"/>
      <x:c r="M421" s="373"/>
      <x:c r="N421" s="373"/>
      <x:c r="O421" s="373"/>
      <x:c r="P421" s="373"/>
      <x:c r="Q421" s="373"/>
      <x:c r="R421" s="373"/>
      <x:c r="S421" s="373"/>
      <x:c r="T421" s="373"/>
      <x:c r="U421" s="373"/>
      <x:c r="V421" s="373"/>
      <x:c r="W421" s="373"/>
      <x:c r="X421" s="373"/>
      <x:c r="Y421" s="373"/>
      <x:c r="Z421" s="373"/>
    </x:row>
    <x:row r="422">
      <x:c r="A422" s="373"/>
      <x:c r="B422" s="373"/>
      <x:c r="C422" s="373"/>
      <x:c r="D422" s="373"/>
      <x:c r="E422" s="373"/>
      <x:c r="F422" s="373"/>
      <x:c r="G422" s="373"/>
      <x:c r="H422" s="373"/>
      <x:c r="I422" s="373"/>
      <x:c r="J422" s="373"/>
      <x:c r="K422" s="373"/>
      <x:c r="L422" s="373"/>
      <x:c r="M422" s="373"/>
      <x:c r="N422" s="373"/>
      <x:c r="O422" s="373"/>
      <x:c r="P422" s="373"/>
      <x:c r="Q422" s="373"/>
      <x:c r="R422" s="373"/>
      <x:c r="S422" s="373"/>
      <x:c r="T422" s="373"/>
      <x:c r="U422" s="373"/>
      <x:c r="V422" s="373"/>
      <x:c r="W422" s="373"/>
      <x:c r="X422" s="373"/>
      <x:c r="Y422" s="373"/>
      <x:c r="Z422" s="373"/>
    </x:row>
    <x:row r="423">
      <x:c r="A423" s="373"/>
      <x:c r="B423" s="373"/>
      <x:c r="C423" s="373"/>
      <x:c r="D423" s="373"/>
      <x:c r="E423" s="373"/>
      <x:c r="F423" s="373"/>
      <x:c r="G423" s="373"/>
      <x:c r="H423" s="373"/>
      <x:c r="I423" s="373"/>
      <x:c r="J423" s="373"/>
      <x:c r="K423" s="373"/>
      <x:c r="L423" s="373"/>
      <x:c r="M423" s="373"/>
      <x:c r="N423" s="373"/>
      <x:c r="O423" s="373"/>
      <x:c r="P423" s="373"/>
      <x:c r="Q423" s="373"/>
      <x:c r="R423" s="373"/>
      <x:c r="S423" s="373"/>
      <x:c r="T423" s="373"/>
      <x:c r="U423" s="373"/>
      <x:c r="V423" s="373"/>
      <x:c r="W423" s="373"/>
      <x:c r="X423" s="373"/>
      <x:c r="Y423" s="373"/>
      <x:c r="Z423" s="373"/>
    </x:row>
    <x:row r="424">
      <x:c r="A424" s="373"/>
      <x:c r="B424" s="373"/>
      <x:c r="C424" s="373"/>
      <x:c r="D424" s="373"/>
      <x:c r="E424" s="373"/>
      <x:c r="F424" s="373"/>
      <x:c r="G424" s="373"/>
      <x:c r="H424" s="373"/>
      <x:c r="I424" s="373"/>
      <x:c r="J424" s="373"/>
      <x:c r="K424" s="373"/>
      <x:c r="L424" s="373"/>
      <x:c r="M424" s="373"/>
      <x:c r="N424" s="373"/>
      <x:c r="O424" s="373"/>
      <x:c r="P424" s="373"/>
      <x:c r="Q424" s="373"/>
      <x:c r="R424" s="373"/>
      <x:c r="S424" s="373"/>
      <x:c r="T424" s="373"/>
      <x:c r="U424" s="373"/>
      <x:c r="V424" s="373"/>
      <x:c r="W424" s="373"/>
      <x:c r="X424" s="373"/>
      <x:c r="Y424" s="373"/>
      <x:c r="Z424" s="373"/>
    </x:row>
    <x:row r="425">
      <x:c r="A425" s="373"/>
      <x:c r="B425" s="373"/>
      <x:c r="C425" s="373"/>
      <x:c r="D425" s="373"/>
      <x:c r="E425" s="373"/>
      <x:c r="F425" s="373"/>
      <x:c r="G425" s="373"/>
      <x:c r="H425" s="373"/>
      <x:c r="I425" s="373"/>
      <x:c r="J425" s="373"/>
      <x:c r="K425" s="373"/>
      <x:c r="L425" s="373"/>
      <x:c r="M425" s="373"/>
      <x:c r="N425" s="373"/>
      <x:c r="O425" s="373"/>
      <x:c r="P425" s="373"/>
      <x:c r="Q425" s="373"/>
      <x:c r="R425" s="373"/>
      <x:c r="S425" s="373"/>
      <x:c r="T425" s="373"/>
      <x:c r="U425" s="373"/>
      <x:c r="V425" s="373"/>
      <x:c r="W425" s="373"/>
      <x:c r="X425" s="373"/>
      <x:c r="Y425" s="373"/>
      <x:c r="Z425" s="373"/>
    </x:row>
    <x:row r="426">
      <x:c r="A426" s="373"/>
      <x:c r="B426" s="373"/>
      <x:c r="C426" s="373"/>
      <x:c r="D426" s="373"/>
      <x:c r="E426" s="373"/>
      <x:c r="F426" s="373"/>
      <x:c r="G426" s="373"/>
      <x:c r="H426" s="373"/>
      <x:c r="I426" s="373"/>
      <x:c r="J426" s="373"/>
      <x:c r="K426" s="373"/>
      <x:c r="L426" s="373"/>
      <x:c r="M426" s="373"/>
      <x:c r="N426" s="373"/>
      <x:c r="O426" s="373"/>
      <x:c r="P426" s="373"/>
      <x:c r="Q426" s="373"/>
      <x:c r="R426" s="373"/>
      <x:c r="S426" s="373"/>
      <x:c r="T426" s="373"/>
      <x:c r="U426" s="373"/>
      <x:c r="V426" s="373"/>
      <x:c r="W426" s="373"/>
      <x:c r="X426" s="373"/>
      <x:c r="Y426" s="373"/>
      <x:c r="Z426" s="373"/>
    </x:row>
    <x:row r="427">
      <x:c r="A427" s="373"/>
      <x:c r="B427" s="373"/>
      <x:c r="C427" s="373"/>
      <x:c r="D427" s="373"/>
      <x:c r="E427" s="373"/>
      <x:c r="F427" s="373"/>
      <x:c r="G427" s="373"/>
      <x:c r="H427" s="373"/>
      <x:c r="I427" s="373"/>
      <x:c r="J427" s="373"/>
      <x:c r="K427" s="373"/>
      <x:c r="L427" s="373"/>
      <x:c r="M427" s="373"/>
      <x:c r="N427" s="373"/>
      <x:c r="O427" s="373"/>
      <x:c r="P427" s="373"/>
      <x:c r="Q427" s="373"/>
      <x:c r="R427" s="373"/>
      <x:c r="S427" s="373"/>
      <x:c r="T427" s="373"/>
      <x:c r="U427" s="373"/>
      <x:c r="V427" s="373"/>
      <x:c r="W427" s="373"/>
      <x:c r="X427" s="373"/>
      <x:c r="Y427" s="373"/>
      <x:c r="Z427" s="373"/>
    </x:row>
    <x:row r="428">
      <x:c r="A428" s="373"/>
      <x:c r="B428" s="373"/>
      <x:c r="C428" s="373"/>
      <x:c r="D428" s="373"/>
      <x:c r="E428" s="373"/>
      <x:c r="F428" s="373"/>
      <x:c r="G428" s="373"/>
      <x:c r="H428" s="373"/>
      <x:c r="I428" s="373"/>
      <x:c r="J428" s="373"/>
      <x:c r="K428" s="373"/>
      <x:c r="L428" s="373"/>
      <x:c r="M428" s="373"/>
      <x:c r="N428" s="373"/>
      <x:c r="O428" s="373"/>
      <x:c r="P428" s="373"/>
      <x:c r="Q428" s="373"/>
      <x:c r="R428" s="373"/>
      <x:c r="S428" s="373"/>
      <x:c r="T428" s="373"/>
      <x:c r="U428" s="373"/>
      <x:c r="V428" s="373"/>
      <x:c r="W428" s="373"/>
      <x:c r="X428" s="373"/>
      <x:c r="Y428" s="373"/>
      <x:c r="Z428" s="373"/>
    </x:row>
    <x:row r="429">
      <x:c r="A429" s="373"/>
      <x:c r="B429" s="373"/>
      <x:c r="C429" s="373"/>
      <x:c r="D429" s="373"/>
      <x:c r="E429" s="373"/>
      <x:c r="F429" s="373"/>
      <x:c r="G429" s="373"/>
      <x:c r="H429" s="373"/>
      <x:c r="I429" s="373"/>
      <x:c r="J429" s="373"/>
      <x:c r="K429" s="373"/>
      <x:c r="L429" s="373"/>
      <x:c r="M429" s="373"/>
      <x:c r="N429" s="373"/>
      <x:c r="O429" s="373"/>
      <x:c r="P429" s="373"/>
      <x:c r="Q429" s="373"/>
      <x:c r="R429" s="373"/>
      <x:c r="S429" s="373"/>
      <x:c r="T429" s="373"/>
      <x:c r="U429" s="373"/>
      <x:c r="V429" s="373"/>
      <x:c r="W429" s="373"/>
      <x:c r="X429" s="373"/>
      <x:c r="Y429" s="373"/>
      <x:c r="Z429" s="373"/>
    </x:row>
    <x:row r="430">
      <x:c r="A430" s="373"/>
      <x:c r="B430" s="373"/>
      <x:c r="C430" s="373"/>
      <x:c r="D430" s="373"/>
      <x:c r="E430" s="373"/>
      <x:c r="F430" s="373"/>
      <x:c r="G430" s="373"/>
      <x:c r="H430" s="373"/>
      <x:c r="I430" s="373"/>
      <x:c r="J430" s="373"/>
      <x:c r="K430" s="373"/>
      <x:c r="L430" s="373"/>
      <x:c r="M430" s="373"/>
      <x:c r="N430" s="373"/>
      <x:c r="O430" s="373"/>
      <x:c r="P430" s="373"/>
      <x:c r="Q430" s="373"/>
      <x:c r="R430" s="373"/>
      <x:c r="S430" s="373"/>
      <x:c r="T430" s="373"/>
      <x:c r="U430" s="373"/>
      <x:c r="V430" s="373"/>
      <x:c r="W430" s="373"/>
      <x:c r="X430" s="373"/>
      <x:c r="Y430" s="373"/>
      <x:c r="Z430" s="373"/>
    </x:row>
    <x:row r="431">
      <x:c r="A431" s="373"/>
      <x:c r="B431" s="373"/>
      <x:c r="C431" s="373"/>
      <x:c r="D431" s="373"/>
      <x:c r="E431" s="373"/>
      <x:c r="F431" s="373"/>
      <x:c r="G431" s="373"/>
      <x:c r="H431" s="373"/>
      <x:c r="I431" s="373"/>
      <x:c r="J431" s="373"/>
      <x:c r="K431" s="373"/>
      <x:c r="L431" s="373"/>
      <x:c r="M431" s="373"/>
      <x:c r="N431" s="373"/>
      <x:c r="O431" s="373"/>
      <x:c r="P431" s="373"/>
      <x:c r="Q431" s="373"/>
      <x:c r="R431" s="373"/>
      <x:c r="S431" s="373"/>
      <x:c r="T431" s="373"/>
      <x:c r="U431" s="373"/>
      <x:c r="V431" s="373"/>
      <x:c r="W431" s="373"/>
      <x:c r="X431" s="373"/>
      <x:c r="Y431" s="373"/>
      <x:c r="Z431" s="373"/>
    </x:row>
    <x:row r="432">
      <x:c r="A432" s="373"/>
      <x:c r="B432" s="373"/>
      <x:c r="C432" s="373"/>
      <x:c r="D432" s="373"/>
      <x:c r="E432" s="373"/>
      <x:c r="F432" s="373"/>
      <x:c r="G432" s="373"/>
      <x:c r="H432" s="373"/>
      <x:c r="I432" s="373"/>
      <x:c r="J432" s="373"/>
      <x:c r="K432" s="373"/>
      <x:c r="L432" s="373"/>
      <x:c r="M432" s="373"/>
      <x:c r="N432" s="373"/>
      <x:c r="O432" s="373"/>
      <x:c r="P432" s="373"/>
      <x:c r="Q432" s="373"/>
      <x:c r="R432" s="373"/>
      <x:c r="S432" s="373"/>
      <x:c r="T432" s="373"/>
      <x:c r="U432" s="373"/>
      <x:c r="V432" s="373"/>
      <x:c r="W432" s="373"/>
      <x:c r="X432" s="373"/>
      <x:c r="Y432" s="373"/>
      <x:c r="Z432" s="373"/>
    </x:row>
    <x:row r="433">
      <x:c r="A433" s="373"/>
      <x:c r="B433" s="373"/>
      <x:c r="C433" s="373"/>
      <x:c r="D433" s="373"/>
      <x:c r="E433" s="373"/>
      <x:c r="F433" s="373"/>
      <x:c r="G433" s="373"/>
      <x:c r="H433" s="373"/>
      <x:c r="I433" s="373"/>
      <x:c r="J433" s="373"/>
      <x:c r="K433" s="373"/>
      <x:c r="L433" s="373"/>
      <x:c r="M433" s="373"/>
      <x:c r="N433" s="373"/>
      <x:c r="O433" s="373"/>
      <x:c r="P433" s="373"/>
      <x:c r="Q433" s="373"/>
      <x:c r="R433" s="373"/>
      <x:c r="S433" s="373"/>
      <x:c r="T433" s="373"/>
      <x:c r="U433" s="373"/>
      <x:c r="V433" s="373"/>
      <x:c r="W433" s="373"/>
      <x:c r="X433" s="373"/>
      <x:c r="Y433" s="373"/>
      <x:c r="Z433" s="373"/>
    </x:row>
    <x:row r="434">
      <x:c r="A434" s="373"/>
      <x:c r="B434" s="373"/>
      <x:c r="C434" s="373"/>
      <x:c r="D434" s="373"/>
      <x:c r="E434" s="373"/>
      <x:c r="F434" s="373"/>
      <x:c r="G434" s="373"/>
      <x:c r="H434" s="373"/>
      <x:c r="I434" s="373"/>
      <x:c r="J434" s="373"/>
      <x:c r="K434" s="373"/>
      <x:c r="L434" s="373"/>
      <x:c r="M434" s="373"/>
      <x:c r="N434" s="373"/>
      <x:c r="O434" s="373"/>
      <x:c r="P434" s="373"/>
      <x:c r="Q434" s="373"/>
      <x:c r="R434" s="373"/>
      <x:c r="S434" s="373"/>
      <x:c r="T434" s="373"/>
      <x:c r="U434" s="373"/>
      <x:c r="V434" s="373"/>
      <x:c r="W434" s="373"/>
      <x:c r="X434" s="373"/>
      <x:c r="Y434" s="373"/>
      <x:c r="Z434" s="373"/>
    </x:row>
    <x:row r="435">
      <x:c r="A435" s="373"/>
      <x:c r="B435" s="373"/>
      <x:c r="C435" s="373"/>
      <x:c r="D435" s="373"/>
      <x:c r="E435" s="373"/>
      <x:c r="F435" s="373"/>
      <x:c r="G435" s="373"/>
      <x:c r="H435" s="373"/>
      <x:c r="I435" s="373"/>
      <x:c r="J435" s="373"/>
      <x:c r="K435" s="373"/>
      <x:c r="L435" s="373"/>
      <x:c r="M435" s="373"/>
      <x:c r="N435" s="373"/>
      <x:c r="O435" s="373"/>
      <x:c r="P435" s="373"/>
      <x:c r="Q435" s="373"/>
      <x:c r="R435" s="373"/>
      <x:c r="S435" s="373"/>
      <x:c r="T435" s="373"/>
      <x:c r="U435" s="373"/>
      <x:c r="V435" s="373"/>
      <x:c r="W435" s="373"/>
      <x:c r="X435" s="373"/>
      <x:c r="Y435" s="373"/>
      <x:c r="Z435" s="373"/>
    </x:row>
    <x:row r="436">
      <x:c r="A436" s="373"/>
      <x:c r="B436" s="373"/>
      <x:c r="C436" s="373"/>
      <x:c r="D436" s="373"/>
      <x:c r="E436" s="373"/>
      <x:c r="F436" s="373"/>
      <x:c r="G436" s="373"/>
      <x:c r="H436" s="373"/>
      <x:c r="I436" s="373"/>
      <x:c r="J436" s="373"/>
      <x:c r="K436" s="373"/>
      <x:c r="L436" s="373"/>
      <x:c r="M436" s="373"/>
      <x:c r="N436" s="373"/>
      <x:c r="O436" s="373"/>
      <x:c r="P436" s="373"/>
      <x:c r="Q436" s="373"/>
      <x:c r="R436" s="373"/>
      <x:c r="S436" s="373"/>
      <x:c r="T436" s="373"/>
      <x:c r="U436" s="373"/>
      <x:c r="V436" s="373"/>
      <x:c r="W436" s="373"/>
      <x:c r="X436" s="373"/>
      <x:c r="Y436" s="373"/>
      <x:c r="Z436" s="373"/>
    </x:row>
    <x:row r="437">
      <x:c r="A437" s="373"/>
      <x:c r="B437" s="373"/>
      <x:c r="C437" s="373"/>
      <x:c r="D437" s="373"/>
      <x:c r="E437" s="373"/>
      <x:c r="F437" s="373"/>
      <x:c r="G437" s="373"/>
      <x:c r="H437" s="373"/>
      <x:c r="I437" s="373"/>
      <x:c r="J437" s="373"/>
      <x:c r="K437" s="373"/>
      <x:c r="L437" s="373"/>
      <x:c r="M437" s="373"/>
      <x:c r="N437" s="373"/>
      <x:c r="O437" s="373"/>
      <x:c r="P437" s="373"/>
      <x:c r="Q437" s="373"/>
      <x:c r="R437" s="373"/>
      <x:c r="S437" s="373"/>
      <x:c r="T437" s="373"/>
      <x:c r="U437" s="373"/>
      <x:c r="V437" s="373"/>
      <x:c r="W437" s="373"/>
      <x:c r="X437" s="373"/>
      <x:c r="Y437" s="373"/>
      <x:c r="Z437" s="373"/>
    </x:row>
    <x:row r="438">
      <x:c r="A438" s="373"/>
      <x:c r="B438" s="373"/>
      <x:c r="C438" s="373"/>
      <x:c r="D438" s="373"/>
      <x:c r="E438" s="373"/>
      <x:c r="F438" s="373"/>
      <x:c r="G438" s="373"/>
      <x:c r="H438" s="373"/>
      <x:c r="I438" s="373"/>
      <x:c r="J438" s="373"/>
      <x:c r="K438" s="373"/>
      <x:c r="L438" s="373"/>
      <x:c r="M438" s="373"/>
      <x:c r="N438" s="373"/>
      <x:c r="O438" s="373"/>
      <x:c r="P438" s="373"/>
      <x:c r="Q438" s="373"/>
      <x:c r="R438" s="373"/>
      <x:c r="S438" s="373"/>
      <x:c r="T438" s="373"/>
      <x:c r="U438" s="373"/>
      <x:c r="V438" s="373"/>
      <x:c r="W438" s="373"/>
      <x:c r="X438" s="373"/>
      <x:c r="Y438" s="373"/>
      <x:c r="Z438" s="373"/>
    </x:row>
    <x:row r="439">
      <x:c r="A439" s="373"/>
      <x:c r="B439" s="373"/>
      <x:c r="C439" s="373"/>
      <x:c r="D439" s="373"/>
      <x:c r="E439" s="373"/>
      <x:c r="F439" s="373"/>
      <x:c r="G439" s="373"/>
      <x:c r="H439" s="373"/>
      <x:c r="I439" s="373"/>
      <x:c r="J439" s="373"/>
      <x:c r="K439" s="373"/>
      <x:c r="L439" s="373"/>
      <x:c r="M439" s="373"/>
      <x:c r="N439" s="373"/>
      <x:c r="O439" s="373"/>
      <x:c r="P439" s="373"/>
      <x:c r="Q439" s="373"/>
      <x:c r="R439" s="373"/>
      <x:c r="S439" s="373"/>
      <x:c r="T439" s="373"/>
      <x:c r="U439" s="373"/>
      <x:c r="V439" s="373"/>
      <x:c r="W439" s="373"/>
      <x:c r="X439" s="373"/>
      <x:c r="Y439" s="373"/>
      <x:c r="Z439" s="373"/>
    </x:row>
    <x:row r="440">
      <x:c r="A440" s="373"/>
      <x:c r="B440" s="373"/>
      <x:c r="C440" s="373"/>
      <x:c r="D440" s="373"/>
      <x:c r="E440" s="373"/>
      <x:c r="F440" s="373"/>
      <x:c r="G440" s="373"/>
      <x:c r="H440" s="373"/>
      <x:c r="I440" s="373"/>
      <x:c r="J440" s="373"/>
      <x:c r="K440" s="373"/>
      <x:c r="L440" s="373"/>
      <x:c r="M440" s="373"/>
      <x:c r="N440" s="373"/>
      <x:c r="O440" s="373"/>
      <x:c r="P440" s="373"/>
      <x:c r="Q440" s="373"/>
      <x:c r="R440" s="373"/>
      <x:c r="S440" s="373"/>
      <x:c r="T440" s="373"/>
      <x:c r="U440" s="373"/>
      <x:c r="V440" s="373"/>
      <x:c r="W440" s="373"/>
      <x:c r="X440" s="373"/>
      <x:c r="Y440" s="373"/>
      <x:c r="Z440" s="373"/>
    </x:row>
    <x:row r="441">
      <x:c r="A441" s="373"/>
      <x:c r="B441" s="373"/>
      <x:c r="C441" s="373"/>
      <x:c r="D441" s="373"/>
      <x:c r="E441" s="373"/>
      <x:c r="F441" s="373"/>
      <x:c r="G441" s="373"/>
      <x:c r="H441" s="373"/>
      <x:c r="I441" s="373"/>
      <x:c r="J441" s="373"/>
      <x:c r="K441" s="373"/>
      <x:c r="L441" s="373"/>
      <x:c r="M441" s="373"/>
      <x:c r="N441" s="373"/>
      <x:c r="O441" s="373"/>
      <x:c r="P441" s="373"/>
      <x:c r="Q441" s="373"/>
      <x:c r="R441" s="373"/>
      <x:c r="S441" s="373"/>
      <x:c r="T441" s="373"/>
      <x:c r="U441" s="373"/>
      <x:c r="V441" s="373"/>
      <x:c r="W441" s="373"/>
      <x:c r="X441" s="373"/>
      <x:c r="Y441" s="373"/>
      <x:c r="Z441" s="373"/>
    </x:row>
    <x:row r="442">
      <x:c r="A442" s="373"/>
      <x:c r="B442" s="373"/>
      <x:c r="C442" s="373"/>
      <x:c r="D442" s="373"/>
      <x:c r="E442" s="373"/>
      <x:c r="F442" s="373"/>
      <x:c r="G442" s="373"/>
      <x:c r="H442" s="373"/>
      <x:c r="I442" s="373"/>
      <x:c r="J442" s="373"/>
      <x:c r="K442" s="373"/>
      <x:c r="L442" s="373"/>
      <x:c r="M442" s="373"/>
      <x:c r="N442" s="373"/>
      <x:c r="O442" s="373"/>
      <x:c r="P442" s="373"/>
      <x:c r="Q442" s="373"/>
      <x:c r="R442" s="373"/>
      <x:c r="S442" s="373"/>
      <x:c r="T442" s="373"/>
      <x:c r="U442" s="373"/>
      <x:c r="V442" s="373"/>
      <x:c r="W442" s="373"/>
      <x:c r="X442" s="373"/>
      <x:c r="Y442" s="373"/>
      <x:c r="Z442" s="373"/>
    </x:row>
    <x:row r="443">
      <x:c r="A443" s="373"/>
      <x:c r="B443" s="373"/>
      <x:c r="C443" s="373"/>
      <x:c r="D443" s="373"/>
      <x:c r="E443" s="373"/>
      <x:c r="F443" s="373"/>
      <x:c r="G443" s="373"/>
      <x:c r="H443" s="373"/>
      <x:c r="I443" s="373"/>
      <x:c r="J443" s="373"/>
      <x:c r="K443" s="373"/>
      <x:c r="L443" s="373"/>
      <x:c r="M443" s="373"/>
      <x:c r="N443" s="373"/>
      <x:c r="O443" s="373"/>
      <x:c r="P443" s="373"/>
      <x:c r="Q443" s="373"/>
      <x:c r="R443" s="373"/>
      <x:c r="S443" s="373"/>
      <x:c r="T443" s="373"/>
      <x:c r="U443" s="373"/>
      <x:c r="V443" s="373"/>
      <x:c r="W443" s="373"/>
      <x:c r="X443" s="373"/>
      <x:c r="Y443" s="373"/>
      <x:c r="Z443" s="373"/>
    </x:row>
    <x:row r="444">
      <x:c r="A444" s="373"/>
      <x:c r="B444" s="373"/>
      <x:c r="C444" s="373"/>
      <x:c r="D444" s="373"/>
      <x:c r="E444" s="373"/>
      <x:c r="F444" s="373"/>
      <x:c r="G444" s="373"/>
      <x:c r="H444" s="373"/>
      <x:c r="I444" s="373"/>
      <x:c r="J444" s="373"/>
      <x:c r="K444" s="373"/>
      <x:c r="L444" s="373"/>
      <x:c r="M444" s="373"/>
      <x:c r="N444" s="373"/>
      <x:c r="O444" s="373"/>
      <x:c r="P444" s="373"/>
      <x:c r="Q444" s="373"/>
      <x:c r="R444" s="373"/>
      <x:c r="S444" s="373"/>
      <x:c r="T444" s="373"/>
      <x:c r="U444" s="373"/>
      <x:c r="V444" s="373"/>
      <x:c r="W444" s="373"/>
      <x:c r="X444" s="373"/>
      <x:c r="Y444" s="373"/>
      <x:c r="Z444" s="373"/>
    </x:row>
    <x:row r="445">
      <x:c r="A445" s="373"/>
      <x:c r="B445" s="373"/>
      <x:c r="C445" s="373"/>
      <x:c r="D445" s="373"/>
      <x:c r="E445" s="373"/>
      <x:c r="F445" s="373"/>
      <x:c r="G445" s="373"/>
      <x:c r="H445" s="373"/>
      <x:c r="I445" s="373"/>
      <x:c r="J445" s="373"/>
      <x:c r="K445" s="373"/>
      <x:c r="L445" s="373"/>
      <x:c r="M445" s="373"/>
      <x:c r="N445" s="373"/>
      <x:c r="O445" s="373"/>
      <x:c r="P445" s="373"/>
      <x:c r="Q445" s="373"/>
      <x:c r="R445" s="373"/>
      <x:c r="S445" s="373"/>
      <x:c r="T445" s="373"/>
      <x:c r="U445" s="373"/>
      <x:c r="V445" s="373"/>
      <x:c r="W445" s="373"/>
      <x:c r="X445" s="373"/>
      <x:c r="Y445" s="373"/>
      <x:c r="Z445" s="373"/>
    </x:row>
    <x:row r="446">
      <x:c r="A446" s="373"/>
      <x:c r="B446" s="373"/>
      <x:c r="C446" s="373"/>
      <x:c r="D446" s="373"/>
      <x:c r="E446" s="373"/>
      <x:c r="F446" s="373"/>
      <x:c r="G446" s="373"/>
      <x:c r="H446" s="373"/>
      <x:c r="I446" s="373"/>
      <x:c r="J446" s="373"/>
      <x:c r="K446" s="373"/>
      <x:c r="L446" s="373"/>
      <x:c r="M446" s="373"/>
      <x:c r="N446" s="373"/>
      <x:c r="O446" s="373"/>
      <x:c r="P446" s="373"/>
      <x:c r="Q446" s="373"/>
      <x:c r="R446" s="373"/>
      <x:c r="S446" s="373"/>
      <x:c r="T446" s="373"/>
      <x:c r="U446" s="373"/>
      <x:c r="V446" s="373"/>
      <x:c r="W446" s="373"/>
      <x:c r="X446" s="373"/>
      <x:c r="Y446" s="373"/>
      <x:c r="Z446" s="373"/>
    </x:row>
    <x:row r="447">
      <x:c r="A447" s="373"/>
      <x:c r="B447" s="373"/>
      <x:c r="C447" s="373"/>
      <x:c r="D447" s="373"/>
      <x:c r="E447" s="373"/>
      <x:c r="F447" s="373"/>
      <x:c r="G447" s="373"/>
      <x:c r="H447" s="373"/>
      <x:c r="I447" s="373"/>
      <x:c r="J447" s="373"/>
      <x:c r="K447" s="373"/>
      <x:c r="L447" s="373"/>
      <x:c r="M447" s="373"/>
      <x:c r="N447" s="373"/>
      <x:c r="O447" s="373"/>
      <x:c r="P447" s="373"/>
      <x:c r="Q447" s="373"/>
      <x:c r="R447" s="373"/>
      <x:c r="S447" s="373"/>
      <x:c r="T447" s="373"/>
      <x:c r="U447" s="373"/>
      <x:c r="V447" s="373"/>
      <x:c r="W447" s="373"/>
      <x:c r="X447" s="373"/>
      <x:c r="Y447" s="373"/>
      <x:c r="Z447" s="373"/>
    </x:row>
    <x:row r="448">
      <x:c r="A448" s="373"/>
      <x:c r="B448" s="373"/>
      <x:c r="C448" s="373"/>
      <x:c r="D448" s="373"/>
      <x:c r="E448" s="373"/>
      <x:c r="F448" s="373"/>
      <x:c r="G448" s="373"/>
      <x:c r="H448" s="373"/>
      <x:c r="I448" s="373"/>
      <x:c r="J448" s="373"/>
      <x:c r="K448" s="373"/>
      <x:c r="L448" s="373"/>
      <x:c r="M448" s="373"/>
      <x:c r="N448" s="373"/>
      <x:c r="O448" s="373"/>
      <x:c r="P448" s="373"/>
      <x:c r="Q448" s="373"/>
      <x:c r="R448" s="373"/>
      <x:c r="S448" s="373"/>
      <x:c r="T448" s="373"/>
      <x:c r="U448" s="373"/>
      <x:c r="V448" s="373"/>
      <x:c r="W448" s="373"/>
      <x:c r="X448" s="373"/>
      <x:c r="Y448" s="373"/>
      <x:c r="Z448" s="373"/>
    </x:row>
    <x:row r="449">
      <x:c r="A449" s="373"/>
      <x:c r="B449" s="373"/>
      <x:c r="C449" s="373"/>
      <x:c r="D449" s="373"/>
      <x:c r="E449" s="373"/>
      <x:c r="F449" s="373"/>
      <x:c r="G449" s="373"/>
      <x:c r="H449" s="373"/>
      <x:c r="I449" s="373"/>
      <x:c r="J449" s="373"/>
      <x:c r="K449" s="373"/>
      <x:c r="L449" s="373"/>
      <x:c r="M449" s="373"/>
      <x:c r="N449" s="373"/>
      <x:c r="O449" s="373"/>
      <x:c r="P449" s="373"/>
      <x:c r="Q449" s="373"/>
      <x:c r="R449" s="373"/>
      <x:c r="S449" s="373"/>
      <x:c r="T449" s="373"/>
      <x:c r="U449" s="373"/>
      <x:c r="V449" s="373"/>
      <x:c r="W449" s="373"/>
      <x:c r="X449" s="373"/>
      <x:c r="Y449" s="373"/>
      <x:c r="Z449" s="373"/>
    </x:row>
    <x:row r="450">
      <x:c r="A450" s="373"/>
      <x:c r="B450" s="373"/>
      <x:c r="C450" s="373"/>
      <x:c r="D450" s="373"/>
      <x:c r="E450" s="373"/>
      <x:c r="F450" s="373"/>
      <x:c r="G450" s="373"/>
      <x:c r="H450" s="373"/>
      <x:c r="I450" s="373"/>
      <x:c r="J450" s="373"/>
      <x:c r="K450" s="373"/>
      <x:c r="L450" s="373"/>
      <x:c r="M450" s="373"/>
      <x:c r="N450" s="373"/>
      <x:c r="O450" s="373"/>
      <x:c r="P450" s="373"/>
      <x:c r="Q450" s="373"/>
      <x:c r="R450" s="373"/>
      <x:c r="S450" s="373"/>
      <x:c r="T450" s="373"/>
      <x:c r="U450" s="373"/>
      <x:c r="V450" s="373"/>
      <x:c r="W450" s="373"/>
      <x:c r="X450" s="373"/>
      <x:c r="Y450" s="373"/>
      <x:c r="Z450" s="373"/>
    </x:row>
    <x:row r="451">
      <x:c r="A451" s="373"/>
      <x:c r="B451" s="373"/>
      <x:c r="C451" s="373"/>
      <x:c r="D451" s="373"/>
      <x:c r="E451" s="373"/>
      <x:c r="F451" s="373"/>
      <x:c r="G451" s="373"/>
      <x:c r="H451" s="373"/>
      <x:c r="I451" s="373"/>
      <x:c r="J451" s="373"/>
      <x:c r="K451" s="373"/>
      <x:c r="L451" s="373"/>
      <x:c r="M451" s="373"/>
      <x:c r="N451" s="373"/>
      <x:c r="O451" s="373"/>
      <x:c r="P451" s="373"/>
      <x:c r="Q451" s="373"/>
      <x:c r="R451" s="373"/>
      <x:c r="S451" s="373"/>
      <x:c r="T451" s="373"/>
      <x:c r="U451" s="373"/>
      <x:c r="V451" s="373"/>
      <x:c r="W451" s="373"/>
      <x:c r="X451" s="373"/>
      <x:c r="Y451" s="373"/>
      <x:c r="Z451" s="373"/>
    </x:row>
    <x:row r="452">
      <x:c r="A452" s="373"/>
      <x:c r="B452" s="373"/>
      <x:c r="C452" s="373"/>
      <x:c r="D452" s="373"/>
      <x:c r="E452" s="373"/>
      <x:c r="F452" s="373"/>
      <x:c r="G452" s="373"/>
      <x:c r="H452" s="373"/>
      <x:c r="I452" s="373"/>
      <x:c r="J452" s="373"/>
      <x:c r="K452" s="373"/>
      <x:c r="L452" s="373"/>
      <x:c r="M452" s="373"/>
      <x:c r="N452" s="373"/>
      <x:c r="O452" s="373"/>
      <x:c r="P452" s="373"/>
      <x:c r="Q452" s="373"/>
      <x:c r="R452" s="373"/>
      <x:c r="S452" s="373"/>
      <x:c r="T452" s="373"/>
      <x:c r="U452" s="373"/>
      <x:c r="V452" s="373"/>
      <x:c r="W452" s="373"/>
      <x:c r="X452" s="373"/>
      <x:c r="Y452" s="373"/>
      <x:c r="Z452" s="373"/>
    </x:row>
    <x:row r="453">
      <x:c r="A453" s="373"/>
      <x:c r="B453" s="373"/>
      <x:c r="C453" s="373"/>
      <x:c r="D453" s="373"/>
      <x:c r="E453" s="373"/>
      <x:c r="F453" s="373"/>
      <x:c r="G453" s="373"/>
      <x:c r="H453" s="373"/>
      <x:c r="I453" s="373"/>
      <x:c r="J453" s="373"/>
      <x:c r="K453" s="373"/>
      <x:c r="L453" s="373"/>
      <x:c r="M453" s="373"/>
      <x:c r="N453" s="373"/>
      <x:c r="O453" s="373"/>
      <x:c r="P453" s="373"/>
      <x:c r="Q453" s="373"/>
      <x:c r="R453" s="373"/>
      <x:c r="S453" s="373"/>
      <x:c r="T453" s="373"/>
      <x:c r="U453" s="373"/>
      <x:c r="V453" s="373"/>
      <x:c r="W453" s="373"/>
      <x:c r="X453" s="373"/>
      <x:c r="Y453" s="373"/>
      <x:c r="Z453" s="373"/>
    </x:row>
    <x:row r="454">
      <x:c r="A454" s="373"/>
      <x:c r="B454" s="373"/>
      <x:c r="C454" s="373"/>
      <x:c r="D454" s="373"/>
      <x:c r="E454" s="373"/>
      <x:c r="F454" s="373"/>
      <x:c r="G454" s="373"/>
      <x:c r="H454" s="373"/>
      <x:c r="I454" s="373"/>
      <x:c r="J454" s="373"/>
      <x:c r="K454" s="373"/>
      <x:c r="L454" s="373"/>
      <x:c r="M454" s="373"/>
      <x:c r="N454" s="373"/>
      <x:c r="O454" s="373"/>
      <x:c r="P454" s="373"/>
      <x:c r="Q454" s="373"/>
      <x:c r="R454" s="373"/>
      <x:c r="S454" s="373"/>
      <x:c r="T454" s="373"/>
      <x:c r="U454" s="373"/>
      <x:c r="V454" s="373"/>
      <x:c r="W454" s="373"/>
      <x:c r="X454" s="373"/>
      <x:c r="Y454" s="373"/>
      <x:c r="Z454" s="373"/>
    </x:row>
    <x:row r="455">
      <x:c r="A455" s="373"/>
      <x:c r="B455" s="373"/>
      <x:c r="C455" s="373"/>
      <x:c r="D455" s="373"/>
      <x:c r="E455" s="373"/>
      <x:c r="F455" s="373"/>
      <x:c r="G455" s="373"/>
      <x:c r="H455" s="373"/>
      <x:c r="I455" s="373"/>
      <x:c r="J455" s="373"/>
      <x:c r="K455" s="373"/>
      <x:c r="L455" s="373"/>
      <x:c r="M455" s="373"/>
      <x:c r="N455" s="373"/>
      <x:c r="O455" s="373"/>
      <x:c r="P455" s="373"/>
      <x:c r="Q455" s="373"/>
      <x:c r="R455" s="373"/>
      <x:c r="S455" s="373"/>
      <x:c r="T455" s="373"/>
      <x:c r="U455" s="373"/>
      <x:c r="V455" s="373"/>
      <x:c r="W455" s="373"/>
      <x:c r="X455" s="373"/>
      <x:c r="Y455" s="373"/>
      <x:c r="Z455" s="373"/>
    </x:row>
    <x:row r="456">
      <x:c r="A456" s="373"/>
      <x:c r="B456" s="373"/>
      <x:c r="C456" s="373"/>
      <x:c r="D456" s="373"/>
      <x:c r="E456" s="373"/>
      <x:c r="F456" s="373"/>
      <x:c r="G456" s="373"/>
      <x:c r="H456" s="373"/>
      <x:c r="I456" s="373"/>
      <x:c r="J456" s="373"/>
      <x:c r="K456" s="373"/>
      <x:c r="L456" s="373"/>
      <x:c r="M456" s="373"/>
      <x:c r="N456" s="373"/>
      <x:c r="O456" s="373"/>
      <x:c r="P456" s="373"/>
      <x:c r="Q456" s="373"/>
      <x:c r="R456" s="373"/>
      <x:c r="S456" s="373"/>
      <x:c r="T456" s="373"/>
      <x:c r="U456" s="373"/>
      <x:c r="V456" s="373"/>
      <x:c r="W456" s="373"/>
      <x:c r="X456" s="373"/>
      <x:c r="Y456" s="373"/>
      <x:c r="Z456" s="373"/>
    </x:row>
    <x:row r="457">
      <x:c r="A457" s="373"/>
      <x:c r="B457" s="373"/>
      <x:c r="C457" s="373"/>
      <x:c r="D457" s="373"/>
      <x:c r="E457" s="373"/>
      <x:c r="F457" s="373"/>
      <x:c r="G457" s="373"/>
      <x:c r="H457" s="373"/>
      <x:c r="I457" s="373"/>
      <x:c r="J457" s="373"/>
      <x:c r="K457" s="373"/>
      <x:c r="L457" s="373"/>
      <x:c r="M457" s="373"/>
      <x:c r="N457" s="373"/>
      <x:c r="O457" s="373"/>
      <x:c r="P457" s="373"/>
      <x:c r="Q457" s="373"/>
      <x:c r="R457" s="373"/>
      <x:c r="S457" s="373"/>
      <x:c r="T457" s="373"/>
      <x:c r="U457" s="373"/>
      <x:c r="V457" s="373"/>
      <x:c r="W457" s="373"/>
      <x:c r="X457" s="373"/>
      <x:c r="Y457" s="373"/>
      <x:c r="Z457" s="373"/>
    </x:row>
    <x:row r="458">
      <x:c r="A458" s="373"/>
      <x:c r="B458" s="373"/>
      <x:c r="C458" s="373"/>
      <x:c r="D458" s="373"/>
      <x:c r="E458" s="373"/>
      <x:c r="F458" s="373"/>
      <x:c r="G458" s="373"/>
      <x:c r="H458" s="373"/>
      <x:c r="I458" s="373"/>
      <x:c r="J458" s="373"/>
      <x:c r="K458" s="373"/>
      <x:c r="L458" s="373"/>
      <x:c r="M458" s="373"/>
      <x:c r="N458" s="373"/>
      <x:c r="O458" s="373"/>
      <x:c r="P458" s="373"/>
      <x:c r="Q458" s="373"/>
      <x:c r="R458" s="373"/>
      <x:c r="S458" s="373"/>
      <x:c r="T458" s="373"/>
      <x:c r="U458" s="373"/>
      <x:c r="V458" s="373"/>
      <x:c r="W458" s="373"/>
      <x:c r="X458" s="373"/>
      <x:c r="Y458" s="373"/>
      <x:c r="Z458" s="373"/>
    </x:row>
    <x:row r="459">
      <x:c r="A459" s="373"/>
      <x:c r="B459" s="373"/>
      <x:c r="C459" s="373"/>
      <x:c r="D459" s="373"/>
      <x:c r="E459" s="373"/>
      <x:c r="F459" s="373"/>
      <x:c r="G459" s="373"/>
      <x:c r="H459" s="373"/>
      <x:c r="I459" s="373"/>
      <x:c r="J459" s="373"/>
      <x:c r="K459" s="373"/>
      <x:c r="L459" s="373"/>
      <x:c r="M459" s="373"/>
      <x:c r="N459" s="373"/>
      <x:c r="O459" s="373"/>
      <x:c r="P459" s="373"/>
      <x:c r="Q459" s="373"/>
      <x:c r="R459" s="373"/>
      <x:c r="S459" s="373"/>
      <x:c r="T459" s="373"/>
      <x:c r="U459" s="373"/>
      <x:c r="V459" s="373"/>
      <x:c r="W459" s="373"/>
      <x:c r="X459" s="373"/>
      <x:c r="Y459" s="373"/>
      <x:c r="Z459" s="373"/>
    </x:row>
    <x:row r="460">
      <x:c r="A460" s="373"/>
      <x:c r="B460" s="373"/>
      <x:c r="C460" s="373"/>
      <x:c r="D460" s="373"/>
      <x:c r="E460" s="373"/>
      <x:c r="F460" s="373"/>
      <x:c r="G460" s="373"/>
      <x:c r="H460" s="373"/>
      <x:c r="I460" s="373"/>
      <x:c r="J460" s="373"/>
      <x:c r="K460" s="373"/>
      <x:c r="L460" s="373"/>
      <x:c r="M460" s="373"/>
      <x:c r="N460" s="373"/>
      <x:c r="O460" s="373"/>
      <x:c r="P460" s="373"/>
      <x:c r="Q460" s="373"/>
      <x:c r="R460" s="373"/>
      <x:c r="S460" s="373"/>
      <x:c r="T460" s="373"/>
      <x:c r="U460" s="373"/>
      <x:c r="V460" s="373"/>
      <x:c r="W460" s="373"/>
      <x:c r="X460" s="373"/>
      <x:c r="Y460" s="373"/>
      <x:c r="Z460" s="373"/>
    </x:row>
    <x:row r="461">
      <x:c r="A461" s="373"/>
      <x:c r="B461" s="373"/>
      <x:c r="C461" s="373"/>
      <x:c r="D461" s="373"/>
      <x:c r="E461" s="373"/>
      <x:c r="F461" s="373"/>
      <x:c r="G461" s="373"/>
      <x:c r="H461" s="373"/>
      <x:c r="I461" s="373"/>
      <x:c r="J461" s="373"/>
      <x:c r="K461" s="373"/>
      <x:c r="L461" s="373"/>
      <x:c r="M461" s="373"/>
      <x:c r="N461" s="373"/>
      <x:c r="O461" s="373"/>
      <x:c r="P461" s="373"/>
      <x:c r="Q461" s="373"/>
      <x:c r="R461" s="373"/>
      <x:c r="S461" s="373"/>
      <x:c r="T461" s="373"/>
      <x:c r="U461" s="373"/>
      <x:c r="V461" s="373"/>
      <x:c r="W461" s="373"/>
      <x:c r="X461" s="373"/>
      <x:c r="Y461" s="373"/>
      <x:c r="Z461" s="373"/>
    </x:row>
    <x:row r="462">
      <x:c r="A462" s="373"/>
      <x:c r="B462" s="373"/>
      <x:c r="C462" s="373"/>
      <x:c r="D462" s="373"/>
      <x:c r="E462" s="373"/>
      <x:c r="F462" s="373"/>
      <x:c r="G462" s="373"/>
      <x:c r="H462" s="373"/>
      <x:c r="I462" s="373"/>
      <x:c r="J462" s="373"/>
      <x:c r="K462" s="373"/>
      <x:c r="L462" s="373"/>
      <x:c r="M462" s="373"/>
      <x:c r="N462" s="373"/>
      <x:c r="O462" s="373"/>
      <x:c r="P462" s="373"/>
      <x:c r="Q462" s="373"/>
      <x:c r="R462" s="373"/>
      <x:c r="S462" s="373"/>
      <x:c r="T462" s="373"/>
      <x:c r="U462" s="373"/>
      <x:c r="V462" s="373"/>
      <x:c r="W462" s="373"/>
      <x:c r="X462" s="373"/>
      <x:c r="Y462" s="373"/>
      <x:c r="Z462" s="373"/>
    </x:row>
    <x:row r="463">
      <x:c r="A463" s="373"/>
      <x:c r="B463" s="373"/>
      <x:c r="C463" s="373"/>
      <x:c r="D463" s="373"/>
      <x:c r="E463" s="373"/>
      <x:c r="F463" s="373"/>
      <x:c r="G463" s="373"/>
      <x:c r="H463" s="373"/>
      <x:c r="I463" s="373"/>
      <x:c r="J463" s="373"/>
      <x:c r="K463" s="373"/>
      <x:c r="L463" s="373"/>
      <x:c r="M463" s="373"/>
      <x:c r="N463" s="373"/>
      <x:c r="O463" s="373"/>
      <x:c r="P463" s="373"/>
      <x:c r="Q463" s="373"/>
      <x:c r="R463" s="373"/>
      <x:c r="S463" s="373"/>
      <x:c r="T463" s="373"/>
      <x:c r="U463" s="373"/>
      <x:c r="V463" s="373"/>
      <x:c r="W463" s="373"/>
      <x:c r="X463" s="373"/>
      <x:c r="Y463" s="373"/>
      <x:c r="Z463" s="373"/>
    </x:row>
    <x:row r="464">
      <x:c r="A464" s="373"/>
      <x:c r="B464" s="373"/>
      <x:c r="C464" s="373"/>
      <x:c r="D464" s="373"/>
      <x:c r="E464" s="373"/>
      <x:c r="F464" s="373"/>
      <x:c r="G464" s="373"/>
      <x:c r="H464" s="373"/>
      <x:c r="I464" s="373"/>
      <x:c r="J464" s="373"/>
      <x:c r="K464" s="373"/>
      <x:c r="L464" s="373"/>
      <x:c r="M464" s="373"/>
      <x:c r="N464" s="373"/>
      <x:c r="O464" s="373"/>
      <x:c r="P464" s="373"/>
      <x:c r="Q464" s="373"/>
      <x:c r="R464" s="373"/>
      <x:c r="S464" s="373"/>
      <x:c r="T464" s="373"/>
      <x:c r="U464" s="373"/>
      <x:c r="V464" s="373"/>
      <x:c r="W464" s="373"/>
      <x:c r="X464" s="373"/>
      <x:c r="Y464" s="373"/>
      <x:c r="Z464" s="373"/>
    </x:row>
    <x:row r="465">
      <x:c r="A465" s="373"/>
      <x:c r="B465" s="373"/>
      <x:c r="C465" s="373"/>
      <x:c r="D465" s="373"/>
      <x:c r="E465" s="373"/>
      <x:c r="F465" s="373"/>
      <x:c r="G465" s="373"/>
      <x:c r="H465" s="373"/>
      <x:c r="I465" s="373"/>
      <x:c r="J465" s="373"/>
      <x:c r="K465" s="373"/>
      <x:c r="L465" s="373"/>
      <x:c r="M465" s="373"/>
      <x:c r="N465" s="373"/>
      <x:c r="O465" s="373"/>
      <x:c r="P465" s="373"/>
      <x:c r="Q465" s="373"/>
      <x:c r="R465" s="373"/>
      <x:c r="S465" s="373"/>
      <x:c r="T465" s="373"/>
      <x:c r="U465" s="373"/>
      <x:c r="V465" s="373"/>
      <x:c r="W465" s="373"/>
      <x:c r="X465" s="373"/>
      <x:c r="Y465" s="373"/>
      <x:c r="Z465" s="373"/>
    </x:row>
    <x:row r="466">
      <x:c r="A466" s="373"/>
      <x:c r="B466" s="373"/>
      <x:c r="C466" s="373"/>
      <x:c r="D466" s="373"/>
      <x:c r="E466" s="373"/>
      <x:c r="F466" s="373"/>
      <x:c r="G466" s="373"/>
      <x:c r="H466" s="373"/>
      <x:c r="I466" s="373"/>
      <x:c r="J466" s="373"/>
      <x:c r="K466" s="373"/>
      <x:c r="L466" s="373"/>
      <x:c r="M466" s="373"/>
      <x:c r="N466" s="373"/>
      <x:c r="O466" s="373"/>
      <x:c r="P466" s="373"/>
      <x:c r="Q466" s="373"/>
      <x:c r="R466" s="373"/>
      <x:c r="S466" s="373"/>
      <x:c r="T466" s="373"/>
      <x:c r="U466" s="373"/>
      <x:c r="V466" s="373"/>
      <x:c r="W466" s="373"/>
      <x:c r="X466" s="373"/>
      <x:c r="Y466" s="373"/>
      <x:c r="Z466" s="373"/>
    </x:row>
    <x:row r="467">
      <x:c r="A467" s="373"/>
      <x:c r="B467" s="373"/>
      <x:c r="C467" s="373"/>
      <x:c r="D467" s="373"/>
      <x:c r="E467" s="373"/>
      <x:c r="F467" s="373"/>
      <x:c r="G467" s="373"/>
      <x:c r="H467" s="373"/>
      <x:c r="I467" s="373"/>
      <x:c r="J467" s="373"/>
      <x:c r="K467" s="373"/>
      <x:c r="L467" s="373"/>
      <x:c r="M467" s="373"/>
      <x:c r="N467" s="373"/>
      <x:c r="O467" s="373"/>
      <x:c r="P467" s="373"/>
      <x:c r="Q467" s="373"/>
      <x:c r="R467" s="373"/>
      <x:c r="S467" s="373"/>
      <x:c r="T467" s="373"/>
      <x:c r="U467" s="373"/>
      <x:c r="V467" s="373"/>
      <x:c r="W467" s="373"/>
      <x:c r="X467" s="373"/>
      <x:c r="Y467" s="373"/>
      <x:c r="Z467" s="373"/>
    </x:row>
    <x:row r="468">
      <x:c r="A468" s="373"/>
      <x:c r="B468" s="373"/>
      <x:c r="C468" s="373"/>
      <x:c r="D468" s="373"/>
      <x:c r="E468" s="373"/>
      <x:c r="F468" s="373"/>
      <x:c r="G468" s="373"/>
      <x:c r="H468" s="373"/>
      <x:c r="I468" s="373"/>
      <x:c r="J468" s="373"/>
      <x:c r="K468" s="373"/>
      <x:c r="L468" s="373"/>
      <x:c r="M468" s="373"/>
      <x:c r="N468" s="373"/>
      <x:c r="O468" s="373"/>
      <x:c r="P468" s="373"/>
      <x:c r="Q468" s="373"/>
      <x:c r="R468" s="373"/>
      <x:c r="S468" s="373"/>
      <x:c r="T468" s="373"/>
      <x:c r="U468" s="373"/>
      <x:c r="V468" s="373"/>
      <x:c r="W468" s="373"/>
      <x:c r="X468" s="373"/>
      <x:c r="Y468" s="373"/>
      <x:c r="Z468" s="373"/>
    </x:row>
    <x:row r="469">
      <x:c r="A469" s="373"/>
      <x:c r="B469" s="373"/>
      <x:c r="C469" s="373"/>
      <x:c r="D469" s="373"/>
      <x:c r="E469" s="373"/>
      <x:c r="F469" s="373"/>
      <x:c r="G469" s="373"/>
      <x:c r="H469" s="373"/>
      <x:c r="I469" s="373"/>
      <x:c r="J469" s="373"/>
      <x:c r="K469" s="373"/>
      <x:c r="L469" s="373"/>
      <x:c r="M469" s="373"/>
      <x:c r="N469" s="373"/>
      <x:c r="O469" s="373"/>
      <x:c r="P469" s="373"/>
      <x:c r="Q469" s="373"/>
      <x:c r="R469" s="373"/>
      <x:c r="S469" s="373"/>
      <x:c r="T469" s="373"/>
      <x:c r="U469" s="373"/>
      <x:c r="V469" s="373"/>
      <x:c r="W469" s="373"/>
      <x:c r="X469" s="373"/>
      <x:c r="Y469" s="373"/>
      <x:c r="Z469" s="373"/>
    </x:row>
    <x:row r="470">
      <x:c r="A470" s="373"/>
      <x:c r="B470" s="373"/>
      <x:c r="C470" s="373"/>
      <x:c r="D470" s="373"/>
      <x:c r="E470" s="373"/>
      <x:c r="F470" s="373"/>
      <x:c r="G470" s="373"/>
      <x:c r="H470" s="373"/>
      <x:c r="I470" s="373"/>
      <x:c r="J470" s="373"/>
      <x:c r="K470" s="373"/>
      <x:c r="L470" s="373"/>
      <x:c r="M470" s="373"/>
      <x:c r="N470" s="373"/>
      <x:c r="O470" s="373"/>
      <x:c r="P470" s="373"/>
      <x:c r="Q470" s="373"/>
      <x:c r="R470" s="373"/>
      <x:c r="S470" s="373"/>
      <x:c r="T470" s="373"/>
      <x:c r="U470" s="373"/>
      <x:c r="V470" s="373"/>
      <x:c r="W470" s="373"/>
      <x:c r="X470" s="373"/>
      <x:c r="Y470" s="373"/>
      <x:c r="Z470" s="373"/>
    </x:row>
    <x:row r="471">
      <x:c r="A471" s="373"/>
      <x:c r="B471" s="373"/>
      <x:c r="C471" s="373"/>
      <x:c r="D471" s="373"/>
      <x:c r="E471" s="373"/>
      <x:c r="F471" s="373"/>
      <x:c r="G471" s="373"/>
      <x:c r="H471" s="373"/>
      <x:c r="I471" s="373"/>
      <x:c r="J471" s="373"/>
      <x:c r="K471" s="373"/>
      <x:c r="L471" s="373"/>
      <x:c r="M471" s="373"/>
      <x:c r="N471" s="373"/>
      <x:c r="O471" s="373"/>
      <x:c r="P471" s="373"/>
      <x:c r="Q471" s="373"/>
      <x:c r="R471" s="373"/>
      <x:c r="S471" s="373"/>
      <x:c r="T471" s="373"/>
      <x:c r="U471" s="373"/>
      <x:c r="V471" s="373"/>
      <x:c r="W471" s="373"/>
      <x:c r="X471" s="373"/>
      <x:c r="Y471" s="373"/>
      <x:c r="Z471" s="373"/>
    </x:row>
    <x:row r="472">
      <x:c r="A472" s="373"/>
      <x:c r="B472" s="373"/>
      <x:c r="C472" s="373"/>
      <x:c r="D472" s="373"/>
      <x:c r="E472" s="373"/>
      <x:c r="F472" s="373"/>
      <x:c r="G472" s="373"/>
      <x:c r="H472" s="373"/>
      <x:c r="I472" s="373"/>
      <x:c r="J472" s="373"/>
      <x:c r="K472" s="373"/>
      <x:c r="L472" s="373"/>
      <x:c r="M472" s="373"/>
      <x:c r="N472" s="373"/>
      <x:c r="O472" s="373"/>
      <x:c r="P472" s="373"/>
      <x:c r="Q472" s="373"/>
      <x:c r="R472" s="373"/>
      <x:c r="S472" s="373"/>
      <x:c r="T472" s="373"/>
      <x:c r="U472" s="373"/>
      <x:c r="V472" s="373"/>
      <x:c r="W472" s="373"/>
      <x:c r="X472" s="373"/>
      <x:c r="Y472" s="373"/>
      <x:c r="Z472" s="373"/>
    </x:row>
    <x:row r="473">
      <x:c r="A473" s="373"/>
      <x:c r="B473" s="373"/>
      <x:c r="C473" s="373"/>
      <x:c r="D473" s="373"/>
      <x:c r="E473" s="373"/>
      <x:c r="F473" s="373"/>
      <x:c r="G473" s="373"/>
      <x:c r="H473" s="373"/>
      <x:c r="I473" s="373"/>
      <x:c r="J473" s="373"/>
      <x:c r="K473" s="373"/>
      <x:c r="L473" s="373"/>
      <x:c r="M473" s="373"/>
      <x:c r="N473" s="373"/>
      <x:c r="O473" s="373"/>
      <x:c r="P473" s="373"/>
      <x:c r="Q473" s="373"/>
      <x:c r="R473" s="373"/>
      <x:c r="S473" s="373"/>
      <x:c r="T473" s="373"/>
      <x:c r="U473" s="373"/>
      <x:c r="V473" s="373"/>
      <x:c r="W473" s="373"/>
      <x:c r="X473" s="373"/>
      <x:c r="Y473" s="373"/>
      <x:c r="Z473" s="373"/>
    </x:row>
    <x:row r="474">
      <x:c r="A474" s="373"/>
      <x:c r="B474" s="373"/>
      <x:c r="C474" s="373"/>
      <x:c r="D474" s="373"/>
      <x:c r="E474" s="373"/>
      <x:c r="F474" s="373"/>
      <x:c r="G474" s="373"/>
      <x:c r="H474" s="373"/>
      <x:c r="I474" s="373"/>
      <x:c r="J474" s="373"/>
      <x:c r="K474" s="373"/>
      <x:c r="L474" s="373"/>
      <x:c r="M474" s="373"/>
      <x:c r="N474" s="373"/>
      <x:c r="O474" s="373"/>
      <x:c r="P474" s="373"/>
      <x:c r="Q474" s="373"/>
      <x:c r="R474" s="373"/>
      <x:c r="S474" s="373"/>
      <x:c r="T474" s="373"/>
      <x:c r="U474" s="373"/>
      <x:c r="V474" s="373"/>
      <x:c r="W474" s="373"/>
      <x:c r="X474" s="373"/>
      <x:c r="Y474" s="373"/>
      <x:c r="Z474" s="373"/>
    </x:row>
    <x:row r="475">
      <x:c r="A475" s="373"/>
      <x:c r="B475" s="373"/>
      <x:c r="C475" s="373"/>
      <x:c r="D475" s="373"/>
      <x:c r="E475" s="373"/>
      <x:c r="F475" s="373"/>
      <x:c r="G475" s="373"/>
      <x:c r="H475" s="373"/>
      <x:c r="I475" s="373"/>
      <x:c r="J475" s="373"/>
      <x:c r="K475" s="373"/>
      <x:c r="L475" s="373"/>
      <x:c r="M475" s="373"/>
      <x:c r="N475" s="373"/>
      <x:c r="O475" s="373"/>
      <x:c r="P475" s="373"/>
      <x:c r="Q475" s="373"/>
      <x:c r="R475" s="373"/>
      <x:c r="S475" s="373"/>
      <x:c r="T475" s="373"/>
      <x:c r="U475" s="373"/>
      <x:c r="V475" s="373"/>
      <x:c r="W475" s="373"/>
      <x:c r="X475" s="373"/>
      <x:c r="Y475" s="373"/>
      <x:c r="Z475" s="373"/>
    </x:row>
    <x:row r="476">
      <x:c r="A476" s="373"/>
      <x:c r="B476" s="373"/>
      <x:c r="C476" s="373"/>
      <x:c r="D476" s="373"/>
      <x:c r="E476" s="373"/>
      <x:c r="F476" s="373"/>
      <x:c r="G476" s="373"/>
      <x:c r="H476" s="373"/>
      <x:c r="I476" s="373"/>
      <x:c r="J476" s="373"/>
      <x:c r="K476" s="373"/>
      <x:c r="L476" s="373"/>
      <x:c r="M476" s="373"/>
      <x:c r="N476" s="373"/>
      <x:c r="O476" s="373"/>
      <x:c r="P476" s="373"/>
      <x:c r="Q476" s="373"/>
      <x:c r="R476" s="373"/>
      <x:c r="S476" s="373"/>
      <x:c r="T476" s="373"/>
      <x:c r="U476" s="373"/>
      <x:c r="V476" s="373"/>
      <x:c r="W476" s="373"/>
      <x:c r="X476" s="373"/>
      <x:c r="Y476" s="373"/>
      <x:c r="Z476" s="373"/>
    </x:row>
    <x:row r="477">
      <x:c r="A477" s="373"/>
      <x:c r="B477" s="373"/>
      <x:c r="C477" s="373"/>
      <x:c r="D477" s="373"/>
      <x:c r="E477" s="373"/>
      <x:c r="F477" s="373"/>
      <x:c r="G477" s="373"/>
      <x:c r="H477" s="373"/>
      <x:c r="I477" s="373"/>
      <x:c r="J477" s="373"/>
      <x:c r="K477" s="373"/>
      <x:c r="L477" s="373"/>
      <x:c r="M477" s="373"/>
      <x:c r="N477" s="373"/>
      <x:c r="O477" s="373"/>
      <x:c r="P477" s="373"/>
      <x:c r="Q477" s="373"/>
      <x:c r="R477" s="373"/>
      <x:c r="S477" s="373"/>
      <x:c r="T477" s="373"/>
      <x:c r="U477" s="373"/>
      <x:c r="V477" s="373"/>
      <x:c r="W477" s="373"/>
      <x:c r="X477" s="373"/>
      <x:c r="Y477" s="373"/>
      <x:c r="Z477" s="373"/>
    </x:row>
    <x:row r="478">
      <x:c r="A478" s="373"/>
      <x:c r="B478" s="373"/>
      <x:c r="C478" s="373"/>
      <x:c r="D478" s="373"/>
      <x:c r="E478" s="373"/>
      <x:c r="F478" s="373"/>
      <x:c r="G478" s="373"/>
      <x:c r="H478" s="373"/>
      <x:c r="I478" s="373"/>
      <x:c r="J478" s="373"/>
      <x:c r="K478" s="373"/>
      <x:c r="L478" s="373"/>
      <x:c r="M478" s="373"/>
      <x:c r="N478" s="373"/>
      <x:c r="O478" s="373"/>
      <x:c r="P478" s="373"/>
      <x:c r="Q478" s="373"/>
      <x:c r="R478" s="373"/>
      <x:c r="S478" s="373"/>
      <x:c r="T478" s="373"/>
      <x:c r="U478" s="373"/>
      <x:c r="V478" s="373"/>
      <x:c r="W478" s="373"/>
      <x:c r="X478" s="373"/>
      <x:c r="Y478" s="373"/>
      <x:c r="Z478" s="373"/>
    </x:row>
    <x:row r="479">
      <x:c r="A479" s="373"/>
      <x:c r="B479" s="373"/>
      <x:c r="C479" s="373"/>
      <x:c r="D479" s="373"/>
      <x:c r="E479" s="373"/>
      <x:c r="F479" s="373"/>
      <x:c r="G479" s="373"/>
      <x:c r="H479" s="373"/>
      <x:c r="I479" s="373"/>
      <x:c r="J479" s="373"/>
      <x:c r="K479" s="373"/>
      <x:c r="L479" s="373"/>
      <x:c r="M479" s="373"/>
      <x:c r="N479" s="373"/>
      <x:c r="O479" s="373"/>
      <x:c r="P479" s="373"/>
      <x:c r="Q479" s="373"/>
      <x:c r="R479" s="373"/>
      <x:c r="S479" s="373"/>
      <x:c r="T479" s="373"/>
      <x:c r="U479" s="373"/>
      <x:c r="V479" s="373"/>
      <x:c r="W479" s="373"/>
      <x:c r="X479" s="373"/>
      <x:c r="Y479" s="373"/>
      <x:c r="Z479" s="373"/>
    </x:row>
    <x:row r="480">
      <x:c r="A480" s="373"/>
      <x:c r="B480" s="373"/>
      <x:c r="C480" s="373"/>
      <x:c r="D480" s="373"/>
      <x:c r="E480" s="373"/>
      <x:c r="F480" s="373"/>
      <x:c r="G480" s="373"/>
      <x:c r="H480" s="373"/>
      <x:c r="I480" s="373"/>
      <x:c r="J480" s="373"/>
      <x:c r="K480" s="373"/>
      <x:c r="L480" s="373"/>
      <x:c r="M480" s="373"/>
      <x:c r="N480" s="373"/>
      <x:c r="O480" s="373"/>
      <x:c r="P480" s="373"/>
      <x:c r="Q480" s="373"/>
      <x:c r="R480" s="373"/>
      <x:c r="S480" s="373"/>
      <x:c r="T480" s="373"/>
      <x:c r="U480" s="373"/>
      <x:c r="V480" s="373"/>
      <x:c r="W480" s="373"/>
      <x:c r="X480" s="373"/>
      <x:c r="Y480" s="373"/>
      <x:c r="Z480" s="373"/>
    </x:row>
    <x:row r="481">
      <x:c r="A481" s="373"/>
      <x:c r="B481" s="373"/>
      <x:c r="C481" s="373"/>
      <x:c r="D481" s="373"/>
      <x:c r="E481" s="373"/>
      <x:c r="F481" s="373"/>
      <x:c r="G481" s="373"/>
      <x:c r="H481" s="373"/>
      <x:c r="I481" s="373"/>
      <x:c r="J481" s="373"/>
      <x:c r="K481" s="373"/>
      <x:c r="L481" s="373"/>
      <x:c r="M481" s="373"/>
      <x:c r="N481" s="373"/>
      <x:c r="O481" s="373"/>
      <x:c r="P481" s="373"/>
      <x:c r="Q481" s="373"/>
      <x:c r="R481" s="373"/>
      <x:c r="S481" s="373"/>
      <x:c r="T481" s="373"/>
      <x:c r="U481" s="373"/>
      <x:c r="V481" s="373"/>
      <x:c r="W481" s="373"/>
      <x:c r="X481" s="373"/>
      <x:c r="Y481" s="373"/>
      <x:c r="Z481" s="373"/>
    </x:row>
    <x:row r="482">
      <x:c r="A482" s="373"/>
      <x:c r="B482" s="373"/>
      <x:c r="C482" s="373"/>
      <x:c r="D482" s="373"/>
      <x:c r="E482" s="373"/>
      <x:c r="F482" s="373"/>
      <x:c r="G482" s="373"/>
      <x:c r="H482" s="373"/>
      <x:c r="I482" s="373"/>
      <x:c r="J482" s="373"/>
      <x:c r="K482" s="373"/>
      <x:c r="L482" s="373"/>
      <x:c r="M482" s="373"/>
      <x:c r="N482" s="373"/>
      <x:c r="O482" s="373"/>
      <x:c r="P482" s="373"/>
      <x:c r="Q482" s="373"/>
      <x:c r="R482" s="373"/>
      <x:c r="S482" s="373"/>
      <x:c r="T482" s="373"/>
      <x:c r="U482" s="373"/>
      <x:c r="V482" s="373"/>
      <x:c r="W482" s="373"/>
      <x:c r="X482" s="373"/>
      <x:c r="Y482" s="373"/>
      <x:c r="Z482" s="373"/>
    </x:row>
    <x:row r="483">
      <x:c r="A483" s="373"/>
      <x:c r="B483" s="373"/>
      <x:c r="C483" s="373"/>
      <x:c r="D483" s="373"/>
      <x:c r="E483" s="373"/>
      <x:c r="F483" s="373"/>
      <x:c r="G483" s="373"/>
      <x:c r="H483" s="373"/>
      <x:c r="I483" s="373"/>
      <x:c r="J483" s="373"/>
      <x:c r="K483" s="373"/>
      <x:c r="L483" s="373"/>
      <x:c r="M483" s="373"/>
      <x:c r="N483" s="373"/>
      <x:c r="O483" s="373"/>
      <x:c r="P483" s="373"/>
      <x:c r="Q483" s="373"/>
      <x:c r="R483" s="373"/>
      <x:c r="S483" s="373"/>
      <x:c r="T483" s="373"/>
      <x:c r="U483" s="373"/>
      <x:c r="V483" s="373"/>
      <x:c r="W483" s="373"/>
      <x:c r="X483" s="373"/>
      <x:c r="Y483" s="373"/>
      <x:c r="Z483" s="373"/>
    </x:row>
    <x:row r="484">
      <x:c r="A484" s="373"/>
      <x:c r="B484" s="373"/>
      <x:c r="C484" s="373"/>
      <x:c r="D484" s="373"/>
      <x:c r="E484" s="373"/>
      <x:c r="F484" s="373"/>
      <x:c r="G484" s="373"/>
      <x:c r="H484" s="373"/>
      <x:c r="I484" s="373"/>
      <x:c r="J484" s="373"/>
      <x:c r="K484" s="373"/>
      <x:c r="L484" s="373"/>
      <x:c r="M484" s="373"/>
      <x:c r="N484" s="373"/>
      <x:c r="O484" s="373"/>
      <x:c r="P484" s="373"/>
      <x:c r="Q484" s="373"/>
      <x:c r="R484" s="373"/>
      <x:c r="S484" s="373"/>
      <x:c r="T484" s="373"/>
      <x:c r="U484" s="373"/>
      <x:c r="V484" s="373"/>
      <x:c r="W484" s="373"/>
      <x:c r="X484" s="373"/>
      <x:c r="Y484" s="373"/>
      <x:c r="Z484" s="373"/>
    </x:row>
    <x:row r="485">
      <x:c r="A485" s="373"/>
      <x:c r="B485" s="373"/>
      <x:c r="C485" s="373"/>
      <x:c r="D485" s="373"/>
      <x:c r="E485" s="373"/>
      <x:c r="F485" s="373"/>
      <x:c r="G485" s="373"/>
      <x:c r="H485" s="373"/>
      <x:c r="I485" s="373"/>
      <x:c r="J485" s="373"/>
      <x:c r="K485" s="373"/>
      <x:c r="L485" s="373"/>
      <x:c r="M485" s="373"/>
      <x:c r="N485" s="373"/>
      <x:c r="O485" s="373"/>
      <x:c r="P485" s="373"/>
      <x:c r="Q485" s="373"/>
      <x:c r="R485" s="373"/>
      <x:c r="S485" s="373"/>
      <x:c r="T485" s="373"/>
      <x:c r="U485" s="373"/>
      <x:c r="V485" s="373"/>
      <x:c r="W485" s="373"/>
      <x:c r="X485" s="373"/>
      <x:c r="Y485" s="373"/>
      <x:c r="Z485" s="373"/>
    </x:row>
    <x:row r="486">
      <x:c r="A486" s="373"/>
      <x:c r="B486" s="373"/>
      <x:c r="C486" s="373"/>
      <x:c r="D486" s="373"/>
      <x:c r="E486" s="373"/>
      <x:c r="F486" s="373"/>
      <x:c r="G486" s="373"/>
      <x:c r="H486" s="373"/>
      <x:c r="I486" s="373"/>
      <x:c r="J486" s="373"/>
      <x:c r="K486" s="373"/>
      <x:c r="L486" s="373"/>
      <x:c r="M486" s="373"/>
      <x:c r="N486" s="373"/>
      <x:c r="O486" s="373"/>
      <x:c r="P486" s="373"/>
      <x:c r="Q486" s="373"/>
      <x:c r="R486" s="373"/>
      <x:c r="S486" s="373"/>
      <x:c r="T486" s="373"/>
      <x:c r="U486" s="373"/>
      <x:c r="V486" s="373"/>
      <x:c r="W486" s="373"/>
      <x:c r="X486" s="373"/>
      <x:c r="Y486" s="373"/>
      <x:c r="Z486" s="373"/>
    </x:row>
    <x:row r="487">
      <x:c r="A487" s="373"/>
      <x:c r="B487" s="373"/>
      <x:c r="C487" s="373"/>
      <x:c r="D487" s="373"/>
      <x:c r="E487" s="373"/>
      <x:c r="F487" s="373"/>
      <x:c r="G487" s="373"/>
      <x:c r="H487" s="373"/>
      <x:c r="I487" s="373"/>
      <x:c r="J487" s="373"/>
      <x:c r="K487" s="373"/>
      <x:c r="L487" s="373"/>
      <x:c r="M487" s="373"/>
      <x:c r="N487" s="373"/>
      <x:c r="O487" s="373"/>
      <x:c r="P487" s="373"/>
      <x:c r="Q487" s="373"/>
      <x:c r="R487" s="373"/>
      <x:c r="S487" s="373"/>
      <x:c r="T487" s="373"/>
      <x:c r="U487" s="373"/>
      <x:c r="V487" s="373"/>
      <x:c r="W487" s="373"/>
      <x:c r="X487" s="373"/>
      <x:c r="Y487" s="373"/>
      <x:c r="Z487" s="373"/>
    </x:row>
    <x:row r="488">
      <x:c r="A488" s="373"/>
      <x:c r="B488" s="373"/>
      <x:c r="C488" s="373"/>
      <x:c r="D488" s="373"/>
      <x:c r="E488" s="373"/>
      <x:c r="F488" s="373"/>
      <x:c r="G488" s="373"/>
      <x:c r="H488" s="373"/>
      <x:c r="I488" s="373"/>
      <x:c r="J488" s="373"/>
      <x:c r="K488" s="373"/>
      <x:c r="L488" s="373"/>
      <x:c r="M488" s="373"/>
      <x:c r="N488" s="373"/>
      <x:c r="O488" s="373"/>
      <x:c r="P488" s="373"/>
      <x:c r="Q488" s="373"/>
      <x:c r="R488" s="373"/>
      <x:c r="S488" s="373"/>
      <x:c r="T488" s="373"/>
      <x:c r="U488" s="373"/>
      <x:c r="V488" s="373"/>
      <x:c r="W488" s="373"/>
      <x:c r="X488" s="373"/>
      <x:c r="Y488" s="373"/>
      <x:c r="Z488" s="373"/>
    </x:row>
    <x:row r="489">
      <x:c r="A489" s="373"/>
      <x:c r="B489" s="373"/>
      <x:c r="C489" s="373"/>
      <x:c r="D489" s="373"/>
      <x:c r="E489" s="373"/>
      <x:c r="F489" s="373"/>
      <x:c r="G489" s="373"/>
      <x:c r="H489" s="373"/>
      <x:c r="I489" s="373"/>
      <x:c r="J489" s="373"/>
      <x:c r="K489" s="373"/>
      <x:c r="L489" s="373"/>
      <x:c r="M489" s="373"/>
      <x:c r="N489" s="373"/>
      <x:c r="O489" s="373"/>
      <x:c r="P489" s="373"/>
      <x:c r="Q489" s="373"/>
      <x:c r="R489" s="373"/>
      <x:c r="S489" s="373"/>
      <x:c r="T489" s="373"/>
      <x:c r="U489" s="373"/>
      <x:c r="V489" s="373"/>
      <x:c r="W489" s="373"/>
      <x:c r="X489" s="373"/>
      <x:c r="Y489" s="373"/>
      <x:c r="Z489" s="373"/>
    </x:row>
    <x:row r="490">
      <x:c r="A490" s="373"/>
      <x:c r="B490" s="373"/>
      <x:c r="C490" s="373"/>
      <x:c r="D490" s="373"/>
      <x:c r="E490" s="373"/>
      <x:c r="F490" s="373"/>
      <x:c r="G490" s="373"/>
      <x:c r="H490" s="373"/>
      <x:c r="I490" s="373"/>
      <x:c r="J490" s="373"/>
      <x:c r="K490" s="373"/>
      <x:c r="L490" s="373"/>
      <x:c r="M490" s="373"/>
      <x:c r="N490" s="373"/>
      <x:c r="O490" s="373"/>
      <x:c r="P490" s="373"/>
      <x:c r="Q490" s="373"/>
      <x:c r="R490" s="373"/>
      <x:c r="S490" s="373"/>
      <x:c r="T490" s="373"/>
      <x:c r="U490" s="373"/>
      <x:c r="V490" s="373"/>
      <x:c r="W490" s="373"/>
      <x:c r="X490" s="373"/>
      <x:c r="Y490" s="373"/>
      <x:c r="Z490" s="373"/>
    </x:row>
    <x:row r="491">
      <x:c r="A491" s="373"/>
      <x:c r="B491" s="373"/>
      <x:c r="C491" s="373"/>
      <x:c r="D491" s="373"/>
      <x:c r="E491" s="373"/>
      <x:c r="F491" s="373"/>
      <x:c r="G491" s="373"/>
      <x:c r="H491" s="373"/>
      <x:c r="I491" s="373"/>
      <x:c r="J491" s="373"/>
      <x:c r="K491" s="373"/>
      <x:c r="L491" s="373"/>
      <x:c r="M491" s="373"/>
      <x:c r="N491" s="373"/>
      <x:c r="O491" s="373"/>
      <x:c r="P491" s="373"/>
      <x:c r="Q491" s="373"/>
      <x:c r="R491" s="373"/>
      <x:c r="S491" s="373"/>
      <x:c r="T491" s="373"/>
      <x:c r="U491" s="373"/>
      <x:c r="V491" s="373"/>
      <x:c r="W491" s="373"/>
      <x:c r="X491" s="373"/>
      <x:c r="Y491" s="373"/>
      <x:c r="Z491" s="373"/>
    </x:row>
    <x:row r="492">
      <x:c r="A492" s="373"/>
      <x:c r="B492" s="373"/>
      <x:c r="C492" s="373"/>
      <x:c r="D492" s="373"/>
      <x:c r="E492" s="373"/>
      <x:c r="F492" s="373"/>
      <x:c r="G492" s="373"/>
      <x:c r="H492" s="373"/>
      <x:c r="I492" s="373"/>
      <x:c r="J492" s="373"/>
      <x:c r="K492" s="373"/>
      <x:c r="L492" s="373"/>
      <x:c r="M492" s="373"/>
      <x:c r="N492" s="373"/>
      <x:c r="O492" s="373"/>
      <x:c r="P492" s="373"/>
      <x:c r="Q492" s="373"/>
      <x:c r="R492" s="373"/>
      <x:c r="S492" s="373"/>
      <x:c r="T492" s="373"/>
      <x:c r="U492" s="373"/>
      <x:c r="V492" s="373"/>
      <x:c r="W492" s="373"/>
      <x:c r="X492" s="373"/>
      <x:c r="Y492" s="373"/>
      <x:c r="Z492" s="373"/>
    </x:row>
    <x:row r="493">
      <x:c r="A493" s="373"/>
      <x:c r="B493" s="373"/>
      <x:c r="C493" s="373"/>
      <x:c r="D493" s="373"/>
      <x:c r="E493" s="373"/>
      <x:c r="F493" s="373"/>
      <x:c r="G493" s="373"/>
      <x:c r="H493" s="373"/>
      <x:c r="I493" s="373"/>
      <x:c r="J493" s="373"/>
      <x:c r="K493" s="373"/>
      <x:c r="L493" s="373"/>
      <x:c r="M493" s="373"/>
      <x:c r="N493" s="373"/>
      <x:c r="O493" s="373"/>
      <x:c r="P493" s="373"/>
      <x:c r="Q493" s="373"/>
      <x:c r="R493" s="373"/>
      <x:c r="S493" s="373"/>
      <x:c r="T493" s="373"/>
      <x:c r="U493" s="373"/>
      <x:c r="V493" s="373"/>
      <x:c r="W493" s="373"/>
      <x:c r="X493" s="373"/>
      <x:c r="Y493" s="373"/>
      <x:c r="Z493" s="373"/>
    </x:row>
    <x:row r="494">
      <x:c r="A494" s="373"/>
      <x:c r="B494" s="373"/>
      <x:c r="C494" s="373"/>
      <x:c r="D494" s="373"/>
      <x:c r="E494" s="373"/>
      <x:c r="F494" s="373"/>
      <x:c r="G494" s="373"/>
      <x:c r="H494" s="373"/>
      <x:c r="I494" s="373"/>
      <x:c r="J494" s="373"/>
      <x:c r="K494" s="373"/>
      <x:c r="L494" s="373"/>
      <x:c r="M494" s="373"/>
      <x:c r="N494" s="373"/>
      <x:c r="O494" s="373"/>
      <x:c r="P494" s="373"/>
      <x:c r="Q494" s="373"/>
      <x:c r="R494" s="373"/>
      <x:c r="S494" s="373"/>
      <x:c r="T494" s="373"/>
      <x:c r="U494" s="373"/>
      <x:c r="V494" s="373"/>
      <x:c r="W494" s="373"/>
      <x:c r="X494" s="373"/>
      <x:c r="Y494" s="373"/>
      <x:c r="Z494" s="373"/>
    </x:row>
    <x:row r="495">
      <x:c r="A495" s="373"/>
      <x:c r="B495" s="373"/>
      <x:c r="C495" s="373"/>
      <x:c r="D495" s="373"/>
      <x:c r="E495" s="373"/>
      <x:c r="F495" s="373"/>
      <x:c r="G495" s="373"/>
      <x:c r="H495" s="373"/>
      <x:c r="I495" s="373"/>
      <x:c r="J495" s="373"/>
      <x:c r="K495" s="373"/>
      <x:c r="L495" s="373"/>
      <x:c r="M495" s="373"/>
      <x:c r="N495" s="373"/>
      <x:c r="O495" s="373"/>
      <x:c r="P495" s="373"/>
      <x:c r="Q495" s="373"/>
      <x:c r="R495" s="373"/>
      <x:c r="S495" s="373"/>
      <x:c r="T495" s="373"/>
      <x:c r="U495" s="373"/>
      <x:c r="V495" s="373"/>
      <x:c r="W495" s="373"/>
      <x:c r="X495" s="373"/>
      <x:c r="Y495" s="373"/>
      <x:c r="Z495" s="373"/>
    </x:row>
    <x:row r="496">
      <x:c r="A496" s="373"/>
      <x:c r="B496" s="373"/>
      <x:c r="C496" s="373"/>
      <x:c r="D496" s="373"/>
      <x:c r="E496" s="373"/>
      <x:c r="F496" s="373"/>
      <x:c r="G496" s="373"/>
      <x:c r="H496" s="373"/>
      <x:c r="I496" s="373"/>
      <x:c r="J496" s="373"/>
      <x:c r="K496" s="373"/>
      <x:c r="L496" s="373"/>
      <x:c r="M496" s="373"/>
      <x:c r="N496" s="373"/>
      <x:c r="O496" s="373"/>
      <x:c r="P496" s="373"/>
      <x:c r="Q496" s="373"/>
      <x:c r="R496" s="373"/>
      <x:c r="S496" s="373"/>
      <x:c r="T496" s="373"/>
      <x:c r="U496" s="373"/>
      <x:c r="V496" s="373"/>
      <x:c r="W496" s="373"/>
      <x:c r="X496" s="373"/>
      <x:c r="Y496" s="373"/>
      <x:c r="Z496" s="373"/>
    </x:row>
    <x:row r="497">
      <x:c r="A497" s="373"/>
      <x:c r="B497" s="373"/>
      <x:c r="C497" s="373"/>
      <x:c r="D497" s="373"/>
      <x:c r="E497" s="373"/>
      <x:c r="F497" s="373"/>
      <x:c r="G497" s="373"/>
      <x:c r="H497" s="373"/>
      <x:c r="I497" s="373"/>
      <x:c r="J497" s="373"/>
      <x:c r="K497" s="373"/>
      <x:c r="L497" s="373"/>
      <x:c r="M497" s="373"/>
      <x:c r="N497" s="373"/>
      <x:c r="O497" s="373"/>
      <x:c r="P497" s="373"/>
      <x:c r="Q497" s="373"/>
      <x:c r="R497" s="373"/>
      <x:c r="S497" s="373"/>
      <x:c r="T497" s="373"/>
      <x:c r="U497" s="373"/>
      <x:c r="V497" s="373"/>
      <x:c r="W497" s="373"/>
      <x:c r="X497" s="373"/>
      <x:c r="Y497" s="373"/>
      <x:c r="Z497" s="373"/>
    </x:row>
    <x:row r="498">
      <x:c r="A498" s="373"/>
      <x:c r="B498" s="373"/>
      <x:c r="C498" s="373"/>
      <x:c r="D498" s="373"/>
      <x:c r="E498" s="373"/>
      <x:c r="F498" s="373"/>
      <x:c r="G498" s="373"/>
      <x:c r="H498" s="373"/>
      <x:c r="I498" s="373"/>
      <x:c r="J498" s="373"/>
      <x:c r="K498" s="373"/>
      <x:c r="L498" s="373"/>
      <x:c r="M498" s="373"/>
      <x:c r="N498" s="373"/>
      <x:c r="O498" s="373"/>
      <x:c r="P498" s="373"/>
      <x:c r="Q498" s="373"/>
      <x:c r="R498" s="373"/>
      <x:c r="S498" s="373"/>
      <x:c r="T498" s="373"/>
      <x:c r="U498" s="373"/>
      <x:c r="V498" s="373"/>
      <x:c r="W498" s="373"/>
      <x:c r="X498" s="373"/>
      <x:c r="Y498" s="373"/>
      <x:c r="Z498" s="373"/>
    </x:row>
    <x:row r="499">
      <x:c r="A499" s="373"/>
      <x:c r="B499" s="373"/>
      <x:c r="C499" s="373"/>
      <x:c r="D499" s="373"/>
      <x:c r="E499" s="373"/>
      <x:c r="F499" s="373"/>
      <x:c r="G499" s="373"/>
      <x:c r="H499" s="373"/>
      <x:c r="I499" s="373"/>
      <x:c r="J499" s="373"/>
      <x:c r="K499" s="373"/>
      <x:c r="L499" s="373"/>
      <x:c r="M499" s="373"/>
      <x:c r="N499" s="373"/>
      <x:c r="O499" s="373"/>
      <x:c r="P499" s="373"/>
      <x:c r="Q499" s="373"/>
      <x:c r="R499" s="373"/>
      <x:c r="S499" s="373"/>
      <x:c r="T499" s="373"/>
      <x:c r="U499" s="373"/>
      <x:c r="V499" s="373"/>
      <x:c r="W499" s="373"/>
      <x:c r="X499" s="373"/>
      <x:c r="Y499" s="373"/>
      <x:c r="Z499" s="373"/>
    </x:row>
    <x:row r="500">
      <x:c r="A500" s="373"/>
      <x:c r="B500" s="373"/>
      <x:c r="C500" s="373"/>
      <x:c r="D500" s="373"/>
      <x:c r="E500" s="373"/>
      <x:c r="F500" s="373"/>
      <x:c r="G500" s="373"/>
      <x:c r="H500" s="373"/>
      <x:c r="I500" s="373"/>
      <x:c r="J500" s="373"/>
      <x:c r="K500" s="373"/>
      <x:c r="L500" s="373"/>
      <x:c r="M500" s="373"/>
      <x:c r="N500" s="373"/>
      <x:c r="O500" s="373"/>
      <x:c r="P500" s="373"/>
      <x:c r="Q500" s="373"/>
      <x:c r="R500" s="373"/>
      <x:c r="S500" s="373"/>
      <x:c r="T500" s="373"/>
      <x:c r="U500" s="373"/>
      <x:c r="V500" s="373"/>
      <x:c r="W500" s="373"/>
      <x:c r="X500" s="373"/>
      <x:c r="Y500" s="373"/>
      <x:c r="Z500" s="373"/>
    </x:row>
  </x:sheetData>
  <x:mergeCells>
    <x:mergeCell ref="A1:R1"/>
    <x:mergeCell ref="A2:R2"/>
  </x:mergeCells>
  <x:conditionalFormatting sqref="I5:I304">
    <x:cfRule type="expression" dxfId="24" priority="1">
      <x:formula>I5="Done"</x:formula>
    </x:cfRule>
    <x:cfRule type="expression" dxfId="25" priority="2">
      <x:formula>I5="Passed"</x:formula>
    </x:cfRule>
    <x:cfRule type="expression" dxfId="26" priority="3">
      <x:formula>I5="In Progress"</x:formula>
    </x:cfRule>
    <x:cfRule type="expression" dxfId="27" priority="4">
      <x:formula>I5="In Review"</x:formula>
    </x:cfRule>
    <x:cfRule type="expression" dxfId="28" priority="5">
      <x:formula>I5="Blocked"</x:formula>
    </x:cfRule>
    <x:cfRule type="expression" dxfId="29" priority="6">
      <x:formula>I5="Failed"</x:formula>
    </x:cfRule>
    <x:cfRule type="expression" dxfId="30" priority="7">
      <x:formula>I5="Not Run"</x:formula>
    </x:cfRule>
    <x:cfRule type="expression" dxfId="31" priority="8">
      <x:formula>I5="Backlog"</x:formula>
    </x:cfRule>
  </x:conditionalFormatting>
  <x:dataValidations count="1">
    <x:dataValidation type="list" sqref="I5:I304">
      <x:formula1>"Passed,Failed,Blocked,Skipped"</x:formula1>
    </x:dataValidation>
  </x:dataValidations>
  <x:pageMargins left="0.7" right="0.7" top="0.75" bottom="0.75" header="0.3" footer="0.3"/>
  <x:tableParts count="1">
    <x:tablePart xmlns:r="http://schemas.openxmlformats.org/officeDocument/2006/relationships" r:id="Rcbafa475e78344b0"/>
  </x:tableParts>
</x:worksheet>
</file>

<file path=xl/worksheets/sheet7.xml><?xml version="1.0" encoding="utf-8"?>
<x:worksheet xmlns:x="http://schemas.openxmlformats.org/spreadsheetml/2006/main">
  <x:sheetFormatPr defaultRowHeight="15"/>
  <x:cols>
    <x:col min="1" max="1" width="12" hidden="0" customWidth="1"/>
    <x:col min="2" max="2" width="10" hidden="0" customWidth="1"/>
    <x:col min="3" max="3" width="10" hidden="0" customWidth="1"/>
    <x:col min="4" max="4" width="18" hidden="0" customWidth="1"/>
    <x:col min="5" max="5" width="14" hidden="0" customWidth="1"/>
    <x:col min="6" max="6" width="38" hidden="0" customWidth="1"/>
    <x:col min="7" max="7" width="48" hidden="0" customWidth="1"/>
    <x:col min="8" max="8" width="42" hidden="0" customWidth="1"/>
    <x:col min="9" max="9" width="40" hidden="0" customWidth="1"/>
    <x:col min="10" max="10" width="16" hidden="0" customWidth="1"/>
    <x:col min="11" max="11" width="14" hidden="0" customWidth="1"/>
    <x:col min="12" max="12" width="12" hidden="0" customWidth="1"/>
    <x:col min="13" max="13" width="12" hidden="0" customWidth="1"/>
    <x:col min="14" max="14" width="12" hidden="0" customWidth="1"/>
    <x:col min="15" max="15" width="12" hidden="0" customWidth="1"/>
    <x:col min="16" max="16" width="30" hidden="0" customWidth="1"/>
    <x:col min="17" max="17" width="18" hidden="0" customWidth="1"/>
  </x:cols>
  <x:sheetData>
    <x:row r="1" ht="32" customHeight="1">
      <x:c r="A1" s="486" t="str">
        <x:v>Defect &amp; Root-Cause Tracker</x:v>
      </x:c>
      <x:c r="B1" s="486"/>
      <x:c r="C1" s="486"/>
      <x:c r="D1" s="486"/>
      <x:c r="E1" s="486"/>
      <x:c r="F1" s="486"/>
      <x:c r="G1" s="486"/>
      <x:c r="H1" s="486"/>
      <x:c r="I1" s="486"/>
      <x:c r="J1" s="486"/>
      <x:c r="K1" s="486"/>
      <x:c r="L1" s="486"/>
      <x:c r="M1" s="486"/>
      <x:c r="N1" s="486"/>
      <x:c r="O1" s="486"/>
      <x:c r="P1" s="486"/>
      <x:c r="Q1" s="486"/>
      <x:c r="R1" s="373"/>
      <x:c r="S1" s="373"/>
      <x:c r="T1" s="373"/>
      <x:c r="U1" s="373"/>
      <x:c r="V1" s="373"/>
      <x:c r="W1" s="373"/>
      <x:c r="X1" s="373"/>
      <x:c r="Y1" s="373"/>
      <x:c r="Z1" s="373"/>
    </x:row>
    <x:row r="2" ht="22" customHeight="1">
      <x:c r="A2" s="374" t="str">
        <x:v>Track every meaningful failure from reproduction through root cause, fix, verification, and closure.</x:v>
      </x:c>
      <x:c r="B2" s="374"/>
      <x:c r="C2" s="374"/>
      <x:c r="D2" s="374"/>
      <x:c r="E2" s="374"/>
      <x:c r="F2" s="374"/>
      <x:c r="G2" s="374"/>
      <x:c r="H2" s="374"/>
      <x:c r="I2" s="374"/>
      <x:c r="J2" s="374"/>
      <x:c r="K2" s="374"/>
      <x:c r="L2" s="374"/>
      <x:c r="M2" s="374"/>
      <x:c r="N2" s="374"/>
      <x:c r="O2" s="374"/>
      <x:c r="P2" s="374"/>
      <x:c r="Q2" s="374"/>
      <x:c r="R2" s="373"/>
      <x:c r="S2" s="373"/>
      <x:c r="T2" s="373"/>
      <x:c r="U2" s="373"/>
      <x:c r="V2" s="373"/>
      <x:c r="W2" s="373"/>
      <x:c r="X2" s="373"/>
      <x:c r="Y2" s="373"/>
      <x:c r="Z2" s="373"/>
    </x:row>
    <x:row r="3">
      <x:c r="A3" s="373"/>
      <x:c r="B3" s="373"/>
      <x:c r="C3" s="373"/>
      <x:c r="D3" s="373"/>
      <x:c r="E3" s="373"/>
      <x:c r="F3" s="373"/>
      <x:c r="G3" s="373"/>
      <x:c r="H3" s="373"/>
      <x:c r="I3" s="373"/>
      <x:c r="J3" s="373"/>
      <x:c r="K3" s="373"/>
      <x:c r="L3" s="373"/>
      <x:c r="M3" s="373"/>
      <x:c r="N3" s="373"/>
      <x:c r="O3" s="373"/>
      <x:c r="P3" s="373"/>
      <x:c r="Q3" s="373"/>
      <x:c r="R3" s="373"/>
      <x:c r="S3" s="373"/>
      <x:c r="T3" s="373"/>
      <x:c r="U3" s="373"/>
      <x:c r="V3" s="373"/>
      <x:c r="W3" s="373"/>
      <x:c r="X3" s="373"/>
      <x:c r="Y3" s="373"/>
      <x:c r="Z3" s="373"/>
    </x:row>
    <x:row r="4">
      <x:c r="A4" s="409" t="str">
        <x:v>Defect ID</x:v>
      </x:c>
      <x:c r="B4" s="413" t="str">
        <x:v>Release</x:v>
      </x:c>
      <x:c r="C4" s="413" t="str">
        <x:v>Severity</x:v>
      </x:c>
      <x:c r="D4" s="413" t="str">
        <x:v>Component</x:v>
      </x:c>
      <x:c r="E4" s="413" t="str">
        <x:v>Feature ID</x:v>
      </x:c>
      <x:c r="F4" s="413" t="str">
        <x:v>Title</x:v>
      </x:c>
      <x:c r="G4" s="413" t="str">
        <x:v>Description</x:v>
      </x:c>
      <x:c r="H4" s="413" t="str">
        <x:v>Reproduction</x:v>
      </x:c>
      <x:c r="I4" s="413" t="str">
        <x:v>Root Cause</x:v>
      </x:c>
      <x:c r="J4" s="413" t="str">
        <x:v>Fix Commit</x:v>
      </x:c>
      <x:c r="K4" s="413" t="str">
        <x:v>Status</x:v>
      </x:c>
      <x:c r="L4" s="413" t="str">
        <x:v>Opened</x:v>
      </x:c>
      <x:c r="M4" s="413" t="str">
        <x:v>Closed</x:v>
      </x:c>
      <x:c r="N4" s="413" t="str">
        <x:v>Owner</x:v>
      </x:c>
      <x:c r="O4" s="413" t="str">
        <x:v>Test ID</x:v>
      </x:c>
      <x:c r="P4" s="413" t="str">
        <x:v>Notes</x:v>
      </x:c>
      <x:c r="Q4" s="410" t="str">
        <x:v>JS Key</x:v>
      </x:c>
      <x:c r="R4" s="373"/>
      <x:c r="S4" s="373"/>
      <x:c r="T4" s="373"/>
      <x:c r="U4" s="373"/>
      <x:c r="V4" s="373"/>
      <x:c r="W4" s="373"/>
      <x:c r="X4" s="373"/>
      <x:c r="Y4" s="373"/>
      <x:c r="Z4" s="373"/>
    </x:row>
    <x:row r="5">
      <x:c r="A5" s="411" t="str">
        <x:v>DEF-001</x:v>
      </x:c>
      <x:c r="B5" s="411" t="str">
        <x:v>v0.1.1</x:v>
      </x:c>
      <x:c r="C5" s="488" t="str">
        <x:v>High</x:v>
      </x:c>
      <x:c r="D5" s="411" t="str">
        <x:v>Runtime</x:v>
      </x:c>
      <x:c r="E5" s="411" t="str">
        <x:v>F-RUN-002</x:v>
      </x:c>
      <x:c r="F5" s="411" t="str">
        <x:v>Duplicate Gazebo instances after incomplete cleanup</x:v>
      </x:c>
      <x:c r="G5" s="411" t="str">
        <x:v>A failed or interrupted launch may leave an instance that allows another launch.</x:v>
      </x:c>
      <x:c r="H5" s="411" t="str">
        <x:v>Interrupt launch or shutdown, then request another simulation start.</x:v>
      </x:c>
      <x:c r="I5" s="411" t="str">
        <x:v>Process ownership and cleanup are not centralized.</x:v>
      </x:c>
      <x:c r="J5" s="411" t="str"/>
      <x:c r="K5" s="488" t="str">
        <x:v>Open</x:v>
      </x:c>
      <x:c r="L5" s="460" t="n">
        <x:v>46239</x:v>
      </x:c>
      <x:c r="M5" s="460"/>
      <x:c r="N5" s="411" t="str">
        <x:v>Devansh</x:v>
      </x:c>
      <x:c r="O5" s="411" t="str">
        <x:v>TC-0002</x:v>
      </x:c>
      <x:c r="P5" s="411" t="str">
        <x:v>Initial Release 2 blocker.</x:v>
      </x:c>
      <x:c r="Q5" s="411" t="str">
        <x:v>def_001</x:v>
      </x:c>
      <x:c r="R5" s="373"/>
      <x:c r="S5" s="373"/>
      <x:c r="T5" s="373"/>
      <x:c r="U5" s="373"/>
      <x:c r="V5" s="373"/>
      <x:c r="W5" s="373"/>
      <x:c r="X5" s="373"/>
      <x:c r="Y5" s="373"/>
      <x:c r="Z5" s="373"/>
    </x:row>
    <x:row r="6">
      <x:c r="A6" s="411" t="str">
        <x:v>DEF-002</x:v>
      </x:c>
      <x:c r="B6" s="411" t="str">
        <x:v>v0.1.3</x:v>
      </x:c>
      <x:c r="C6" s="488" t="str">
        <x:v>Critical</x:v>
      </x:c>
      <x:c r="D6" s="411" t="str">
        <x:v>Orchestration</x:v>
      </x:c>
      <x:c r="E6" s="411" t="str">
        <x:v>F-READY-010</x:v>
      </x:c>
      <x:c r="F6" s="411" t="str">
        <x:v>Fixed-delay sequencing can assume readiness prematurely</x:v>
      </x:c>
      <x:c r="G6" s="411" t="str">
        <x:v>TimerAction/fixed waits can progress when services, actions, controllers, or topics are not actually ready.</x:v>
      </x:c>
      <x:c r="H6" s="411" t="str">
        <x:v>Slow one dependency and observe subsequent components starting after the timer.</x:v>
      </x:c>
      <x:c r="I6" s="411" t="str">
        <x:v>Readiness is inferred from elapsed time rather than explicit evidence.</x:v>
      </x:c>
      <x:c r="J6" s="411" t="str"/>
      <x:c r="K6" s="488" t="str">
        <x:v>Open</x:v>
      </x:c>
      <x:c r="L6" s="460" t="n">
        <x:v>46239</x:v>
      </x:c>
      <x:c r="M6" s="460"/>
      <x:c r="N6" s="411" t="str">
        <x:v>Devansh</x:v>
      </x:c>
      <x:c r="O6" s="411" t="str"/>
      <x:c r="P6" s="411" t="str">
        <x:v>Replace with readiness contracts.</x:v>
      </x:c>
      <x:c r="Q6" s="411" t="str">
        <x:v>def_002</x:v>
      </x:c>
      <x:c r="R6" s="373"/>
      <x:c r="S6" s="373"/>
      <x:c r="T6" s="373"/>
      <x:c r="U6" s="373"/>
      <x:c r="V6" s="373"/>
      <x:c r="W6" s="373"/>
      <x:c r="X6" s="373"/>
      <x:c r="Y6" s="373"/>
      <x:c r="Z6" s="373"/>
    </x:row>
    <x:row r="7">
      <x:c r="A7" s="411" t="str">
        <x:v>DEF-003</x:v>
      </x:c>
      <x:c r="B7" s="411" t="str">
        <x:v>v0.1.5</x:v>
      </x:c>
      <x:c r="C7" s="488" t="str">
        <x:v>High</x:v>
      </x:c>
      <x:c r="D7" s="411" t="str">
        <x:v>TF</x:v>
      </x:c>
      <x:c r="E7" s="411" t="str">
        <x:v>F-TF-001</x:v>
      </x:c>
      <x:c r="F7" s="411" t="str">
        <x:v>TF ownership becomes ambiguous when EKF is introduced</x:v>
      </x:c>
      <x:c r="G7" s="411" t="str">
        <x:v>Controller and EKF may both publish odom to base_link unless ownership is changed.</x:v>
      </x:c>
      <x:c r="H7" s="411" t="str">
        <x:v>Enable EKF without disabling the existing TF publisher.</x:v>
      </x:c>
      <x:c r="I7" s="411" t="str">
        <x:v>No formal TF ownership registry or duplicate-authority test.</x:v>
      </x:c>
      <x:c r="J7" s="411" t="str"/>
      <x:c r="K7" s="488" t="str">
        <x:v>Open</x:v>
      </x:c>
      <x:c r="L7" s="460" t="n">
        <x:v>46239</x:v>
      </x:c>
      <x:c r="M7" s="460"/>
      <x:c r="N7" s="411" t="str">
        <x:v>Devansh</x:v>
      </x:c>
      <x:c r="O7" s="411" t="str"/>
      <x:c r="P7" s="411" t="str">
        <x:v>Must close before v0.1.6.</x:v>
      </x:c>
      <x:c r="Q7" s="411" t="str">
        <x:v>def_003</x:v>
      </x:c>
      <x:c r="R7" s="373"/>
      <x:c r="S7" s="373"/>
      <x:c r="T7" s="373"/>
      <x:c r="U7" s="373"/>
      <x:c r="V7" s="373"/>
      <x:c r="W7" s="373"/>
      <x:c r="X7" s="373"/>
      <x:c r="Y7" s="373"/>
      <x:c r="Z7" s="373"/>
    </x:row>
    <x:row r="8">
      <x:c r="A8" s="411" t="str">
        <x:v>DEF-004</x:v>
      </x:c>
      <x:c r="B8" s="411" t="str">
        <x:v>v0.1.8</x:v>
      </x:c>
      <x:c r="C8" s="488" t="str">
        <x:v>Medium</x:v>
      </x:c>
      <x:c r="D8" s="411" t="str">
        <x:v>SLAM</x:v>
      </x:c>
      <x:c r="E8" s="411" t="str">
        <x:v>F-SLAM-001</x:v>
      </x:c>
      <x:c r="F8" s="411" t="str">
        <x:v>Mapping quality lacks a controlled benchmark</x:v>
      </x:c>
      <x:c r="G8" s="411" t="str">
        <x:v>Maps are judged visually and are not compared against repeatable metrics.</x:v>
      </x:c>
      <x:c r="H8" s="411" t="str">
        <x:v>Repeat mapping runs and compare by inspection only.</x:v>
      </x:c>
      <x:c r="I8" s="411" t="str">
        <x:v>No fixed trajectory, seed, map metric set, or experiment log.</x:v>
      </x:c>
      <x:c r="J8" s="411" t="str"/>
      <x:c r="K8" s="488" t="str">
        <x:v>Open</x:v>
      </x:c>
      <x:c r="L8" s="460" t="n">
        <x:v>46239</x:v>
      </x:c>
      <x:c r="M8" s="460"/>
      <x:c r="N8" s="411" t="str">
        <x:v>Devansh</x:v>
      </x:c>
      <x:c r="O8" s="411" t="str"/>
      <x:c r="P8" s="411" t="str">
        <x:v>Evidence gap.</x:v>
      </x:c>
      <x:c r="Q8" s="411" t="str">
        <x:v>def_004</x:v>
      </x:c>
      <x:c r="R8" s="373"/>
      <x:c r="S8" s="373"/>
      <x:c r="T8" s="373"/>
      <x:c r="U8" s="373"/>
      <x:c r="V8" s="373"/>
      <x:c r="W8" s="373"/>
      <x:c r="X8" s="373"/>
      <x:c r="Y8" s="373"/>
      <x:c r="Z8" s="373"/>
    </x:row>
    <x:row r="9">
      <x:c r="A9" s="411" t="str">
        <x:v>DEF-005</x:v>
      </x:c>
      <x:c r="B9" s="411" t="str">
        <x:v>v0.1.9</x:v>
      </x:c>
      <x:c r="C9" s="488" t="str">
        <x:v>High</x:v>
      </x:c>
      <x:c r="D9" s="411" t="str">
        <x:v>Localization</x:v>
      </x:c>
      <x:c r="E9" s="411" t="str">
        <x:v>F-AMCL-004</x:v>
      </x:c>
      <x:c r="F9" s="411" t="str">
        <x:v>AMCL availability is not equivalent to healthy localization</x:v>
      </x:c>
      <x:c r="G9" s="411" t="str">
        <x:v>A running process can still have stale pose, high covariance, or incorrect localization.</x:v>
      </x:c>
      <x:c r="H9" s="411" t="str">
        <x:v>Run AMCL with degraded input and observe process remains present.</x:v>
      </x:c>
      <x:c r="I9" s="411" t="str">
        <x:v>No quantitative localization health contract.</x:v>
      </x:c>
      <x:c r="J9" s="411" t="str"/>
      <x:c r="K9" s="488" t="str">
        <x:v>Open</x:v>
      </x:c>
      <x:c r="L9" s="460" t="n">
        <x:v>46239</x:v>
      </x:c>
      <x:c r="M9" s="460"/>
      <x:c r="N9" s="411" t="str">
        <x:v>Devansh</x:v>
      </x:c>
      <x:c r="O9" s="411" t="str"/>
      <x:c r="P9" s="411" t="str">
        <x:v>Readiness blocker.</x:v>
      </x:c>
      <x:c r="Q9" s="411" t="str">
        <x:v>def_005</x:v>
      </x:c>
      <x:c r="R9" s="373"/>
      <x:c r="S9" s="373"/>
      <x:c r="T9" s="373"/>
      <x:c r="U9" s="373"/>
      <x:c r="V9" s="373"/>
      <x:c r="W9" s="373"/>
      <x:c r="X9" s="373"/>
      <x:c r="Y9" s="373"/>
      <x:c r="Z9" s="373"/>
    </x:row>
    <x:row r="10">
      <x:c r="A10" s="411" t="str">
        <x:v>DEF-006</x:v>
      </x:c>
      <x:c r="B10" s="411" t="str">
        <x:v>v0.2.2</x:v>
      </x:c>
      <x:c r="C10" s="488" t="str">
        <x:v>High</x:v>
      </x:c>
      <x:c r="D10" s="411" t="str">
        <x:v>Verification</x:v>
      </x:c>
      <x:c r="E10" s="411" t="str">
        <x:v>F-SCEN-002</x:v>
      </x:c>
      <x:c r="F10" s="411" t="str">
        <x:v>No complete automated scenario runner</x:v>
      </x:c>
      <x:c r="G10" s="411" t="str">
        <x:v>Many workflows still depend on manual dashboard or terminal actions.</x:v>
      </x:c>
      <x:c r="H10" s="411" t="str">
        <x:v>Attempt repeated scenario execution without manual intervention.</x:v>
      </x:c>
      <x:c r="I10" s="411" t="str">
        <x:v>Launch, behavior, recording, analysis, and cleanup are not unified.</x:v>
      </x:c>
      <x:c r="J10" s="411" t="str"/>
      <x:c r="K10" s="488" t="str">
        <x:v>Open</x:v>
      </x:c>
      <x:c r="L10" s="460" t="n">
        <x:v>46239</x:v>
      </x:c>
      <x:c r="M10" s="460"/>
      <x:c r="N10" s="411" t="str">
        <x:v>Devansh</x:v>
      </x:c>
      <x:c r="O10" s="411" t="str"/>
      <x:c r="P10" s="411" t="str">
        <x:v>v0.3.0 prerequisite.</x:v>
      </x:c>
      <x:c r="Q10" s="411" t="str">
        <x:v>def_006</x:v>
      </x:c>
      <x:c r="R10" s="373"/>
      <x:c r="S10" s="373"/>
      <x:c r="T10" s="373"/>
      <x:c r="U10" s="373"/>
      <x:c r="V10" s="373"/>
      <x:c r="W10" s="373"/>
      <x:c r="X10" s="373"/>
      <x:c r="Y10" s="373"/>
      <x:c r="Z10" s="373"/>
    </x:row>
    <x:row r="11">
      <x:c r="A11" s="412" t="str">
        <x:v>DEF-007</x:v>
      </x:c>
      <x:c r="B11" s="412" t="str">
        <x:v>v0.2.7</x:v>
      </x:c>
      <x:c r="C11" s="489" t="str">
        <x:v>Medium</x:v>
      </x:c>
      <x:c r="D11" s="412" t="str">
        <x:v>Analytics</x:v>
      </x:c>
      <x:c r="E11" s="412" t="str">
        <x:v>F-DASH-001</x:v>
      </x:c>
      <x:c r="F11" s="412" t="str">
        <x:v>No integrated verification analytics dashboard</x:v>
      </x:c>
      <x:c r="G11" s="412" t="str">
        <x:v>Progress and result evidence are not yet visible through one analytical view.</x:v>
      </x:c>
      <x:c r="H11" s="412" t="str">
        <x:v>Review current project evidence across files and terminals.</x:v>
      </x:c>
      <x:c r="I11" s="412" t="str">
        <x:v>No unified data contract, metrics store, or dashboard implementation.</x:v>
      </x:c>
      <x:c r="J11" s="412" t="str"/>
      <x:c r="K11" s="489" t="str">
        <x:v>Open</x:v>
      </x:c>
      <x:c r="L11" s="461" t="n">
        <x:v>46239</x:v>
      </x:c>
      <x:c r="M11" s="461"/>
      <x:c r="N11" s="412" t="str">
        <x:v>Devansh</x:v>
      </x:c>
      <x:c r="O11" s="412" t="str"/>
      <x:c r="P11" s="412" t="str">
        <x:v>Workbook begins this foundation.</x:v>
      </x:c>
      <x:c r="Q11" s="412" t="str">
        <x:v>def_007</x:v>
      </x:c>
      <x:c r="R11" s="373"/>
      <x:c r="S11" s="373"/>
      <x:c r="T11" s="373"/>
      <x:c r="U11" s="373"/>
      <x:c r="V11" s="373"/>
      <x:c r="W11" s="373"/>
      <x:c r="X11" s="373"/>
      <x:c r="Y11" s="373"/>
      <x:c r="Z11" s="373"/>
    </x:row>
    <x:row r="12">
      <x:c r="A12" s="373"/>
      <x:c r="B12" s="373"/>
      <x:c r="C12" s="373"/>
      <x:c r="D12" s="373"/>
      <x:c r="E12" s="373"/>
      <x:c r="F12" s="373"/>
      <x:c r="G12" s="373"/>
      <x:c r="H12" s="373"/>
      <x:c r="I12" s="373"/>
      <x:c r="J12" s="373"/>
      <x:c r="K12" s="373"/>
      <x:c r="L12" s="373"/>
      <x:c r="M12" s="373"/>
      <x:c r="N12" s="373"/>
      <x:c r="O12" s="373"/>
      <x:c r="P12" s="373"/>
      <x:c r="Q12" s="373"/>
      <x:c r="R12" s="373"/>
      <x:c r="S12" s="373"/>
      <x:c r="T12" s="373"/>
      <x:c r="U12" s="373"/>
      <x:c r="V12" s="373"/>
      <x:c r="W12" s="373"/>
      <x:c r="X12" s="373"/>
      <x:c r="Y12" s="373"/>
      <x:c r="Z12" s="373"/>
    </x:row>
    <x:row r="13">
      <x:c r="A13" s="373"/>
      <x:c r="B13" s="373"/>
      <x:c r="C13" s="373"/>
      <x:c r="D13" s="373"/>
      <x:c r="E13" s="373"/>
      <x:c r="F13" s="373"/>
      <x:c r="G13" s="373"/>
      <x:c r="H13" s="373"/>
      <x:c r="I13" s="373"/>
      <x:c r="J13" s="373"/>
      <x:c r="K13" s="373"/>
      <x:c r="L13" s="373"/>
      <x:c r="M13" s="373"/>
      <x:c r="N13" s="373"/>
      <x:c r="O13" s="373"/>
      <x:c r="P13" s="373"/>
      <x:c r="Q13" s="373"/>
      <x:c r="R13" s="373"/>
      <x:c r="S13" s="373"/>
      <x:c r="T13" s="373"/>
      <x:c r="U13" s="373"/>
      <x:c r="V13" s="373"/>
      <x:c r="W13" s="373"/>
      <x:c r="X13" s="373"/>
      <x:c r="Y13" s="373"/>
      <x:c r="Z13" s="373"/>
    </x:row>
    <x:row r="14">
      <x:c r="A14" s="373"/>
      <x:c r="B14" s="373"/>
      <x:c r="C14" s="373"/>
      <x:c r="D14" s="373"/>
      <x:c r="E14" s="373"/>
      <x:c r="F14" s="373"/>
      <x:c r="G14" s="373"/>
      <x:c r="H14" s="373"/>
      <x:c r="I14" s="373"/>
      <x:c r="J14" s="373"/>
      <x:c r="K14" s="373"/>
      <x:c r="L14" s="373"/>
      <x:c r="M14" s="373"/>
      <x:c r="N14" s="373"/>
      <x:c r="O14" s="373"/>
      <x:c r="P14" s="373"/>
      <x:c r="Q14" s="373"/>
      <x:c r="R14" s="373"/>
      <x:c r="S14" s="373"/>
      <x:c r="T14" s="373"/>
      <x:c r="U14" s="373"/>
      <x:c r="V14" s="373"/>
      <x:c r="W14" s="373"/>
      <x:c r="X14" s="373"/>
      <x:c r="Y14" s="373"/>
      <x:c r="Z14" s="373"/>
    </x:row>
    <x:row r="15">
      <x:c r="A15" s="373"/>
      <x:c r="B15" s="373"/>
      <x:c r="C15" s="373"/>
      <x:c r="D15" s="373"/>
      <x:c r="E15" s="373"/>
      <x:c r="F15" s="373"/>
      <x:c r="G15" s="373"/>
      <x:c r="H15" s="373"/>
      <x:c r="I15" s="373"/>
      <x:c r="J15" s="373"/>
      <x:c r="K15" s="373"/>
      <x:c r="L15" s="373"/>
      <x:c r="M15" s="373"/>
      <x:c r="N15" s="373"/>
      <x:c r="O15" s="373"/>
      <x:c r="P15" s="373"/>
      <x:c r="Q15" s="373"/>
      <x:c r="R15" s="373"/>
      <x:c r="S15" s="373"/>
      <x:c r="T15" s="373"/>
      <x:c r="U15" s="373"/>
      <x:c r="V15" s="373"/>
      <x:c r="W15" s="373"/>
      <x:c r="X15" s="373"/>
      <x:c r="Y15" s="373"/>
      <x:c r="Z15" s="373"/>
    </x:row>
    <x:row r="16">
      <x:c r="A16" s="373"/>
      <x:c r="B16" s="373"/>
      <x:c r="C16" s="373"/>
      <x:c r="D16" s="373"/>
      <x:c r="E16" s="373"/>
      <x:c r="F16" s="373"/>
      <x:c r="G16" s="373"/>
      <x:c r="H16" s="373"/>
      <x:c r="I16" s="373"/>
      <x:c r="J16" s="373"/>
      <x:c r="K16" s="373"/>
      <x:c r="L16" s="373"/>
      <x:c r="M16" s="373"/>
      <x:c r="N16" s="373"/>
      <x:c r="O16" s="373"/>
      <x:c r="P16" s="373"/>
      <x:c r="Q16" s="373"/>
      <x:c r="R16" s="373"/>
      <x:c r="S16" s="373"/>
      <x:c r="T16" s="373"/>
      <x:c r="U16" s="373"/>
      <x:c r="V16" s="373"/>
      <x:c r="W16" s="373"/>
      <x:c r="X16" s="373"/>
      <x:c r="Y16" s="373"/>
      <x:c r="Z16" s="373"/>
    </x:row>
    <x:row r="17">
      <x:c r="A17" s="373"/>
      <x:c r="B17" s="373"/>
      <x:c r="C17" s="373"/>
      <x:c r="D17" s="373"/>
      <x:c r="E17" s="373"/>
      <x:c r="F17" s="373"/>
      <x:c r="G17" s="373"/>
      <x:c r="H17" s="373"/>
      <x:c r="I17" s="373"/>
      <x:c r="J17" s="373"/>
      <x:c r="K17" s="373"/>
      <x:c r="L17" s="373"/>
      <x:c r="M17" s="373"/>
      <x:c r="N17" s="373"/>
      <x:c r="O17" s="373"/>
      <x:c r="P17" s="373"/>
      <x:c r="Q17" s="373"/>
      <x:c r="R17" s="373"/>
      <x:c r="S17" s="373"/>
      <x:c r="T17" s="373"/>
      <x:c r="U17" s="373"/>
      <x:c r="V17" s="373"/>
      <x:c r="W17" s="373"/>
      <x:c r="X17" s="373"/>
      <x:c r="Y17" s="373"/>
      <x:c r="Z17" s="373"/>
    </x:row>
    <x:row r="18">
      <x:c r="A18" s="373"/>
      <x:c r="B18" s="373"/>
      <x:c r="C18" s="373"/>
      <x:c r="D18" s="373"/>
      <x:c r="E18" s="373"/>
      <x:c r="F18" s="373"/>
      <x:c r="G18" s="373"/>
      <x:c r="H18" s="373"/>
      <x:c r="I18" s="373"/>
      <x:c r="J18" s="373"/>
      <x:c r="K18" s="373"/>
      <x:c r="L18" s="373"/>
      <x:c r="M18" s="373"/>
      <x:c r="N18" s="373"/>
      <x:c r="O18" s="373"/>
      <x:c r="P18" s="373"/>
      <x:c r="Q18" s="373"/>
      <x:c r="R18" s="373"/>
      <x:c r="S18" s="373"/>
      <x:c r="T18" s="373"/>
      <x:c r="U18" s="373"/>
      <x:c r="V18" s="373"/>
      <x:c r="W18" s="373"/>
      <x:c r="X18" s="373"/>
      <x:c r="Y18" s="373"/>
      <x:c r="Z18" s="373"/>
    </x:row>
    <x:row r="19">
      <x:c r="A19" s="373"/>
      <x:c r="B19" s="373"/>
      <x:c r="C19" s="373"/>
      <x:c r="D19" s="373"/>
      <x:c r="E19" s="373"/>
      <x:c r="F19" s="373"/>
      <x:c r="G19" s="373"/>
      <x:c r="H19" s="373"/>
      <x:c r="I19" s="373"/>
      <x:c r="J19" s="373"/>
      <x:c r="K19" s="373"/>
      <x:c r="L19" s="373"/>
      <x:c r="M19" s="373"/>
      <x:c r="N19" s="373"/>
      <x:c r="O19" s="373"/>
      <x:c r="P19" s="373"/>
      <x:c r="Q19" s="373"/>
      <x:c r="R19" s="373"/>
      <x:c r="S19" s="373"/>
      <x:c r="T19" s="373"/>
      <x:c r="U19" s="373"/>
      <x:c r="V19" s="373"/>
      <x:c r="W19" s="373"/>
      <x:c r="X19" s="373"/>
      <x:c r="Y19" s="373"/>
      <x:c r="Z19" s="373"/>
    </x:row>
    <x:row r="20">
      <x:c r="A20" s="373"/>
      <x:c r="B20" s="373"/>
      <x:c r="C20" s="373"/>
      <x:c r="D20" s="373"/>
      <x:c r="E20" s="373"/>
      <x:c r="F20" s="373"/>
      <x:c r="G20" s="373"/>
      <x:c r="H20" s="373"/>
      <x:c r="I20" s="373"/>
      <x:c r="J20" s="373"/>
      <x:c r="K20" s="373"/>
      <x:c r="L20" s="373"/>
      <x:c r="M20" s="373"/>
      <x:c r="N20" s="373"/>
      <x:c r="O20" s="373"/>
      <x:c r="P20" s="373"/>
      <x:c r="Q20" s="373"/>
      <x:c r="R20" s="373"/>
      <x:c r="S20" s="373"/>
      <x:c r="T20" s="373"/>
      <x:c r="U20" s="373"/>
      <x:c r="V20" s="373"/>
      <x:c r="W20" s="373"/>
      <x:c r="X20" s="373"/>
      <x:c r="Y20" s="373"/>
      <x:c r="Z20" s="373"/>
    </x:row>
    <x:row r="21">
      <x:c r="A21" s="373"/>
      <x:c r="B21" s="373"/>
      <x:c r="C21" s="373"/>
      <x:c r="D21" s="373"/>
      <x:c r="E21" s="373"/>
      <x:c r="F21" s="373"/>
      <x:c r="G21" s="373"/>
      <x:c r="H21" s="373"/>
      <x:c r="I21" s="373"/>
      <x:c r="J21" s="373"/>
      <x:c r="K21" s="373"/>
      <x:c r="L21" s="373"/>
      <x:c r="M21" s="373"/>
      <x:c r="N21" s="373"/>
      <x:c r="O21" s="373"/>
      <x:c r="P21" s="373"/>
      <x:c r="Q21" s="373"/>
      <x:c r="R21" s="373"/>
      <x:c r="S21" s="373"/>
      <x:c r="T21" s="373"/>
      <x:c r="U21" s="373"/>
      <x:c r="V21" s="373"/>
      <x:c r="W21" s="373"/>
      <x:c r="X21" s="373"/>
      <x:c r="Y21" s="373"/>
      <x:c r="Z21" s="373"/>
    </x:row>
    <x:row r="22">
      <x:c r="A22" s="373"/>
      <x:c r="B22" s="373"/>
      <x:c r="C22" s="373"/>
      <x:c r="D22" s="373"/>
      <x:c r="E22" s="373"/>
      <x:c r="F22" s="373"/>
      <x:c r="G22" s="373"/>
      <x:c r="H22" s="373"/>
      <x:c r="I22" s="373"/>
      <x:c r="J22" s="373"/>
      <x:c r="K22" s="373"/>
      <x:c r="L22" s="373"/>
      <x:c r="M22" s="373"/>
      <x:c r="N22" s="373"/>
      <x:c r="O22" s="373"/>
      <x:c r="P22" s="373"/>
      <x:c r="Q22" s="373"/>
      <x:c r="R22" s="373"/>
      <x:c r="S22" s="373"/>
      <x:c r="T22" s="373"/>
      <x:c r="U22" s="373"/>
      <x:c r="V22" s="373"/>
      <x:c r="W22" s="373"/>
      <x:c r="X22" s="373"/>
      <x:c r="Y22" s="373"/>
      <x:c r="Z22" s="373"/>
    </x:row>
    <x:row r="23">
      <x:c r="A23" s="373"/>
      <x:c r="B23" s="373"/>
      <x:c r="C23" s="373"/>
      <x:c r="D23" s="373"/>
      <x:c r="E23" s="373"/>
      <x:c r="F23" s="373"/>
      <x:c r="G23" s="373"/>
      <x:c r="H23" s="373"/>
      <x:c r="I23" s="373"/>
      <x:c r="J23" s="373"/>
      <x:c r="K23" s="373"/>
      <x:c r="L23" s="373"/>
      <x:c r="M23" s="373"/>
      <x:c r="N23" s="373"/>
      <x:c r="O23" s="373"/>
      <x:c r="P23" s="373"/>
      <x:c r="Q23" s="373"/>
      <x:c r="R23" s="373"/>
      <x:c r="S23" s="373"/>
      <x:c r="T23" s="373"/>
      <x:c r="U23" s="373"/>
      <x:c r="V23" s="373"/>
      <x:c r="W23" s="373"/>
      <x:c r="X23" s="373"/>
      <x:c r="Y23" s="373"/>
      <x:c r="Z23" s="373"/>
    </x:row>
    <x:row r="24">
      <x:c r="A24" s="373"/>
      <x:c r="B24" s="373"/>
      <x:c r="C24" s="373"/>
      <x:c r="D24" s="373"/>
      <x:c r="E24" s="373"/>
      <x:c r="F24" s="373"/>
      <x:c r="G24" s="373"/>
      <x:c r="H24" s="373"/>
      <x:c r="I24" s="373"/>
      <x:c r="J24" s="373"/>
      <x:c r="K24" s="373"/>
      <x:c r="L24" s="373"/>
      <x:c r="M24" s="373"/>
      <x:c r="N24" s="373"/>
      <x:c r="O24" s="373"/>
      <x:c r="P24" s="373"/>
      <x:c r="Q24" s="373"/>
      <x:c r="R24" s="373"/>
      <x:c r="S24" s="373"/>
      <x:c r="T24" s="373"/>
      <x:c r="U24" s="373"/>
      <x:c r="V24" s="373"/>
      <x:c r="W24" s="373"/>
      <x:c r="X24" s="373"/>
      <x:c r="Y24" s="373"/>
      <x:c r="Z24" s="373"/>
    </x:row>
    <x:row r="25">
      <x:c r="A25" s="373"/>
      <x:c r="B25" s="373"/>
      <x:c r="C25" s="373"/>
      <x:c r="D25" s="373"/>
      <x:c r="E25" s="373"/>
      <x:c r="F25" s="373"/>
      <x:c r="G25" s="373"/>
      <x:c r="H25" s="373"/>
      <x:c r="I25" s="373"/>
      <x:c r="J25" s="373"/>
      <x:c r="K25" s="373"/>
      <x:c r="L25" s="373"/>
      <x:c r="M25" s="373"/>
      <x:c r="N25" s="373"/>
      <x:c r="O25" s="373"/>
      <x:c r="P25" s="373"/>
      <x:c r="Q25" s="373"/>
      <x:c r="R25" s="373"/>
      <x:c r="S25" s="373"/>
      <x:c r="T25" s="373"/>
      <x:c r="U25" s="373"/>
      <x:c r="V25" s="373"/>
      <x:c r="W25" s="373"/>
      <x:c r="X25" s="373"/>
      <x:c r="Y25" s="373"/>
      <x:c r="Z25" s="373"/>
    </x:row>
    <x:row r="26">
      <x:c r="A26" s="373"/>
      <x:c r="B26" s="373"/>
      <x:c r="C26" s="373"/>
      <x:c r="D26" s="373"/>
      <x:c r="E26" s="373"/>
      <x:c r="F26" s="373"/>
      <x:c r="G26" s="373"/>
      <x:c r="H26" s="373"/>
      <x:c r="I26" s="373"/>
      <x:c r="J26" s="373"/>
      <x:c r="K26" s="373"/>
      <x:c r="L26" s="373"/>
      <x:c r="M26" s="373"/>
      <x:c r="N26" s="373"/>
      <x:c r="O26" s="373"/>
      <x:c r="P26" s="373"/>
      <x:c r="Q26" s="373"/>
      <x:c r="R26" s="373"/>
      <x:c r="S26" s="373"/>
      <x:c r="T26" s="373"/>
      <x:c r="U26" s="373"/>
      <x:c r="V26" s="373"/>
      <x:c r="W26" s="373"/>
      <x:c r="X26" s="373"/>
      <x:c r="Y26" s="373"/>
      <x:c r="Z26" s="373"/>
    </x:row>
    <x:row r="27">
      <x:c r="A27" s="373"/>
      <x:c r="B27" s="373"/>
      <x:c r="C27" s="373"/>
      <x:c r="D27" s="373"/>
      <x:c r="E27" s="373"/>
      <x:c r="F27" s="373"/>
      <x:c r="G27" s="373"/>
      <x:c r="H27" s="373"/>
      <x:c r="I27" s="373"/>
      <x:c r="J27" s="373"/>
      <x:c r="K27" s="373"/>
      <x:c r="L27" s="373"/>
      <x:c r="M27" s="373"/>
      <x:c r="N27" s="373"/>
      <x:c r="O27" s="373"/>
      <x:c r="P27" s="373"/>
      <x:c r="Q27" s="373"/>
      <x:c r="R27" s="373"/>
      <x:c r="S27" s="373"/>
      <x:c r="T27" s="373"/>
      <x:c r="U27" s="373"/>
      <x:c r="V27" s="373"/>
      <x:c r="W27" s="373"/>
      <x:c r="X27" s="373"/>
      <x:c r="Y27" s="373"/>
      <x:c r="Z27" s="373"/>
    </x:row>
    <x:row r="28">
      <x:c r="A28" s="373"/>
      <x:c r="B28" s="373"/>
      <x:c r="C28" s="373"/>
      <x:c r="D28" s="373"/>
      <x:c r="E28" s="373"/>
      <x:c r="F28" s="373"/>
      <x:c r="G28" s="373"/>
      <x:c r="H28" s="373"/>
      <x:c r="I28" s="373"/>
      <x:c r="J28" s="373"/>
      <x:c r="K28" s="373"/>
      <x:c r="L28" s="373"/>
      <x:c r="M28" s="373"/>
      <x:c r="N28" s="373"/>
      <x:c r="O28" s="373"/>
      <x:c r="P28" s="373"/>
      <x:c r="Q28" s="373"/>
      <x:c r="R28" s="373"/>
      <x:c r="S28" s="373"/>
      <x:c r="T28" s="373"/>
      <x:c r="U28" s="373"/>
      <x:c r="V28" s="373"/>
      <x:c r="W28" s="373"/>
      <x:c r="X28" s="373"/>
      <x:c r="Y28" s="373"/>
      <x:c r="Z28" s="373"/>
    </x:row>
    <x:row r="29">
      <x:c r="A29" s="373"/>
      <x:c r="B29" s="373"/>
      <x:c r="C29" s="373"/>
      <x:c r="D29" s="373"/>
      <x:c r="E29" s="373"/>
      <x:c r="F29" s="373"/>
      <x:c r="G29" s="373"/>
      <x:c r="H29" s="373"/>
      <x:c r="I29" s="373"/>
      <x:c r="J29" s="373"/>
      <x:c r="K29" s="373"/>
      <x:c r="L29" s="373"/>
      <x:c r="M29" s="373"/>
      <x:c r="N29" s="373"/>
      <x:c r="O29" s="373"/>
      <x:c r="P29" s="373"/>
      <x:c r="Q29" s="373"/>
      <x:c r="R29" s="373"/>
      <x:c r="S29" s="373"/>
      <x:c r="T29" s="373"/>
      <x:c r="U29" s="373"/>
      <x:c r="V29" s="373"/>
      <x:c r="W29" s="373"/>
      <x:c r="X29" s="373"/>
      <x:c r="Y29" s="373"/>
      <x:c r="Z29" s="373"/>
    </x:row>
    <x:row r="30">
      <x:c r="A30" s="373"/>
      <x:c r="B30" s="373"/>
      <x:c r="C30" s="373"/>
      <x:c r="D30" s="373"/>
      <x:c r="E30" s="373"/>
      <x:c r="F30" s="373"/>
      <x:c r="G30" s="373"/>
      <x:c r="H30" s="373"/>
      <x:c r="I30" s="373"/>
      <x:c r="J30" s="373"/>
      <x:c r="K30" s="373"/>
      <x:c r="L30" s="373"/>
      <x:c r="M30" s="373"/>
      <x:c r="N30" s="373"/>
      <x:c r="O30" s="373"/>
      <x:c r="P30" s="373"/>
      <x:c r="Q30" s="373"/>
      <x:c r="R30" s="373"/>
      <x:c r="S30" s="373"/>
      <x:c r="T30" s="373"/>
      <x:c r="U30" s="373"/>
      <x:c r="V30" s="373"/>
      <x:c r="W30" s="373"/>
      <x:c r="X30" s="373"/>
      <x:c r="Y30" s="373"/>
      <x:c r="Z30" s="373"/>
    </x:row>
    <x:row r="31">
      <x:c r="A31" s="373"/>
      <x:c r="B31" s="373"/>
      <x:c r="C31" s="373"/>
      <x:c r="D31" s="373"/>
      <x:c r="E31" s="373"/>
      <x:c r="F31" s="373"/>
      <x:c r="G31" s="373"/>
      <x:c r="H31" s="373"/>
      <x:c r="I31" s="373"/>
      <x:c r="J31" s="373"/>
      <x:c r="K31" s="373"/>
      <x:c r="L31" s="373"/>
      <x:c r="M31" s="373"/>
      <x:c r="N31" s="373"/>
      <x:c r="O31" s="373"/>
      <x:c r="P31" s="373"/>
      <x:c r="Q31" s="373"/>
      <x:c r="R31" s="373"/>
      <x:c r="S31" s="373"/>
      <x:c r="T31" s="373"/>
      <x:c r="U31" s="373"/>
      <x:c r="V31" s="373"/>
      <x:c r="W31" s="373"/>
      <x:c r="X31" s="373"/>
      <x:c r="Y31" s="373"/>
      <x:c r="Z31" s="373"/>
    </x:row>
    <x:row r="32">
      <x:c r="A32" s="373"/>
      <x:c r="B32" s="373"/>
      <x:c r="C32" s="373"/>
      <x:c r="D32" s="373"/>
      <x:c r="E32" s="373"/>
      <x:c r="F32" s="373"/>
      <x:c r="G32" s="373"/>
      <x:c r="H32" s="373"/>
      <x:c r="I32" s="373"/>
      <x:c r="J32" s="373"/>
      <x:c r="K32" s="373"/>
      <x:c r="L32" s="373"/>
      <x:c r="M32" s="373"/>
      <x:c r="N32" s="373"/>
      <x:c r="O32" s="373"/>
      <x:c r="P32" s="373"/>
      <x:c r="Q32" s="373"/>
      <x:c r="R32" s="373"/>
      <x:c r="S32" s="373"/>
      <x:c r="T32" s="373"/>
      <x:c r="U32" s="373"/>
      <x:c r="V32" s="373"/>
      <x:c r="W32" s="373"/>
      <x:c r="X32" s="373"/>
      <x:c r="Y32" s="373"/>
      <x:c r="Z32" s="373"/>
    </x:row>
    <x:row r="33">
      <x:c r="A33" s="373"/>
      <x:c r="B33" s="373"/>
      <x:c r="C33" s="373"/>
      <x:c r="D33" s="373"/>
      <x:c r="E33" s="373"/>
      <x:c r="F33" s="373"/>
      <x:c r="G33" s="373"/>
      <x:c r="H33" s="373"/>
      <x:c r="I33" s="373"/>
      <x:c r="J33" s="373"/>
      <x:c r="K33" s="373"/>
      <x:c r="L33" s="373"/>
      <x:c r="M33" s="373"/>
      <x:c r="N33" s="373"/>
      <x:c r="O33" s="373"/>
      <x:c r="P33" s="373"/>
      <x:c r="Q33" s="373"/>
      <x:c r="R33" s="373"/>
      <x:c r="S33" s="373"/>
      <x:c r="T33" s="373"/>
      <x:c r="U33" s="373"/>
      <x:c r="V33" s="373"/>
      <x:c r="W33" s="373"/>
      <x:c r="X33" s="373"/>
      <x:c r="Y33" s="373"/>
      <x:c r="Z33" s="373"/>
    </x:row>
    <x:row r="34">
      <x:c r="A34" s="373"/>
      <x:c r="B34" s="373"/>
      <x:c r="C34" s="373"/>
      <x:c r="D34" s="373"/>
      <x:c r="E34" s="373"/>
      <x:c r="F34" s="373"/>
      <x:c r="G34" s="373"/>
      <x:c r="H34" s="373"/>
      <x:c r="I34" s="373"/>
      <x:c r="J34" s="373"/>
      <x:c r="K34" s="373"/>
      <x:c r="L34" s="373"/>
      <x:c r="M34" s="373"/>
      <x:c r="N34" s="373"/>
      <x:c r="O34" s="373"/>
      <x:c r="P34" s="373"/>
      <x:c r="Q34" s="373"/>
      <x:c r="R34" s="373"/>
      <x:c r="S34" s="373"/>
      <x:c r="T34" s="373"/>
      <x:c r="U34" s="373"/>
      <x:c r="V34" s="373"/>
      <x:c r="W34" s="373"/>
      <x:c r="X34" s="373"/>
      <x:c r="Y34" s="373"/>
      <x:c r="Z34" s="373"/>
    </x:row>
    <x:row r="35">
      <x:c r="A35" s="373"/>
      <x:c r="B35" s="373"/>
      <x:c r="C35" s="373"/>
      <x:c r="D35" s="373"/>
      <x:c r="E35" s="373"/>
      <x:c r="F35" s="373"/>
      <x:c r="G35" s="373"/>
      <x:c r="H35" s="373"/>
      <x:c r="I35" s="373"/>
      <x:c r="J35" s="373"/>
      <x:c r="K35" s="373"/>
      <x:c r="L35" s="373"/>
      <x:c r="M35" s="373"/>
      <x:c r="N35" s="373"/>
      <x:c r="O35" s="373"/>
      <x:c r="P35" s="373"/>
      <x:c r="Q35" s="373"/>
      <x:c r="R35" s="373"/>
      <x:c r="S35" s="373"/>
      <x:c r="T35" s="373"/>
      <x:c r="U35" s="373"/>
      <x:c r="V35" s="373"/>
      <x:c r="W35" s="373"/>
      <x:c r="X35" s="373"/>
      <x:c r="Y35" s="373"/>
      <x:c r="Z35" s="373"/>
    </x:row>
    <x:row r="36">
      <x:c r="A36" s="373"/>
      <x:c r="B36" s="373"/>
      <x:c r="C36" s="373"/>
      <x:c r="D36" s="373"/>
      <x:c r="E36" s="373"/>
      <x:c r="F36" s="373"/>
      <x:c r="G36" s="373"/>
      <x:c r="H36" s="373"/>
      <x:c r="I36" s="373"/>
      <x:c r="J36" s="373"/>
      <x:c r="K36" s="373"/>
      <x:c r="L36" s="373"/>
      <x:c r="M36" s="373"/>
      <x:c r="N36" s="373"/>
      <x:c r="O36" s="373"/>
      <x:c r="P36" s="373"/>
      <x:c r="Q36" s="373"/>
      <x:c r="R36" s="373"/>
      <x:c r="S36" s="373"/>
      <x:c r="T36" s="373"/>
      <x:c r="U36" s="373"/>
      <x:c r="V36" s="373"/>
      <x:c r="W36" s="373"/>
      <x:c r="X36" s="373"/>
      <x:c r="Y36" s="373"/>
      <x:c r="Z36" s="373"/>
    </x:row>
    <x:row r="37">
      <x:c r="A37" s="373"/>
      <x:c r="B37" s="373"/>
      <x:c r="C37" s="373"/>
      <x:c r="D37" s="373"/>
      <x:c r="E37" s="373"/>
      <x:c r="F37" s="373"/>
      <x:c r="G37" s="373"/>
      <x:c r="H37" s="373"/>
      <x:c r="I37" s="373"/>
      <x:c r="J37" s="373"/>
      <x:c r="K37" s="373"/>
      <x:c r="L37" s="373"/>
      <x:c r="M37" s="373"/>
      <x:c r="N37" s="373"/>
      <x:c r="O37" s="373"/>
      <x:c r="P37" s="373"/>
      <x:c r="Q37" s="373"/>
      <x:c r="R37" s="373"/>
      <x:c r="S37" s="373"/>
      <x:c r="T37" s="373"/>
      <x:c r="U37" s="373"/>
      <x:c r="V37" s="373"/>
      <x:c r="W37" s="373"/>
      <x:c r="X37" s="373"/>
      <x:c r="Y37" s="373"/>
      <x:c r="Z37" s="373"/>
    </x:row>
    <x:row r="38">
      <x:c r="A38" s="373"/>
      <x:c r="B38" s="373"/>
      <x:c r="C38" s="373"/>
      <x:c r="D38" s="373"/>
      <x:c r="E38" s="373"/>
      <x:c r="F38" s="373"/>
      <x:c r="G38" s="373"/>
      <x:c r="H38" s="373"/>
      <x:c r="I38" s="373"/>
      <x:c r="J38" s="373"/>
      <x:c r="K38" s="373"/>
      <x:c r="L38" s="373"/>
      <x:c r="M38" s="373"/>
      <x:c r="N38" s="373"/>
      <x:c r="O38" s="373"/>
      <x:c r="P38" s="373"/>
      <x:c r="Q38" s="373"/>
      <x:c r="R38" s="373"/>
      <x:c r="S38" s="373"/>
      <x:c r="T38" s="373"/>
      <x:c r="U38" s="373"/>
      <x:c r="V38" s="373"/>
      <x:c r="W38" s="373"/>
      <x:c r="X38" s="373"/>
      <x:c r="Y38" s="373"/>
      <x:c r="Z38" s="373"/>
    </x:row>
    <x:row r="39">
      <x:c r="A39" s="373"/>
      <x:c r="B39" s="373"/>
      <x:c r="C39" s="373"/>
      <x:c r="D39" s="373"/>
      <x:c r="E39" s="373"/>
      <x:c r="F39" s="373"/>
      <x:c r="G39" s="373"/>
      <x:c r="H39" s="373"/>
      <x:c r="I39" s="373"/>
      <x:c r="J39" s="373"/>
      <x:c r="K39" s="373"/>
      <x:c r="L39" s="373"/>
      <x:c r="M39" s="373"/>
      <x:c r="N39" s="373"/>
      <x:c r="O39" s="373"/>
      <x:c r="P39" s="373"/>
      <x:c r="Q39" s="373"/>
      <x:c r="R39" s="373"/>
      <x:c r="S39" s="373"/>
      <x:c r="T39" s="373"/>
      <x:c r="U39" s="373"/>
      <x:c r="V39" s="373"/>
      <x:c r="W39" s="373"/>
      <x:c r="X39" s="373"/>
      <x:c r="Y39" s="373"/>
      <x:c r="Z39" s="373"/>
    </x:row>
    <x:row r="40">
      <x:c r="A40" s="373"/>
      <x:c r="B40" s="373"/>
      <x:c r="C40" s="373"/>
      <x:c r="D40" s="373"/>
      <x:c r="E40" s="373"/>
      <x:c r="F40" s="373"/>
      <x:c r="G40" s="373"/>
      <x:c r="H40" s="373"/>
      <x:c r="I40" s="373"/>
      <x:c r="J40" s="373"/>
      <x:c r="K40" s="373"/>
      <x:c r="L40" s="373"/>
      <x:c r="M40" s="373"/>
      <x:c r="N40" s="373"/>
      <x:c r="O40" s="373"/>
      <x:c r="P40" s="373"/>
      <x:c r="Q40" s="373"/>
      <x:c r="R40" s="373"/>
      <x:c r="S40" s="373"/>
      <x:c r="T40" s="373"/>
      <x:c r="U40" s="373"/>
      <x:c r="V40" s="373"/>
      <x:c r="W40" s="373"/>
      <x:c r="X40" s="373"/>
      <x:c r="Y40" s="373"/>
      <x:c r="Z40" s="373"/>
    </x:row>
    <x:row r="41">
      <x:c r="A41" s="373"/>
      <x:c r="B41" s="373"/>
      <x:c r="C41" s="373"/>
      <x:c r="D41" s="373"/>
      <x:c r="E41" s="373"/>
      <x:c r="F41" s="373"/>
      <x:c r="G41" s="373"/>
      <x:c r="H41" s="373"/>
      <x:c r="I41" s="373"/>
      <x:c r="J41" s="373"/>
      <x:c r="K41" s="373"/>
      <x:c r="L41" s="373"/>
      <x:c r="M41" s="373"/>
      <x:c r="N41" s="373"/>
      <x:c r="O41" s="373"/>
      <x:c r="P41" s="373"/>
      <x:c r="Q41" s="373"/>
      <x:c r="R41" s="373"/>
      <x:c r="S41" s="373"/>
      <x:c r="T41" s="373"/>
      <x:c r="U41" s="373"/>
      <x:c r="V41" s="373"/>
      <x:c r="W41" s="373"/>
      <x:c r="X41" s="373"/>
      <x:c r="Y41" s="373"/>
      <x:c r="Z41" s="373"/>
    </x:row>
    <x:row r="42">
      <x:c r="A42" s="373"/>
      <x:c r="B42" s="373"/>
      <x:c r="C42" s="373"/>
      <x:c r="D42" s="373"/>
      <x:c r="E42" s="373"/>
      <x:c r="F42" s="373"/>
      <x:c r="G42" s="373"/>
      <x:c r="H42" s="373"/>
      <x:c r="I42" s="373"/>
      <x:c r="J42" s="373"/>
      <x:c r="K42" s="373"/>
      <x:c r="L42" s="373"/>
      <x:c r="M42" s="373"/>
      <x:c r="N42" s="373"/>
      <x:c r="O42" s="373"/>
      <x:c r="P42" s="373"/>
      <x:c r="Q42" s="373"/>
      <x:c r="R42" s="373"/>
      <x:c r="S42" s="373"/>
      <x:c r="T42" s="373"/>
      <x:c r="U42" s="373"/>
      <x:c r="V42" s="373"/>
      <x:c r="W42" s="373"/>
      <x:c r="X42" s="373"/>
      <x:c r="Y42" s="373"/>
      <x:c r="Z42" s="373"/>
    </x:row>
    <x:row r="43">
      <x:c r="A43" s="373"/>
      <x:c r="B43" s="373"/>
      <x:c r="C43" s="373"/>
      <x:c r="D43" s="373"/>
      <x:c r="E43" s="373"/>
      <x:c r="F43" s="373"/>
      <x:c r="G43" s="373"/>
      <x:c r="H43" s="373"/>
      <x:c r="I43" s="373"/>
      <x:c r="J43" s="373"/>
      <x:c r="K43" s="373"/>
      <x:c r="L43" s="373"/>
      <x:c r="M43" s="373"/>
      <x:c r="N43" s="373"/>
      <x:c r="O43" s="373"/>
      <x:c r="P43" s="373"/>
      <x:c r="Q43" s="373"/>
      <x:c r="R43" s="373"/>
      <x:c r="S43" s="373"/>
      <x:c r="T43" s="373"/>
      <x:c r="U43" s="373"/>
      <x:c r="V43" s="373"/>
      <x:c r="W43" s="373"/>
      <x:c r="X43" s="373"/>
      <x:c r="Y43" s="373"/>
      <x:c r="Z43" s="373"/>
    </x:row>
    <x:row r="44">
      <x:c r="A44" s="373"/>
      <x:c r="B44" s="373"/>
      <x:c r="C44" s="373"/>
      <x:c r="D44" s="373"/>
      <x:c r="E44" s="373"/>
      <x:c r="F44" s="373"/>
      <x:c r="G44" s="373"/>
      <x:c r="H44" s="373"/>
      <x:c r="I44" s="373"/>
      <x:c r="J44" s="373"/>
      <x:c r="K44" s="373"/>
      <x:c r="L44" s="373"/>
      <x:c r="M44" s="373"/>
      <x:c r="N44" s="373"/>
      <x:c r="O44" s="373"/>
      <x:c r="P44" s="373"/>
      <x:c r="Q44" s="373"/>
      <x:c r="R44" s="373"/>
      <x:c r="S44" s="373"/>
      <x:c r="T44" s="373"/>
      <x:c r="U44" s="373"/>
      <x:c r="V44" s="373"/>
      <x:c r="W44" s="373"/>
      <x:c r="X44" s="373"/>
      <x:c r="Y44" s="373"/>
      <x:c r="Z44" s="373"/>
    </x:row>
    <x:row r="45">
      <x:c r="A45" s="373"/>
      <x:c r="B45" s="373"/>
      <x:c r="C45" s="373"/>
      <x:c r="D45" s="373"/>
      <x:c r="E45" s="373"/>
      <x:c r="F45" s="373"/>
      <x:c r="G45" s="373"/>
      <x:c r="H45" s="373"/>
      <x:c r="I45" s="373"/>
      <x:c r="J45" s="373"/>
      <x:c r="K45" s="373"/>
      <x:c r="L45" s="373"/>
      <x:c r="M45" s="373"/>
      <x:c r="N45" s="373"/>
      <x:c r="O45" s="373"/>
      <x:c r="P45" s="373"/>
      <x:c r="Q45" s="373"/>
      <x:c r="R45" s="373"/>
      <x:c r="S45" s="373"/>
      <x:c r="T45" s="373"/>
      <x:c r="U45" s="373"/>
      <x:c r="V45" s="373"/>
      <x:c r="W45" s="373"/>
      <x:c r="X45" s="373"/>
      <x:c r="Y45" s="373"/>
      <x:c r="Z45" s="373"/>
    </x:row>
    <x:row r="46">
      <x:c r="A46" s="373"/>
      <x:c r="B46" s="373"/>
      <x:c r="C46" s="373"/>
      <x:c r="D46" s="373"/>
      <x:c r="E46" s="373"/>
      <x:c r="F46" s="373"/>
      <x:c r="G46" s="373"/>
      <x:c r="H46" s="373"/>
      <x:c r="I46" s="373"/>
      <x:c r="J46" s="373"/>
      <x:c r="K46" s="373"/>
      <x:c r="L46" s="373"/>
      <x:c r="M46" s="373"/>
      <x:c r="N46" s="373"/>
      <x:c r="O46" s="373"/>
      <x:c r="P46" s="373"/>
      <x:c r="Q46" s="373"/>
      <x:c r="R46" s="373"/>
      <x:c r="S46" s="373"/>
      <x:c r="T46" s="373"/>
      <x:c r="U46" s="373"/>
      <x:c r="V46" s="373"/>
      <x:c r="W46" s="373"/>
      <x:c r="X46" s="373"/>
      <x:c r="Y46" s="373"/>
      <x:c r="Z46" s="373"/>
    </x:row>
    <x:row r="47">
      <x:c r="A47" s="373"/>
      <x:c r="B47" s="373"/>
      <x:c r="C47" s="373"/>
      <x:c r="D47" s="373"/>
      <x:c r="E47" s="373"/>
      <x:c r="F47" s="373"/>
      <x:c r="G47" s="373"/>
      <x:c r="H47" s="373"/>
      <x:c r="I47" s="373"/>
      <x:c r="J47" s="373"/>
      <x:c r="K47" s="373"/>
      <x:c r="L47" s="373"/>
      <x:c r="M47" s="373"/>
      <x:c r="N47" s="373"/>
      <x:c r="O47" s="373"/>
      <x:c r="P47" s="373"/>
      <x:c r="Q47" s="373"/>
      <x:c r="R47" s="373"/>
      <x:c r="S47" s="373"/>
      <x:c r="T47" s="373"/>
      <x:c r="U47" s="373"/>
      <x:c r="V47" s="373"/>
      <x:c r="W47" s="373"/>
      <x:c r="X47" s="373"/>
      <x:c r="Y47" s="373"/>
      <x:c r="Z47" s="373"/>
    </x:row>
    <x:row r="48">
      <x:c r="A48" s="373"/>
      <x:c r="B48" s="373"/>
      <x:c r="C48" s="373"/>
      <x:c r="D48" s="373"/>
      <x:c r="E48" s="373"/>
      <x:c r="F48" s="373"/>
      <x:c r="G48" s="373"/>
      <x:c r="H48" s="373"/>
      <x:c r="I48" s="373"/>
      <x:c r="J48" s="373"/>
      <x:c r="K48" s="373"/>
      <x:c r="L48" s="373"/>
      <x:c r="M48" s="373"/>
      <x:c r="N48" s="373"/>
      <x:c r="O48" s="373"/>
      <x:c r="P48" s="373"/>
      <x:c r="Q48" s="373"/>
      <x:c r="R48" s="373"/>
      <x:c r="S48" s="373"/>
      <x:c r="T48" s="373"/>
      <x:c r="U48" s="373"/>
      <x:c r="V48" s="373"/>
      <x:c r="W48" s="373"/>
      <x:c r="X48" s="373"/>
      <x:c r="Y48" s="373"/>
      <x:c r="Z48" s="373"/>
    </x:row>
    <x:row r="49">
      <x:c r="A49" s="373"/>
      <x:c r="B49" s="373"/>
      <x:c r="C49" s="373"/>
      <x:c r="D49" s="373"/>
      <x:c r="E49" s="373"/>
      <x:c r="F49" s="373"/>
      <x:c r="G49" s="373"/>
      <x:c r="H49" s="373"/>
      <x:c r="I49" s="373"/>
      <x:c r="J49" s="373"/>
      <x:c r="K49" s="373"/>
      <x:c r="L49" s="373"/>
      <x:c r="M49" s="373"/>
      <x:c r="N49" s="373"/>
      <x:c r="O49" s="373"/>
      <x:c r="P49" s="373"/>
      <x:c r="Q49" s="373"/>
      <x:c r="R49" s="373"/>
      <x:c r="S49" s="373"/>
      <x:c r="T49" s="373"/>
      <x:c r="U49" s="373"/>
      <x:c r="V49" s="373"/>
      <x:c r="W49" s="373"/>
      <x:c r="X49" s="373"/>
      <x:c r="Y49" s="373"/>
      <x:c r="Z49" s="373"/>
    </x:row>
    <x:row r="50">
      <x:c r="A50" s="373"/>
      <x:c r="B50" s="373"/>
      <x:c r="C50" s="373"/>
      <x:c r="D50" s="373"/>
      <x:c r="E50" s="373"/>
      <x:c r="F50" s="373"/>
      <x:c r="G50" s="373"/>
      <x:c r="H50" s="373"/>
      <x:c r="I50" s="373"/>
      <x:c r="J50" s="373"/>
      <x:c r="K50" s="373"/>
      <x:c r="L50" s="373"/>
      <x:c r="M50" s="373"/>
      <x:c r="N50" s="373"/>
      <x:c r="O50" s="373"/>
      <x:c r="P50" s="373"/>
      <x:c r="Q50" s="373"/>
      <x:c r="R50" s="373"/>
      <x:c r="S50" s="373"/>
      <x:c r="T50" s="373"/>
      <x:c r="U50" s="373"/>
      <x:c r="V50" s="373"/>
      <x:c r="W50" s="373"/>
      <x:c r="X50" s="373"/>
      <x:c r="Y50" s="373"/>
      <x:c r="Z50" s="373"/>
    </x:row>
    <x:row r="51">
      <x:c r="A51" s="373"/>
      <x:c r="B51" s="373"/>
      <x:c r="C51" s="373"/>
      <x:c r="D51" s="373"/>
      <x:c r="E51" s="373"/>
      <x:c r="F51" s="373"/>
      <x:c r="G51" s="373"/>
      <x:c r="H51" s="373"/>
      <x:c r="I51" s="373"/>
      <x:c r="J51" s="373"/>
      <x:c r="K51" s="373"/>
      <x:c r="L51" s="373"/>
      <x:c r="M51" s="373"/>
      <x:c r="N51" s="373"/>
      <x:c r="O51" s="373"/>
      <x:c r="P51" s="373"/>
      <x:c r="Q51" s="373"/>
      <x:c r="R51" s="373"/>
      <x:c r="S51" s="373"/>
      <x:c r="T51" s="373"/>
      <x:c r="U51" s="373"/>
      <x:c r="V51" s="373"/>
      <x:c r="W51" s="373"/>
      <x:c r="X51" s="373"/>
      <x:c r="Y51" s="373"/>
      <x:c r="Z51" s="373"/>
    </x:row>
    <x:row r="52">
      <x:c r="A52" s="373"/>
      <x:c r="B52" s="373"/>
      <x:c r="C52" s="373"/>
      <x:c r="D52" s="373"/>
      <x:c r="E52" s="373"/>
      <x:c r="F52" s="373"/>
      <x:c r="G52" s="373"/>
      <x:c r="H52" s="373"/>
      <x:c r="I52" s="373"/>
      <x:c r="J52" s="373"/>
      <x:c r="K52" s="373"/>
      <x:c r="L52" s="373"/>
      <x:c r="M52" s="373"/>
      <x:c r="N52" s="373"/>
      <x:c r="O52" s="373"/>
      <x:c r="P52" s="373"/>
      <x:c r="Q52" s="373"/>
      <x:c r="R52" s="373"/>
      <x:c r="S52" s="373"/>
      <x:c r="T52" s="373"/>
      <x:c r="U52" s="373"/>
      <x:c r="V52" s="373"/>
      <x:c r="W52" s="373"/>
      <x:c r="X52" s="373"/>
      <x:c r="Y52" s="373"/>
      <x:c r="Z52" s="373"/>
    </x:row>
    <x:row r="53">
      <x:c r="A53" s="373"/>
      <x:c r="B53" s="373"/>
      <x:c r="C53" s="373"/>
      <x:c r="D53" s="373"/>
      <x:c r="E53" s="373"/>
      <x:c r="F53" s="373"/>
      <x:c r="G53" s="373"/>
      <x:c r="H53" s="373"/>
      <x:c r="I53" s="373"/>
      <x:c r="J53" s="373"/>
      <x:c r="K53" s="373"/>
      <x:c r="L53" s="373"/>
      <x:c r="M53" s="373"/>
      <x:c r="N53" s="373"/>
      <x:c r="O53" s="373"/>
      <x:c r="P53" s="373"/>
      <x:c r="Q53" s="373"/>
      <x:c r="R53" s="373"/>
      <x:c r="S53" s="373"/>
      <x:c r="T53" s="373"/>
      <x:c r="U53" s="373"/>
      <x:c r="V53" s="373"/>
      <x:c r="W53" s="373"/>
      <x:c r="X53" s="373"/>
      <x:c r="Y53" s="373"/>
      <x:c r="Z53" s="373"/>
    </x:row>
    <x:row r="54">
      <x:c r="A54" s="373"/>
      <x:c r="B54" s="373"/>
      <x:c r="C54" s="373"/>
      <x:c r="D54" s="373"/>
      <x:c r="E54" s="373"/>
      <x:c r="F54" s="373"/>
      <x:c r="G54" s="373"/>
      <x:c r="H54" s="373"/>
      <x:c r="I54" s="373"/>
      <x:c r="J54" s="373"/>
      <x:c r="K54" s="373"/>
      <x:c r="L54" s="373"/>
      <x:c r="M54" s="373"/>
      <x:c r="N54" s="373"/>
      <x:c r="O54" s="373"/>
      <x:c r="P54" s="373"/>
      <x:c r="Q54" s="373"/>
      <x:c r="R54" s="373"/>
      <x:c r="S54" s="373"/>
      <x:c r="T54" s="373"/>
      <x:c r="U54" s="373"/>
      <x:c r="V54" s="373"/>
      <x:c r="W54" s="373"/>
      <x:c r="X54" s="373"/>
      <x:c r="Y54" s="373"/>
      <x:c r="Z54" s="373"/>
    </x:row>
    <x:row r="55">
      <x:c r="A55" s="373"/>
      <x:c r="B55" s="373"/>
      <x:c r="C55" s="373"/>
      <x:c r="D55" s="373"/>
      <x:c r="E55" s="373"/>
      <x:c r="F55" s="373"/>
      <x:c r="G55" s="373"/>
      <x:c r="H55" s="373"/>
      <x:c r="I55" s="373"/>
      <x:c r="J55" s="373"/>
      <x:c r="K55" s="373"/>
      <x:c r="L55" s="373"/>
      <x:c r="M55" s="373"/>
      <x:c r="N55" s="373"/>
      <x:c r="O55" s="373"/>
      <x:c r="P55" s="373"/>
      <x:c r="Q55" s="373"/>
      <x:c r="R55" s="373"/>
      <x:c r="S55" s="373"/>
      <x:c r="T55" s="373"/>
      <x:c r="U55" s="373"/>
      <x:c r="V55" s="373"/>
      <x:c r="W55" s="373"/>
      <x:c r="X55" s="373"/>
      <x:c r="Y55" s="373"/>
      <x:c r="Z55" s="373"/>
    </x:row>
    <x:row r="56">
      <x:c r="A56" s="373"/>
      <x:c r="B56" s="373"/>
      <x:c r="C56" s="373"/>
      <x:c r="D56" s="373"/>
      <x:c r="E56" s="373"/>
      <x:c r="F56" s="373"/>
      <x:c r="G56" s="373"/>
      <x:c r="H56" s="373"/>
      <x:c r="I56" s="373"/>
      <x:c r="J56" s="373"/>
      <x:c r="K56" s="373"/>
      <x:c r="L56" s="373"/>
      <x:c r="M56" s="373"/>
      <x:c r="N56" s="373"/>
      <x:c r="O56" s="373"/>
      <x:c r="P56" s="373"/>
      <x:c r="Q56" s="373"/>
      <x:c r="R56" s="373"/>
      <x:c r="S56" s="373"/>
      <x:c r="T56" s="373"/>
      <x:c r="U56" s="373"/>
      <x:c r="V56" s="373"/>
      <x:c r="W56" s="373"/>
      <x:c r="X56" s="373"/>
      <x:c r="Y56" s="373"/>
      <x:c r="Z56" s="373"/>
    </x:row>
    <x:row r="57">
      <x:c r="A57" s="373"/>
      <x:c r="B57" s="373"/>
      <x:c r="C57" s="373"/>
      <x:c r="D57" s="373"/>
      <x:c r="E57" s="373"/>
      <x:c r="F57" s="373"/>
      <x:c r="G57" s="373"/>
      <x:c r="H57" s="373"/>
      <x:c r="I57" s="373"/>
      <x:c r="J57" s="373"/>
      <x:c r="K57" s="373"/>
      <x:c r="L57" s="373"/>
      <x:c r="M57" s="373"/>
      <x:c r="N57" s="373"/>
      <x:c r="O57" s="373"/>
      <x:c r="P57" s="373"/>
      <x:c r="Q57" s="373"/>
      <x:c r="R57" s="373"/>
      <x:c r="S57" s="373"/>
      <x:c r="T57" s="373"/>
      <x:c r="U57" s="373"/>
      <x:c r="V57" s="373"/>
      <x:c r="W57" s="373"/>
      <x:c r="X57" s="373"/>
      <x:c r="Y57" s="373"/>
      <x:c r="Z57" s="373"/>
    </x:row>
    <x:row r="58">
      <x:c r="A58" s="373"/>
      <x:c r="B58" s="373"/>
      <x:c r="C58" s="373"/>
      <x:c r="D58" s="373"/>
      <x:c r="E58" s="373"/>
      <x:c r="F58" s="373"/>
      <x:c r="G58" s="373"/>
      <x:c r="H58" s="373"/>
      <x:c r="I58" s="373"/>
      <x:c r="J58" s="373"/>
      <x:c r="K58" s="373"/>
      <x:c r="L58" s="373"/>
      <x:c r="M58" s="373"/>
      <x:c r="N58" s="373"/>
      <x:c r="O58" s="373"/>
      <x:c r="P58" s="373"/>
      <x:c r="Q58" s="373"/>
      <x:c r="R58" s="373"/>
      <x:c r="S58" s="373"/>
      <x:c r="T58" s="373"/>
      <x:c r="U58" s="373"/>
      <x:c r="V58" s="373"/>
      <x:c r="W58" s="373"/>
      <x:c r="X58" s="373"/>
      <x:c r="Y58" s="373"/>
      <x:c r="Z58" s="373"/>
    </x:row>
    <x:row r="59">
      <x:c r="A59" s="373"/>
      <x:c r="B59" s="373"/>
      <x:c r="C59" s="373"/>
      <x:c r="D59" s="373"/>
      <x:c r="E59" s="373"/>
      <x:c r="F59" s="373"/>
      <x:c r="G59" s="373"/>
      <x:c r="H59" s="373"/>
      <x:c r="I59" s="373"/>
      <x:c r="J59" s="373"/>
      <x:c r="K59" s="373"/>
      <x:c r="L59" s="373"/>
      <x:c r="M59" s="373"/>
      <x:c r="N59" s="373"/>
      <x:c r="O59" s="373"/>
      <x:c r="P59" s="373"/>
      <x:c r="Q59" s="373"/>
      <x:c r="R59" s="373"/>
      <x:c r="S59" s="373"/>
      <x:c r="T59" s="373"/>
      <x:c r="U59" s="373"/>
      <x:c r="V59" s="373"/>
      <x:c r="W59" s="373"/>
      <x:c r="X59" s="373"/>
      <x:c r="Y59" s="373"/>
      <x:c r="Z59" s="373"/>
    </x:row>
    <x:row r="60">
      <x:c r="A60" s="373"/>
      <x:c r="B60" s="373"/>
      <x:c r="C60" s="373"/>
      <x:c r="D60" s="373"/>
      <x:c r="E60" s="373"/>
      <x:c r="F60" s="373"/>
      <x:c r="G60" s="373"/>
      <x:c r="H60" s="373"/>
      <x:c r="I60" s="373"/>
      <x:c r="J60" s="373"/>
      <x:c r="K60" s="373"/>
      <x:c r="L60" s="373"/>
      <x:c r="M60" s="373"/>
      <x:c r="N60" s="373"/>
      <x:c r="O60" s="373"/>
      <x:c r="P60" s="373"/>
      <x:c r="Q60" s="373"/>
      <x:c r="R60" s="373"/>
      <x:c r="S60" s="373"/>
      <x:c r="T60" s="373"/>
      <x:c r="U60" s="373"/>
      <x:c r="V60" s="373"/>
      <x:c r="W60" s="373"/>
      <x:c r="X60" s="373"/>
      <x:c r="Y60" s="373"/>
      <x:c r="Z60" s="373"/>
    </x:row>
    <x:row r="61">
      <x:c r="A61" s="373"/>
      <x:c r="B61" s="373"/>
      <x:c r="C61" s="373"/>
      <x:c r="D61" s="373"/>
      <x:c r="E61" s="373"/>
      <x:c r="F61" s="373"/>
      <x:c r="G61" s="373"/>
      <x:c r="H61" s="373"/>
      <x:c r="I61" s="373"/>
      <x:c r="J61" s="373"/>
      <x:c r="K61" s="373"/>
      <x:c r="L61" s="373"/>
      <x:c r="M61" s="373"/>
      <x:c r="N61" s="373"/>
      <x:c r="O61" s="373"/>
      <x:c r="P61" s="373"/>
      <x:c r="Q61" s="373"/>
      <x:c r="R61" s="373"/>
      <x:c r="S61" s="373"/>
      <x:c r="T61" s="373"/>
      <x:c r="U61" s="373"/>
      <x:c r="V61" s="373"/>
      <x:c r="W61" s="373"/>
      <x:c r="X61" s="373"/>
      <x:c r="Y61" s="373"/>
      <x:c r="Z61" s="373"/>
    </x:row>
    <x:row r="62">
      <x:c r="A62" s="373"/>
      <x:c r="B62" s="373"/>
      <x:c r="C62" s="373"/>
      <x:c r="D62" s="373"/>
      <x:c r="E62" s="373"/>
      <x:c r="F62" s="373"/>
      <x:c r="G62" s="373"/>
      <x:c r="H62" s="373"/>
      <x:c r="I62" s="373"/>
      <x:c r="J62" s="373"/>
      <x:c r="K62" s="373"/>
      <x:c r="L62" s="373"/>
      <x:c r="M62" s="373"/>
      <x:c r="N62" s="373"/>
      <x:c r="O62" s="373"/>
      <x:c r="P62" s="373"/>
      <x:c r="Q62" s="373"/>
      <x:c r="R62" s="373"/>
      <x:c r="S62" s="373"/>
      <x:c r="T62" s="373"/>
      <x:c r="U62" s="373"/>
      <x:c r="V62" s="373"/>
      <x:c r="W62" s="373"/>
      <x:c r="X62" s="373"/>
      <x:c r="Y62" s="373"/>
      <x:c r="Z62" s="373"/>
    </x:row>
    <x:row r="63">
      <x:c r="A63" s="373"/>
      <x:c r="B63" s="373"/>
      <x:c r="C63" s="373"/>
      <x:c r="D63" s="373"/>
      <x:c r="E63" s="373"/>
      <x:c r="F63" s="373"/>
      <x:c r="G63" s="373"/>
      <x:c r="H63" s="373"/>
      <x:c r="I63" s="373"/>
      <x:c r="J63" s="373"/>
      <x:c r="K63" s="373"/>
      <x:c r="L63" s="373"/>
      <x:c r="M63" s="373"/>
      <x:c r="N63" s="373"/>
      <x:c r="O63" s="373"/>
      <x:c r="P63" s="373"/>
      <x:c r="Q63" s="373"/>
      <x:c r="R63" s="373"/>
      <x:c r="S63" s="373"/>
      <x:c r="T63" s="373"/>
      <x:c r="U63" s="373"/>
      <x:c r="V63" s="373"/>
      <x:c r="W63" s="373"/>
      <x:c r="X63" s="373"/>
      <x:c r="Y63" s="373"/>
      <x:c r="Z63" s="373"/>
    </x:row>
    <x:row r="64">
      <x:c r="A64" s="373"/>
      <x:c r="B64" s="373"/>
      <x:c r="C64" s="373"/>
      <x:c r="D64" s="373"/>
      <x:c r="E64" s="373"/>
      <x:c r="F64" s="373"/>
      <x:c r="G64" s="373"/>
      <x:c r="H64" s="373"/>
      <x:c r="I64" s="373"/>
      <x:c r="J64" s="373"/>
      <x:c r="K64" s="373"/>
      <x:c r="L64" s="373"/>
      <x:c r="M64" s="373"/>
      <x:c r="N64" s="373"/>
      <x:c r="O64" s="373"/>
      <x:c r="P64" s="373"/>
      <x:c r="Q64" s="373"/>
      <x:c r="R64" s="373"/>
      <x:c r="S64" s="373"/>
      <x:c r="T64" s="373"/>
      <x:c r="U64" s="373"/>
      <x:c r="V64" s="373"/>
      <x:c r="W64" s="373"/>
      <x:c r="X64" s="373"/>
      <x:c r="Y64" s="373"/>
      <x:c r="Z64" s="373"/>
    </x:row>
    <x:row r="65">
      <x:c r="A65" s="373"/>
      <x:c r="B65" s="373"/>
      <x:c r="C65" s="373"/>
      <x:c r="D65" s="373"/>
      <x:c r="E65" s="373"/>
      <x:c r="F65" s="373"/>
      <x:c r="G65" s="373"/>
      <x:c r="H65" s="373"/>
      <x:c r="I65" s="373"/>
      <x:c r="J65" s="373"/>
      <x:c r="K65" s="373"/>
      <x:c r="L65" s="373"/>
      <x:c r="M65" s="373"/>
      <x:c r="N65" s="373"/>
      <x:c r="O65" s="373"/>
      <x:c r="P65" s="373"/>
      <x:c r="Q65" s="373"/>
      <x:c r="R65" s="373"/>
      <x:c r="S65" s="373"/>
      <x:c r="T65" s="373"/>
      <x:c r="U65" s="373"/>
      <x:c r="V65" s="373"/>
      <x:c r="W65" s="373"/>
      <x:c r="X65" s="373"/>
      <x:c r="Y65" s="373"/>
      <x:c r="Z65" s="373"/>
    </x:row>
    <x:row r="66">
      <x:c r="A66" s="373"/>
      <x:c r="B66" s="373"/>
      <x:c r="C66" s="373"/>
      <x:c r="D66" s="373"/>
      <x:c r="E66" s="373"/>
      <x:c r="F66" s="373"/>
      <x:c r="G66" s="373"/>
      <x:c r="H66" s="373"/>
      <x:c r="I66" s="373"/>
      <x:c r="J66" s="373"/>
      <x:c r="K66" s="373"/>
      <x:c r="L66" s="373"/>
      <x:c r="M66" s="373"/>
      <x:c r="N66" s="373"/>
      <x:c r="O66" s="373"/>
      <x:c r="P66" s="373"/>
      <x:c r="Q66" s="373"/>
      <x:c r="R66" s="373"/>
      <x:c r="S66" s="373"/>
      <x:c r="T66" s="373"/>
      <x:c r="U66" s="373"/>
      <x:c r="V66" s="373"/>
      <x:c r="W66" s="373"/>
      <x:c r="X66" s="373"/>
      <x:c r="Y66" s="373"/>
      <x:c r="Z66" s="373"/>
    </x:row>
    <x:row r="67">
      <x:c r="A67" s="373"/>
      <x:c r="B67" s="373"/>
      <x:c r="C67" s="373"/>
      <x:c r="D67" s="373"/>
      <x:c r="E67" s="373"/>
      <x:c r="F67" s="373"/>
      <x:c r="G67" s="373"/>
      <x:c r="H67" s="373"/>
      <x:c r="I67" s="373"/>
      <x:c r="J67" s="373"/>
      <x:c r="K67" s="373"/>
      <x:c r="L67" s="373"/>
      <x:c r="M67" s="373"/>
      <x:c r="N67" s="373"/>
      <x:c r="O67" s="373"/>
      <x:c r="P67" s="373"/>
      <x:c r="Q67" s="373"/>
      <x:c r="R67" s="373"/>
      <x:c r="S67" s="373"/>
      <x:c r="T67" s="373"/>
      <x:c r="U67" s="373"/>
      <x:c r="V67" s="373"/>
      <x:c r="W67" s="373"/>
      <x:c r="X67" s="373"/>
      <x:c r="Y67" s="373"/>
      <x:c r="Z67" s="373"/>
    </x:row>
    <x:row r="68">
      <x:c r="A68" s="373"/>
      <x:c r="B68" s="373"/>
      <x:c r="C68" s="373"/>
      <x:c r="D68" s="373"/>
      <x:c r="E68" s="373"/>
      <x:c r="F68" s="373"/>
      <x:c r="G68" s="373"/>
      <x:c r="H68" s="373"/>
      <x:c r="I68" s="373"/>
      <x:c r="J68" s="373"/>
      <x:c r="K68" s="373"/>
      <x:c r="L68" s="373"/>
      <x:c r="M68" s="373"/>
      <x:c r="N68" s="373"/>
      <x:c r="O68" s="373"/>
      <x:c r="P68" s="373"/>
      <x:c r="Q68" s="373"/>
      <x:c r="R68" s="373"/>
      <x:c r="S68" s="373"/>
      <x:c r="T68" s="373"/>
      <x:c r="U68" s="373"/>
      <x:c r="V68" s="373"/>
      <x:c r="W68" s="373"/>
      <x:c r="X68" s="373"/>
      <x:c r="Y68" s="373"/>
      <x:c r="Z68" s="373"/>
    </x:row>
    <x:row r="69">
      <x:c r="A69" s="373"/>
      <x:c r="B69" s="373"/>
      <x:c r="C69" s="373"/>
      <x:c r="D69" s="373"/>
      <x:c r="E69" s="373"/>
      <x:c r="F69" s="373"/>
      <x:c r="G69" s="373"/>
      <x:c r="H69" s="373"/>
      <x:c r="I69" s="373"/>
      <x:c r="J69" s="373"/>
      <x:c r="K69" s="373"/>
      <x:c r="L69" s="373"/>
      <x:c r="M69" s="373"/>
      <x:c r="N69" s="373"/>
      <x:c r="O69" s="373"/>
      <x:c r="P69" s="373"/>
      <x:c r="Q69" s="373"/>
      <x:c r="R69" s="373"/>
      <x:c r="S69" s="373"/>
      <x:c r="T69" s="373"/>
      <x:c r="U69" s="373"/>
      <x:c r="V69" s="373"/>
      <x:c r="W69" s="373"/>
      <x:c r="X69" s="373"/>
      <x:c r="Y69" s="373"/>
      <x:c r="Z69" s="373"/>
    </x:row>
    <x:row r="70">
      <x:c r="A70" s="373"/>
      <x:c r="B70" s="373"/>
      <x:c r="C70" s="373"/>
      <x:c r="D70" s="373"/>
      <x:c r="E70" s="373"/>
      <x:c r="F70" s="373"/>
      <x:c r="G70" s="373"/>
      <x:c r="H70" s="373"/>
      <x:c r="I70" s="373"/>
      <x:c r="J70" s="373"/>
      <x:c r="K70" s="373"/>
      <x:c r="L70" s="373"/>
      <x:c r="M70" s="373"/>
      <x:c r="N70" s="373"/>
      <x:c r="O70" s="373"/>
      <x:c r="P70" s="373"/>
      <x:c r="Q70" s="373"/>
      <x:c r="R70" s="373"/>
      <x:c r="S70" s="373"/>
      <x:c r="T70" s="373"/>
      <x:c r="U70" s="373"/>
      <x:c r="V70" s="373"/>
      <x:c r="W70" s="373"/>
      <x:c r="X70" s="373"/>
      <x:c r="Y70" s="373"/>
      <x:c r="Z70" s="373"/>
    </x:row>
    <x:row r="71">
      <x:c r="A71" s="373"/>
      <x:c r="B71" s="373"/>
      <x:c r="C71" s="373"/>
      <x:c r="D71" s="373"/>
      <x:c r="E71" s="373"/>
      <x:c r="F71" s="373"/>
      <x:c r="G71" s="373"/>
      <x:c r="H71" s="373"/>
      <x:c r="I71" s="373"/>
      <x:c r="J71" s="373"/>
      <x:c r="K71" s="373"/>
      <x:c r="L71" s="373"/>
      <x:c r="M71" s="373"/>
      <x:c r="N71" s="373"/>
      <x:c r="O71" s="373"/>
      <x:c r="P71" s="373"/>
      <x:c r="Q71" s="373"/>
      <x:c r="R71" s="373"/>
      <x:c r="S71" s="373"/>
      <x:c r="T71" s="373"/>
      <x:c r="U71" s="373"/>
      <x:c r="V71" s="373"/>
      <x:c r="W71" s="373"/>
      <x:c r="X71" s="373"/>
      <x:c r="Y71" s="373"/>
      <x:c r="Z71" s="373"/>
    </x:row>
    <x:row r="72">
      <x:c r="A72" s="373"/>
      <x:c r="B72" s="373"/>
      <x:c r="C72" s="373"/>
      <x:c r="D72" s="373"/>
      <x:c r="E72" s="373"/>
      <x:c r="F72" s="373"/>
      <x:c r="G72" s="373"/>
      <x:c r="H72" s="373"/>
      <x:c r="I72" s="373"/>
      <x:c r="J72" s="373"/>
      <x:c r="K72" s="373"/>
      <x:c r="L72" s="373"/>
      <x:c r="M72" s="373"/>
      <x:c r="N72" s="373"/>
      <x:c r="O72" s="373"/>
      <x:c r="P72" s="373"/>
      <x:c r="Q72" s="373"/>
      <x:c r="R72" s="373"/>
      <x:c r="S72" s="373"/>
      <x:c r="T72" s="373"/>
      <x:c r="U72" s="373"/>
      <x:c r="V72" s="373"/>
      <x:c r="W72" s="373"/>
      <x:c r="X72" s="373"/>
      <x:c r="Y72" s="373"/>
      <x:c r="Z72" s="373"/>
    </x:row>
    <x:row r="73">
      <x:c r="A73" s="373"/>
      <x:c r="B73" s="373"/>
      <x:c r="C73" s="373"/>
      <x:c r="D73" s="373"/>
      <x:c r="E73" s="373"/>
      <x:c r="F73" s="373"/>
      <x:c r="G73" s="373"/>
      <x:c r="H73" s="373"/>
      <x:c r="I73" s="373"/>
      <x:c r="J73" s="373"/>
      <x:c r="K73" s="373"/>
      <x:c r="L73" s="373"/>
      <x:c r="M73" s="373"/>
      <x:c r="N73" s="373"/>
      <x:c r="O73" s="373"/>
      <x:c r="P73" s="373"/>
      <x:c r="Q73" s="373"/>
      <x:c r="R73" s="373"/>
      <x:c r="S73" s="373"/>
      <x:c r="T73" s="373"/>
      <x:c r="U73" s="373"/>
      <x:c r="V73" s="373"/>
      <x:c r="W73" s="373"/>
      <x:c r="X73" s="373"/>
      <x:c r="Y73" s="373"/>
      <x:c r="Z73" s="373"/>
    </x:row>
    <x:row r="74">
      <x:c r="A74" s="373"/>
      <x:c r="B74" s="373"/>
      <x:c r="C74" s="373"/>
      <x:c r="D74" s="373"/>
      <x:c r="E74" s="373"/>
      <x:c r="F74" s="373"/>
      <x:c r="G74" s="373"/>
      <x:c r="H74" s="373"/>
      <x:c r="I74" s="373"/>
      <x:c r="J74" s="373"/>
      <x:c r="K74" s="373"/>
      <x:c r="L74" s="373"/>
      <x:c r="M74" s="373"/>
      <x:c r="N74" s="373"/>
      <x:c r="O74" s="373"/>
      <x:c r="P74" s="373"/>
      <x:c r="Q74" s="373"/>
      <x:c r="R74" s="373"/>
      <x:c r="S74" s="373"/>
      <x:c r="T74" s="373"/>
      <x:c r="U74" s="373"/>
      <x:c r="V74" s="373"/>
      <x:c r="W74" s="373"/>
      <x:c r="X74" s="373"/>
      <x:c r="Y74" s="373"/>
      <x:c r="Z74" s="373"/>
    </x:row>
    <x:row r="75">
      <x:c r="A75" s="373"/>
      <x:c r="B75" s="373"/>
      <x:c r="C75" s="373"/>
      <x:c r="D75" s="373"/>
      <x:c r="E75" s="373"/>
      <x:c r="F75" s="373"/>
      <x:c r="G75" s="373"/>
      <x:c r="H75" s="373"/>
      <x:c r="I75" s="373"/>
      <x:c r="J75" s="373"/>
      <x:c r="K75" s="373"/>
      <x:c r="L75" s="373"/>
      <x:c r="M75" s="373"/>
      <x:c r="N75" s="373"/>
      <x:c r="O75" s="373"/>
      <x:c r="P75" s="373"/>
      <x:c r="Q75" s="373"/>
      <x:c r="R75" s="373"/>
      <x:c r="S75" s="373"/>
      <x:c r="T75" s="373"/>
      <x:c r="U75" s="373"/>
      <x:c r="V75" s="373"/>
      <x:c r="W75" s="373"/>
      <x:c r="X75" s="373"/>
      <x:c r="Y75" s="373"/>
      <x:c r="Z75" s="373"/>
    </x:row>
    <x:row r="76">
      <x:c r="A76" s="373"/>
      <x:c r="B76" s="373"/>
      <x:c r="C76" s="373"/>
      <x:c r="D76" s="373"/>
      <x:c r="E76" s="373"/>
      <x:c r="F76" s="373"/>
      <x:c r="G76" s="373"/>
      <x:c r="H76" s="373"/>
      <x:c r="I76" s="373"/>
      <x:c r="J76" s="373"/>
      <x:c r="K76" s="373"/>
      <x:c r="L76" s="373"/>
      <x:c r="M76" s="373"/>
      <x:c r="N76" s="373"/>
      <x:c r="O76" s="373"/>
      <x:c r="P76" s="373"/>
      <x:c r="Q76" s="373"/>
      <x:c r="R76" s="373"/>
      <x:c r="S76" s="373"/>
      <x:c r="T76" s="373"/>
      <x:c r="U76" s="373"/>
      <x:c r="V76" s="373"/>
      <x:c r="W76" s="373"/>
      <x:c r="X76" s="373"/>
      <x:c r="Y76" s="373"/>
      <x:c r="Z76" s="373"/>
    </x:row>
    <x:row r="77">
      <x:c r="A77" s="373"/>
      <x:c r="B77" s="373"/>
      <x:c r="C77" s="373"/>
      <x:c r="D77" s="373"/>
      <x:c r="E77" s="373"/>
      <x:c r="F77" s="373"/>
      <x:c r="G77" s="373"/>
      <x:c r="H77" s="373"/>
      <x:c r="I77" s="373"/>
      <x:c r="J77" s="373"/>
      <x:c r="K77" s="373"/>
      <x:c r="L77" s="373"/>
      <x:c r="M77" s="373"/>
      <x:c r="N77" s="373"/>
      <x:c r="O77" s="373"/>
      <x:c r="P77" s="373"/>
      <x:c r="Q77" s="373"/>
      <x:c r="R77" s="373"/>
      <x:c r="S77" s="373"/>
      <x:c r="T77" s="373"/>
      <x:c r="U77" s="373"/>
      <x:c r="V77" s="373"/>
      <x:c r="W77" s="373"/>
      <x:c r="X77" s="373"/>
      <x:c r="Y77" s="373"/>
      <x:c r="Z77" s="373"/>
    </x:row>
    <x:row r="78">
      <x:c r="A78" s="373"/>
      <x:c r="B78" s="373"/>
      <x:c r="C78" s="373"/>
      <x:c r="D78" s="373"/>
      <x:c r="E78" s="373"/>
      <x:c r="F78" s="373"/>
      <x:c r="G78" s="373"/>
      <x:c r="H78" s="373"/>
      <x:c r="I78" s="373"/>
      <x:c r="J78" s="373"/>
      <x:c r="K78" s="373"/>
      <x:c r="L78" s="373"/>
      <x:c r="M78" s="373"/>
      <x:c r="N78" s="373"/>
      <x:c r="O78" s="373"/>
      <x:c r="P78" s="373"/>
      <x:c r="Q78" s="373"/>
      <x:c r="R78" s="373"/>
      <x:c r="S78" s="373"/>
      <x:c r="T78" s="373"/>
      <x:c r="U78" s="373"/>
      <x:c r="V78" s="373"/>
      <x:c r="W78" s="373"/>
      <x:c r="X78" s="373"/>
      <x:c r="Y78" s="373"/>
      <x:c r="Z78" s="373"/>
    </x:row>
    <x:row r="79">
      <x:c r="A79" s="373"/>
      <x:c r="B79" s="373"/>
      <x:c r="C79" s="373"/>
      <x:c r="D79" s="373"/>
      <x:c r="E79" s="373"/>
      <x:c r="F79" s="373"/>
      <x:c r="G79" s="373"/>
      <x:c r="H79" s="373"/>
      <x:c r="I79" s="373"/>
      <x:c r="J79" s="373"/>
      <x:c r="K79" s="373"/>
      <x:c r="L79" s="373"/>
      <x:c r="M79" s="373"/>
      <x:c r="N79" s="373"/>
      <x:c r="O79" s="373"/>
      <x:c r="P79" s="373"/>
      <x:c r="Q79" s="373"/>
      <x:c r="R79" s="373"/>
      <x:c r="S79" s="373"/>
      <x:c r="T79" s="373"/>
      <x:c r="U79" s="373"/>
      <x:c r="V79" s="373"/>
      <x:c r="W79" s="373"/>
      <x:c r="X79" s="373"/>
      <x:c r="Y79" s="373"/>
      <x:c r="Z79" s="373"/>
    </x:row>
    <x:row r="80">
      <x:c r="A80" s="373"/>
      <x:c r="B80" s="373"/>
      <x:c r="C80" s="373"/>
      <x:c r="D80" s="373"/>
      <x:c r="E80" s="373"/>
      <x:c r="F80" s="373"/>
      <x:c r="G80" s="373"/>
      <x:c r="H80" s="373"/>
      <x:c r="I80" s="373"/>
      <x:c r="J80" s="373"/>
      <x:c r="K80" s="373"/>
      <x:c r="L80" s="373"/>
      <x:c r="M80" s="373"/>
      <x:c r="N80" s="373"/>
      <x:c r="O80" s="373"/>
      <x:c r="P80" s="373"/>
      <x:c r="Q80" s="373"/>
      <x:c r="R80" s="373"/>
      <x:c r="S80" s="373"/>
      <x:c r="T80" s="373"/>
      <x:c r="U80" s="373"/>
      <x:c r="V80" s="373"/>
      <x:c r="W80" s="373"/>
      <x:c r="X80" s="373"/>
      <x:c r="Y80" s="373"/>
      <x:c r="Z80" s="373"/>
    </x:row>
    <x:row r="81">
      <x:c r="A81" s="373"/>
      <x:c r="B81" s="373"/>
      <x:c r="C81" s="373"/>
      <x:c r="D81" s="373"/>
      <x:c r="E81" s="373"/>
      <x:c r="F81" s="373"/>
      <x:c r="G81" s="373"/>
      <x:c r="H81" s="373"/>
      <x:c r="I81" s="373"/>
      <x:c r="J81" s="373"/>
      <x:c r="K81" s="373"/>
      <x:c r="L81" s="373"/>
      <x:c r="M81" s="373"/>
      <x:c r="N81" s="373"/>
      <x:c r="O81" s="373"/>
      <x:c r="P81" s="373"/>
      <x:c r="Q81" s="373"/>
      <x:c r="R81" s="373"/>
      <x:c r="S81" s="373"/>
      <x:c r="T81" s="373"/>
      <x:c r="U81" s="373"/>
      <x:c r="V81" s="373"/>
      <x:c r="W81" s="373"/>
      <x:c r="X81" s="373"/>
      <x:c r="Y81" s="373"/>
      <x:c r="Z81" s="373"/>
    </x:row>
    <x:row r="82">
      <x:c r="A82" s="373"/>
      <x:c r="B82" s="373"/>
      <x:c r="C82" s="373"/>
      <x:c r="D82" s="373"/>
      <x:c r="E82" s="373"/>
      <x:c r="F82" s="373"/>
      <x:c r="G82" s="373"/>
      <x:c r="H82" s="373"/>
      <x:c r="I82" s="373"/>
      <x:c r="J82" s="373"/>
      <x:c r="K82" s="373"/>
      <x:c r="L82" s="373"/>
      <x:c r="M82" s="373"/>
      <x:c r="N82" s="373"/>
      <x:c r="O82" s="373"/>
      <x:c r="P82" s="373"/>
      <x:c r="Q82" s="373"/>
      <x:c r="R82" s="373"/>
      <x:c r="S82" s="373"/>
      <x:c r="T82" s="373"/>
      <x:c r="U82" s="373"/>
      <x:c r="V82" s="373"/>
      <x:c r="W82" s="373"/>
      <x:c r="X82" s="373"/>
      <x:c r="Y82" s="373"/>
      <x:c r="Z82" s="373"/>
    </x:row>
    <x:row r="83">
      <x:c r="A83" s="373"/>
      <x:c r="B83" s="373"/>
      <x:c r="C83" s="373"/>
      <x:c r="D83" s="373"/>
      <x:c r="E83" s="373"/>
      <x:c r="F83" s="373"/>
      <x:c r="G83" s="373"/>
      <x:c r="H83" s="373"/>
      <x:c r="I83" s="373"/>
      <x:c r="J83" s="373"/>
      <x:c r="K83" s="373"/>
      <x:c r="L83" s="373"/>
      <x:c r="M83" s="373"/>
      <x:c r="N83" s="373"/>
      <x:c r="O83" s="373"/>
      <x:c r="P83" s="373"/>
      <x:c r="Q83" s="373"/>
      <x:c r="R83" s="373"/>
      <x:c r="S83" s="373"/>
      <x:c r="T83" s="373"/>
      <x:c r="U83" s="373"/>
      <x:c r="V83" s="373"/>
      <x:c r="W83" s="373"/>
      <x:c r="X83" s="373"/>
      <x:c r="Y83" s="373"/>
      <x:c r="Z83" s="373"/>
    </x:row>
    <x:row r="84">
      <x:c r="A84" s="373"/>
      <x:c r="B84" s="373"/>
      <x:c r="C84" s="373"/>
      <x:c r="D84" s="373"/>
      <x:c r="E84" s="373"/>
      <x:c r="F84" s="373"/>
      <x:c r="G84" s="373"/>
      <x:c r="H84" s="373"/>
      <x:c r="I84" s="373"/>
      <x:c r="J84" s="373"/>
      <x:c r="K84" s="373"/>
      <x:c r="L84" s="373"/>
      <x:c r="M84" s="373"/>
      <x:c r="N84" s="373"/>
      <x:c r="O84" s="373"/>
      <x:c r="P84" s="373"/>
      <x:c r="Q84" s="373"/>
      <x:c r="R84" s="373"/>
      <x:c r="S84" s="373"/>
      <x:c r="T84" s="373"/>
      <x:c r="U84" s="373"/>
      <x:c r="V84" s="373"/>
      <x:c r="W84" s="373"/>
      <x:c r="X84" s="373"/>
      <x:c r="Y84" s="373"/>
      <x:c r="Z84" s="373"/>
    </x:row>
    <x:row r="85">
      <x:c r="A85" s="373"/>
      <x:c r="B85" s="373"/>
      <x:c r="C85" s="373"/>
      <x:c r="D85" s="373"/>
      <x:c r="E85" s="373"/>
      <x:c r="F85" s="373"/>
      <x:c r="G85" s="373"/>
      <x:c r="H85" s="373"/>
      <x:c r="I85" s="373"/>
      <x:c r="J85" s="373"/>
      <x:c r="K85" s="373"/>
      <x:c r="L85" s="373"/>
      <x:c r="M85" s="373"/>
      <x:c r="N85" s="373"/>
      <x:c r="O85" s="373"/>
      <x:c r="P85" s="373"/>
      <x:c r="Q85" s="373"/>
      <x:c r="R85" s="373"/>
      <x:c r="S85" s="373"/>
      <x:c r="T85" s="373"/>
      <x:c r="U85" s="373"/>
      <x:c r="V85" s="373"/>
      <x:c r="W85" s="373"/>
      <x:c r="X85" s="373"/>
      <x:c r="Y85" s="373"/>
      <x:c r="Z85" s="373"/>
    </x:row>
    <x:row r="86">
      <x:c r="A86" s="373"/>
      <x:c r="B86" s="373"/>
      <x:c r="C86" s="373"/>
      <x:c r="D86" s="373"/>
      <x:c r="E86" s="373"/>
      <x:c r="F86" s="373"/>
      <x:c r="G86" s="373"/>
      <x:c r="H86" s="373"/>
      <x:c r="I86" s="373"/>
      <x:c r="J86" s="373"/>
      <x:c r="K86" s="373"/>
      <x:c r="L86" s="373"/>
      <x:c r="M86" s="373"/>
      <x:c r="N86" s="373"/>
      <x:c r="O86" s="373"/>
      <x:c r="P86" s="373"/>
      <x:c r="Q86" s="373"/>
      <x:c r="R86" s="373"/>
      <x:c r="S86" s="373"/>
      <x:c r="T86" s="373"/>
      <x:c r="U86" s="373"/>
      <x:c r="V86" s="373"/>
      <x:c r="W86" s="373"/>
      <x:c r="X86" s="373"/>
      <x:c r="Y86" s="373"/>
      <x:c r="Z86" s="373"/>
    </x:row>
    <x:row r="87">
      <x:c r="A87" s="373"/>
      <x:c r="B87" s="373"/>
      <x:c r="C87" s="373"/>
      <x:c r="D87" s="373"/>
      <x:c r="E87" s="373"/>
      <x:c r="F87" s="373"/>
      <x:c r="G87" s="373"/>
      <x:c r="H87" s="373"/>
      <x:c r="I87" s="373"/>
      <x:c r="J87" s="373"/>
      <x:c r="K87" s="373"/>
      <x:c r="L87" s="373"/>
      <x:c r="M87" s="373"/>
      <x:c r="N87" s="373"/>
      <x:c r="O87" s="373"/>
      <x:c r="P87" s="373"/>
      <x:c r="Q87" s="373"/>
      <x:c r="R87" s="373"/>
      <x:c r="S87" s="373"/>
      <x:c r="T87" s="373"/>
      <x:c r="U87" s="373"/>
      <x:c r="V87" s="373"/>
      <x:c r="W87" s="373"/>
      <x:c r="X87" s="373"/>
      <x:c r="Y87" s="373"/>
      <x:c r="Z87" s="373"/>
    </x:row>
    <x:row r="88">
      <x:c r="A88" s="373"/>
      <x:c r="B88" s="373"/>
      <x:c r="C88" s="373"/>
      <x:c r="D88" s="373"/>
      <x:c r="E88" s="373"/>
      <x:c r="F88" s="373"/>
      <x:c r="G88" s="373"/>
      <x:c r="H88" s="373"/>
      <x:c r="I88" s="373"/>
      <x:c r="J88" s="373"/>
      <x:c r="K88" s="373"/>
      <x:c r="L88" s="373"/>
      <x:c r="M88" s="373"/>
      <x:c r="N88" s="373"/>
      <x:c r="O88" s="373"/>
      <x:c r="P88" s="373"/>
      <x:c r="Q88" s="373"/>
      <x:c r="R88" s="373"/>
      <x:c r="S88" s="373"/>
      <x:c r="T88" s="373"/>
      <x:c r="U88" s="373"/>
      <x:c r="V88" s="373"/>
      <x:c r="W88" s="373"/>
      <x:c r="X88" s="373"/>
      <x:c r="Y88" s="373"/>
      <x:c r="Z88" s="373"/>
    </x:row>
    <x:row r="89">
      <x:c r="A89" s="373"/>
      <x:c r="B89" s="373"/>
      <x:c r="C89" s="373"/>
      <x:c r="D89" s="373"/>
      <x:c r="E89" s="373"/>
      <x:c r="F89" s="373"/>
      <x:c r="G89" s="373"/>
      <x:c r="H89" s="373"/>
      <x:c r="I89" s="373"/>
      <x:c r="J89" s="373"/>
      <x:c r="K89" s="373"/>
      <x:c r="L89" s="373"/>
      <x:c r="M89" s="373"/>
      <x:c r="N89" s="373"/>
      <x:c r="O89" s="373"/>
      <x:c r="P89" s="373"/>
      <x:c r="Q89" s="373"/>
      <x:c r="R89" s="373"/>
      <x:c r="S89" s="373"/>
      <x:c r="T89" s="373"/>
      <x:c r="U89" s="373"/>
      <x:c r="V89" s="373"/>
      <x:c r="W89" s="373"/>
      <x:c r="X89" s="373"/>
      <x:c r="Y89" s="373"/>
      <x:c r="Z89" s="373"/>
    </x:row>
    <x:row r="90">
      <x:c r="A90" s="373"/>
      <x:c r="B90" s="373"/>
      <x:c r="C90" s="373"/>
      <x:c r="D90" s="373"/>
      <x:c r="E90" s="373"/>
      <x:c r="F90" s="373"/>
      <x:c r="G90" s="373"/>
      <x:c r="H90" s="373"/>
      <x:c r="I90" s="373"/>
      <x:c r="J90" s="373"/>
      <x:c r="K90" s="373"/>
      <x:c r="L90" s="373"/>
      <x:c r="M90" s="373"/>
      <x:c r="N90" s="373"/>
      <x:c r="O90" s="373"/>
      <x:c r="P90" s="373"/>
      <x:c r="Q90" s="373"/>
      <x:c r="R90" s="373"/>
      <x:c r="S90" s="373"/>
      <x:c r="T90" s="373"/>
      <x:c r="U90" s="373"/>
      <x:c r="V90" s="373"/>
      <x:c r="W90" s="373"/>
      <x:c r="X90" s="373"/>
      <x:c r="Y90" s="373"/>
      <x:c r="Z90" s="373"/>
    </x:row>
    <x:row r="91">
      <x:c r="A91" s="373"/>
      <x:c r="B91" s="373"/>
      <x:c r="C91" s="373"/>
      <x:c r="D91" s="373"/>
      <x:c r="E91" s="373"/>
      <x:c r="F91" s="373"/>
      <x:c r="G91" s="373"/>
      <x:c r="H91" s="373"/>
      <x:c r="I91" s="373"/>
      <x:c r="J91" s="373"/>
      <x:c r="K91" s="373"/>
      <x:c r="L91" s="373"/>
      <x:c r="M91" s="373"/>
      <x:c r="N91" s="373"/>
      <x:c r="O91" s="373"/>
      <x:c r="P91" s="373"/>
      <x:c r="Q91" s="373"/>
      <x:c r="R91" s="373"/>
      <x:c r="S91" s="373"/>
      <x:c r="T91" s="373"/>
      <x:c r="U91" s="373"/>
      <x:c r="V91" s="373"/>
      <x:c r="W91" s="373"/>
      <x:c r="X91" s="373"/>
      <x:c r="Y91" s="373"/>
      <x:c r="Z91" s="373"/>
    </x:row>
    <x:row r="92">
      <x:c r="A92" s="373"/>
      <x:c r="B92" s="373"/>
      <x:c r="C92" s="373"/>
      <x:c r="D92" s="373"/>
      <x:c r="E92" s="373"/>
      <x:c r="F92" s="373"/>
      <x:c r="G92" s="373"/>
      <x:c r="H92" s="373"/>
      <x:c r="I92" s="373"/>
      <x:c r="J92" s="373"/>
      <x:c r="K92" s="373"/>
      <x:c r="L92" s="373"/>
      <x:c r="M92" s="373"/>
      <x:c r="N92" s="373"/>
      <x:c r="O92" s="373"/>
      <x:c r="P92" s="373"/>
      <x:c r="Q92" s="373"/>
      <x:c r="R92" s="373"/>
      <x:c r="S92" s="373"/>
      <x:c r="T92" s="373"/>
      <x:c r="U92" s="373"/>
      <x:c r="V92" s="373"/>
      <x:c r="W92" s="373"/>
      <x:c r="X92" s="373"/>
      <x:c r="Y92" s="373"/>
      <x:c r="Z92" s="373"/>
    </x:row>
    <x:row r="93">
      <x:c r="A93" s="373"/>
      <x:c r="B93" s="373"/>
      <x:c r="C93" s="373"/>
      <x:c r="D93" s="373"/>
      <x:c r="E93" s="373"/>
      <x:c r="F93" s="373"/>
      <x:c r="G93" s="373"/>
      <x:c r="H93" s="373"/>
      <x:c r="I93" s="373"/>
      <x:c r="J93" s="373"/>
      <x:c r="K93" s="373"/>
      <x:c r="L93" s="373"/>
      <x:c r="M93" s="373"/>
      <x:c r="N93" s="373"/>
      <x:c r="O93" s="373"/>
      <x:c r="P93" s="373"/>
      <x:c r="Q93" s="373"/>
      <x:c r="R93" s="373"/>
      <x:c r="S93" s="373"/>
      <x:c r="T93" s="373"/>
      <x:c r="U93" s="373"/>
      <x:c r="V93" s="373"/>
      <x:c r="W93" s="373"/>
      <x:c r="X93" s="373"/>
      <x:c r="Y93" s="373"/>
      <x:c r="Z93" s="373"/>
    </x:row>
    <x:row r="94">
      <x:c r="A94" s="373"/>
      <x:c r="B94" s="373"/>
      <x:c r="C94" s="373"/>
      <x:c r="D94" s="373"/>
      <x:c r="E94" s="373"/>
      <x:c r="F94" s="373"/>
      <x:c r="G94" s="373"/>
      <x:c r="H94" s="373"/>
      <x:c r="I94" s="373"/>
      <x:c r="J94" s="373"/>
      <x:c r="K94" s="373"/>
      <x:c r="L94" s="373"/>
      <x:c r="M94" s="373"/>
      <x:c r="N94" s="373"/>
      <x:c r="O94" s="373"/>
      <x:c r="P94" s="373"/>
      <x:c r="Q94" s="373"/>
      <x:c r="R94" s="373"/>
      <x:c r="S94" s="373"/>
      <x:c r="T94" s="373"/>
      <x:c r="U94" s="373"/>
      <x:c r="V94" s="373"/>
      <x:c r="W94" s="373"/>
      <x:c r="X94" s="373"/>
      <x:c r="Y94" s="373"/>
      <x:c r="Z94" s="373"/>
    </x:row>
    <x:row r="95">
      <x:c r="A95" s="373"/>
      <x:c r="B95" s="373"/>
      <x:c r="C95" s="373"/>
      <x:c r="D95" s="373"/>
      <x:c r="E95" s="373"/>
      <x:c r="F95" s="373"/>
      <x:c r="G95" s="373"/>
      <x:c r="H95" s="373"/>
      <x:c r="I95" s="373"/>
      <x:c r="J95" s="373"/>
      <x:c r="K95" s="373"/>
      <x:c r="L95" s="373"/>
      <x:c r="M95" s="373"/>
      <x:c r="N95" s="373"/>
      <x:c r="O95" s="373"/>
      <x:c r="P95" s="373"/>
      <x:c r="Q95" s="373"/>
      <x:c r="R95" s="373"/>
      <x:c r="S95" s="373"/>
      <x:c r="T95" s="373"/>
      <x:c r="U95" s="373"/>
      <x:c r="V95" s="373"/>
      <x:c r="W95" s="373"/>
      <x:c r="X95" s="373"/>
      <x:c r="Y95" s="373"/>
      <x:c r="Z95" s="373"/>
    </x:row>
    <x:row r="96">
      <x:c r="A96" s="373"/>
      <x:c r="B96" s="373"/>
      <x:c r="C96" s="373"/>
      <x:c r="D96" s="373"/>
      <x:c r="E96" s="373"/>
      <x:c r="F96" s="373"/>
      <x:c r="G96" s="373"/>
      <x:c r="H96" s="373"/>
      <x:c r="I96" s="373"/>
      <x:c r="J96" s="373"/>
      <x:c r="K96" s="373"/>
      <x:c r="L96" s="373"/>
      <x:c r="M96" s="373"/>
      <x:c r="N96" s="373"/>
      <x:c r="O96" s="373"/>
      <x:c r="P96" s="373"/>
      <x:c r="Q96" s="373"/>
      <x:c r="R96" s="373"/>
      <x:c r="S96" s="373"/>
      <x:c r="T96" s="373"/>
      <x:c r="U96" s="373"/>
      <x:c r="V96" s="373"/>
      <x:c r="W96" s="373"/>
      <x:c r="X96" s="373"/>
      <x:c r="Y96" s="373"/>
      <x:c r="Z96" s="373"/>
    </x:row>
    <x:row r="97">
      <x:c r="A97" s="373"/>
      <x:c r="B97" s="373"/>
      <x:c r="C97" s="373"/>
      <x:c r="D97" s="373"/>
      <x:c r="E97" s="373"/>
      <x:c r="F97" s="373"/>
      <x:c r="G97" s="373"/>
      <x:c r="H97" s="373"/>
      <x:c r="I97" s="373"/>
      <x:c r="J97" s="373"/>
      <x:c r="K97" s="373"/>
      <x:c r="L97" s="373"/>
      <x:c r="M97" s="373"/>
      <x:c r="N97" s="373"/>
      <x:c r="O97" s="373"/>
      <x:c r="P97" s="373"/>
      <x:c r="Q97" s="373"/>
      <x:c r="R97" s="373"/>
      <x:c r="S97" s="373"/>
      <x:c r="T97" s="373"/>
      <x:c r="U97" s="373"/>
      <x:c r="V97" s="373"/>
      <x:c r="W97" s="373"/>
      <x:c r="X97" s="373"/>
      <x:c r="Y97" s="373"/>
      <x:c r="Z97" s="373"/>
    </x:row>
    <x:row r="98">
      <x:c r="A98" s="373"/>
      <x:c r="B98" s="373"/>
      <x:c r="C98" s="373"/>
      <x:c r="D98" s="373"/>
      <x:c r="E98" s="373"/>
      <x:c r="F98" s="373"/>
      <x:c r="G98" s="373"/>
      <x:c r="H98" s="373"/>
      <x:c r="I98" s="373"/>
      <x:c r="J98" s="373"/>
      <x:c r="K98" s="373"/>
      <x:c r="L98" s="373"/>
      <x:c r="M98" s="373"/>
      <x:c r="N98" s="373"/>
      <x:c r="O98" s="373"/>
      <x:c r="P98" s="373"/>
      <x:c r="Q98" s="373"/>
      <x:c r="R98" s="373"/>
      <x:c r="S98" s="373"/>
      <x:c r="T98" s="373"/>
      <x:c r="U98" s="373"/>
      <x:c r="V98" s="373"/>
      <x:c r="W98" s="373"/>
      <x:c r="X98" s="373"/>
      <x:c r="Y98" s="373"/>
      <x:c r="Z98" s="373"/>
    </x:row>
    <x:row r="99">
      <x:c r="A99" s="373"/>
      <x:c r="B99" s="373"/>
      <x:c r="C99" s="373"/>
      <x:c r="D99" s="373"/>
      <x:c r="E99" s="373"/>
      <x:c r="F99" s="373"/>
      <x:c r="G99" s="373"/>
      <x:c r="H99" s="373"/>
      <x:c r="I99" s="373"/>
      <x:c r="J99" s="373"/>
      <x:c r="K99" s="373"/>
      <x:c r="L99" s="373"/>
      <x:c r="M99" s="373"/>
      <x:c r="N99" s="373"/>
      <x:c r="O99" s="373"/>
      <x:c r="P99" s="373"/>
      <x:c r="Q99" s="373"/>
      <x:c r="R99" s="373"/>
      <x:c r="S99" s="373"/>
      <x:c r="T99" s="373"/>
      <x:c r="U99" s="373"/>
      <x:c r="V99" s="373"/>
      <x:c r="W99" s="373"/>
      <x:c r="X99" s="373"/>
      <x:c r="Y99" s="373"/>
      <x:c r="Z99" s="373"/>
    </x:row>
    <x:row r="100">
      <x:c r="A100" s="373"/>
      <x:c r="B100" s="373"/>
      <x:c r="C100" s="373"/>
      <x:c r="D100" s="373"/>
      <x:c r="E100" s="373"/>
      <x:c r="F100" s="373"/>
      <x:c r="G100" s="373"/>
      <x:c r="H100" s="373"/>
      <x:c r="I100" s="373"/>
      <x:c r="J100" s="373"/>
      <x:c r="K100" s="373"/>
      <x:c r="L100" s="373"/>
      <x:c r="M100" s="373"/>
      <x:c r="N100" s="373"/>
      <x:c r="O100" s="373"/>
      <x:c r="P100" s="373"/>
      <x:c r="Q100" s="373"/>
      <x:c r="R100" s="373"/>
      <x:c r="S100" s="373"/>
      <x:c r="T100" s="373"/>
      <x:c r="U100" s="373"/>
      <x:c r="V100" s="373"/>
      <x:c r="W100" s="373"/>
      <x:c r="X100" s="373"/>
      <x:c r="Y100" s="373"/>
      <x:c r="Z100" s="373"/>
    </x:row>
    <x:row r="101">
      <x:c r="A101" s="373"/>
      <x:c r="B101" s="373"/>
      <x:c r="C101" s="373"/>
      <x:c r="D101" s="373"/>
      <x:c r="E101" s="373"/>
      <x:c r="F101" s="373"/>
      <x:c r="G101" s="373"/>
      <x:c r="H101" s="373"/>
      <x:c r="I101" s="373"/>
      <x:c r="J101" s="373"/>
      <x:c r="K101" s="373"/>
      <x:c r="L101" s="373"/>
      <x:c r="M101" s="373"/>
      <x:c r="N101" s="373"/>
      <x:c r="O101" s="373"/>
      <x:c r="P101" s="373"/>
      <x:c r="Q101" s="373"/>
      <x:c r="R101" s="373"/>
      <x:c r="S101" s="373"/>
      <x:c r="T101" s="373"/>
      <x:c r="U101" s="373"/>
      <x:c r="V101" s="373"/>
      <x:c r="W101" s="373"/>
      <x:c r="X101" s="373"/>
      <x:c r="Y101" s="373"/>
      <x:c r="Z101" s="373"/>
    </x:row>
    <x:row r="102">
      <x:c r="A102" s="373"/>
      <x:c r="B102" s="373"/>
      <x:c r="C102" s="373"/>
      <x:c r="D102" s="373"/>
      <x:c r="E102" s="373"/>
      <x:c r="F102" s="373"/>
      <x:c r="G102" s="373"/>
      <x:c r="H102" s="373"/>
      <x:c r="I102" s="373"/>
      <x:c r="J102" s="373"/>
      <x:c r="K102" s="373"/>
      <x:c r="L102" s="373"/>
      <x:c r="M102" s="373"/>
      <x:c r="N102" s="373"/>
      <x:c r="O102" s="373"/>
      <x:c r="P102" s="373"/>
      <x:c r="Q102" s="373"/>
      <x:c r="R102" s="373"/>
      <x:c r="S102" s="373"/>
      <x:c r="T102" s="373"/>
      <x:c r="U102" s="373"/>
      <x:c r="V102" s="373"/>
      <x:c r="W102" s="373"/>
      <x:c r="X102" s="373"/>
      <x:c r="Y102" s="373"/>
      <x:c r="Z102" s="373"/>
    </x:row>
    <x:row r="103">
      <x:c r="A103" s="373"/>
      <x:c r="B103" s="373"/>
      <x:c r="C103" s="373"/>
      <x:c r="D103" s="373"/>
      <x:c r="E103" s="373"/>
      <x:c r="F103" s="373"/>
      <x:c r="G103" s="373"/>
      <x:c r="H103" s="373"/>
      <x:c r="I103" s="373"/>
      <x:c r="J103" s="373"/>
      <x:c r="K103" s="373"/>
      <x:c r="L103" s="373"/>
      <x:c r="M103" s="373"/>
      <x:c r="N103" s="373"/>
      <x:c r="O103" s="373"/>
      <x:c r="P103" s="373"/>
      <x:c r="Q103" s="373"/>
      <x:c r="R103" s="373"/>
      <x:c r="S103" s="373"/>
      <x:c r="T103" s="373"/>
      <x:c r="U103" s="373"/>
      <x:c r="V103" s="373"/>
      <x:c r="W103" s="373"/>
      <x:c r="X103" s="373"/>
      <x:c r="Y103" s="373"/>
      <x:c r="Z103" s="373"/>
    </x:row>
    <x:row r="104">
      <x:c r="A104" s="373"/>
      <x:c r="B104" s="373"/>
      <x:c r="C104" s="373"/>
      <x:c r="D104" s="373"/>
      <x:c r="E104" s="373"/>
      <x:c r="F104" s="373"/>
      <x:c r="G104" s="373"/>
      <x:c r="H104" s="373"/>
      <x:c r="I104" s="373"/>
      <x:c r="J104" s="373"/>
      <x:c r="K104" s="373"/>
      <x:c r="L104" s="373"/>
      <x:c r="M104" s="373"/>
      <x:c r="N104" s="373"/>
      <x:c r="O104" s="373"/>
      <x:c r="P104" s="373"/>
      <x:c r="Q104" s="373"/>
      <x:c r="R104" s="373"/>
      <x:c r="S104" s="373"/>
      <x:c r="T104" s="373"/>
      <x:c r="U104" s="373"/>
      <x:c r="V104" s="373"/>
      <x:c r="W104" s="373"/>
      <x:c r="X104" s="373"/>
      <x:c r="Y104" s="373"/>
      <x:c r="Z104" s="373"/>
    </x:row>
    <x:row r="105">
      <x:c r="A105" s="373"/>
      <x:c r="B105" s="373"/>
      <x:c r="C105" s="373"/>
      <x:c r="D105" s="373"/>
      <x:c r="E105" s="373"/>
      <x:c r="F105" s="373"/>
      <x:c r="G105" s="373"/>
      <x:c r="H105" s="373"/>
      <x:c r="I105" s="373"/>
      <x:c r="J105" s="373"/>
      <x:c r="K105" s="373"/>
      <x:c r="L105" s="373"/>
      <x:c r="M105" s="373"/>
      <x:c r="N105" s="373"/>
      <x:c r="O105" s="373"/>
      <x:c r="P105" s="373"/>
      <x:c r="Q105" s="373"/>
      <x:c r="R105" s="373"/>
      <x:c r="S105" s="373"/>
      <x:c r="T105" s="373"/>
      <x:c r="U105" s="373"/>
      <x:c r="V105" s="373"/>
      <x:c r="W105" s="373"/>
      <x:c r="X105" s="373"/>
      <x:c r="Y105" s="373"/>
      <x:c r="Z105" s="373"/>
    </x:row>
    <x:row r="106">
      <x:c r="A106" s="373"/>
      <x:c r="B106" s="373"/>
      <x:c r="C106" s="373"/>
      <x:c r="D106" s="373"/>
      <x:c r="E106" s="373"/>
      <x:c r="F106" s="373"/>
      <x:c r="G106" s="373"/>
      <x:c r="H106" s="373"/>
      <x:c r="I106" s="373"/>
      <x:c r="J106" s="373"/>
      <x:c r="K106" s="373"/>
      <x:c r="L106" s="373"/>
      <x:c r="M106" s="373"/>
      <x:c r="N106" s="373"/>
      <x:c r="O106" s="373"/>
      <x:c r="P106" s="373"/>
      <x:c r="Q106" s="373"/>
      <x:c r="R106" s="373"/>
      <x:c r="S106" s="373"/>
      <x:c r="T106" s="373"/>
      <x:c r="U106" s="373"/>
      <x:c r="V106" s="373"/>
      <x:c r="W106" s="373"/>
      <x:c r="X106" s="373"/>
      <x:c r="Y106" s="373"/>
      <x:c r="Z106" s="373"/>
    </x:row>
    <x:row r="107">
      <x:c r="A107" s="373"/>
      <x:c r="B107" s="373"/>
      <x:c r="C107" s="373"/>
      <x:c r="D107" s="373"/>
      <x:c r="E107" s="373"/>
      <x:c r="F107" s="373"/>
      <x:c r="G107" s="373"/>
      <x:c r="H107" s="373"/>
      <x:c r="I107" s="373"/>
      <x:c r="J107" s="373"/>
      <x:c r="K107" s="373"/>
      <x:c r="L107" s="373"/>
      <x:c r="M107" s="373"/>
      <x:c r="N107" s="373"/>
      <x:c r="O107" s="373"/>
      <x:c r="P107" s="373"/>
      <x:c r="Q107" s="373"/>
      <x:c r="R107" s="373"/>
      <x:c r="S107" s="373"/>
      <x:c r="T107" s="373"/>
      <x:c r="U107" s="373"/>
      <x:c r="V107" s="373"/>
      <x:c r="W107" s="373"/>
      <x:c r="X107" s="373"/>
      <x:c r="Y107" s="373"/>
      <x:c r="Z107" s="373"/>
    </x:row>
    <x:row r="108">
      <x:c r="A108" s="373"/>
      <x:c r="B108" s="373"/>
      <x:c r="C108" s="373"/>
      <x:c r="D108" s="373"/>
      <x:c r="E108" s="373"/>
      <x:c r="F108" s="373"/>
      <x:c r="G108" s="373"/>
      <x:c r="H108" s="373"/>
      <x:c r="I108" s="373"/>
      <x:c r="J108" s="373"/>
      <x:c r="K108" s="373"/>
      <x:c r="L108" s="373"/>
      <x:c r="M108" s="373"/>
      <x:c r="N108" s="373"/>
      <x:c r="O108" s="373"/>
      <x:c r="P108" s="373"/>
      <x:c r="Q108" s="373"/>
      <x:c r="R108" s="373"/>
      <x:c r="S108" s="373"/>
      <x:c r="T108" s="373"/>
      <x:c r="U108" s="373"/>
      <x:c r="V108" s="373"/>
      <x:c r="W108" s="373"/>
      <x:c r="X108" s="373"/>
      <x:c r="Y108" s="373"/>
      <x:c r="Z108" s="373"/>
    </x:row>
    <x:row r="109">
      <x:c r="A109" s="373"/>
      <x:c r="B109" s="373"/>
      <x:c r="C109" s="373"/>
      <x:c r="D109" s="373"/>
      <x:c r="E109" s="373"/>
      <x:c r="F109" s="373"/>
      <x:c r="G109" s="373"/>
      <x:c r="H109" s="373"/>
      <x:c r="I109" s="373"/>
      <x:c r="J109" s="373"/>
      <x:c r="K109" s="373"/>
      <x:c r="L109" s="373"/>
      <x:c r="M109" s="373"/>
      <x:c r="N109" s="373"/>
      <x:c r="O109" s="373"/>
      <x:c r="P109" s="373"/>
      <x:c r="Q109" s="373"/>
      <x:c r="R109" s="373"/>
      <x:c r="S109" s="373"/>
      <x:c r="T109" s="373"/>
      <x:c r="U109" s="373"/>
      <x:c r="V109" s="373"/>
      <x:c r="W109" s="373"/>
      <x:c r="X109" s="373"/>
      <x:c r="Y109" s="373"/>
      <x:c r="Z109" s="373"/>
    </x:row>
    <x:row r="110">
      <x:c r="A110" s="373"/>
      <x:c r="B110" s="373"/>
      <x:c r="C110" s="373"/>
      <x:c r="D110" s="373"/>
      <x:c r="E110" s="373"/>
      <x:c r="F110" s="373"/>
      <x:c r="G110" s="373"/>
      <x:c r="H110" s="373"/>
      <x:c r="I110" s="373"/>
      <x:c r="J110" s="373"/>
      <x:c r="K110" s="373"/>
      <x:c r="L110" s="373"/>
      <x:c r="M110" s="373"/>
      <x:c r="N110" s="373"/>
      <x:c r="O110" s="373"/>
      <x:c r="P110" s="373"/>
      <x:c r="Q110" s="373"/>
      <x:c r="R110" s="373"/>
      <x:c r="S110" s="373"/>
      <x:c r="T110" s="373"/>
      <x:c r="U110" s="373"/>
      <x:c r="V110" s="373"/>
      <x:c r="W110" s="373"/>
      <x:c r="X110" s="373"/>
      <x:c r="Y110" s="373"/>
      <x:c r="Z110" s="373"/>
    </x:row>
    <x:row r="111">
      <x:c r="A111" s="373"/>
      <x:c r="B111" s="373"/>
      <x:c r="C111" s="373"/>
      <x:c r="D111" s="373"/>
      <x:c r="E111" s="373"/>
      <x:c r="F111" s="373"/>
      <x:c r="G111" s="373"/>
      <x:c r="H111" s="373"/>
      <x:c r="I111" s="373"/>
      <x:c r="J111" s="373"/>
      <x:c r="K111" s="373"/>
      <x:c r="L111" s="373"/>
      <x:c r="M111" s="373"/>
      <x:c r="N111" s="373"/>
      <x:c r="O111" s="373"/>
      <x:c r="P111" s="373"/>
      <x:c r="Q111" s="373"/>
      <x:c r="R111" s="373"/>
      <x:c r="S111" s="373"/>
      <x:c r="T111" s="373"/>
      <x:c r="U111" s="373"/>
      <x:c r="V111" s="373"/>
      <x:c r="W111" s="373"/>
      <x:c r="X111" s="373"/>
      <x:c r="Y111" s="373"/>
      <x:c r="Z111" s="373"/>
    </x:row>
    <x:row r="112">
      <x:c r="A112" s="373"/>
      <x:c r="B112" s="373"/>
      <x:c r="C112" s="373"/>
      <x:c r="D112" s="373"/>
      <x:c r="E112" s="373"/>
      <x:c r="F112" s="373"/>
      <x:c r="G112" s="373"/>
      <x:c r="H112" s="373"/>
      <x:c r="I112" s="373"/>
      <x:c r="J112" s="373"/>
      <x:c r="K112" s="373"/>
      <x:c r="L112" s="373"/>
      <x:c r="M112" s="373"/>
      <x:c r="N112" s="373"/>
      <x:c r="O112" s="373"/>
      <x:c r="P112" s="373"/>
      <x:c r="Q112" s="373"/>
      <x:c r="R112" s="373"/>
      <x:c r="S112" s="373"/>
      <x:c r="T112" s="373"/>
      <x:c r="U112" s="373"/>
      <x:c r="V112" s="373"/>
      <x:c r="W112" s="373"/>
      <x:c r="X112" s="373"/>
      <x:c r="Y112" s="373"/>
      <x:c r="Z112" s="373"/>
    </x:row>
    <x:row r="113">
      <x:c r="A113" s="373"/>
      <x:c r="B113" s="373"/>
      <x:c r="C113" s="373"/>
      <x:c r="D113" s="373"/>
      <x:c r="E113" s="373"/>
      <x:c r="F113" s="373"/>
      <x:c r="G113" s="373"/>
      <x:c r="H113" s="373"/>
      <x:c r="I113" s="373"/>
      <x:c r="J113" s="373"/>
      <x:c r="K113" s="373"/>
      <x:c r="L113" s="373"/>
      <x:c r="M113" s="373"/>
      <x:c r="N113" s="373"/>
      <x:c r="O113" s="373"/>
      <x:c r="P113" s="373"/>
      <x:c r="Q113" s="373"/>
      <x:c r="R113" s="373"/>
      <x:c r="S113" s="373"/>
      <x:c r="T113" s="373"/>
      <x:c r="U113" s="373"/>
      <x:c r="V113" s="373"/>
      <x:c r="W113" s="373"/>
      <x:c r="X113" s="373"/>
      <x:c r="Y113" s="373"/>
      <x:c r="Z113" s="373"/>
    </x:row>
    <x:row r="114">
      <x:c r="A114" s="373"/>
      <x:c r="B114" s="373"/>
      <x:c r="C114" s="373"/>
      <x:c r="D114" s="373"/>
      <x:c r="E114" s="373"/>
      <x:c r="F114" s="373"/>
      <x:c r="G114" s="373"/>
      <x:c r="H114" s="373"/>
      <x:c r="I114" s="373"/>
      <x:c r="J114" s="373"/>
      <x:c r="K114" s="373"/>
      <x:c r="L114" s="373"/>
      <x:c r="M114" s="373"/>
      <x:c r="N114" s="373"/>
      <x:c r="O114" s="373"/>
      <x:c r="P114" s="373"/>
      <x:c r="Q114" s="373"/>
      <x:c r="R114" s="373"/>
      <x:c r="S114" s="373"/>
      <x:c r="T114" s="373"/>
      <x:c r="U114" s="373"/>
      <x:c r="V114" s="373"/>
      <x:c r="W114" s="373"/>
      <x:c r="X114" s="373"/>
      <x:c r="Y114" s="373"/>
      <x:c r="Z114" s="373"/>
    </x:row>
    <x:row r="115">
      <x:c r="A115" s="373"/>
      <x:c r="B115" s="373"/>
      <x:c r="C115" s="373"/>
      <x:c r="D115" s="373"/>
      <x:c r="E115" s="373"/>
      <x:c r="F115" s="373"/>
      <x:c r="G115" s="373"/>
      <x:c r="H115" s="373"/>
      <x:c r="I115" s="373"/>
      <x:c r="J115" s="373"/>
      <x:c r="K115" s="373"/>
      <x:c r="L115" s="373"/>
      <x:c r="M115" s="373"/>
      <x:c r="N115" s="373"/>
      <x:c r="O115" s="373"/>
      <x:c r="P115" s="373"/>
      <x:c r="Q115" s="373"/>
      <x:c r="R115" s="373"/>
      <x:c r="S115" s="373"/>
      <x:c r="T115" s="373"/>
      <x:c r="U115" s="373"/>
      <x:c r="V115" s="373"/>
      <x:c r="W115" s="373"/>
      <x:c r="X115" s="373"/>
      <x:c r="Y115" s="373"/>
      <x:c r="Z115" s="373"/>
    </x:row>
    <x:row r="116">
      <x:c r="A116" s="373"/>
      <x:c r="B116" s="373"/>
      <x:c r="C116" s="373"/>
      <x:c r="D116" s="373"/>
      <x:c r="E116" s="373"/>
      <x:c r="F116" s="373"/>
      <x:c r="G116" s="373"/>
      <x:c r="H116" s="373"/>
      <x:c r="I116" s="373"/>
      <x:c r="J116" s="373"/>
      <x:c r="K116" s="373"/>
      <x:c r="L116" s="373"/>
      <x:c r="M116" s="373"/>
      <x:c r="N116" s="373"/>
      <x:c r="O116" s="373"/>
      <x:c r="P116" s="373"/>
      <x:c r="Q116" s="373"/>
      <x:c r="R116" s="373"/>
      <x:c r="S116" s="373"/>
      <x:c r="T116" s="373"/>
      <x:c r="U116" s="373"/>
      <x:c r="V116" s="373"/>
      <x:c r="W116" s="373"/>
      <x:c r="X116" s="373"/>
      <x:c r="Y116" s="373"/>
      <x:c r="Z116" s="373"/>
    </x:row>
    <x:row r="117">
      <x:c r="A117" s="373"/>
      <x:c r="B117" s="373"/>
      <x:c r="C117" s="373"/>
      <x:c r="D117" s="373"/>
      <x:c r="E117" s="373"/>
      <x:c r="F117" s="373"/>
      <x:c r="G117" s="373"/>
      <x:c r="H117" s="373"/>
      <x:c r="I117" s="373"/>
      <x:c r="J117" s="373"/>
      <x:c r="K117" s="373"/>
      <x:c r="L117" s="373"/>
      <x:c r="M117" s="373"/>
      <x:c r="N117" s="373"/>
      <x:c r="O117" s="373"/>
      <x:c r="P117" s="373"/>
      <x:c r="Q117" s="373"/>
      <x:c r="R117" s="373"/>
      <x:c r="S117" s="373"/>
      <x:c r="T117" s="373"/>
      <x:c r="U117" s="373"/>
      <x:c r="V117" s="373"/>
      <x:c r="W117" s="373"/>
      <x:c r="X117" s="373"/>
      <x:c r="Y117" s="373"/>
      <x:c r="Z117" s="373"/>
    </x:row>
    <x:row r="118">
      <x:c r="A118" s="373"/>
      <x:c r="B118" s="373"/>
      <x:c r="C118" s="373"/>
      <x:c r="D118" s="373"/>
      <x:c r="E118" s="373"/>
      <x:c r="F118" s="373"/>
      <x:c r="G118" s="373"/>
      <x:c r="H118" s="373"/>
      <x:c r="I118" s="373"/>
      <x:c r="J118" s="373"/>
      <x:c r="K118" s="373"/>
      <x:c r="L118" s="373"/>
      <x:c r="M118" s="373"/>
      <x:c r="N118" s="373"/>
      <x:c r="O118" s="373"/>
      <x:c r="P118" s="373"/>
      <x:c r="Q118" s="373"/>
      <x:c r="R118" s="373"/>
      <x:c r="S118" s="373"/>
      <x:c r="T118" s="373"/>
      <x:c r="U118" s="373"/>
      <x:c r="V118" s="373"/>
      <x:c r="W118" s="373"/>
      <x:c r="X118" s="373"/>
      <x:c r="Y118" s="373"/>
      <x:c r="Z118" s="373"/>
    </x:row>
    <x:row r="119">
      <x:c r="A119" s="373"/>
      <x:c r="B119" s="373"/>
      <x:c r="C119" s="373"/>
      <x:c r="D119" s="373"/>
      <x:c r="E119" s="373"/>
      <x:c r="F119" s="373"/>
      <x:c r="G119" s="373"/>
      <x:c r="H119" s="373"/>
      <x:c r="I119" s="373"/>
      <x:c r="J119" s="373"/>
      <x:c r="K119" s="373"/>
      <x:c r="L119" s="373"/>
      <x:c r="M119" s="373"/>
      <x:c r="N119" s="373"/>
      <x:c r="O119" s="373"/>
      <x:c r="P119" s="373"/>
      <x:c r="Q119" s="373"/>
      <x:c r="R119" s="373"/>
      <x:c r="S119" s="373"/>
      <x:c r="T119" s="373"/>
      <x:c r="U119" s="373"/>
      <x:c r="V119" s="373"/>
      <x:c r="W119" s="373"/>
      <x:c r="X119" s="373"/>
      <x:c r="Y119" s="373"/>
      <x:c r="Z119" s="373"/>
    </x:row>
    <x:row r="120">
      <x:c r="A120" s="373"/>
      <x:c r="B120" s="373"/>
      <x:c r="C120" s="373"/>
      <x:c r="D120" s="373"/>
      <x:c r="E120" s="373"/>
      <x:c r="F120" s="373"/>
      <x:c r="G120" s="373"/>
      <x:c r="H120" s="373"/>
      <x:c r="I120" s="373"/>
      <x:c r="J120" s="373"/>
      <x:c r="K120" s="373"/>
      <x:c r="L120" s="373"/>
      <x:c r="M120" s="373"/>
      <x:c r="N120" s="373"/>
      <x:c r="O120" s="373"/>
      <x:c r="P120" s="373"/>
      <x:c r="Q120" s="373"/>
      <x:c r="R120" s="373"/>
      <x:c r="S120" s="373"/>
      <x:c r="T120" s="373"/>
      <x:c r="U120" s="373"/>
      <x:c r="V120" s="373"/>
      <x:c r="W120" s="373"/>
      <x:c r="X120" s="373"/>
      <x:c r="Y120" s="373"/>
      <x:c r="Z120" s="373"/>
    </x:row>
    <x:row r="121">
      <x:c r="A121" s="373"/>
      <x:c r="B121" s="373"/>
      <x:c r="C121" s="373"/>
      <x:c r="D121" s="373"/>
      <x:c r="E121" s="373"/>
      <x:c r="F121" s="373"/>
      <x:c r="G121" s="373"/>
      <x:c r="H121" s="373"/>
      <x:c r="I121" s="373"/>
      <x:c r="J121" s="373"/>
      <x:c r="K121" s="373"/>
      <x:c r="L121" s="373"/>
      <x:c r="M121" s="373"/>
      <x:c r="N121" s="373"/>
      <x:c r="O121" s="373"/>
      <x:c r="P121" s="373"/>
      <x:c r="Q121" s="373"/>
      <x:c r="R121" s="373"/>
      <x:c r="S121" s="373"/>
      <x:c r="T121" s="373"/>
      <x:c r="U121" s="373"/>
      <x:c r="V121" s="373"/>
      <x:c r="W121" s="373"/>
      <x:c r="X121" s="373"/>
      <x:c r="Y121" s="373"/>
      <x:c r="Z121" s="373"/>
    </x:row>
    <x:row r="122">
      <x:c r="A122" s="373"/>
      <x:c r="B122" s="373"/>
      <x:c r="C122" s="373"/>
      <x:c r="D122" s="373"/>
      <x:c r="E122" s="373"/>
      <x:c r="F122" s="373"/>
      <x:c r="G122" s="373"/>
      <x:c r="H122" s="373"/>
      <x:c r="I122" s="373"/>
      <x:c r="J122" s="373"/>
      <x:c r="K122" s="373"/>
      <x:c r="L122" s="373"/>
      <x:c r="M122" s="373"/>
      <x:c r="N122" s="373"/>
      <x:c r="O122" s="373"/>
      <x:c r="P122" s="373"/>
      <x:c r="Q122" s="373"/>
      <x:c r="R122" s="373"/>
      <x:c r="S122" s="373"/>
      <x:c r="T122" s="373"/>
      <x:c r="U122" s="373"/>
      <x:c r="V122" s="373"/>
      <x:c r="W122" s="373"/>
      <x:c r="X122" s="373"/>
      <x:c r="Y122" s="373"/>
      <x:c r="Z122" s="373"/>
    </x:row>
    <x:row r="123">
      <x:c r="A123" s="373"/>
      <x:c r="B123" s="373"/>
      <x:c r="C123" s="373"/>
      <x:c r="D123" s="373"/>
      <x:c r="E123" s="373"/>
      <x:c r="F123" s="373"/>
      <x:c r="G123" s="373"/>
      <x:c r="H123" s="373"/>
      <x:c r="I123" s="373"/>
      <x:c r="J123" s="373"/>
      <x:c r="K123" s="373"/>
      <x:c r="L123" s="373"/>
      <x:c r="M123" s="373"/>
      <x:c r="N123" s="373"/>
      <x:c r="O123" s="373"/>
      <x:c r="P123" s="373"/>
      <x:c r="Q123" s="373"/>
      <x:c r="R123" s="373"/>
      <x:c r="S123" s="373"/>
      <x:c r="T123" s="373"/>
      <x:c r="U123" s="373"/>
      <x:c r="V123" s="373"/>
      <x:c r="W123" s="373"/>
      <x:c r="X123" s="373"/>
      <x:c r="Y123" s="373"/>
      <x:c r="Z123" s="373"/>
    </x:row>
    <x:row r="124">
      <x:c r="A124" s="373"/>
      <x:c r="B124" s="373"/>
      <x:c r="C124" s="373"/>
      <x:c r="D124" s="373"/>
      <x:c r="E124" s="373"/>
      <x:c r="F124" s="373"/>
      <x:c r="G124" s="373"/>
      <x:c r="H124" s="373"/>
      <x:c r="I124" s="373"/>
      <x:c r="J124" s="373"/>
      <x:c r="K124" s="373"/>
      <x:c r="L124" s="373"/>
      <x:c r="M124" s="373"/>
      <x:c r="N124" s="373"/>
      <x:c r="O124" s="373"/>
      <x:c r="P124" s="373"/>
      <x:c r="Q124" s="373"/>
      <x:c r="R124" s="373"/>
      <x:c r="S124" s="373"/>
      <x:c r="T124" s="373"/>
      <x:c r="U124" s="373"/>
      <x:c r="V124" s="373"/>
      <x:c r="W124" s="373"/>
      <x:c r="X124" s="373"/>
      <x:c r="Y124" s="373"/>
      <x:c r="Z124" s="373"/>
    </x:row>
    <x:row r="125">
      <x:c r="A125" s="373"/>
      <x:c r="B125" s="373"/>
      <x:c r="C125" s="373"/>
      <x:c r="D125" s="373"/>
      <x:c r="E125" s="373"/>
      <x:c r="F125" s="373"/>
      <x:c r="G125" s="373"/>
      <x:c r="H125" s="373"/>
      <x:c r="I125" s="373"/>
      <x:c r="J125" s="373"/>
      <x:c r="K125" s="373"/>
      <x:c r="L125" s="373"/>
      <x:c r="M125" s="373"/>
      <x:c r="N125" s="373"/>
      <x:c r="O125" s="373"/>
      <x:c r="P125" s="373"/>
      <x:c r="Q125" s="373"/>
      <x:c r="R125" s="373"/>
      <x:c r="S125" s="373"/>
      <x:c r="T125" s="373"/>
      <x:c r="U125" s="373"/>
      <x:c r="V125" s="373"/>
      <x:c r="W125" s="373"/>
      <x:c r="X125" s="373"/>
      <x:c r="Y125" s="373"/>
      <x:c r="Z125" s="373"/>
    </x:row>
    <x:row r="126">
      <x:c r="A126" s="373"/>
      <x:c r="B126" s="373"/>
      <x:c r="C126" s="373"/>
      <x:c r="D126" s="373"/>
      <x:c r="E126" s="373"/>
      <x:c r="F126" s="373"/>
      <x:c r="G126" s="373"/>
      <x:c r="H126" s="373"/>
      <x:c r="I126" s="373"/>
      <x:c r="J126" s="373"/>
      <x:c r="K126" s="373"/>
      <x:c r="L126" s="373"/>
      <x:c r="M126" s="373"/>
      <x:c r="N126" s="373"/>
      <x:c r="O126" s="373"/>
      <x:c r="P126" s="373"/>
      <x:c r="Q126" s="373"/>
      <x:c r="R126" s="373"/>
      <x:c r="S126" s="373"/>
      <x:c r="T126" s="373"/>
      <x:c r="U126" s="373"/>
      <x:c r="V126" s="373"/>
      <x:c r="W126" s="373"/>
      <x:c r="X126" s="373"/>
      <x:c r="Y126" s="373"/>
      <x:c r="Z126" s="373"/>
    </x:row>
    <x:row r="127">
      <x:c r="A127" s="373"/>
      <x:c r="B127" s="373"/>
      <x:c r="C127" s="373"/>
      <x:c r="D127" s="373"/>
      <x:c r="E127" s="373"/>
      <x:c r="F127" s="373"/>
      <x:c r="G127" s="373"/>
      <x:c r="H127" s="373"/>
      <x:c r="I127" s="373"/>
      <x:c r="J127" s="373"/>
      <x:c r="K127" s="373"/>
      <x:c r="L127" s="373"/>
      <x:c r="M127" s="373"/>
      <x:c r="N127" s="373"/>
      <x:c r="O127" s="373"/>
      <x:c r="P127" s="373"/>
      <x:c r="Q127" s="373"/>
      <x:c r="R127" s="373"/>
      <x:c r="S127" s="373"/>
      <x:c r="T127" s="373"/>
      <x:c r="U127" s="373"/>
      <x:c r="V127" s="373"/>
      <x:c r="W127" s="373"/>
      <x:c r="X127" s="373"/>
      <x:c r="Y127" s="373"/>
      <x:c r="Z127" s="373"/>
    </x:row>
    <x:row r="128">
      <x:c r="A128" s="373"/>
      <x:c r="B128" s="373"/>
      <x:c r="C128" s="373"/>
      <x:c r="D128" s="373"/>
      <x:c r="E128" s="373"/>
      <x:c r="F128" s="373"/>
      <x:c r="G128" s="373"/>
      <x:c r="H128" s="373"/>
      <x:c r="I128" s="373"/>
      <x:c r="J128" s="373"/>
      <x:c r="K128" s="373"/>
      <x:c r="L128" s="373"/>
      <x:c r="M128" s="373"/>
      <x:c r="N128" s="373"/>
      <x:c r="O128" s="373"/>
      <x:c r="P128" s="373"/>
      <x:c r="Q128" s="373"/>
      <x:c r="R128" s="373"/>
      <x:c r="S128" s="373"/>
      <x:c r="T128" s="373"/>
      <x:c r="U128" s="373"/>
      <x:c r="V128" s="373"/>
      <x:c r="W128" s="373"/>
      <x:c r="X128" s="373"/>
      <x:c r="Y128" s="373"/>
      <x:c r="Z128" s="373"/>
    </x:row>
    <x:row r="129">
      <x:c r="A129" s="373"/>
      <x:c r="B129" s="373"/>
      <x:c r="C129" s="373"/>
      <x:c r="D129" s="373"/>
      <x:c r="E129" s="373"/>
      <x:c r="F129" s="373"/>
      <x:c r="G129" s="373"/>
      <x:c r="H129" s="373"/>
      <x:c r="I129" s="373"/>
      <x:c r="J129" s="373"/>
      <x:c r="K129" s="373"/>
      <x:c r="L129" s="373"/>
      <x:c r="M129" s="373"/>
      <x:c r="N129" s="373"/>
      <x:c r="O129" s="373"/>
      <x:c r="P129" s="373"/>
      <x:c r="Q129" s="373"/>
      <x:c r="R129" s="373"/>
      <x:c r="S129" s="373"/>
      <x:c r="T129" s="373"/>
      <x:c r="U129" s="373"/>
      <x:c r="V129" s="373"/>
      <x:c r="W129" s="373"/>
      <x:c r="X129" s="373"/>
      <x:c r="Y129" s="373"/>
      <x:c r="Z129" s="373"/>
    </x:row>
    <x:row r="130">
      <x:c r="A130" s="373"/>
      <x:c r="B130" s="373"/>
      <x:c r="C130" s="373"/>
      <x:c r="D130" s="373"/>
      <x:c r="E130" s="373"/>
      <x:c r="F130" s="373"/>
      <x:c r="G130" s="373"/>
      <x:c r="H130" s="373"/>
      <x:c r="I130" s="373"/>
      <x:c r="J130" s="373"/>
      <x:c r="K130" s="373"/>
      <x:c r="L130" s="373"/>
      <x:c r="M130" s="373"/>
      <x:c r="N130" s="373"/>
      <x:c r="O130" s="373"/>
      <x:c r="P130" s="373"/>
      <x:c r="Q130" s="373"/>
      <x:c r="R130" s="373"/>
      <x:c r="S130" s="373"/>
      <x:c r="T130" s="373"/>
      <x:c r="U130" s="373"/>
      <x:c r="V130" s="373"/>
      <x:c r="W130" s="373"/>
      <x:c r="X130" s="373"/>
      <x:c r="Y130" s="373"/>
      <x:c r="Z130" s="373"/>
    </x:row>
    <x:row r="131">
      <x:c r="A131" s="373"/>
      <x:c r="B131" s="373"/>
      <x:c r="C131" s="373"/>
      <x:c r="D131" s="373"/>
      <x:c r="E131" s="373"/>
      <x:c r="F131" s="373"/>
      <x:c r="G131" s="373"/>
      <x:c r="H131" s="373"/>
      <x:c r="I131" s="373"/>
      <x:c r="J131" s="373"/>
      <x:c r="K131" s="373"/>
      <x:c r="L131" s="373"/>
      <x:c r="M131" s="373"/>
      <x:c r="N131" s="373"/>
      <x:c r="O131" s="373"/>
      <x:c r="P131" s="373"/>
      <x:c r="Q131" s="373"/>
      <x:c r="R131" s="373"/>
      <x:c r="S131" s="373"/>
      <x:c r="T131" s="373"/>
      <x:c r="U131" s="373"/>
      <x:c r="V131" s="373"/>
      <x:c r="W131" s="373"/>
      <x:c r="X131" s="373"/>
      <x:c r="Y131" s="373"/>
      <x:c r="Z131" s="373"/>
    </x:row>
    <x:row r="132">
      <x:c r="A132" s="373"/>
      <x:c r="B132" s="373"/>
      <x:c r="C132" s="373"/>
      <x:c r="D132" s="373"/>
      <x:c r="E132" s="373"/>
      <x:c r="F132" s="373"/>
      <x:c r="G132" s="373"/>
      <x:c r="H132" s="373"/>
      <x:c r="I132" s="373"/>
      <x:c r="J132" s="373"/>
      <x:c r="K132" s="373"/>
      <x:c r="L132" s="373"/>
      <x:c r="M132" s="373"/>
      <x:c r="N132" s="373"/>
      <x:c r="O132" s="373"/>
      <x:c r="P132" s="373"/>
      <x:c r="Q132" s="373"/>
      <x:c r="R132" s="373"/>
      <x:c r="S132" s="373"/>
      <x:c r="T132" s="373"/>
      <x:c r="U132" s="373"/>
      <x:c r="V132" s="373"/>
      <x:c r="W132" s="373"/>
      <x:c r="X132" s="373"/>
      <x:c r="Y132" s="373"/>
      <x:c r="Z132" s="373"/>
    </x:row>
    <x:row r="133">
      <x:c r="A133" s="373"/>
      <x:c r="B133" s="373"/>
      <x:c r="C133" s="373"/>
      <x:c r="D133" s="373"/>
      <x:c r="E133" s="373"/>
      <x:c r="F133" s="373"/>
      <x:c r="G133" s="373"/>
      <x:c r="H133" s="373"/>
      <x:c r="I133" s="373"/>
      <x:c r="J133" s="373"/>
      <x:c r="K133" s="373"/>
      <x:c r="L133" s="373"/>
      <x:c r="M133" s="373"/>
      <x:c r="N133" s="373"/>
      <x:c r="O133" s="373"/>
      <x:c r="P133" s="373"/>
      <x:c r="Q133" s="373"/>
      <x:c r="R133" s="373"/>
      <x:c r="S133" s="373"/>
      <x:c r="T133" s="373"/>
      <x:c r="U133" s="373"/>
      <x:c r="V133" s="373"/>
      <x:c r="W133" s="373"/>
      <x:c r="X133" s="373"/>
      <x:c r="Y133" s="373"/>
      <x:c r="Z133" s="373"/>
    </x:row>
    <x:row r="134">
      <x:c r="A134" s="373"/>
      <x:c r="B134" s="373"/>
      <x:c r="C134" s="373"/>
      <x:c r="D134" s="373"/>
      <x:c r="E134" s="373"/>
      <x:c r="F134" s="373"/>
      <x:c r="G134" s="373"/>
      <x:c r="H134" s="373"/>
      <x:c r="I134" s="373"/>
      <x:c r="J134" s="373"/>
      <x:c r="K134" s="373"/>
      <x:c r="L134" s="373"/>
      <x:c r="M134" s="373"/>
      <x:c r="N134" s="373"/>
      <x:c r="O134" s="373"/>
      <x:c r="P134" s="373"/>
      <x:c r="Q134" s="373"/>
      <x:c r="R134" s="373"/>
      <x:c r="S134" s="373"/>
      <x:c r="T134" s="373"/>
      <x:c r="U134" s="373"/>
      <x:c r="V134" s="373"/>
      <x:c r="W134" s="373"/>
      <x:c r="X134" s="373"/>
      <x:c r="Y134" s="373"/>
      <x:c r="Z134" s="373"/>
    </x:row>
    <x:row r="135">
      <x:c r="A135" s="373"/>
      <x:c r="B135" s="373"/>
      <x:c r="C135" s="373"/>
      <x:c r="D135" s="373"/>
      <x:c r="E135" s="373"/>
      <x:c r="F135" s="373"/>
      <x:c r="G135" s="373"/>
      <x:c r="H135" s="373"/>
      <x:c r="I135" s="373"/>
      <x:c r="J135" s="373"/>
      <x:c r="K135" s="373"/>
      <x:c r="L135" s="373"/>
      <x:c r="M135" s="373"/>
      <x:c r="N135" s="373"/>
      <x:c r="O135" s="373"/>
      <x:c r="P135" s="373"/>
      <x:c r="Q135" s="373"/>
      <x:c r="R135" s="373"/>
      <x:c r="S135" s="373"/>
      <x:c r="T135" s="373"/>
      <x:c r="U135" s="373"/>
      <x:c r="V135" s="373"/>
      <x:c r="W135" s="373"/>
      <x:c r="X135" s="373"/>
      <x:c r="Y135" s="373"/>
      <x:c r="Z135" s="373"/>
    </x:row>
    <x:row r="136">
      <x:c r="A136" s="373"/>
      <x:c r="B136" s="373"/>
      <x:c r="C136" s="373"/>
      <x:c r="D136" s="373"/>
      <x:c r="E136" s="373"/>
      <x:c r="F136" s="373"/>
      <x:c r="G136" s="373"/>
      <x:c r="H136" s="373"/>
      <x:c r="I136" s="373"/>
      <x:c r="J136" s="373"/>
      <x:c r="K136" s="373"/>
      <x:c r="L136" s="373"/>
      <x:c r="M136" s="373"/>
      <x:c r="N136" s="373"/>
      <x:c r="O136" s="373"/>
      <x:c r="P136" s="373"/>
      <x:c r="Q136" s="373"/>
      <x:c r="R136" s="373"/>
      <x:c r="S136" s="373"/>
      <x:c r="T136" s="373"/>
      <x:c r="U136" s="373"/>
      <x:c r="V136" s="373"/>
      <x:c r="W136" s="373"/>
      <x:c r="X136" s="373"/>
      <x:c r="Y136" s="373"/>
      <x:c r="Z136" s="373"/>
    </x:row>
    <x:row r="137">
      <x:c r="A137" s="373"/>
      <x:c r="B137" s="373"/>
      <x:c r="C137" s="373"/>
      <x:c r="D137" s="373"/>
      <x:c r="E137" s="373"/>
      <x:c r="F137" s="373"/>
      <x:c r="G137" s="373"/>
      <x:c r="H137" s="373"/>
      <x:c r="I137" s="373"/>
      <x:c r="J137" s="373"/>
      <x:c r="K137" s="373"/>
      <x:c r="L137" s="373"/>
      <x:c r="M137" s="373"/>
      <x:c r="N137" s="373"/>
      <x:c r="O137" s="373"/>
      <x:c r="P137" s="373"/>
      <x:c r="Q137" s="373"/>
      <x:c r="R137" s="373"/>
      <x:c r="S137" s="373"/>
      <x:c r="T137" s="373"/>
      <x:c r="U137" s="373"/>
      <x:c r="V137" s="373"/>
      <x:c r="W137" s="373"/>
      <x:c r="X137" s="373"/>
      <x:c r="Y137" s="373"/>
      <x:c r="Z137" s="373"/>
    </x:row>
    <x:row r="138">
      <x:c r="A138" s="373"/>
      <x:c r="B138" s="373"/>
      <x:c r="C138" s="373"/>
      <x:c r="D138" s="373"/>
      <x:c r="E138" s="373"/>
      <x:c r="F138" s="373"/>
      <x:c r="G138" s="373"/>
      <x:c r="H138" s="373"/>
      <x:c r="I138" s="373"/>
      <x:c r="J138" s="373"/>
      <x:c r="K138" s="373"/>
      <x:c r="L138" s="373"/>
      <x:c r="M138" s="373"/>
      <x:c r="N138" s="373"/>
      <x:c r="O138" s="373"/>
      <x:c r="P138" s="373"/>
      <x:c r="Q138" s="373"/>
      <x:c r="R138" s="373"/>
      <x:c r="S138" s="373"/>
      <x:c r="T138" s="373"/>
      <x:c r="U138" s="373"/>
      <x:c r="V138" s="373"/>
      <x:c r="W138" s="373"/>
      <x:c r="X138" s="373"/>
      <x:c r="Y138" s="373"/>
      <x:c r="Z138" s="373"/>
    </x:row>
    <x:row r="139">
      <x:c r="A139" s="373"/>
      <x:c r="B139" s="373"/>
      <x:c r="C139" s="373"/>
      <x:c r="D139" s="373"/>
      <x:c r="E139" s="373"/>
      <x:c r="F139" s="373"/>
      <x:c r="G139" s="373"/>
      <x:c r="H139" s="373"/>
      <x:c r="I139" s="373"/>
      <x:c r="J139" s="373"/>
      <x:c r="K139" s="373"/>
      <x:c r="L139" s="373"/>
      <x:c r="M139" s="373"/>
      <x:c r="N139" s="373"/>
      <x:c r="O139" s="373"/>
      <x:c r="P139" s="373"/>
      <x:c r="Q139" s="373"/>
      <x:c r="R139" s="373"/>
      <x:c r="S139" s="373"/>
      <x:c r="T139" s="373"/>
      <x:c r="U139" s="373"/>
      <x:c r="V139" s="373"/>
      <x:c r="W139" s="373"/>
      <x:c r="X139" s="373"/>
      <x:c r="Y139" s="373"/>
      <x:c r="Z139" s="373"/>
    </x:row>
    <x:row r="140">
      <x:c r="A140" s="373"/>
      <x:c r="B140" s="373"/>
      <x:c r="C140" s="373"/>
      <x:c r="D140" s="373"/>
      <x:c r="E140" s="373"/>
      <x:c r="F140" s="373"/>
      <x:c r="G140" s="373"/>
      <x:c r="H140" s="373"/>
      <x:c r="I140" s="373"/>
      <x:c r="J140" s="373"/>
      <x:c r="K140" s="373"/>
      <x:c r="L140" s="373"/>
      <x:c r="M140" s="373"/>
      <x:c r="N140" s="373"/>
      <x:c r="O140" s="373"/>
      <x:c r="P140" s="373"/>
      <x:c r="Q140" s="373"/>
      <x:c r="R140" s="373"/>
      <x:c r="S140" s="373"/>
      <x:c r="T140" s="373"/>
      <x:c r="U140" s="373"/>
      <x:c r="V140" s="373"/>
      <x:c r="W140" s="373"/>
      <x:c r="X140" s="373"/>
      <x:c r="Y140" s="373"/>
      <x:c r="Z140" s="373"/>
    </x:row>
    <x:row r="141">
      <x:c r="A141" s="373"/>
      <x:c r="B141" s="373"/>
      <x:c r="C141" s="373"/>
      <x:c r="D141" s="373"/>
      <x:c r="E141" s="373"/>
      <x:c r="F141" s="373"/>
      <x:c r="G141" s="373"/>
      <x:c r="H141" s="373"/>
      <x:c r="I141" s="373"/>
      <x:c r="J141" s="373"/>
      <x:c r="K141" s="373"/>
      <x:c r="L141" s="373"/>
      <x:c r="M141" s="373"/>
      <x:c r="N141" s="373"/>
      <x:c r="O141" s="373"/>
      <x:c r="P141" s="373"/>
      <x:c r="Q141" s="373"/>
      <x:c r="R141" s="373"/>
      <x:c r="S141" s="373"/>
      <x:c r="T141" s="373"/>
      <x:c r="U141" s="373"/>
      <x:c r="V141" s="373"/>
      <x:c r="W141" s="373"/>
      <x:c r="X141" s="373"/>
      <x:c r="Y141" s="373"/>
      <x:c r="Z141" s="373"/>
    </x:row>
    <x:row r="142">
      <x:c r="A142" s="373"/>
      <x:c r="B142" s="373"/>
      <x:c r="C142" s="373"/>
      <x:c r="D142" s="373"/>
      <x:c r="E142" s="373"/>
      <x:c r="F142" s="373"/>
      <x:c r="G142" s="373"/>
      <x:c r="H142" s="373"/>
      <x:c r="I142" s="373"/>
      <x:c r="J142" s="373"/>
      <x:c r="K142" s="373"/>
      <x:c r="L142" s="373"/>
      <x:c r="M142" s="373"/>
      <x:c r="N142" s="373"/>
      <x:c r="O142" s="373"/>
      <x:c r="P142" s="373"/>
      <x:c r="Q142" s="373"/>
      <x:c r="R142" s="373"/>
      <x:c r="S142" s="373"/>
      <x:c r="T142" s="373"/>
      <x:c r="U142" s="373"/>
      <x:c r="V142" s="373"/>
      <x:c r="W142" s="373"/>
      <x:c r="X142" s="373"/>
      <x:c r="Y142" s="373"/>
      <x:c r="Z142" s="373"/>
    </x:row>
    <x:row r="143">
      <x:c r="A143" s="373"/>
      <x:c r="B143" s="373"/>
      <x:c r="C143" s="373"/>
      <x:c r="D143" s="373"/>
      <x:c r="E143" s="373"/>
      <x:c r="F143" s="373"/>
      <x:c r="G143" s="373"/>
      <x:c r="H143" s="373"/>
      <x:c r="I143" s="373"/>
      <x:c r="J143" s="373"/>
      <x:c r="K143" s="373"/>
      <x:c r="L143" s="373"/>
      <x:c r="M143" s="373"/>
      <x:c r="N143" s="373"/>
      <x:c r="O143" s="373"/>
      <x:c r="P143" s="373"/>
      <x:c r="Q143" s="373"/>
      <x:c r="R143" s="373"/>
      <x:c r="S143" s="373"/>
      <x:c r="T143" s="373"/>
      <x:c r="U143" s="373"/>
      <x:c r="V143" s="373"/>
      <x:c r="W143" s="373"/>
      <x:c r="X143" s="373"/>
      <x:c r="Y143" s="373"/>
      <x:c r="Z143" s="373"/>
    </x:row>
    <x:row r="144">
      <x:c r="A144" s="373"/>
      <x:c r="B144" s="373"/>
      <x:c r="C144" s="373"/>
      <x:c r="D144" s="373"/>
      <x:c r="E144" s="373"/>
      <x:c r="F144" s="373"/>
      <x:c r="G144" s="373"/>
      <x:c r="H144" s="373"/>
      <x:c r="I144" s="373"/>
      <x:c r="J144" s="373"/>
      <x:c r="K144" s="373"/>
      <x:c r="L144" s="373"/>
      <x:c r="M144" s="373"/>
      <x:c r="N144" s="373"/>
      <x:c r="O144" s="373"/>
      <x:c r="P144" s="373"/>
      <x:c r="Q144" s="373"/>
      <x:c r="R144" s="373"/>
      <x:c r="S144" s="373"/>
      <x:c r="T144" s="373"/>
      <x:c r="U144" s="373"/>
      <x:c r="V144" s="373"/>
      <x:c r="W144" s="373"/>
      <x:c r="X144" s="373"/>
      <x:c r="Y144" s="373"/>
      <x:c r="Z144" s="373"/>
    </x:row>
    <x:row r="145">
      <x:c r="A145" s="373"/>
      <x:c r="B145" s="373"/>
      <x:c r="C145" s="373"/>
      <x:c r="D145" s="373"/>
      <x:c r="E145" s="373"/>
      <x:c r="F145" s="373"/>
      <x:c r="G145" s="373"/>
      <x:c r="H145" s="373"/>
      <x:c r="I145" s="373"/>
      <x:c r="J145" s="373"/>
      <x:c r="K145" s="373"/>
      <x:c r="L145" s="373"/>
      <x:c r="M145" s="373"/>
      <x:c r="N145" s="373"/>
      <x:c r="O145" s="373"/>
      <x:c r="P145" s="373"/>
      <x:c r="Q145" s="373"/>
      <x:c r="R145" s="373"/>
      <x:c r="S145" s="373"/>
      <x:c r="T145" s="373"/>
      <x:c r="U145" s="373"/>
      <x:c r="V145" s="373"/>
      <x:c r="W145" s="373"/>
      <x:c r="X145" s="373"/>
      <x:c r="Y145" s="373"/>
      <x:c r="Z145" s="373"/>
    </x:row>
    <x:row r="146">
      <x:c r="A146" s="373"/>
      <x:c r="B146" s="373"/>
      <x:c r="C146" s="373"/>
      <x:c r="D146" s="373"/>
      <x:c r="E146" s="373"/>
      <x:c r="F146" s="373"/>
      <x:c r="G146" s="373"/>
      <x:c r="H146" s="373"/>
      <x:c r="I146" s="373"/>
      <x:c r="J146" s="373"/>
      <x:c r="K146" s="373"/>
      <x:c r="L146" s="373"/>
      <x:c r="M146" s="373"/>
      <x:c r="N146" s="373"/>
      <x:c r="O146" s="373"/>
      <x:c r="P146" s="373"/>
      <x:c r="Q146" s="373"/>
      <x:c r="R146" s="373"/>
      <x:c r="S146" s="373"/>
      <x:c r="T146" s="373"/>
      <x:c r="U146" s="373"/>
      <x:c r="V146" s="373"/>
      <x:c r="W146" s="373"/>
      <x:c r="X146" s="373"/>
      <x:c r="Y146" s="373"/>
      <x:c r="Z146" s="373"/>
    </x:row>
    <x:row r="147">
      <x:c r="A147" s="373"/>
      <x:c r="B147" s="373"/>
      <x:c r="C147" s="373"/>
      <x:c r="D147" s="373"/>
      <x:c r="E147" s="373"/>
      <x:c r="F147" s="373"/>
      <x:c r="G147" s="373"/>
      <x:c r="H147" s="373"/>
      <x:c r="I147" s="373"/>
      <x:c r="J147" s="373"/>
      <x:c r="K147" s="373"/>
      <x:c r="L147" s="373"/>
      <x:c r="M147" s="373"/>
      <x:c r="N147" s="373"/>
      <x:c r="O147" s="373"/>
      <x:c r="P147" s="373"/>
      <x:c r="Q147" s="373"/>
      <x:c r="R147" s="373"/>
      <x:c r="S147" s="373"/>
      <x:c r="T147" s="373"/>
      <x:c r="U147" s="373"/>
      <x:c r="V147" s="373"/>
      <x:c r="W147" s="373"/>
      <x:c r="X147" s="373"/>
      <x:c r="Y147" s="373"/>
      <x:c r="Z147" s="373"/>
    </x:row>
    <x:row r="148">
      <x:c r="A148" s="373"/>
      <x:c r="B148" s="373"/>
      <x:c r="C148" s="373"/>
      <x:c r="D148" s="373"/>
      <x:c r="E148" s="373"/>
      <x:c r="F148" s="373"/>
      <x:c r="G148" s="373"/>
      <x:c r="H148" s="373"/>
      <x:c r="I148" s="373"/>
      <x:c r="J148" s="373"/>
      <x:c r="K148" s="373"/>
      <x:c r="L148" s="373"/>
      <x:c r="M148" s="373"/>
      <x:c r="N148" s="373"/>
      <x:c r="O148" s="373"/>
      <x:c r="P148" s="373"/>
      <x:c r="Q148" s="373"/>
      <x:c r="R148" s="373"/>
      <x:c r="S148" s="373"/>
      <x:c r="T148" s="373"/>
      <x:c r="U148" s="373"/>
      <x:c r="V148" s="373"/>
      <x:c r="W148" s="373"/>
      <x:c r="X148" s="373"/>
      <x:c r="Y148" s="373"/>
      <x:c r="Z148" s="373"/>
    </x:row>
    <x:row r="149">
      <x:c r="A149" s="373"/>
      <x:c r="B149" s="373"/>
      <x:c r="C149" s="373"/>
      <x:c r="D149" s="373"/>
      <x:c r="E149" s="373"/>
      <x:c r="F149" s="373"/>
      <x:c r="G149" s="373"/>
      <x:c r="H149" s="373"/>
      <x:c r="I149" s="373"/>
      <x:c r="J149" s="373"/>
      <x:c r="K149" s="373"/>
      <x:c r="L149" s="373"/>
      <x:c r="M149" s="373"/>
      <x:c r="N149" s="373"/>
      <x:c r="O149" s="373"/>
      <x:c r="P149" s="373"/>
      <x:c r="Q149" s="373"/>
      <x:c r="R149" s="373"/>
      <x:c r="S149" s="373"/>
      <x:c r="T149" s="373"/>
      <x:c r="U149" s="373"/>
      <x:c r="V149" s="373"/>
      <x:c r="W149" s="373"/>
      <x:c r="X149" s="373"/>
      <x:c r="Y149" s="373"/>
      <x:c r="Z149" s="373"/>
    </x:row>
    <x:row r="150">
      <x:c r="A150" s="373"/>
      <x:c r="B150" s="373"/>
      <x:c r="C150" s="373"/>
      <x:c r="D150" s="373"/>
      <x:c r="E150" s="373"/>
      <x:c r="F150" s="373"/>
      <x:c r="G150" s="373"/>
      <x:c r="H150" s="373"/>
      <x:c r="I150" s="373"/>
      <x:c r="J150" s="373"/>
      <x:c r="K150" s="373"/>
      <x:c r="L150" s="373"/>
      <x:c r="M150" s="373"/>
      <x:c r="N150" s="373"/>
      <x:c r="O150" s="373"/>
      <x:c r="P150" s="373"/>
      <x:c r="Q150" s="373"/>
      <x:c r="R150" s="373"/>
      <x:c r="S150" s="373"/>
      <x:c r="T150" s="373"/>
      <x:c r="U150" s="373"/>
      <x:c r="V150" s="373"/>
      <x:c r="W150" s="373"/>
      <x:c r="X150" s="373"/>
      <x:c r="Y150" s="373"/>
      <x:c r="Z150" s="373"/>
    </x:row>
    <x:row r="151">
      <x:c r="A151" s="373"/>
      <x:c r="B151" s="373"/>
      <x:c r="C151" s="373"/>
      <x:c r="D151" s="373"/>
      <x:c r="E151" s="373"/>
      <x:c r="F151" s="373"/>
      <x:c r="G151" s="373"/>
      <x:c r="H151" s="373"/>
      <x:c r="I151" s="373"/>
      <x:c r="J151" s="373"/>
      <x:c r="K151" s="373"/>
      <x:c r="L151" s="373"/>
      <x:c r="M151" s="373"/>
      <x:c r="N151" s="373"/>
      <x:c r="O151" s="373"/>
      <x:c r="P151" s="373"/>
      <x:c r="Q151" s="373"/>
      <x:c r="R151" s="373"/>
      <x:c r="S151" s="373"/>
      <x:c r="T151" s="373"/>
      <x:c r="U151" s="373"/>
      <x:c r="V151" s="373"/>
      <x:c r="W151" s="373"/>
      <x:c r="X151" s="373"/>
      <x:c r="Y151" s="373"/>
      <x:c r="Z151" s="373"/>
    </x:row>
    <x:row r="152">
      <x:c r="A152" s="373"/>
      <x:c r="B152" s="373"/>
      <x:c r="C152" s="373"/>
      <x:c r="D152" s="373"/>
      <x:c r="E152" s="373"/>
      <x:c r="F152" s="373"/>
      <x:c r="G152" s="373"/>
      <x:c r="H152" s="373"/>
      <x:c r="I152" s="373"/>
      <x:c r="J152" s="373"/>
      <x:c r="K152" s="373"/>
      <x:c r="L152" s="373"/>
      <x:c r="M152" s="373"/>
      <x:c r="N152" s="373"/>
      <x:c r="O152" s="373"/>
      <x:c r="P152" s="373"/>
      <x:c r="Q152" s="373"/>
      <x:c r="R152" s="373"/>
      <x:c r="S152" s="373"/>
      <x:c r="T152" s="373"/>
      <x:c r="U152" s="373"/>
      <x:c r="V152" s="373"/>
      <x:c r="W152" s="373"/>
      <x:c r="X152" s="373"/>
      <x:c r="Y152" s="373"/>
      <x:c r="Z152" s="373"/>
    </x:row>
    <x:row r="153">
      <x:c r="A153" s="373"/>
      <x:c r="B153" s="373"/>
      <x:c r="C153" s="373"/>
      <x:c r="D153" s="373"/>
      <x:c r="E153" s="373"/>
      <x:c r="F153" s="373"/>
      <x:c r="G153" s="373"/>
      <x:c r="H153" s="373"/>
      <x:c r="I153" s="373"/>
      <x:c r="J153" s="373"/>
      <x:c r="K153" s="373"/>
      <x:c r="L153" s="373"/>
      <x:c r="M153" s="373"/>
      <x:c r="N153" s="373"/>
      <x:c r="O153" s="373"/>
      <x:c r="P153" s="373"/>
      <x:c r="Q153" s="373"/>
      <x:c r="R153" s="373"/>
      <x:c r="S153" s="373"/>
      <x:c r="T153" s="373"/>
      <x:c r="U153" s="373"/>
      <x:c r="V153" s="373"/>
      <x:c r="W153" s="373"/>
      <x:c r="X153" s="373"/>
      <x:c r="Y153" s="373"/>
      <x:c r="Z153" s="373"/>
    </x:row>
    <x:row r="154">
      <x:c r="A154" s="373"/>
      <x:c r="B154" s="373"/>
      <x:c r="C154" s="373"/>
      <x:c r="D154" s="373"/>
      <x:c r="E154" s="373"/>
      <x:c r="F154" s="373"/>
      <x:c r="G154" s="373"/>
      <x:c r="H154" s="373"/>
      <x:c r="I154" s="373"/>
      <x:c r="J154" s="373"/>
      <x:c r="K154" s="373"/>
      <x:c r="L154" s="373"/>
      <x:c r="M154" s="373"/>
      <x:c r="N154" s="373"/>
      <x:c r="O154" s="373"/>
      <x:c r="P154" s="373"/>
      <x:c r="Q154" s="373"/>
      <x:c r="R154" s="373"/>
      <x:c r="S154" s="373"/>
      <x:c r="T154" s="373"/>
      <x:c r="U154" s="373"/>
      <x:c r="V154" s="373"/>
      <x:c r="W154" s="373"/>
      <x:c r="X154" s="373"/>
      <x:c r="Y154" s="373"/>
      <x:c r="Z154" s="373"/>
    </x:row>
    <x:row r="155">
      <x:c r="A155" s="373"/>
      <x:c r="B155" s="373"/>
      <x:c r="C155" s="373"/>
      <x:c r="D155" s="373"/>
      <x:c r="E155" s="373"/>
      <x:c r="F155" s="373"/>
      <x:c r="G155" s="373"/>
      <x:c r="H155" s="373"/>
      <x:c r="I155" s="373"/>
      <x:c r="J155" s="373"/>
      <x:c r="K155" s="373"/>
      <x:c r="L155" s="373"/>
      <x:c r="M155" s="373"/>
      <x:c r="N155" s="373"/>
      <x:c r="O155" s="373"/>
      <x:c r="P155" s="373"/>
      <x:c r="Q155" s="373"/>
      <x:c r="R155" s="373"/>
      <x:c r="S155" s="373"/>
      <x:c r="T155" s="373"/>
      <x:c r="U155" s="373"/>
      <x:c r="V155" s="373"/>
      <x:c r="W155" s="373"/>
      <x:c r="X155" s="373"/>
      <x:c r="Y155" s="373"/>
      <x:c r="Z155" s="373"/>
    </x:row>
    <x:row r="156">
      <x:c r="A156" s="373"/>
      <x:c r="B156" s="373"/>
      <x:c r="C156" s="373"/>
      <x:c r="D156" s="373"/>
      <x:c r="E156" s="373"/>
      <x:c r="F156" s="373"/>
      <x:c r="G156" s="373"/>
      <x:c r="H156" s="373"/>
      <x:c r="I156" s="373"/>
      <x:c r="J156" s="373"/>
      <x:c r="K156" s="373"/>
      <x:c r="L156" s="373"/>
      <x:c r="M156" s="373"/>
      <x:c r="N156" s="373"/>
      <x:c r="O156" s="373"/>
      <x:c r="P156" s="373"/>
      <x:c r="Q156" s="373"/>
      <x:c r="R156" s="373"/>
      <x:c r="S156" s="373"/>
      <x:c r="T156" s="373"/>
      <x:c r="U156" s="373"/>
      <x:c r="V156" s="373"/>
      <x:c r="W156" s="373"/>
      <x:c r="X156" s="373"/>
      <x:c r="Y156" s="373"/>
      <x:c r="Z156" s="373"/>
    </x:row>
    <x:row r="157">
      <x:c r="A157" s="373"/>
      <x:c r="B157" s="373"/>
      <x:c r="C157" s="373"/>
      <x:c r="D157" s="373"/>
      <x:c r="E157" s="373"/>
      <x:c r="F157" s="373"/>
      <x:c r="G157" s="373"/>
      <x:c r="H157" s="373"/>
      <x:c r="I157" s="373"/>
      <x:c r="J157" s="373"/>
      <x:c r="K157" s="373"/>
      <x:c r="L157" s="373"/>
      <x:c r="M157" s="373"/>
      <x:c r="N157" s="373"/>
      <x:c r="O157" s="373"/>
      <x:c r="P157" s="373"/>
      <x:c r="Q157" s="373"/>
      <x:c r="R157" s="373"/>
      <x:c r="S157" s="373"/>
      <x:c r="T157" s="373"/>
      <x:c r="U157" s="373"/>
      <x:c r="V157" s="373"/>
      <x:c r="W157" s="373"/>
      <x:c r="X157" s="373"/>
      <x:c r="Y157" s="373"/>
      <x:c r="Z157" s="373"/>
    </x:row>
    <x:row r="158">
      <x:c r="A158" s="373"/>
      <x:c r="B158" s="373"/>
      <x:c r="C158" s="373"/>
      <x:c r="D158" s="373"/>
      <x:c r="E158" s="373"/>
      <x:c r="F158" s="373"/>
      <x:c r="G158" s="373"/>
      <x:c r="H158" s="373"/>
      <x:c r="I158" s="373"/>
      <x:c r="J158" s="373"/>
      <x:c r="K158" s="373"/>
      <x:c r="L158" s="373"/>
      <x:c r="M158" s="373"/>
      <x:c r="N158" s="373"/>
      <x:c r="O158" s="373"/>
      <x:c r="P158" s="373"/>
      <x:c r="Q158" s="373"/>
      <x:c r="R158" s="373"/>
      <x:c r="S158" s="373"/>
      <x:c r="T158" s="373"/>
      <x:c r="U158" s="373"/>
      <x:c r="V158" s="373"/>
      <x:c r="W158" s="373"/>
      <x:c r="X158" s="373"/>
      <x:c r="Y158" s="373"/>
      <x:c r="Z158" s="373"/>
    </x:row>
    <x:row r="159">
      <x:c r="A159" s="373"/>
      <x:c r="B159" s="373"/>
      <x:c r="C159" s="373"/>
      <x:c r="D159" s="373"/>
      <x:c r="E159" s="373"/>
      <x:c r="F159" s="373"/>
      <x:c r="G159" s="373"/>
      <x:c r="H159" s="373"/>
      <x:c r="I159" s="373"/>
      <x:c r="J159" s="373"/>
      <x:c r="K159" s="373"/>
      <x:c r="L159" s="373"/>
      <x:c r="M159" s="373"/>
      <x:c r="N159" s="373"/>
      <x:c r="O159" s="373"/>
      <x:c r="P159" s="373"/>
      <x:c r="Q159" s="373"/>
      <x:c r="R159" s="373"/>
      <x:c r="S159" s="373"/>
      <x:c r="T159" s="373"/>
      <x:c r="U159" s="373"/>
      <x:c r="V159" s="373"/>
      <x:c r="W159" s="373"/>
      <x:c r="X159" s="373"/>
      <x:c r="Y159" s="373"/>
      <x:c r="Z159" s="373"/>
    </x:row>
    <x:row r="160">
      <x:c r="A160" s="373"/>
      <x:c r="B160" s="373"/>
      <x:c r="C160" s="373"/>
      <x:c r="D160" s="373"/>
      <x:c r="E160" s="373"/>
      <x:c r="F160" s="373"/>
      <x:c r="G160" s="373"/>
      <x:c r="H160" s="373"/>
      <x:c r="I160" s="373"/>
      <x:c r="J160" s="373"/>
      <x:c r="K160" s="373"/>
      <x:c r="L160" s="373"/>
      <x:c r="M160" s="373"/>
      <x:c r="N160" s="373"/>
      <x:c r="O160" s="373"/>
      <x:c r="P160" s="373"/>
      <x:c r="Q160" s="373"/>
      <x:c r="R160" s="373"/>
      <x:c r="S160" s="373"/>
      <x:c r="T160" s="373"/>
      <x:c r="U160" s="373"/>
      <x:c r="V160" s="373"/>
      <x:c r="W160" s="373"/>
      <x:c r="X160" s="373"/>
      <x:c r="Y160" s="373"/>
      <x:c r="Z160" s="373"/>
    </x:row>
    <x:row r="161">
      <x:c r="A161" s="373"/>
      <x:c r="B161" s="373"/>
      <x:c r="C161" s="373"/>
      <x:c r="D161" s="373"/>
      <x:c r="E161" s="373"/>
      <x:c r="F161" s="373"/>
      <x:c r="G161" s="373"/>
      <x:c r="H161" s="373"/>
      <x:c r="I161" s="373"/>
      <x:c r="J161" s="373"/>
      <x:c r="K161" s="373"/>
      <x:c r="L161" s="373"/>
      <x:c r="M161" s="373"/>
      <x:c r="N161" s="373"/>
      <x:c r="O161" s="373"/>
      <x:c r="P161" s="373"/>
      <x:c r="Q161" s="373"/>
      <x:c r="R161" s="373"/>
      <x:c r="S161" s="373"/>
      <x:c r="T161" s="373"/>
      <x:c r="U161" s="373"/>
      <x:c r="V161" s="373"/>
      <x:c r="W161" s="373"/>
      <x:c r="X161" s="373"/>
      <x:c r="Y161" s="373"/>
      <x:c r="Z161" s="373"/>
    </x:row>
    <x:row r="162">
      <x:c r="A162" s="373"/>
      <x:c r="B162" s="373"/>
      <x:c r="C162" s="373"/>
      <x:c r="D162" s="373"/>
      <x:c r="E162" s="373"/>
      <x:c r="F162" s="373"/>
      <x:c r="G162" s="373"/>
      <x:c r="H162" s="373"/>
      <x:c r="I162" s="373"/>
      <x:c r="J162" s="373"/>
      <x:c r="K162" s="373"/>
      <x:c r="L162" s="373"/>
      <x:c r="M162" s="373"/>
      <x:c r="N162" s="373"/>
      <x:c r="O162" s="373"/>
      <x:c r="P162" s="373"/>
      <x:c r="Q162" s="373"/>
      <x:c r="R162" s="373"/>
      <x:c r="S162" s="373"/>
      <x:c r="T162" s="373"/>
      <x:c r="U162" s="373"/>
      <x:c r="V162" s="373"/>
      <x:c r="W162" s="373"/>
      <x:c r="X162" s="373"/>
      <x:c r="Y162" s="373"/>
      <x:c r="Z162" s="373"/>
    </x:row>
    <x:row r="163">
      <x:c r="A163" s="373"/>
      <x:c r="B163" s="373"/>
      <x:c r="C163" s="373"/>
      <x:c r="D163" s="373"/>
      <x:c r="E163" s="373"/>
      <x:c r="F163" s="373"/>
      <x:c r="G163" s="373"/>
      <x:c r="H163" s="373"/>
      <x:c r="I163" s="373"/>
      <x:c r="J163" s="373"/>
      <x:c r="K163" s="373"/>
      <x:c r="L163" s="373"/>
      <x:c r="M163" s="373"/>
      <x:c r="N163" s="373"/>
      <x:c r="O163" s="373"/>
      <x:c r="P163" s="373"/>
      <x:c r="Q163" s="373"/>
      <x:c r="R163" s="373"/>
      <x:c r="S163" s="373"/>
      <x:c r="T163" s="373"/>
      <x:c r="U163" s="373"/>
      <x:c r="V163" s="373"/>
      <x:c r="W163" s="373"/>
      <x:c r="X163" s="373"/>
      <x:c r="Y163" s="373"/>
      <x:c r="Z163" s="373"/>
    </x:row>
    <x:row r="164">
      <x:c r="A164" s="373"/>
      <x:c r="B164" s="373"/>
      <x:c r="C164" s="373"/>
      <x:c r="D164" s="373"/>
      <x:c r="E164" s="373"/>
      <x:c r="F164" s="373"/>
      <x:c r="G164" s="373"/>
      <x:c r="H164" s="373"/>
      <x:c r="I164" s="373"/>
      <x:c r="J164" s="373"/>
      <x:c r="K164" s="373"/>
      <x:c r="L164" s="373"/>
      <x:c r="M164" s="373"/>
      <x:c r="N164" s="373"/>
      <x:c r="O164" s="373"/>
      <x:c r="P164" s="373"/>
      <x:c r="Q164" s="373"/>
      <x:c r="R164" s="373"/>
      <x:c r="S164" s="373"/>
      <x:c r="T164" s="373"/>
      <x:c r="U164" s="373"/>
      <x:c r="V164" s="373"/>
      <x:c r="W164" s="373"/>
      <x:c r="X164" s="373"/>
      <x:c r="Y164" s="373"/>
      <x:c r="Z164" s="373"/>
    </x:row>
    <x:row r="165">
      <x:c r="A165" s="373"/>
      <x:c r="B165" s="373"/>
      <x:c r="C165" s="373"/>
      <x:c r="D165" s="373"/>
      <x:c r="E165" s="373"/>
      <x:c r="F165" s="373"/>
      <x:c r="G165" s="373"/>
      <x:c r="H165" s="373"/>
      <x:c r="I165" s="373"/>
      <x:c r="J165" s="373"/>
      <x:c r="K165" s="373"/>
      <x:c r="L165" s="373"/>
      <x:c r="M165" s="373"/>
      <x:c r="N165" s="373"/>
      <x:c r="O165" s="373"/>
      <x:c r="P165" s="373"/>
      <x:c r="Q165" s="373"/>
      <x:c r="R165" s="373"/>
      <x:c r="S165" s="373"/>
      <x:c r="T165" s="373"/>
      <x:c r="U165" s="373"/>
      <x:c r="V165" s="373"/>
      <x:c r="W165" s="373"/>
      <x:c r="X165" s="373"/>
      <x:c r="Y165" s="373"/>
      <x:c r="Z165" s="373"/>
    </x:row>
    <x:row r="166">
      <x:c r="A166" s="373"/>
      <x:c r="B166" s="373"/>
      <x:c r="C166" s="373"/>
      <x:c r="D166" s="373"/>
      <x:c r="E166" s="373"/>
      <x:c r="F166" s="373"/>
      <x:c r="G166" s="373"/>
      <x:c r="H166" s="373"/>
      <x:c r="I166" s="373"/>
      <x:c r="J166" s="373"/>
      <x:c r="K166" s="373"/>
      <x:c r="L166" s="373"/>
      <x:c r="M166" s="373"/>
      <x:c r="N166" s="373"/>
      <x:c r="O166" s="373"/>
      <x:c r="P166" s="373"/>
      <x:c r="Q166" s="373"/>
      <x:c r="R166" s="373"/>
      <x:c r="S166" s="373"/>
      <x:c r="T166" s="373"/>
      <x:c r="U166" s="373"/>
      <x:c r="V166" s="373"/>
      <x:c r="W166" s="373"/>
      <x:c r="X166" s="373"/>
      <x:c r="Y166" s="373"/>
      <x:c r="Z166" s="373"/>
    </x:row>
    <x:row r="167">
      <x:c r="A167" s="373"/>
      <x:c r="B167" s="373"/>
      <x:c r="C167" s="373"/>
      <x:c r="D167" s="373"/>
      <x:c r="E167" s="373"/>
      <x:c r="F167" s="373"/>
      <x:c r="G167" s="373"/>
      <x:c r="H167" s="373"/>
      <x:c r="I167" s="373"/>
      <x:c r="J167" s="373"/>
      <x:c r="K167" s="373"/>
      <x:c r="L167" s="373"/>
      <x:c r="M167" s="373"/>
      <x:c r="N167" s="373"/>
      <x:c r="O167" s="373"/>
      <x:c r="P167" s="373"/>
      <x:c r="Q167" s="373"/>
      <x:c r="R167" s="373"/>
      <x:c r="S167" s="373"/>
      <x:c r="T167" s="373"/>
      <x:c r="U167" s="373"/>
      <x:c r="V167" s="373"/>
      <x:c r="W167" s="373"/>
      <x:c r="X167" s="373"/>
      <x:c r="Y167" s="373"/>
      <x:c r="Z167" s="373"/>
    </x:row>
    <x:row r="168">
      <x:c r="A168" s="373"/>
      <x:c r="B168" s="373"/>
      <x:c r="C168" s="373"/>
      <x:c r="D168" s="373"/>
      <x:c r="E168" s="373"/>
      <x:c r="F168" s="373"/>
      <x:c r="G168" s="373"/>
      <x:c r="H168" s="373"/>
      <x:c r="I168" s="373"/>
      <x:c r="J168" s="373"/>
      <x:c r="K168" s="373"/>
      <x:c r="L168" s="373"/>
      <x:c r="M168" s="373"/>
      <x:c r="N168" s="373"/>
      <x:c r="O168" s="373"/>
      <x:c r="P168" s="373"/>
      <x:c r="Q168" s="373"/>
      <x:c r="R168" s="373"/>
      <x:c r="S168" s="373"/>
      <x:c r="T168" s="373"/>
      <x:c r="U168" s="373"/>
      <x:c r="V168" s="373"/>
      <x:c r="W168" s="373"/>
      <x:c r="X168" s="373"/>
      <x:c r="Y168" s="373"/>
      <x:c r="Z168" s="373"/>
    </x:row>
    <x:row r="169">
      <x:c r="A169" s="373"/>
      <x:c r="B169" s="373"/>
      <x:c r="C169" s="373"/>
      <x:c r="D169" s="373"/>
      <x:c r="E169" s="373"/>
      <x:c r="F169" s="373"/>
      <x:c r="G169" s="373"/>
      <x:c r="H169" s="373"/>
      <x:c r="I169" s="373"/>
      <x:c r="J169" s="373"/>
      <x:c r="K169" s="373"/>
      <x:c r="L169" s="373"/>
      <x:c r="M169" s="373"/>
      <x:c r="N169" s="373"/>
      <x:c r="O169" s="373"/>
      <x:c r="P169" s="373"/>
      <x:c r="Q169" s="373"/>
      <x:c r="R169" s="373"/>
      <x:c r="S169" s="373"/>
      <x:c r="T169" s="373"/>
      <x:c r="U169" s="373"/>
      <x:c r="V169" s="373"/>
      <x:c r="W169" s="373"/>
      <x:c r="X169" s="373"/>
      <x:c r="Y169" s="373"/>
      <x:c r="Z169" s="373"/>
    </x:row>
    <x:row r="170">
      <x:c r="A170" s="373"/>
      <x:c r="B170" s="373"/>
      <x:c r="C170" s="373"/>
      <x:c r="D170" s="373"/>
      <x:c r="E170" s="373"/>
      <x:c r="F170" s="373"/>
      <x:c r="G170" s="373"/>
      <x:c r="H170" s="373"/>
      <x:c r="I170" s="373"/>
      <x:c r="J170" s="373"/>
      <x:c r="K170" s="373"/>
      <x:c r="L170" s="373"/>
      <x:c r="M170" s="373"/>
      <x:c r="N170" s="373"/>
      <x:c r="O170" s="373"/>
      <x:c r="P170" s="373"/>
      <x:c r="Q170" s="373"/>
      <x:c r="R170" s="373"/>
      <x:c r="S170" s="373"/>
      <x:c r="T170" s="373"/>
      <x:c r="U170" s="373"/>
      <x:c r="V170" s="373"/>
      <x:c r="W170" s="373"/>
      <x:c r="X170" s="373"/>
      <x:c r="Y170" s="373"/>
      <x:c r="Z170" s="373"/>
    </x:row>
    <x:row r="171">
      <x:c r="A171" s="373"/>
      <x:c r="B171" s="373"/>
      <x:c r="C171" s="373"/>
      <x:c r="D171" s="373"/>
      <x:c r="E171" s="373"/>
      <x:c r="F171" s="373"/>
      <x:c r="G171" s="373"/>
      <x:c r="H171" s="373"/>
      <x:c r="I171" s="373"/>
      <x:c r="J171" s="373"/>
      <x:c r="K171" s="373"/>
      <x:c r="L171" s="373"/>
      <x:c r="M171" s="373"/>
      <x:c r="N171" s="373"/>
      <x:c r="O171" s="373"/>
      <x:c r="P171" s="373"/>
      <x:c r="Q171" s="373"/>
      <x:c r="R171" s="373"/>
      <x:c r="S171" s="373"/>
      <x:c r="T171" s="373"/>
      <x:c r="U171" s="373"/>
      <x:c r="V171" s="373"/>
      <x:c r="W171" s="373"/>
      <x:c r="X171" s="373"/>
      <x:c r="Y171" s="373"/>
      <x:c r="Z171" s="373"/>
    </x:row>
    <x:row r="172">
      <x:c r="A172" s="373"/>
      <x:c r="B172" s="373"/>
      <x:c r="C172" s="373"/>
      <x:c r="D172" s="373"/>
      <x:c r="E172" s="373"/>
      <x:c r="F172" s="373"/>
      <x:c r="G172" s="373"/>
      <x:c r="H172" s="373"/>
      <x:c r="I172" s="373"/>
      <x:c r="J172" s="373"/>
      <x:c r="K172" s="373"/>
      <x:c r="L172" s="373"/>
      <x:c r="M172" s="373"/>
      <x:c r="N172" s="373"/>
      <x:c r="O172" s="373"/>
      <x:c r="P172" s="373"/>
      <x:c r="Q172" s="373"/>
      <x:c r="R172" s="373"/>
      <x:c r="S172" s="373"/>
      <x:c r="T172" s="373"/>
      <x:c r="U172" s="373"/>
      <x:c r="V172" s="373"/>
      <x:c r="W172" s="373"/>
      <x:c r="X172" s="373"/>
      <x:c r="Y172" s="373"/>
      <x:c r="Z172" s="373"/>
    </x:row>
    <x:row r="173">
      <x:c r="A173" s="373"/>
      <x:c r="B173" s="373"/>
      <x:c r="C173" s="373"/>
      <x:c r="D173" s="373"/>
      <x:c r="E173" s="373"/>
      <x:c r="F173" s="373"/>
      <x:c r="G173" s="373"/>
      <x:c r="H173" s="373"/>
      <x:c r="I173" s="373"/>
      <x:c r="J173" s="373"/>
      <x:c r="K173" s="373"/>
      <x:c r="L173" s="373"/>
      <x:c r="M173" s="373"/>
      <x:c r="N173" s="373"/>
      <x:c r="O173" s="373"/>
      <x:c r="P173" s="373"/>
      <x:c r="Q173" s="373"/>
      <x:c r="R173" s="373"/>
      <x:c r="S173" s="373"/>
      <x:c r="T173" s="373"/>
      <x:c r="U173" s="373"/>
      <x:c r="V173" s="373"/>
      <x:c r="W173" s="373"/>
      <x:c r="X173" s="373"/>
      <x:c r="Y173" s="373"/>
      <x:c r="Z173" s="373"/>
    </x:row>
    <x:row r="174">
      <x:c r="A174" s="373"/>
      <x:c r="B174" s="373"/>
      <x:c r="C174" s="373"/>
      <x:c r="D174" s="373"/>
      <x:c r="E174" s="373"/>
      <x:c r="F174" s="373"/>
      <x:c r="G174" s="373"/>
      <x:c r="H174" s="373"/>
      <x:c r="I174" s="373"/>
      <x:c r="J174" s="373"/>
      <x:c r="K174" s="373"/>
      <x:c r="L174" s="373"/>
      <x:c r="M174" s="373"/>
      <x:c r="N174" s="373"/>
      <x:c r="O174" s="373"/>
      <x:c r="P174" s="373"/>
      <x:c r="Q174" s="373"/>
      <x:c r="R174" s="373"/>
      <x:c r="S174" s="373"/>
      <x:c r="T174" s="373"/>
      <x:c r="U174" s="373"/>
      <x:c r="V174" s="373"/>
      <x:c r="W174" s="373"/>
      <x:c r="X174" s="373"/>
      <x:c r="Y174" s="373"/>
      <x:c r="Z174" s="373"/>
    </x:row>
    <x:row r="175">
      <x:c r="A175" s="373"/>
      <x:c r="B175" s="373"/>
      <x:c r="C175" s="373"/>
      <x:c r="D175" s="373"/>
      <x:c r="E175" s="373"/>
      <x:c r="F175" s="373"/>
      <x:c r="G175" s="373"/>
      <x:c r="H175" s="373"/>
      <x:c r="I175" s="373"/>
      <x:c r="J175" s="373"/>
      <x:c r="K175" s="373"/>
      <x:c r="L175" s="373"/>
      <x:c r="M175" s="373"/>
      <x:c r="N175" s="373"/>
      <x:c r="O175" s="373"/>
      <x:c r="P175" s="373"/>
      <x:c r="Q175" s="373"/>
      <x:c r="R175" s="373"/>
      <x:c r="S175" s="373"/>
      <x:c r="T175" s="373"/>
      <x:c r="U175" s="373"/>
      <x:c r="V175" s="373"/>
      <x:c r="W175" s="373"/>
      <x:c r="X175" s="373"/>
      <x:c r="Y175" s="373"/>
      <x:c r="Z175" s="373"/>
    </x:row>
    <x:row r="176">
      <x:c r="A176" s="373"/>
      <x:c r="B176" s="373"/>
      <x:c r="C176" s="373"/>
      <x:c r="D176" s="373"/>
      <x:c r="E176" s="373"/>
      <x:c r="F176" s="373"/>
      <x:c r="G176" s="373"/>
      <x:c r="H176" s="373"/>
      <x:c r="I176" s="373"/>
      <x:c r="J176" s="373"/>
      <x:c r="K176" s="373"/>
      <x:c r="L176" s="373"/>
      <x:c r="M176" s="373"/>
      <x:c r="N176" s="373"/>
      <x:c r="O176" s="373"/>
      <x:c r="P176" s="373"/>
      <x:c r="Q176" s="373"/>
      <x:c r="R176" s="373"/>
      <x:c r="S176" s="373"/>
      <x:c r="T176" s="373"/>
      <x:c r="U176" s="373"/>
      <x:c r="V176" s="373"/>
      <x:c r="W176" s="373"/>
      <x:c r="X176" s="373"/>
      <x:c r="Y176" s="373"/>
      <x:c r="Z176" s="373"/>
    </x:row>
    <x:row r="177">
      <x:c r="A177" s="373"/>
      <x:c r="B177" s="373"/>
      <x:c r="C177" s="373"/>
      <x:c r="D177" s="373"/>
      <x:c r="E177" s="373"/>
      <x:c r="F177" s="373"/>
      <x:c r="G177" s="373"/>
      <x:c r="H177" s="373"/>
      <x:c r="I177" s="373"/>
      <x:c r="J177" s="373"/>
      <x:c r="K177" s="373"/>
      <x:c r="L177" s="373"/>
      <x:c r="M177" s="373"/>
      <x:c r="N177" s="373"/>
      <x:c r="O177" s="373"/>
      <x:c r="P177" s="373"/>
      <x:c r="Q177" s="373"/>
      <x:c r="R177" s="373"/>
      <x:c r="S177" s="373"/>
      <x:c r="T177" s="373"/>
      <x:c r="U177" s="373"/>
      <x:c r="V177" s="373"/>
      <x:c r="W177" s="373"/>
      <x:c r="X177" s="373"/>
      <x:c r="Y177" s="373"/>
      <x:c r="Z177" s="373"/>
    </x:row>
    <x:row r="178">
      <x:c r="A178" s="373"/>
      <x:c r="B178" s="373"/>
      <x:c r="C178" s="373"/>
      <x:c r="D178" s="373"/>
      <x:c r="E178" s="373"/>
      <x:c r="F178" s="373"/>
      <x:c r="G178" s="373"/>
      <x:c r="H178" s="373"/>
      <x:c r="I178" s="373"/>
      <x:c r="J178" s="373"/>
      <x:c r="K178" s="373"/>
      <x:c r="L178" s="373"/>
      <x:c r="M178" s="373"/>
      <x:c r="N178" s="373"/>
      <x:c r="O178" s="373"/>
      <x:c r="P178" s="373"/>
      <x:c r="Q178" s="373"/>
      <x:c r="R178" s="373"/>
      <x:c r="S178" s="373"/>
      <x:c r="T178" s="373"/>
      <x:c r="U178" s="373"/>
      <x:c r="V178" s="373"/>
      <x:c r="W178" s="373"/>
      <x:c r="X178" s="373"/>
      <x:c r="Y178" s="373"/>
      <x:c r="Z178" s="373"/>
    </x:row>
    <x:row r="179">
      <x:c r="A179" s="373"/>
      <x:c r="B179" s="373"/>
      <x:c r="C179" s="373"/>
      <x:c r="D179" s="373"/>
      <x:c r="E179" s="373"/>
      <x:c r="F179" s="373"/>
      <x:c r="G179" s="373"/>
      <x:c r="H179" s="373"/>
      <x:c r="I179" s="373"/>
      <x:c r="J179" s="373"/>
      <x:c r="K179" s="373"/>
      <x:c r="L179" s="373"/>
      <x:c r="M179" s="373"/>
      <x:c r="N179" s="373"/>
      <x:c r="O179" s="373"/>
      <x:c r="P179" s="373"/>
      <x:c r="Q179" s="373"/>
      <x:c r="R179" s="373"/>
      <x:c r="S179" s="373"/>
      <x:c r="T179" s="373"/>
      <x:c r="U179" s="373"/>
      <x:c r="V179" s="373"/>
      <x:c r="W179" s="373"/>
      <x:c r="X179" s="373"/>
      <x:c r="Y179" s="373"/>
      <x:c r="Z179" s="373"/>
    </x:row>
    <x:row r="180">
      <x:c r="A180" s="373"/>
      <x:c r="B180" s="373"/>
      <x:c r="C180" s="373"/>
      <x:c r="D180" s="373"/>
      <x:c r="E180" s="373"/>
      <x:c r="F180" s="373"/>
      <x:c r="G180" s="373"/>
      <x:c r="H180" s="373"/>
      <x:c r="I180" s="373"/>
      <x:c r="J180" s="373"/>
      <x:c r="K180" s="373"/>
      <x:c r="L180" s="373"/>
      <x:c r="M180" s="373"/>
      <x:c r="N180" s="373"/>
      <x:c r="O180" s="373"/>
      <x:c r="P180" s="373"/>
      <x:c r="Q180" s="373"/>
      <x:c r="R180" s="373"/>
      <x:c r="S180" s="373"/>
      <x:c r="T180" s="373"/>
      <x:c r="U180" s="373"/>
      <x:c r="V180" s="373"/>
      <x:c r="W180" s="373"/>
      <x:c r="X180" s="373"/>
      <x:c r="Y180" s="373"/>
      <x:c r="Z180" s="373"/>
    </x:row>
    <x:row r="181">
      <x:c r="A181" s="373"/>
      <x:c r="B181" s="373"/>
      <x:c r="C181" s="373"/>
      <x:c r="D181" s="373"/>
      <x:c r="E181" s="373"/>
      <x:c r="F181" s="373"/>
      <x:c r="G181" s="373"/>
      <x:c r="H181" s="373"/>
      <x:c r="I181" s="373"/>
      <x:c r="J181" s="373"/>
      <x:c r="K181" s="373"/>
      <x:c r="L181" s="373"/>
      <x:c r="M181" s="373"/>
      <x:c r="N181" s="373"/>
      <x:c r="O181" s="373"/>
      <x:c r="P181" s="373"/>
      <x:c r="Q181" s="373"/>
      <x:c r="R181" s="373"/>
      <x:c r="S181" s="373"/>
      <x:c r="T181" s="373"/>
      <x:c r="U181" s="373"/>
      <x:c r="V181" s="373"/>
      <x:c r="W181" s="373"/>
      <x:c r="X181" s="373"/>
      <x:c r="Y181" s="373"/>
      <x:c r="Z181" s="373"/>
    </x:row>
    <x:row r="182">
      <x:c r="A182" s="373"/>
      <x:c r="B182" s="373"/>
      <x:c r="C182" s="373"/>
      <x:c r="D182" s="373"/>
      <x:c r="E182" s="373"/>
      <x:c r="F182" s="373"/>
      <x:c r="G182" s="373"/>
      <x:c r="H182" s="373"/>
      <x:c r="I182" s="373"/>
      <x:c r="J182" s="373"/>
      <x:c r="K182" s="373"/>
      <x:c r="L182" s="373"/>
      <x:c r="M182" s="373"/>
      <x:c r="N182" s="373"/>
      <x:c r="O182" s="373"/>
      <x:c r="P182" s="373"/>
      <x:c r="Q182" s="373"/>
      <x:c r="R182" s="373"/>
      <x:c r="S182" s="373"/>
      <x:c r="T182" s="373"/>
      <x:c r="U182" s="373"/>
      <x:c r="V182" s="373"/>
      <x:c r="W182" s="373"/>
      <x:c r="X182" s="373"/>
      <x:c r="Y182" s="373"/>
      <x:c r="Z182" s="373"/>
    </x:row>
    <x:row r="183">
      <x:c r="A183" s="373"/>
      <x:c r="B183" s="373"/>
      <x:c r="C183" s="373"/>
      <x:c r="D183" s="373"/>
      <x:c r="E183" s="373"/>
      <x:c r="F183" s="373"/>
      <x:c r="G183" s="373"/>
      <x:c r="H183" s="373"/>
      <x:c r="I183" s="373"/>
      <x:c r="J183" s="373"/>
      <x:c r="K183" s="373"/>
      <x:c r="L183" s="373"/>
      <x:c r="M183" s="373"/>
      <x:c r="N183" s="373"/>
      <x:c r="O183" s="373"/>
      <x:c r="P183" s="373"/>
      <x:c r="Q183" s="373"/>
      <x:c r="R183" s="373"/>
      <x:c r="S183" s="373"/>
      <x:c r="T183" s="373"/>
      <x:c r="U183" s="373"/>
      <x:c r="V183" s="373"/>
      <x:c r="W183" s="373"/>
      <x:c r="X183" s="373"/>
      <x:c r="Y183" s="373"/>
      <x:c r="Z183" s="373"/>
    </x:row>
    <x:row r="184">
      <x:c r="A184" s="373"/>
      <x:c r="B184" s="373"/>
      <x:c r="C184" s="373"/>
      <x:c r="D184" s="373"/>
      <x:c r="E184" s="373"/>
      <x:c r="F184" s="373"/>
      <x:c r="G184" s="373"/>
      <x:c r="H184" s="373"/>
      <x:c r="I184" s="373"/>
      <x:c r="J184" s="373"/>
      <x:c r="K184" s="373"/>
      <x:c r="L184" s="373"/>
      <x:c r="M184" s="373"/>
      <x:c r="N184" s="373"/>
      <x:c r="O184" s="373"/>
      <x:c r="P184" s="373"/>
      <x:c r="Q184" s="373"/>
      <x:c r="R184" s="373"/>
      <x:c r="S184" s="373"/>
      <x:c r="T184" s="373"/>
      <x:c r="U184" s="373"/>
      <x:c r="V184" s="373"/>
      <x:c r="W184" s="373"/>
      <x:c r="X184" s="373"/>
      <x:c r="Y184" s="373"/>
      <x:c r="Z184" s="373"/>
    </x:row>
    <x:row r="185">
      <x:c r="A185" s="373"/>
      <x:c r="B185" s="373"/>
      <x:c r="C185" s="373"/>
      <x:c r="D185" s="373"/>
      <x:c r="E185" s="373"/>
      <x:c r="F185" s="373"/>
      <x:c r="G185" s="373"/>
      <x:c r="H185" s="373"/>
      <x:c r="I185" s="373"/>
      <x:c r="J185" s="373"/>
      <x:c r="K185" s="373"/>
      <x:c r="L185" s="373"/>
      <x:c r="M185" s="373"/>
      <x:c r="N185" s="373"/>
      <x:c r="O185" s="373"/>
      <x:c r="P185" s="373"/>
      <x:c r="Q185" s="373"/>
      <x:c r="R185" s="373"/>
      <x:c r="S185" s="373"/>
      <x:c r="T185" s="373"/>
      <x:c r="U185" s="373"/>
      <x:c r="V185" s="373"/>
      <x:c r="W185" s="373"/>
      <x:c r="X185" s="373"/>
      <x:c r="Y185" s="373"/>
      <x:c r="Z185" s="373"/>
    </x:row>
    <x:row r="186">
      <x:c r="A186" s="373"/>
      <x:c r="B186" s="373"/>
      <x:c r="C186" s="373"/>
      <x:c r="D186" s="373"/>
      <x:c r="E186" s="373"/>
      <x:c r="F186" s="373"/>
      <x:c r="G186" s="373"/>
      <x:c r="H186" s="373"/>
      <x:c r="I186" s="373"/>
      <x:c r="J186" s="373"/>
      <x:c r="K186" s="373"/>
      <x:c r="L186" s="373"/>
      <x:c r="M186" s="373"/>
      <x:c r="N186" s="373"/>
      <x:c r="O186" s="373"/>
      <x:c r="P186" s="373"/>
      <x:c r="Q186" s="373"/>
      <x:c r="R186" s="373"/>
      <x:c r="S186" s="373"/>
      <x:c r="T186" s="373"/>
      <x:c r="U186" s="373"/>
      <x:c r="V186" s="373"/>
      <x:c r="W186" s="373"/>
      <x:c r="X186" s="373"/>
      <x:c r="Y186" s="373"/>
      <x:c r="Z186" s="373"/>
    </x:row>
    <x:row r="187">
      <x:c r="A187" s="373"/>
      <x:c r="B187" s="373"/>
      <x:c r="C187" s="373"/>
      <x:c r="D187" s="373"/>
      <x:c r="E187" s="373"/>
      <x:c r="F187" s="373"/>
      <x:c r="G187" s="373"/>
      <x:c r="H187" s="373"/>
      <x:c r="I187" s="373"/>
      <x:c r="J187" s="373"/>
      <x:c r="K187" s="373"/>
      <x:c r="L187" s="373"/>
      <x:c r="M187" s="373"/>
      <x:c r="N187" s="373"/>
      <x:c r="O187" s="373"/>
      <x:c r="P187" s="373"/>
      <x:c r="Q187" s="373"/>
      <x:c r="R187" s="373"/>
      <x:c r="S187" s="373"/>
      <x:c r="T187" s="373"/>
      <x:c r="U187" s="373"/>
      <x:c r="V187" s="373"/>
      <x:c r="W187" s="373"/>
      <x:c r="X187" s="373"/>
      <x:c r="Y187" s="373"/>
      <x:c r="Z187" s="373"/>
    </x:row>
    <x:row r="188">
      <x:c r="A188" s="373"/>
      <x:c r="B188" s="373"/>
      <x:c r="C188" s="373"/>
      <x:c r="D188" s="373"/>
      <x:c r="E188" s="373"/>
      <x:c r="F188" s="373"/>
      <x:c r="G188" s="373"/>
      <x:c r="H188" s="373"/>
      <x:c r="I188" s="373"/>
      <x:c r="J188" s="373"/>
      <x:c r="K188" s="373"/>
      <x:c r="L188" s="373"/>
      <x:c r="M188" s="373"/>
      <x:c r="N188" s="373"/>
      <x:c r="O188" s="373"/>
      <x:c r="P188" s="373"/>
      <x:c r="Q188" s="373"/>
      <x:c r="R188" s="373"/>
      <x:c r="S188" s="373"/>
      <x:c r="T188" s="373"/>
      <x:c r="U188" s="373"/>
      <x:c r="V188" s="373"/>
      <x:c r="W188" s="373"/>
      <x:c r="X188" s="373"/>
      <x:c r="Y188" s="373"/>
      <x:c r="Z188" s="373"/>
    </x:row>
    <x:row r="189">
      <x:c r="A189" s="373"/>
      <x:c r="B189" s="373"/>
      <x:c r="C189" s="373"/>
      <x:c r="D189" s="373"/>
      <x:c r="E189" s="373"/>
      <x:c r="F189" s="373"/>
      <x:c r="G189" s="373"/>
      <x:c r="H189" s="373"/>
      <x:c r="I189" s="373"/>
      <x:c r="J189" s="373"/>
      <x:c r="K189" s="373"/>
      <x:c r="L189" s="373"/>
      <x:c r="M189" s="373"/>
      <x:c r="N189" s="373"/>
      <x:c r="O189" s="373"/>
      <x:c r="P189" s="373"/>
      <x:c r="Q189" s="373"/>
      <x:c r="R189" s="373"/>
      <x:c r="S189" s="373"/>
      <x:c r="T189" s="373"/>
      <x:c r="U189" s="373"/>
      <x:c r="V189" s="373"/>
      <x:c r="W189" s="373"/>
      <x:c r="X189" s="373"/>
      <x:c r="Y189" s="373"/>
      <x:c r="Z189" s="373"/>
    </x:row>
    <x:row r="190">
      <x:c r="A190" s="373"/>
      <x:c r="B190" s="373"/>
      <x:c r="C190" s="373"/>
      <x:c r="D190" s="373"/>
      <x:c r="E190" s="373"/>
      <x:c r="F190" s="373"/>
      <x:c r="G190" s="373"/>
      <x:c r="H190" s="373"/>
      <x:c r="I190" s="373"/>
      <x:c r="J190" s="373"/>
      <x:c r="K190" s="373"/>
      <x:c r="L190" s="373"/>
      <x:c r="M190" s="373"/>
      <x:c r="N190" s="373"/>
      <x:c r="O190" s="373"/>
      <x:c r="P190" s="373"/>
      <x:c r="Q190" s="373"/>
      <x:c r="R190" s="373"/>
      <x:c r="S190" s="373"/>
      <x:c r="T190" s="373"/>
      <x:c r="U190" s="373"/>
      <x:c r="V190" s="373"/>
      <x:c r="W190" s="373"/>
      <x:c r="X190" s="373"/>
      <x:c r="Y190" s="373"/>
      <x:c r="Z190" s="373"/>
    </x:row>
    <x:row r="191">
      <x:c r="A191" s="373"/>
      <x:c r="B191" s="373"/>
      <x:c r="C191" s="373"/>
      <x:c r="D191" s="373"/>
      <x:c r="E191" s="373"/>
      <x:c r="F191" s="373"/>
      <x:c r="G191" s="373"/>
      <x:c r="H191" s="373"/>
      <x:c r="I191" s="373"/>
      <x:c r="J191" s="373"/>
      <x:c r="K191" s="373"/>
      <x:c r="L191" s="373"/>
      <x:c r="M191" s="373"/>
      <x:c r="N191" s="373"/>
      <x:c r="O191" s="373"/>
      <x:c r="P191" s="373"/>
      <x:c r="Q191" s="373"/>
      <x:c r="R191" s="373"/>
      <x:c r="S191" s="373"/>
      <x:c r="T191" s="373"/>
      <x:c r="U191" s="373"/>
      <x:c r="V191" s="373"/>
      <x:c r="W191" s="373"/>
      <x:c r="X191" s="373"/>
      <x:c r="Y191" s="373"/>
      <x:c r="Z191" s="373"/>
    </x:row>
    <x:row r="192">
      <x:c r="A192" s="373"/>
      <x:c r="B192" s="373"/>
      <x:c r="C192" s="373"/>
      <x:c r="D192" s="373"/>
      <x:c r="E192" s="373"/>
      <x:c r="F192" s="373"/>
      <x:c r="G192" s="373"/>
      <x:c r="H192" s="373"/>
      <x:c r="I192" s="373"/>
      <x:c r="J192" s="373"/>
      <x:c r="K192" s="373"/>
      <x:c r="L192" s="373"/>
      <x:c r="M192" s="373"/>
      <x:c r="N192" s="373"/>
      <x:c r="O192" s="373"/>
      <x:c r="P192" s="373"/>
      <x:c r="Q192" s="373"/>
      <x:c r="R192" s="373"/>
      <x:c r="S192" s="373"/>
      <x:c r="T192" s="373"/>
      <x:c r="U192" s="373"/>
      <x:c r="V192" s="373"/>
      <x:c r="W192" s="373"/>
      <x:c r="X192" s="373"/>
      <x:c r="Y192" s="373"/>
      <x:c r="Z192" s="373"/>
    </x:row>
    <x:row r="193">
      <x:c r="A193" s="373"/>
      <x:c r="B193" s="373"/>
      <x:c r="C193" s="373"/>
      <x:c r="D193" s="373"/>
      <x:c r="E193" s="373"/>
      <x:c r="F193" s="373"/>
      <x:c r="G193" s="373"/>
      <x:c r="H193" s="373"/>
      <x:c r="I193" s="373"/>
      <x:c r="J193" s="373"/>
      <x:c r="K193" s="373"/>
      <x:c r="L193" s="373"/>
      <x:c r="M193" s="373"/>
      <x:c r="N193" s="373"/>
      <x:c r="O193" s="373"/>
      <x:c r="P193" s="373"/>
      <x:c r="Q193" s="373"/>
      <x:c r="R193" s="373"/>
      <x:c r="S193" s="373"/>
      <x:c r="T193" s="373"/>
      <x:c r="U193" s="373"/>
      <x:c r="V193" s="373"/>
      <x:c r="W193" s="373"/>
      <x:c r="X193" s="373"/>
      <x:c r="Y193" s="373"/>
      <x:c r="Z193" s="373"/>
    </x:row>
    <x:row r="194">
      <x:c r="A194" s="373"/>
      <x:c r="B194" s="373"/>
      <x:c r="C194" s="373"/>
      <x:c r="D194" s="373"/>
      <x:c r="E194" s="373"/>
      <x:c r="F194" s="373"/>
      <x:c r="G194" s="373"/>
      <x:c r="H194" s="373"/>
      <x:c r="I194" s="373"/>
      <x:c r="J194" s="373"/>
      <x:c r="K194" s="373"/>
      <x:c r="L194" s="373"/>
      <x:c r="M194" s="373"/>
      <x:c r="N194" s="373"/>
      <x:c r="O194" s="373"/>
      <x:c r="P194" s="373"/>
      <x:c r="Q194" s="373"/>
      <x:c r="R194" s="373"/>
      <x:c r="S194" s="373"/>
      <x:c r="T194" s="373"/>
      <x:c r="U194" s="373"/>
      <x:c r="V194" s="373"/>
      <x:c r="W194" s="373"/>
      <x:c r="X194" s="373"/>
      <x:c r="Y194" s="373"/>
      <x:c r="Z194" s="373"/>
    </x:row>
    <x:row r="195">
      <x:c r="A195" s="373"/>
      <x:c r="B195" s="373"/>
      <x:c r="C195" s="373"/>
      <x:c r="D195" s="373"/>
      <x:c r="E195" s="373"/>
      <x:c r="F195" s="373"/>
      <x:c r="G195" s="373"/>
      <x:c r="H195" s="373"/>
      <x:c r="I195" s="373"/>
      <x:c r="J195" s="373"/>
      <x:c r="K195" s="373"/>
      <x:c r="L195" s="373"/>
      <x:c r="M195" s="373"/>
      <x:c r="N195" s="373"/>
      <x:c r="O195" s="373"/>
      <x:c r="P195" s="373"/>
      <x:c r="Q195" s="373"/>
      <x:c r="R195" s="373"/>
      <x:c r="S195" s="373"/>
      <x:c r="T195" s="373"/>
      <x:c r="U195" s="373"/>
      <x:c r="V195" s="373"/>
      <x:c r="W195" s="373"/>
      <x:c r="X195" s="373"/>
      <x:c r="Y195" s="373"/>
      <x:c r="Z195" s="373"/>
    </x:row>
    <x:row r="196">
      <x:c r="A196" s="373"/>
      <x:c r="B196" s="373"/>
      <x:c r="C196" s="373"/>
      <x:c r="D196" s="373"/>
      <x:c r="E196" s="373"/>
      <x:c r="F196" s="373"/>
      <x:c r="G196" s="373"/>
      <x:c r="H196" s="373"/>
      <x:c r="I196" s="373"/>
      <x:c r="J196" s="373"/>
      <x:c r="K196" s="373"/>
      <x:c r="L196" s="373"/>
      <x:c r="M196" s="373"/>
      <x:c r="N196" s="373"/>
      <x:c r="O196" s="373"/>
      <x:c r="P196" s="373"/>
      <x:c r="Q196" s="373"/>
      <x:c r="R196" s="373"/>
      <x:c r="S196" s="373"/>
      <x:c r="T196" s="373"/>
      <x:c r="U196" s="373"/>
      <x:c r="V196" s="373"/>
      <x:c r="W196" s="373"/>
      <x:c r="X196" s="373"/>
      <x:c r="Y196" s="373"/>
      <x:c r="Z196" s="373"/>
    </x:row>
    <x:row r="197">
      <x:c r="A197" s="373"/>
      <x:c r="B197" s="373"/>
      <x:c r="C197" s="373"/>
      <x:c r="D197" s="373"/>
      <x:c r="E197" s="373"/>
      <x:c r="F197" s="373"/>
      <x:c r="G197" s="373"/>
      <x:c r="H197" s="373"/>
      <x:c r="I197" s="373"/>
      <x:c r="J197" s="373"/>
      <x:c r="K197" s="373"/>
      <x:c r="L197" s="373"/>
      <x:c r="M197" s="373"/>
      <x:c r="N197" s="373"/>
      <x:c r="O197" s="373"/>
      <x:c r="P197" s="373"/>
      <x:c r="Q197" s="373"/>
      <x:c r="R197" s="373"/>
      <x:c r="S197" s="373"/>
      <x:c r="T197" s="373"/>
      <x:c r="U197" s="373"/>
      <x:c r="V197" s="373"/>
      <x:c r="W197" s="373"/>
      <x:c r="X197" s="373"/>
      <x:c r="Y197" s="373"/>
      <x:c r="Z197" s="373"/>
    </x:row>
    <x:row r="198">
      <x:c r="A198" s="373"/>
      <x:c r="B198" s="373"/>
      <x:c r="C198" s="373"/>
      <x:c r="D198" s="373"/>
      <x:c r="E198" s="373"/>
      <x:c r="F198" s="373"/>
      <x:c r="G198" s="373"/>
      <x:c r="H198" s="373"/>
      <x:c r="I198" s="373"/>
      <x:c r="J198" s="373"/>
      <x:c r="K198" s="373"/>
      <x:c r="L198" s="373"/>
      <x:c r="M198" s="373"/>
      <x:c r="N198" s="373"/>
      <x:c r="O198" s="373"/>
      <x:c r="P198" s="373"/>
      <x:c r="Q198" s="373"/>
      <x:c r="R198" s="373"/>
      <x:c r="S198" s="373"/>
      <x:c r="T198" s="373"/>
      <x:c r="U198" s="373"/>
      <x:c r="V198" s="373"/>
      <x:c r="W198" s="373"/>
      <x:c r="X198" s="373"/>
      <x:c r="Y198" s="373"/>
      <x:c r="Z198" s="373"/>
    </x:row>
    <x:row r="199">
      <x:c r="A199" s="373"/>
      <x:c r="B199" s="373"/>
      <x:c r="C199" s="373"/>
      <x:c r="D199" s="373"/>
      <x:c r="E199" s="373"/>
      <x:c r="F199" s="373"/>
      <x:c r="G199" s="373"/>
      <x:c r="H199" s="373"/>
      <x:c r="I199" s="373"/>
      <x:c r="J199" s="373"/>
      <x:c r="K199" s="373"/>
      <x:c r="L199" s="373"/>
      <x:c r="M199" s="373"/>
      <x:c r="N199" s="373"/>
      <x:c r="O199" s="373"/>
      <x:c r="P199" s="373"/>
      <x:c r="Q199" s="373"/>
      <x:c r="R199" s="373"/>
      <x:c r="S199" s="373"/>
      <x:c r="T199" s="373"/>
      <x:c r="U199" s="373"/>
      <x:c r="V199" s="373"/>
      <x:c r="W199" s="373"/>
      <x:c r="X199" s="373"/>
      <x:c r="Y199" s="373"/>
      <x:c r="Z199" s="373"/>
    </x:row>
    <x:row r="200">
      <x:c r="A200" s="373"/>
      <x:c r="B200" s="373"/>
      <x:c r="C200" s="373"/>
      <x:c r="D200" s="373"/>
      <x:c r="E200" s="373"/>
      <x:c r="F200" s="373"/>
      <x:c r="G200" s="373"/>
      <x:c r="H200" s="373"/>
      <x:c r="I200" s="373"/>
      <x:c r="J200" s="373"/>
      <x:c r="K200" s="373"/>
      <x:c r="L200" s="373"/>
      <x:c r="M200" s="373"/>
      <x:c r="N200" s="373"/>
      <x:c r="O200" s="373"/>
      <x:c r="P200" s="373"/>
      <x:c r="Q200" s="373"/>
      <x:c r="R200" s="373"/>
      <x:c r="S200" s="373"/>
      <x:c r="T200" s="373"/>
      <x:c r="U200" s="373"/>
      <x:c r="V200" s="373"/>
      <x:c r="W200" s="373"/>
      <x:c r="X200" s="373"/>
      <x:c r="Y200" s="373"/>
      <x:c r="Z200" s="373"/>
    </x:row>
    <x:row r="201">
      <x:c r="A201" s="373"/>
      <x:c r="B201" s="373"/>
      <x:c r="C201" s="373"/>
      <x:c r="D201" s="373"/>
      <x:c r="E201" s="373"/>
      <x:c r="F201" s="373"/>
      <x:c r="G201" s="373"/>
      <x:c r="H201" s="373"/>
      <x:c r="I201" s="373"/>
      <x:c r="J201" s="373"/>
      <x:c r="K201" s="373"/>
      <x:c r="L201" s="373"/>
      <x:c r="M201" s="373"/>
      <x:c r="N201" s="373"/>
      <x:c r="O201" s="373"/>
      <x:c r="P201" s="373"/>
      <x:c r="Q201" s="373"/>
      <x:c r="R201" s="373"/>
      <x:c r="S201" s="373"/>
      <x:c r="T201" s="373"/>
      <x:c r="U201" s="373"/>
      <x:c r="V201" s="373"/>
      <x:c r="W201" s="373"/>
      <x:c r="X201" s="373"/>
      <x:c r="Y201" s="373"/>
      <x:c r="Z201" s="373"/>
    </x:row>
    <x:row r="202">
      <x:c r="A202" s="373"/>
      <x:c r="B202" s="373"/>
      <x:c r="C202" s="373"/>
      <x:c r="D202" s="373"/>
      <x:c r="E202" s="373"/>
      <x:c r="F202" s="373"/>
      <x:c r="G202" s="373"/>
      <x:c r="H202" s="373"/>
      <x:c r="I202" s="373"/>
      <x:c r="J202" s="373"/>
      <x:c r="K202" s="373"/>
      <x:c r="L202" s="373"/>
      <x:c r="M202" s="373"/>
      <x:c r="N202" s="373"/>
      <x:c r="O202" s="373"/>
      <x:c r="P202" s="373"/>
      <x:c r="Q202" s="373"/>
      <x:c r="R202" s="373"/>
      <x:c r="S202" s="373"/>
      <x:c r="T202" s="373"/>
      <x:c r="U202" s="373"/>
      <x:c r="V202" s="373"/>
      <x:c r="W202" s="373"/>
      <x:c r="X202" s="373"/>
      <x:c r="Y202" s="373"/>
      <x:c r="Z202" s="373"/>
    </x:row>
    <x:row r="203">
      <x:c r="A203" s="373"/>
      <x:c r="B203" s="373"/>
      <x:c r="C203" s="373"/>
      <x:c r="D203" s="373"/>
      <x:c r="E203" s="373"/>
      <x:c r="F203" s="373"/>
      <x:c r="G203" s="373"/>
      <x:c r="H203" s="373"/>
      <x:c r="I203" s="373"/>
      <x:c r="J203" s="373"/>
      <x:c r="K203" s="373"/>
      <x:c r="L203" s="373"/>
      <x:c r="M203" s="373"/>
      <x:c r="N203" s="373"/>
      <x:c r="O203" s="373"/>
      <x:c r="P203" s="373"/>
      <x:c r="Q203" s="373"/>
      <x:c r="R203" s="373"/>
      <x:c r="S203" s="373"/>
      <x:c r="T203" s="373"/>
      <x:c r="U203" s="373"/>
      <x:c r="V203" s="373"/>
      <x:c r="W203" s="373"/>
      <x:c r="X203" s="373"/>
      <x:c r="Y203" s="373"/>
      <x:c r="Z203" s="373"/>
    </x:row>
    <x:row r="204">
      <x:c r="A204" s="373"/>
      <x:c r="B204" s="373"/>
      <x:c r="C204" s="373"/>
      <x:c r="D204" s="373"/>
      <x:c r="E204" s="373"/>
      <x:c r="F204" s="373"/>
      <x:c r="G204" s="373"/>
      <x:c r="H204" s="373"/>
      <x:c r="I204" s="373"/>
      <x:c r="J204" s="373"/>
      <x:c r="K204" s="373"/>
      <x:c r="L204" s="373"/>
      <x:c r="M204" s="373"/>
      <x:c r="N204" s="373"/>
      <x:c r="O204" s="373"/>
      <x:c r="P204" s="373"/>
      <x:c r="Q204" s="373"/>
      <x:c r="R204" s="373"/>
      <x:c r="S204" s="373"/>
      <x:c r="T204" s="373"/>
      <x:c r="U204" s="373"/>
      <x:c r="V204" s="373"/>
      <x:c r="W204" s="373"/>
      <x:c r="X204" s="373"/>
      <x:c r="Y204" s="373"/>
      <x:c r="Z204" s="373"/>
    </x:row>
    <x:row r="205">
      <x:c r="A205" s="373"/>
      <x:c r="B205" s="373"/>
      <x:c r="C205" s="373"/>
      <x:c r="D205" s="373"/>
      <x:c r="E205" s="373"/>
      <x:c r="F205" s="373"/>
      <x:c r="G205" s="373"/>
      <x:c r="H205" s="373"/>
      <x:c r="I205" s="373"/>
      <x:c r="J205" s="373"/>
      <x:c r="K205" s="373"/>
      <x:c r="L205" s="373"/>
      <x:c r="M205" s="373"/>
      <x:c r="N205" s="373"/>
      <x:c r="O205" s="373"/>
      <x:c r="P205" s="373"/>
      <x:c r="Q205" s="373"/>
      <x:c r="R205" s="373"/>
      <x:c r="S205" s="373"/>
      <x:c r="T205" s="373"/>
      <x:c r="U205" s="373"/>
      <x:c r="V205" s="373"/>
      <x:c r="W205" s="373"/>
      <x:c r="X205" s="373"/>
      <x:c r="Y205" s="373"/>
      <x:c r="Z205" s="373"/>
    </x:row>
    <x:row r="206">
      <x:c r="A206" s="373"/>
      <x:c r="B206" s="373"/>
      <x:c r="C206" s="373"/>
      <x:c r="D206" s="373"/>
      <x:c r="E206" s="373"/>
      <x:c r="F206" s="373"/>
      <x:c r="G206" s="373"/>
      <x:c r="H206" s="373"/>
      <x:c r="I206" s="373"/>
      <x:c r="J206" s="373"/>
      <x:c r="K206" s="373"/>
      <x:c r="L206" s="373"/>
      <x:c r="M206" s="373"/>
      <x:c r="N206" s="373"/>
      <x:c r="O206" s="373"/>
      <x:c r="P206" s="373"/>
      <x:c r="Q206" s="373"/>
      <x:c r="R206" s="373"/>
      <x:c r="S206" s="373"/>
      <x:c r="T206" s="373"/>
      <x:c r="U206" s="373"/>
      <x:c r="V206" s="373"/>
      <x:c r="W206" s="373"/>
      <x:c r="X206" s="373"/>
      <x:c r="Y206" s="373"/>
      <x:c r="Z206" s="373"/>
    </x:row>
    <x:row r="207">
      <x:c r="A207" s="373"/>
      <x:c r="B207" s="373"/>
      <x:c r="C207" s="373"/>
      <x:c r="D207" s="373"/>
      <x:c r="E207" s="373"/>
      <x:c r="F207" s="373"/>
      <x:c r="G207" s="373"/>
      <x:c r="H207" s="373"/>
      <x:c r="I207" s="373"/>
      <x:c r="J207" s="373"/>
      <x:c r="K207" s="373"/>
      <x:c r="L207" s="373"/>
      <x:c r="M207" s="373"/>
      <x:c r="N207" s="373"/>
      <x:c r="O207" s="373"/>
      <x:c r="P207" s="373"/>
      <x:c r="Q207" s="373"/>
      <x:c r="R207" s="373"/>
      <x:c r="S207" s="373"/>
      <x:c r="T207" s="373"/>
      <x:c r="U207" s="373"/>
      <x:c r="V207" s="373"/>
      <x:c r="W207" s="373"/>
      <x:c r="X207" s="373"/>
      <x:c r="Y207" s="373"/>
      <x:c r="Z207" s="373"/>
    </x:row>
    <x:row r="208">
      <x:c r="A208" s="373"/>
      <x:c r="B208" s="373"/>
      <x:c r="C208" s="373"/>
      <x:c r="D208" s="373"/>
      <x:c r="E208" s="373"/>
      <x:c r="F208" s="373"/>
      <x:c r="G208" s="373"/>
      <x:c r="H208" s="373"/>
      <x:c r="I208" s="373"/>
      <x:c r="J208" s="373"/>
      <x:c r="K208" s="373"/>
      <x:c r="L208" s="373"/>
      <x:c r="M208" s="373"/>
      <x:c r="N208" s="373"/>
      <x:c r="O208" s="373"/>
      <x:c r="P208" s="373"/>
      <x:c r="Q208" s="373"/>
      <x:c r="R208" s="373"/>
      <x:c r="S208" s="373"/>
      <x:c r="T208" s="373"/>
      <x:c r="U208" s="373"/>
      <x:c r="V208" s="373"/>
      <x:c r="W208" s="373"/>
      <x:c r="X208" s="373"/>
      <x:c r="Y208" s="373"/>
      <x:c r="Z208" s="373"/>
    </x:row>
    <x:row r="209">
      <x:c r="A209" s="373"/>
      <x:c r="B209" s="373"/>
      <x:c r="C209" s="373"/>
      <x:c r="D209" s="373"/>
      <x:c r="E209" s="373"/>
      <x:c r="F209" s="373"/>
      <x:c r="G209" s="373"/>
      <x:c r="H209" s="373"/>
      <x:c r="I209" s="373"/>
      <x:c r="J209" s="373"/>
      <x:c r="K209" s="373"/>
      <x:c r="L209" s="373"/>
      <x:c r="M209" s="373"/>
      <x:c r="N209" s="373"/>
      <x:c r="O209" s="373"/>
      <x:c r="P209" s="373"/>
      <x:c r="Q209" s="373"/>
      <x:c r="R209" s="373"/>
      <x:c r="S209" s="373"/>
      <x:c r="T209" s="373"/>
      <x:c r="U209" s="373"/>
      <x:c r="V209" s="373"/>
      <x:c r="W209" s="373"/>
      <x:c r="X209" s="373"/>
      <x:c r="Y209" s="373"/>
      <x:c r="Z209" s="373"/>
    </x:row>
    <x:row r="210">
      <x:c r="A210" s="373"/>
      <x:c r="B210" s="373"/>
      <x:c r="C210" s="373"/>
      <x:c r="D210" s="373"/>
      <x:c r="E210" s="373"/>
      <x:c r="F210" s="373"/>
      <x:c r="G210" s="373"/>
      <x:c r="H210" s="373"/>
      <x:c r="I210" s="373"/>
      <x:c r="J210" s="373"/>
      <x:c r="K210" s="373"/>
      <x:c r="L210" s="373"/>
      <x:c r="M210" s="373"/>
      <x:c r="N210" s="373"/>
      <x:c r="O210" s="373"/>
      <x:c r="P210" s="373"/>
      <x:c r="Q210" s="373"/>
      <x:c r="R210" s="373"/>
      <x:c r="S210" s="373"/>
      <x:c r="T210" s="373"/>
      <x:c r="U210" s="373"/>
      <x:c r="V210" s="373"/>
      <x:c r="W210" s="373"/>
      <x:c r="X210" s="373"/>
      <x:c r="Y210" s="373"/>
      <x:c r="Z210" s="373"/>
    </x:row>
    <x:row r="211">
      <x:c r="A211" s="373"/>
      <x:c r="B211" s="373"/>
      <x:c r="C211" s="373"/>
      <x:c r="D211" s="373"/>
      <x:c r="E211" s="373"/>
      <x:c r="F211" s="373"/>
      <x:c r="G211" s="373"/>
      <x:c r="H211" s="373"/>
      <x:c r="I211" s="373"/>
      <x:c r="J211" s="373"/>
      <x:c r="K211" s="373"/>
      <x:c r="L211" s="373"/>
      <x:c r="M211" s="373"/>
      <x:c r="N211" s="373"/>
      <x:c r="O211" s="373"/>
      <x:c r="P211" s="373"/>
      <x:c r="Q211" s="373"/>
      <x:c r="R211" s="373"/>
      <x:c r="S211" s="373"/>
      <x:c r="T211" s="373"/>
      <x:c r="U211" s="373"/>
      <x:c r="V211" s="373"/>
      <x:c r="W211" s="373"/>
      <x:c r="X211" s="373"/>
      <x:c r="Y211" s="373"/>
      <x:c r="Z211" s="373"/>
    </x:row>
    <x:row r="212">
      <x:c r="A212" s="373"/>
      <x:c r="B212" s="373"/>
      <x:c r="C212" s="373"/>
      <x:c r="D212" s="373"/>
      <x:c r="E212" s="373"/>
      <x:c r="F212" s="373"/>
      <x:c r="G212" s="373"/>
      <x:c r="H212" s="373"/>
      <x:c r="I212" s="373"/>
      <x:c r="J212" s="373"/>
      <x:c r="K212" s="373"/>
      <x:c r="L212" s="373"/>
      <x:c r="M212" s="373"/>
      <x:c r="N212" s="373"/>
      <x:c r="O212" s="373"/>
      <x:c r="P212" s="373"/>
      <x:c r="Q212" s="373"/>
      <x:c r="R212" s="373"/>
      <x:c r="S212" s="373"/>
      <x:c r="T212" s="373"/>
      <x:c r="U212" s="373"/>
      <x:c r="V212" s="373"/>
      <x:c r="W212" s="373"/>
      <x:c r="X212" s="373"/>
      <x:c r="Y212" s="373"/>
      <x:c r="Z212" s="373"/>
    </x:row>
    <x:row r="213">
      <x:c r="A213" s="373"/>
      <x:c r="B213" s="373"/>
      <x:c r="C213" s="373"/>
      <x:c r="D213" s="373"/>
      <x:c r="E213" s="373"/>
      <x:c r="F213" s="373"/>
      <x:c r="G213" s="373"/>
      <x:c r="H213" s="373"/>
      <x:c r="I213" s="373"/>
      <x:c r="J213" s="373"/>
      <x:c r="K213" s="373"/>
      <x:c r="L213" s="373"/>
      <x:c r="M213" s="373"/>
      <x:c r="N213" s="373"/>
      <x:c r="O213" s="373"/>
      <x:c r="P213" s="373"/>
      <x:c r="Q213" s="373"/>
      <x:c r="R213" s="373"/>
      <x:c r="S213" s="373"/>
      <x:c r="T213" s="373"/>
      <x:c r="U213" s="373"/>
      <x:c r="V213" s="373"/>
      <x:c r="W213" s="373"/>
      <x:c r="X213" s="373"/>
      <x:c r="Y213" s="373"/>
      <x:c r="Z213" s="373"/>
    </x:row>
    <x:row r="214">
      <x:c r="A214" s="373"/>
      <x:c r="B214" s="373"/>
      <x:c r="C214" s="373"/>
      <x:c r="D214" s="373"/>
      <x:c r="E214" s="373"/>
      <x:c r="F214" s="373"/>
      <x:c r="G214" s="373"/>
      <x:c r="H214" s="373"/>
      <x:c r="I214" s="373"/>
      <x:c r="J214" s="373"/>
      <x:c r="K214" s="373"/>
      <x:c r="L214" s="373"/>
      <x:c r="M214" s="373"/>
      <x:c r="N214" s="373"/>
      <x:c r="O214" s="373"/>
      <x:c r="P214" s="373"/>
      <x:c r="Q214" s="373"/>
      <x:c r="R214" s="373"/>
      <x:c r="S214" s="373"/>
      <x:c r="T214" s="373"/>
      <x:c r="U214" s="373"/>
      <x:c r="V214" s="373"/>
      <x:c r="W214" s="373"/>
      <x:c r="X214" s="373"/>
      <x:c r="Y214" s="373"/>
      <x:c r="Z214" s="373"/>
    </x:row>
    <x:row r="215">
      <x:c r="A215" s="373"/>
      <x:c r="B215" s="373"/>
      <x:c r="C215" s="373"/>
      <x:c r="D215" s="373"/>
      <x:c r="E215" s="373"/>
      <x:c r="F215" s="373"/>
      <x:c r="G215" s="373"/>
      <x:c r="H215" s="373"/>
      <x:c r="I215" s="373"/>
      <x:c r="J215" s="373"/>
      <x:c r="K215" s="373"/>
      <x:c r="L215" s="373"/>
      <x:c r="M215" s="373"/>
      <x:c r="N215" s="373"/>
      <x:c r="O215" s="373"/>
      <x:c r="P215" s="373"/>
      <x:c r="Q215" s="373"/>
      <x:c r="R215" s="373"/>
      <x:c r="S215" s="373"/>
      <x:c r="T215" s="373"/>
      <x:c r="U215" s="373"/>
      <x:c r="V215" s="373"/>
      <x:c r="W215" s="373"/>
      <x:c r="X215" s="373"/>
      <x:c r="Y215" s="373"/>
      <x:c r="Z215" s="373"/>
    </x:row>
    <x:row r="216">
      <x:c r="A216" s="373"/>
      <x:c r="B216" s="373"/>
      <x:c r="C216" s="373"/>
      <x:c r="D216" s="373"/>
      <x:c r="E216" s="373"/>
      <x:c r="F216" s="373"/>
      <x:c r="G216" s="373"/>
      <x:c r="H216" s="373"/>
      <x:c r="I216" s="373"/>
      <x:c r="J216" s="373"/>
      <x:c r="K216" s="373"/>
      <x:c r="L216" s="373"/>
      <x:c r="M216" s="373"/>
      <x:c r="N216" s="373"/>
      <x:c r="O216" s="373"/>
      <x:c r="P216" s="373"/>
      <x:c r="Q216" s="373"/>
      <x:c r="R216" s="373"/>
      <x:c r="S216" s="373"/>
      <x:c r="T216" s="373"/>
      <x:c r="U216" s="373"/>
      <x:c r="V216" s="373"/>
      <x:c r="W216" s="373"/>
      <x:c r="X216" s="373"/>
      <x:c r="Y216" s="373"/>
      <x:c r="Z216" s="373"/>
    </x:row>
    <x:row r="217">
      <x:c r="A217" s="373"/>
      <x:c r="B217" s="373"/>
      <x:c r="C217" s="373"/>
      <x:c r="D217" s="373"/>
      <x:c r="E217" s="373"/>
      <x:c r="F217" s="373"/>
      <x:c r="G217" s="373"/>
      <x:c r="H217" s="373"/>
      <x:c r="I217" s="373"/>
      <x:c r="J217" s="373"/>
      <x:c r="K217" s="373"/>
      <x:c r="L217" s="373"/>
      <x:c r="M217" s="373"/>
      <x:c r="N217" s="373"/>
      <x:c r="O217" s="373"/>
      <x:c r="P217" s="373"/>
      <x:c r="Q217" s="373"/>
      <x:c r="R217" s="373"/>
      <x:c r="S217" s="373"/>
      <x:c r="T217" s="373"/>
      <x:c r="U217" s="373"/>
      <x:c r="V217" s="373"/>
      <x:c r="W217" s="373"/>
      <x:c r="X217" s="373"/>
      <x:c r="Y217" s="373"/>
      <x:c r="Z217" s="373"/>
    </x:row>
    <x:row r="218">
      <x:c r="A218" s="373"/>
      <x:c r="B218" s="373"/>
      <x:c r="C218" s="373"/>
      <x:c r="D218" s="373"/>
      <x:c r="E218" s="373"/>
      <x:c r="F218" s="373"/>
      <x:c r="G218" s="373"/>
      <x:c r="H218" s="373"/>
      <x:c r="I218" s="373"/>
      <x:c r="J218" s="373"/>
      <x:c r="K218" s="373"/>
      <x:c r="L218" s="373"/>
      <x:c r="M218" s="373"/>
      <x:c r="N218" s="373"/>
      <x:c r="O218" s="373"/>
      <x:c r="P218" s="373"/>
      <x:c r="Q218" s="373"/>
      <x:c r="R218" s="373"/>
      <x:c r="S218" s="373"/>
      <x:c r="T218" s="373"/>
      <x:c r="U218" s="373"/>
      <x:c r="V218" s="373"/>
      <x:c r="W218" s="373"/>
      <x:c r="X218" s="373"/>
      <x:c r="Y218" s="373"/>
      <x:c r="Z218" s="373"/>
    </x:row>
    <x:row r="219">
      <x:c r="A219" s="373"/>
      <x:c r="B219" s="373"/>
      <x:c r="C219" s="373"/>
      <x:c r="D219" s="373"/>
      <x:c r="E219" s="373"/>
      <x:c r="F219" s="373"/>
      <x:c r="G219" s="373"/>
      <x:c r="H219" s="373"/>
      <x:c r="I219" s="373"/>
      <x:c r="J219" s="373"/>
      <x:c r="K219" s="373"/>
      <x:c r="L219" s="373"/>
      <x:c r="M219" s="373"/>
      <x:c r="N219" s="373"/>
      <x:c r="O219" s="373"/>
      <x:c r="P219" s="373"/>
      <x:c r="Q219" s="373"/>
      <x:c r="R219" s="373"/>
      <x:c r="S219" s="373"/>
      <x:c r="T219" s="373"/>
      <x:c r="U219" s="373"/>
      <x:c r="V219" s="373"/>
      <x:c r="W219" s="373"/>
      <x:c r="X219" s="373"/>
      <x:c r="Y219" s="373"/>
      <x:c r="Z219" s="373"/>
    </x:row>
    <x:row r="220">
      <x:c r="A220" s="373"/>
      <x:c r="B220" s="373"/>
      <x:c r="C220" s="373"/>
      <x:c r="D220" s="373"/>
      <x:c r="E220" s="373"/>
      <x:c r="F220" s="373"/>
      <x:c r="G220" s="373"/>
      <x:c r="H220" s="373"/>
      <x:c r="I220" s="373"/>
      <x:c r="J220" s="373"/>
      <x:c r="K220" s="373"/>
      <x:c r="L220" s="373"/>
      <x:c r="M220" s="373"/>
      <x:c r="N220" s="373"/>
      <x:c r="O220" s="373"/>
      <x:c r="P220" s="373"/>
      <x:c r="Q220" s="373"/>
      <x:c r="R220" s="373"/>
      <x:c r="S220" s="373"/>
      <x:c r="T220" s="373"/>
      <x:c r="U220" s="373"/>
      <x:c r="V220" s="373"/>
      <x:c r="W220" s="373"/>
      <x:c r="X220" s="373"/>
      <x:c r="Y220" s="373"/>
      <x:c r="Z220" s="373"/>
    </x:row>
    <x:row r="221">
      <x:c r="A221" s="373"/>
      <x:c r="B221" s="373"/>
      <x:c r="C221" s="373"/>
      <x:c r="D221" s="373"/>
      <x:c r="E221" s="373"/>
      <x:c r="F221" s="373"/>
      <x:c r="G221" s="373"/>
      <x:c r="H221" s="373"/>
      <x:c r="I221" s="373"/>
      <x:c r="J221" s="373"/>
      <x:c r="K221" s="373"/>
      <x:c r="L221" s="373"/>
      <x:c r="M221" s="373"/>
      <x:c r="N221" s="373"/>
      <x:c r="O221" s="373"/>
      <x:c r="P221" s="373"/>
      <x:c r="Q221" s="373"/>
      <x:c r="R221" s="373"/>
      <x:c r="S221" s="373"/>
      <x:c r="T221" s="373"/>
      <x:c r="U221" s="373"/>
      <x:c r="V221" s="373"/>
      <x:c r="W221" s="373"/>
      <x:c r="X221" s="373"/>
      <x:c r="Y221" s="373"/>
      <x:c r="Z221" s="373"/>
    </x:row>
    <x:row r="222">
      <x:c r="A222" s="373"/>
      <x:c r="B222" s="373"/>
      <x:c r="C222" s="373"/>
      <x:c r="D222" s="373"/>
      <x:c r="E222" s="373"/>
      <x:c r="F222" s="373"/>
      <x:c r="G222" s="373"/>
      <x:c r="H222" s="373"/>
      <x:c r="I222" s="373"/>
      <x:c r="J222" s="373"/>
      <x:c r="K222" s="373"/>
      <x:c r="L222" s="373"/>
      <x:c r="M222" s="373"/>
      <x:c r="N222" s="373"/>
      <x:c r="O222" s="373"/>
      <x:c r="P222" s="373"/>
      <x:c r="Q222" s="373"/>
      <x:c r="R222" s="373"/>
      <x:c r="S222" s="373"/>
      <x:c r="T222" s="373"/>
      <x:c r="U222" s="373"/>
      <x:c r="V222" s="373"/>
      <x:c r="W222" s="373"/>
      <x:c r="X222" s="373"/>
      <x:c r="Y222" s="373"/>
      <x:c r="Z222" s="373"/>
    </x:row>
    <x:row r="223">
      <x:c r="A223" s="373"/>
      <x:c r="B223" s="373"/>
      <x:c r="C223" s="373"/>
      <x:c r="D223" s="373"/>
      <x:c r="E223" s="373"/>
      <x:c r="F223" s="373"/>
      <x:c r="G223" s="373"/>
      <x:c r="H223" s="373"/>
      <x:c r="I223" s="373"/>
      <x:c r="J223" s="373"/>
      <x:c r="K223" s="373"/>
      <x:c r="L223" s="373"/>
      <x:c r="M223" s="373"/>
      <x:c r="N223" s="373"/>
      <x:c r="O223" s="373"/>
      <x:c r="P223" s="373"/>
      <x:c r="Q223" s="373"/>
      <x:c r="R223" s="373"/>
      <x:c r="S223" s="373"/>
      <x:c r="T223" s="373"/>
      <x:c r="U223" s="373"/>
      <x:c r="V223" s="373"/>
      <x:c r="W223" s="373"/>
      <x:c r="X223" s="373"/>
      <x:c r="Y223" s="373"/>
      <x:c r="Z223" s="373"/>
    </x:row>
    <x:row r="224">
      <x:c r="A224" s="373"/>
      <x:c r="B224" s="373"/>
      <x:c r="C224" s="373"/>
      <x:c r="D224" s="373"/>
      <x:c r="E224" s="373"/>
      <x:c r="F224" s="373"/>
      <x:c r="G224" s="373"/>
      <x:c r="H224" s="373"/>
      <x:c r="I224" s="373"/>
      <x:c r="J224" s="373"/>
      <x:c r="K224" s="373"/>
      <x:c r="L224" s="373"/>
      <x:c r="M224" s="373"/>
      <x:c r="N224" s="373"/>
      <x:c r="O224" s="373"/>
      <x:c r="P224" s="373"/>
      <x:c r="Q224" s="373"/>
      <x:c r="R224" s="373"/>
      <x:c r="S224" s="373"/>
      <x:c r="T224" s="373"/>
      <x:c r="U224" s="373"/>
      <x:c r="V224" s="373"/>
      <x:c r="W224" s="373"/>
      <x:c r="X224" s="373"/>
      <x:c r="Y224" s="373"/>
      <x:c r="Z224" s="373"/>
    </x:row>
    <x:row r="225">
      <x:c r="A225" s="373"/>
      <x:c r="B225" s="373"/>
      <x:c r="C225" s="373"/>
      <x:c r="D225" s="373"/>
      <x:c r="E225" s="373"/>
      <x:c r="F225" s="373"/>
      <x:c r="G225" s="373"/>
      <x:c r="H225" s="373"/>
      <x:c r="I225" s="373"/>
      <x:c r="J225" s="373"/>
      <x:c r="K225" s="373"/>
      <x:c r="L225" s="373"/>
      <x:c r="M225" s="373"/>
      <x:c r="N225" s="373"/>
      <x:c r="O225" s="373"/>
      <x:c r="P225" s="373"/>
      <x:c r="Q225" s="373"/>
      <x:c r="R225" s="373"/>
      <x:c r="S225" s="373"/>
      <x:c r="T225" s="373"/>
      <x:c r="U225" s="373"/>
      <x:c r="V225" s="373"/>
      <x:c r="W225" s="373"/>
      <x:c r="X225" s="373"/>
      <x:c r="Y225" s="373"/>
      <x:c r="Z225" s="373"/>
    </x:row>
    <x:row r="226">
      <x:c r="A226" s="373"/>
      <x:c r="B226" s="373"/>
      <x:c r="C226" s="373"/>
      <x:c r="D226" s="373"/>
      <x:c r="E226" s="373"/>
      <x:c r="F226" s="373"/>
      <x:c r="G226" s="373"/>
      <x:c r="H226" s="373"/>
      <x:c r="I226" s="373"/>
      <x:c r="J226" s="373"/>
      <x:c r="K226" s="373"/>
      <x:c r="L226" s="373"/>
      <x:c r="M226" s="373"/>
      <x:c r="N226" s="373"/>
      <x:c r="O226" s="373"/>
      <x:c r="P226" s="373"/>
      <x:c r="Q226" s="373"/>
      <x:c r="R226" s="373"/>
      <x:c r="S226" s="373"/>
      <x:c r="T226" s="373"/>
      <x:c r="U226" s="373"/>
      <x:c r="V226" s="373"/>
      <x:c r="W226" s="373"/>
      <x:c r="X226" s="373"/>
      <x:c r="Y226" s="373"/>
      <x:c r="Z226" s="373"/>
    </x:row>
    <x:row r="227">
      <x:c r="A227" s="373"/>
      <x:c r="B227" s="373"/>
      <x:c r="C227" s="373"/>
      <x:c r="D227" s="373"/>
      <x:c r="E227" s="373"/>
      <x:c r="F227" s="373"/>
      <x:c r="G227" s="373"/>
      <x:c r="H227" s="373"/>
      <x:c r="I227" s="373"/>
      <x:c r="J227" s="373"/>
      <x:c r="K227" s="373"/>
      <x:c r="L227" s="373"/>
      <x:c r="M227" s="373"/>
      <x:c r="N227" s="373"/>
      <x:c r="O227" s="373"/>
      <x:c r="P227" s="373"/>
      <x:c r="Q227" s="373"/>
      <x:c r="R227" s="373"/>
      <x:c r="S227" s="373"/>
      <x:c r="T227" s="373"/>
      <x:c r="U227" s="373"/>
      <x:c r="V227" s="373"/>
      <x:c r="W227" s="373"/>
      <x:c r="X227" s="373"/>
      <x:c r="Y227" s="373"/>
      <x:c r="Z227" s="373"/>
    </x:row>
    <x:row r="228">
      <x:c r="A228" s="373"/>
      <x:c r="B228" s="373"/>
      <x:c r="C228" s="373"/>
      <x:c r="D228" s="373"/>
      <x:c r="E228" s="373"/>
      <x:c r="F228" s="373"/>
      <x:c r="G228" s="373"/>
      <x:c r="H228" s="373"/>
      <x:c r="I228" s="373"/>
      <x:c r="J228" s="373"/>
      <x:c r="K228" s="373"/>
      <x:c r="L228" s="373"/>
      <x:c r="M228" s="373"/>
      <x:c r="N228" s="373"/>
      <x:c r="O228" s="373"/>
      <x:c r="P228" s="373"/>
      <x:c r="Q228" s="373"/>
      <x:c r="R228" s="373"/>
      <x:c r="S228" s="373"/>
      <x:c r="T228" s="373"/>
      <x:c r="U228" s="373"/>
      <x:c r="V228" s="373"/>
      <x:c r="W228" s="373"/>
      <x:c r="X228" s="373"/>
      <x:c r="Y228" s="373"/>
      <x:c r="Z228" s="373"/>
    </x:row>
    <x:row r="229">
      <x:c r="A229" s="373"/>
      <x:c r="B229" s="373"/>
      <x:c r="C229" s="373"/>
      <x:c r="D229" s="373"/>
      <x:c r="E229" s="373"/>
      <x:c r="F229" s="373"/>
      <x:c r="G229" s="373"/>
      <x:c r="H229" s="373"/>
      <x:c r="I229" s="373"/>
      <x:c r="J229" s="373"/>
      <x:c r="K229" s="373"/>
      <x:c r="L229" s="373"/>
      <x:c r="M229" s="373"/>
      <x:c r="N229" s="373"/>
      <x:c r="O229" s="373"/>
      <x:c r="P229" s="373"/>
      <x:c r="Q229" s="373"/>
      <x:c r="R229" s="373"/>
      <x:c r="S229" s="373"/>
      <x:c r="T229" s="373"/>
      <x:c r="U229" s="373"/>
      <x:c r="V229" s="373"/>
      <x:c r="W229" s="373"/>
      <x:c r="X229" s="373"/>
      <x:c r="Y229" s="373"/>
      <x:c r="Z229" s="373"/>
    </x:row>
    <x:row r="230">
      <x:c r="A230" s="373"/>
      <x:c r="B230" s="373"/>
      <x:c r="C230" s="373"/>
      <x:c r="D230" s="373"/>
      <x:c r="E230" s="373"/>
      <x:c r="F230" s="373"/>
      <x:c r="G230" s="373"/>
      <x:c r="H230" s="373"/>
      <x:c r="I230" s="373"/>
      <x:c r="J230" s="373"/>
      <x:c r="K230" s="373"/>
      <x:c r="L230" s="373"/>
      <x:c r="M230" s="373"/>
      <x:c r="N230" s="373"/>
      <x:c r="O230" s="373"/>
      <x:c r="P230" s="373"/>
      <x:c r="Q230" s="373"/>
      <x:c r="R230" s="373"/>
      <x:c r="S230" s="373"/>
      <x:c r="T230" s="373"/>
      <x:c r="U230" s="373"/>
      <x:c r="V230" s="373"/>
      <x:c r="W230" s="373"/>
      <x:c r="X230" s="373"/>
      <x:c r="Y230" s="373"/>
      <x:c r="Z230" s="373"/>
    </x:row>
    <x:row r="231">
      <x:c r="A231" s="373"/>
      <x:c r="B231" s="373"/>
      <x:c r="C231" s="373"/>
      <x:c r="D231" s="373"/>
      <x:c r="E231" s="373"/>
      <x:c r="F231" s="373"/>
      <x:c r="G231" s="373"/>
      <x:c r="H231" s="373"/>
      <x:c r="I231" s="373"/>
      <x:c r="J231" s="373"/>
      <x:c r="K231" s="373"/>
      <x:c r="L231" s="373"/>
      <x:c r="M231" s="373"/>
      <x:c r="N231" s="373"/>
      <x:c r="O231" s="373"/>
      <x:c r="P231" s="373"/>
      <x:c r="Q231" s="373"/>
      <x:c r="R231" s="373"/>
      <x:c r="S231" s="373"/>
      <x:c r="T231" s="373"/>
      <x:c r="U231" s="373"/>
      <x:c r="V231" s="373"/>
      <x:c r="W231" s="373"/>
      <x:c r="X231" s="373"/>
      <x:c r="Y231" s="373"/>
      <x:c r="Z231" s="373"/>
    </x:row>
    <x:row r="232">
      <x:c r="A232" s="373"/>
      <x:c r="B232" s="373"/>
      <x:c r="C232" s="373"/>
      <x:c r="D232" s="373"/>
      <x:c r="E232" s="373"/>
      <x:c r="F232" s="373"/>
      <x:c r="G232" s="373"/>
      <x:c r="H232" s="373"/>
      <x:c r="I232" s="373"/>
      <x:c r="J232" s="373"/>
      <x:c r="K232" s="373"/>
      <x:c r="L232" s="373"/>
      <x:c r="M232" s="373"/>
      <x:c r="N232" s="373"/>
      <x:c r="O232" s="373"/>
      <x:c r="P232" s="373"/>
      <x:c r="Q232" s="373"/>
      <x:c r="R232" s="373"/>
      <x:c r="S232" s="373"/>
      <x:c r="T232" s="373"/>
      <x:c r="U232" s="373"/>
      <x:c r="V232" s="373"/>
      <x:c r="W232" s="373"/>
      <x:c r="X232" s="373"/>
      <x:c r="Y232" s="373"/>
      <x:c r="Z232" s="373"/>
    </x:row>
    <x:row r="233">
      <x:c r="A233" s="373"/>
      <x:c r="B233" s="373"/>
      <x:c r="C233" s="373"/>
      <x:c r="D233" s="373"/>
      <x:c r="E233" s="373"/>
      <x:c r="F233" s="373"/>
      <x:c r="G233" s="373"/>
      <x:c r="H233" s="373"/>
      <x:c r="I233" s="373"/>
      <x:c r="J233" s="373"/>
      <x:c r="K233" s="373"/>
      <x:c r="L233" s="373"/>
      <x:c r="M233" s="373"/>
      <x:c r="N233" s="373"/>
      <x:c r="O233" s="373"/>
      <x:c r="P233" s="373"/>
      <x:c r="Q233" s="373"/>
      <x:c r="R233" s="373"/>
      <x:c r="S233" s="373"/>
      <x:c r="T233" s="373"/>
      <x:c r="U233" s="373"/>
      <x:c r="V233" s="373"/>
      <x:c r="W233" s="373"/>
      <x:c r="X233" s="373"/>
      <x:c r="Y233" s="373"/>
      <x:c r="Z233" s="373"/>
    </x:row>
    <x:row r="234">
      <x:c r="A234" s="373"/>
      <x:c r="B234" s="373"/>
      <x:c r="C234" s="373"/>
      <x:c r="D234" s="373"/>
      <x:c r="E234" s="373"/>
      <x:c r="F234" s="373"/>
      <x:c r="G234" s="373"/>
      <x:c r="H234" s="373"/>
      <x:c r="I234" s="373"/>
      <x:c r="J234" s="373"/>
      <x:c r="K234" s="373"/>
      <x:c r="L234" s="373"/>
      <x:c r="M234" s="373"/>
      <x:c r="N234" s="373"/>
      <x:c r="O234" s="373"/>
      <x:c r="P234" s="373"/>
      <x:c r="Q234" s="373"/>
      <x:c r="R234" s="373"/>
      <x:c r="S234" s="373"/>
      <x:c r="T234" s="373"/>
      <x:c r="U234" s="373"/>
      <x:c r="V234" s="373"/>
      <x:c r="W234" s="373"/>
      <x:c r="X234" s="373"/>
      <x:c r="Y234" s="373"/>
      <x:c r="Z234" s="373"/>
    </x:row>
    <x:row r="235">
      <x:c r="A235" s="373"/>
      <x:c r="B235" s="373"/>
      <x:c r="C235" s="373"/>
      <x:c r="D235" s="373"/>
      <x:c r="E235" s="373"/>
      <x:c r="F235" s="373"/>
      <x:c r="G235" s="373"/>
      <x:c r="H235" s="373"/>
      <x:c r="I235" s="373"/>
      <x:c r="J235" s="373"/>
      <x:c r="K235" s="373"/>
      <x:c r="L235" s="373"/>
      <x:c r="M235" s="373"/>
      <x:c r="N235" s="373"/>
      <x:c r="O235" s="373"/>
      <x:c r="P235" s="373"/>
      <x:c r="Q235" s="373"/>
      <x:c r="R235" s="373"/>
      <x:c r="S235" s="373"/>
      <x:c r="T235" s="373"/>
      <x:c r="U235" s="373"/>
      <x:c r="V235" s="373"/>
      <x:c r="W235" s="373"/>
      <x:c r="X235" s="373"/>
      <x:c r="Y235" s="373"/>
      <x:c r="Z235" s="373"/>
    </x:row>
    <x:row r="236">
      <x:c r="A236" s="373"/>
      <x:c r="B236" s="373"/>
      <x:c r="C236" s="373"/>
      <x:c r="D236" s="373"/>
      <x:c r="E236" s="373"/>
      <x:c r="F236" s="373"/>
      <x:c r="G236" s="373"/>
      <x:c r="H236" s="373"/>
      <x:c r="I236" s="373"/>
      <x:c r="J236" s="373"/>
      <x:c r="K236" s="373"/>
      <x:c r="L236" s="373"/>
      <x:c r="M236" s="373"/>
      <x:c r="N236" s="373"/>
      <x:c r="O236" s="373"/>
      <x:c r="P236" s="373"/>
      <x:c r="Q236" s="373"/>
      <x:c r="R236" s="373"/>
      <x:c r="S236" s="373"/>
      <x:c r="T236" s="373"/>
      <x:c r="U236" s="373"/>
      <x:c r="V236" s="373"/>
      <x:c r="W236" s="373"/>
      <x:c r="X236" s="373"/>
      <x:c r="Y236" s="373"/>
      <x:c r="Z236" s="373"/>
    </x:row>
    <x:row r="237">
      <x:c r="A237" s="373"/>
      <x:c r="B237" s="373"/>
      <x:c r="C237" s="373"/>
      <x:c r="D237" s="373"/>
      <x:c r="E237" s="373"/>
      <x:c r="F237" s="373"/>
      <x:c r="G237" s="373"/>
      <x:c r="H237" s="373"/>
      <x:c r="I237" s="373"/>
      <x:c r="J237" s="373"/>
      <x:c r="K237" s="373"/>
      <x:c r="L237" s="373"/>
      <x:c r="M237" s="373"/>
      <x:c r="N237" s="373"/>
      <x:c r="O237" s="373"/>
      <x:c r="P237" s="373"/>
      <x:c r="Q237" s="373"/>
      <x:c r="R237" s="373"/>
      <x:c r="S237" s="373"/>
      <x:c r="T237" s="373"/>
      <x:c r="U237" s="373"/>
      <x:c r="V237" s="373"/>
      <x:c r="W237" s="373"/>
      <x:c r="X237" s="373"/>
      <x:c r="Y237" s="373"/>
      <x:c r="Z237" s="373"/>
    </x:row>
    <x:row r="238">
      <x:c r="A238" s="373"/>
      <x:c r="B238" s="373"/>
      <x:c r="C238" s="373"/>
      <x:c r="D238" s="373"/>
      <x:c r="E238" s="373"/>
      <x:c r="F238" s="373"/>
      <x:c r="G238" s="373"/>
      <x:c r="H238" s="373"/>
      <x:c r="I238" s="373"/>
      <x:c r="J238" s="373"/>
      <x:c r="K238" s="373"/>
      <x:c r="L238" s="373"/>
      <x:c r="M238" s="373"/>
      <x:c r="N238" s="373"/>
      <x:c r="O238" s="373"/>
      <x:c r="P238" s="373"/>
      <x:c r="Q238" s="373"/>
      <x:c r="R238" s="373"/>
      <x:c r="S238" s="373"/>
      <x:c r="T238" s="373"/>
      <x:c r="U238" s="373"/>
      <x:c r="V238" s="373"/>
      <x:c r="W238" s="373"/>
      <x:c r="X238" s="373"/>
      <x:c r="Y238" s="373"/>
      <x:c r="Z238" s="373"/>
    </x:row>
    <x:row r="239">
      <x:c r="A239" s="373"/>
      <x:c r="B239" s="373"/>
      <x:c r="C239" s="373"/>
      <x:c r="D239" s="373"/>
      <x:c r="E239" s="373"/>
      <x:c r="F239" s="373"/>
      <x:c r="G239" s="373"/>
      <x:c r="H239" s="373"/>
      <x:c r="I239" s="373"/>
      <x:c r="J239" s="373"/>
      <x:c r="K239" s="373"/>
      <x:c r="L239" s="373"/>
      <x:c r="M239" s="373"/>
      <x:c r="N239" s="373"/>
      <x:c r="O239" s="373"/>
      <x:c r="P239" s="373"/>
      <x:c r="Q239" s="373"/>
      <x:c r="R239" s="373"/>
      <x:c r="S239" s="373"/>
      <x:c r="T239" s="373"/>
      <x:c r="U239" s="373"/>
      <x:c r="V239" s="373"/>
      <x:c r="W239" s="373"/>
      <x:c r="X239" s="373"/>
      <x:c r="Y239" s="373"/>
      <x:c r="Z239" s="373"/>
    </x:row>
    <x:row r="240">
      <x:c r="A240" s="373"/>
      <x:c r="B240" s="373"/>
      <x:c r="C240" s="373"/>
      <x:c r="D240" s="373"/>
      <x:c r="E240" s="373"/>
      <x:c r="F240" s="373"/>
      <x:c r="G240" s="373"/>
      <x:c r="H240" s="373"/>
      <x:c r="I240" s="373"/>
      <x:c r="J240" s="373"/>
      <x:c r="K240" s="373"/>
      <x:c r="L240" s="373"/>
      <x:c r="M240" s="373"/>
      <x:c r="N240" s="373"/>
      <x:c r="O240" s="373"/>
      <x:c r="P240" s="373"/>
      <x:c r="Q240" s="373"/>
      <x:c r="R240" s="373"/>
      <x:c r="S240" s="373"/>
      <x:c r="T240" s="373"/>
      <x:c r="U240" s="373"/>
      <x:c r="V240" s="373"/>
      <x:c r="W240" s="373"/>
      <x:c r="X240" s="373"/>
      <x:c r="Y240" s="373"/>
      <x:c r="Z240" s="373"/>
    </x:row>
    <x:row r="241">
      <x:c r="A241" s="373"/>
      <x:c r="B241" s="373"/>
      <x:c r="C241" s="373"/>
      <x:c r="D241" s="373"/>
      <x:c r="E241" s="373"/>
      <x:c r="F241" s="373"/>
      <x:c r="G241" s="373"/>
      <x:c r="H241" s="373"/>
      <x:c r="I241" s="373"/>
      <x:c r="J241" s="373"/>
      <x:c r="K241" s="373"/>
      <x:c r="L241" s="373"/>
      <x:c r="M241" s="373"/>
      <x:c r="N241" s="373"/>
      <x:c r="O241" s="373"/>
      <x:c r="P241" s="373"/>
      <x:c r="Q241" s="373"/>
      <x:c r="R241" s="373"/>
      <x:c r="S241" s="373"/>
      <x:c r="T241" s="373"/>
      <x:c r="U241" s="373"/>
      <x:c r="V241" s="373"/>
      <x:c r="W241" s="373"/>
      <x:c r="X241" s="373"/>
      <x:c r="Y241" s="373"/>
      <x:c r="Z241" s="373"/>
    </x:row>
    <x:row r="242">
      <x:c r="A242" s="373"/>
      <x:c r="B242" s="373"/>
      <x:c r="C242" s="373"/>
      <x:c r="D242" s="373"/>
      <x:c r="E242" s="373"/>
      <x:c r="F242" s="373"/>
      <x:c r="G242" s="373"/>
      <x:c r="H242" s="373"/>
      <x:c r="I242" s="373"/>
      <x:c r="J242" s="373"/>
      <x:c r="K242" s="373"/>
      <x:c r="L242" s="373"/>
      <x:c r="M242" s="373"/>
      <x:c r="N242" s="373"/>
      <x:c r="O242" s="373"/>
      <x:c r="P242" s="373"/>
      <x:c r="Q242" s="373"/>
      <x:c r="R242" s="373"/>
      <x:c r="S242" s="373"/>
      <x:c r="T242" s="373"/>
      <x:c r="U242" s="373"/>
      <x:c r="V242" s="373"/>
      <x:c r="W242" s="373"/>
      <x:c r="X242" s="373"/>
      <x:c r="Y242" s="373"/>
      <x:c r="Z242" s="373"/>
    </x:row>
    <x:row r="243">
      <x:c r="A243" s="373"/>
      <x:c r="B243" s="373"/>
      <x:c r="C243" s="373"/>
      <x:c r="D243" s="373"/>
      <x:c r="E243" s="373"/>
      <x:c r="F243" s="373"/>
      <x:c r="G243" s="373"/>
      <x:c r="H243" s="373"/>
      <x:c r="I243" s="373"/>
      <x:c r="J243" s="373"/>
      <x:c r="K243" s="373"/>
      <x:c r="L243" s="373"/>
      <x:c r="M243" s="373"/>
      <x:c r="N243" s="373"/>
      <x:c r="O243" s="373"/>
      <x:c r="P243" s="373"/>
      <x:c r="Q243" s="373"/>
      <x:c r="R243" s="373"/>
      <x:c r="S243" s="373"/>
      <x:c r="T243" s="373"/>
      <x:c r="U243" s="373"/>
      <x:c r="V243" s="373"/>
      <x:c r="W243" s="373"/>
      <x:c r="X243" s="373"/>
      <x:c r="Y243" s="373"/>
      <x:c r="Z243" s="373"/>
    </x:row>
    <x:row r="244">
      <x:c r="A244" s="373"/>
      <x:c r="B244" s="373"/>
      <x:c r="C244" s="373"/>
      <x:c r="D244" s="373"/>
      <x:c r="E244" s="373"/>
      <x:c r="F244" s="373"/>
      <x:c r="G244" s="373"/>
      <x:c r="H244" s="373"/>
      <x:c r="I244" s="373"/>
      <x:c r="J244" s="373"/>
      <x:c r="K244" s="373"/>
      <x:c r="L244" s="373"/>
      <x:c r="M244" s="373"/>
      <x:c r="N244" s="373"/>
      <x:c r="O244" s="373"/>
      <x:c r="P244" s="373"/>
      <x:c r="Q244" s="373"/>
      <x:c r="R244" s="373"/>
      <x:c r="S244" s="373"/>
      <x:c r="T244" s="373"/>
      <x:c r="U244" s="373"/>
      <x:c r="V244" s="373"/>
      <x:c r="W244" s="373"/>
      <x:c r="X244" s="373"/>
      <x:c r="Y244" s="373"/>
      <x:c r="Z244" s="373"/>
    </x:row>
    <x:row r="245">
      <x:c r="A245" s="373"/>
      <x:c r="B245" s="373"/>
      <x:c r="C245" s="373"/>
      <x:c r="D245" s="373"/>
      <x:c r="E245" s="373"/>
      <x:c r="F245" s="373"/>
      <x:c r="G245" s="373"/>
      <x:c r="H245" s="373"/>
      <x:c r="I245" s="373"/>
      <x:c r="J245" s="373"/>
      <x:c r="K245" s="373"/>
      <x:c r="L245" s="373"/>
      <x:c r="M245" s="373"/>
      <x:c r="N245" s="373"/>
      <x:c r="O245" s="373"/>
      <x:c r="P245" s="373"/>
      <x:c r="Q245" s="373"/>
      <x:c r="R245" s="373"/>
      <x:c r="S245" s="373"/>
      <x:c r="T245" s="373"/>
      <x:c r="U245" s="373"/>
      <x:c r="V245" s="373"/>
      <x:c r="W245" s="373"/>
      <x:c r="X245" s="373"/>
      <x:c r="Y245" s="373"/>
      <x:c r="Z245" s="373"/>
    </x:row>
    <x:row r="246">
      <x:c r="A246" s="373"/>
      <x:c r="B246" s="373"/>
      <x:c r="C246" s="373"/>
      <x:c r="D246" s="373"/>
      <x:c r="E246" s="373"/>
      <x:c r="F246" s="373"/>
      <x:c r="G246" s="373"/>
      <x:c r="H246" s="373"/>
      <x:c r="I246" s="373"/>
      <x:c r="J246" s="373"/>
      <x:c r="K246" s="373"/>
      <x:c r="L246" s="373"/>
      <x:c r="M246" s="373"/>
      <x:c r="N246" s="373"/>
      <x:c r="O246" s="373"/>
      <x:c r="P246" s="373"/>
      <x:c r="Q246" s="373"/>
      <x:c r="R246" s="373"/>
      <x:c r="S246" s="373"/>
      <x:c r="T246" s="373"/>
      <x:c r="U246" s="373"/>
      <x:c r="V246" s="373"/>
      <x:c r="W246" s="373"/>
      <x:c r="X246" s="373"/>
      <x:c r="Y246" s="373"/>
      <x:c r="Z246" s="373"/>
    </x:row>
    <x:row r="247">
      <x:c r="A247" s="373"/>
      <x:c r="B247" s="373"/>
      <x:c r="C247" s="373"/>
      <x:c r="D247" s="373"/>
      <x:c r="E247" s="373"/>
      <x:c r="F247" s="373"/>
      <x:c r="G247" s="373"/>
      <x:c r="H247" s="373"/>
      <x:c r="I247" s="373"/>
      <x:c r="J247" s="373"/>
      <x:c r="K247" s="373"/>
      <x:c r="L247" s="373"/>
      <x:c r="M247" s="373"/>
      <x:c r="N247" s="373"/>
      <x:c r="O247" s="373"/>
      <x:c r="P247" s="373"/>
      <x:c r="Q247" s="373"/>
      <x:c r="R247" s="373"/>
      <x:c r="S247" s="373"/>
      <x:c r="T247" s="373"/>
      <x:c r="U247" s="373"/>
      <x:c r="V247" s="373"/>
      <x:c r="W247" s="373"/>
      <x:c r="X247" s="373"/>
      <x:c r="Y247" s="373"/>
      <x:c r="Z247" s="373"/>
    </x:row>
    <x:row r="248">
      <x:c r="A248" s="373"/>
      <x:c r="B248" s="373"/>
      <x:c r="C248" s="373"/>
      <x:c r="D248" s="373"/>
      <x:c r="E248" s="373"/>
      <x:c r="F248" s="373"/>
      <x:c r="G248" s="373"/>
      <x:c r="H248" s="373"/>
      <x:c r="I248" s="373"/>
      <x:c r="J248" s="373"/>
      <x:c r="K248" s="373"/>
      <x:c r="L248" s="373"/>
      <x:c r="M248" s="373"/>
      <x:c r="N248" s="373"/>
      <x:c r="O248" s="373"/>
      <x:c r="P248" s="373"/>
      <x:c r="Q248" s="373"/>
      <x:c r="R248" s="373"/>
      <x:c r="S248" s="373"/>
      <x:c r="T248" s="373"/>
      <x:c r="U248" s="373"/>
      <x:c r="V248" s="373"/>
      <x:c r="W248" s="373"/>
      <x:c r="X248" s="373"/>
      <x:c r="Y248" s="373"/>
      <x:c r="Z248" s="373"/>
    </x:row>
    <x:row r="249">
      <x:c r="A249" s="373"/>
      <x:c r="B249" s="373"/>
      <x:c r="C249" s="373"/>
      <x:c r="D249" s="373"/>
      <x:c r="E249" s="373"/>
      <x:c r="F249" s="373"/>
      <x:c r="G249" s="373"/>
      <x:c r="H249" s="373"/>
      <x:c r="I249" s="373"/>
      <x:c r="J249" s="373"/>
      <x:c r="K249" s="373"/>
      <x:c r="L249" s="373"/>
      <x:c r="M249" s="373"/>
      <x:c r="N249" s="373"/>
      <x:c r="O249" s="373"/>
      <x:c r="P249" s="373"/>
      <x:c r="Q249" s="373"/>
      <x:c r="R249" s="373"/>
      <x:c r="S249" s="373"/>
      <x:c r="T249" s="373"/>
      <x:c r="U249" s="373"/>
      <x:c r="V249" s="373"/>
      <x:c r="W249" s="373"/>
      <x:c r="X249" s="373"/>
      <x:c r="Y249" s="373"/>
      <x:c r="Z249" s="373"/>
    </x:row>
    <x:row r="250">
      <x:c r="A250" s="373"/>
      <x:c r="B250" s="373"/>
      <x:c r="C250" s="373"/>
      <x:c r="D250" s="373"/>
      <x:c r="E250" s="373"/>
      <x:c r="F250" s="373"/>
      <x:c r="G250" s="373"/>
      <x:c r="H250" s="373"/>
      <x:c r="I250" s="373"/>
      <x:c r="J250" s="373"/>
      <x:c r="K250" s="373"/>
      <x:c r="L250" s="373"/>
      <x:c r="M250" s="373"/>
      <x:c r="N250" s="373"/>
      <x:c r="O250" s="373"/>
      <x:c r="P250" s="373"/>
      <x:c r="Q250" s="373"/>
      <x:c r="R250" s="373"/>
      <x:c r="S250" s="373"/>
      <x:c r="T250" s="373"/>
      <x:c r="U250" s="373"/>
      <x:c r="V250" s="373"/>
      <x:c r="W250" s="373"/>
      <x:c r="X250" s="373"/>
      <x:c r="Y250" s="373"/>
      <x:c r="Z250" s="373"/>
    </x:row>
    <x:row r="251">
      <x:c r="A251" s="373"/>
      <x:c r="B251" s="373"/>
      <x:c r="C251" s="373"/>
      <x:c r="D251" s="373"/>
      <x:c r="E251" s="373"/>
      <x:c r="F251" s="373"/>
      <x:c r="G251" s="373"/>
      <x:c r="H251" s="373"/>
      <x:c r="I251" s="373"/>
      <x:c r="J251" s="373"/>
      <x:c r="K251" s="373"/>
      <x:c r="L251" s="373"/>
      <x:c r="M251" s="373"/>
      <x:c r="N251" s="373"/>
      <x:c r="O251" s="373"/>
      <x:c r="P251" s="373"/>
      <x:c r="Q251" s="373"/>
      <x:c r="R251" s="373"/>
      <x:c r="S251" s="373"/>
      <x:c r="T251" s="373"/>
      <x:c r="U251" s="373"/>
      <x:c r="V251" s="373"/>
      <x:c r="W251" s="373"/>
      <x:c r="X251" s="373"/>
      <x:c r="Y251" s="373"/>
      <x:c r="Z251" s="373"/>
    </x:row>
    <x:row r="252">
      <x:c r="A252" s="373"/>
      <x:c r="B252" s="373"/>
      <x:c r="C252" s="373"/>
      <x:c r="D252" s="373"/>
      <x:c r="E252" s="373"/>
      <x:c r="F252" s="373"/>
      <x:c r="G252" s="373"/>
      <x:c r="H252" s="373"/>
      <x:c r="I252" s="373"/>
      <x:c r="J252" s="373"/>
      <x:c r="K252" s="373"/>
      <x:c r="L252" s="373"/>
      <x:c r="M252" s="373"/>
      <x:c r="N252" s="373"/>
      <x:c r="O252" s="373"/>
      <x:c r="P252" s="373"/>
      <x:c r="Q252" s="373"/>
      <x:c r="R252" s="373"/>
      <x:c r="S252" s="373"/>
      <x:c r="T252" s="373"/>
      <x:c r="U252" s="373"/>
      <x:c r="V252" s="373"/>
      <x:c r="W252" s="373"/>
      <x:c r="X252" s="373"/>
      <x:c r="Y252" s="373"/>
      <x:c r="Z252" s="373"/>
    </x:row>
    <x:row r="253">
      <x:c r="A253" s="373"/>
      <x:c r="B253" s="373"/>
      <x:c r="C253" s="373"/>
      <x:c r="D253" s="373"/>
      <x:c r="E253" s="373"/>
      <x:c r="F253" s="373"/>
      <x:c r="G253" s="373"/>
      <x:c r="H253" s="373"/>
      <x:c r="I253" s="373"/>
      <x:c r="J253" s="373"/>
      <x:c r="K253" s="373"/>
      <x:c r="L253" s="373"/>
      <x:c r="M253" s="373"/>
      <x:c r="N253" s="373"/>
      <x:c r="O253" s="373"/>
      <x:c r="P253" s="373"/>
      <x:c r="Q253" s="373"/>
      <x:c r="R253" s="373"/>
      <x:c r="S253" s="373"/>
      <x:c r="T253" s="373"/>
      <x:c r="U253" s="373"/>
      <x:c r="V253" s="373"/>
      <x:c r="W253" s="373"/>
      <x:c r="X253" s="373"/>
      <x:c r="Y253" s="373"/>
      <x:c r="Z253" s="373"/>
    </x:row>
    <x:row r="254">
      <x:c r="A254" s="373"/>
      <x:c r="B254" s="373"/>
      <x:c r="C254" s="373"/>
      <x:c r="D254" s="373"/>
      <x:c r="E254" s="373"/>
      <x:c r="F254" s="373"/>
      <x:c r="G254" s="373"/>
      <x:c r="H254" s="373"/>
      <x:c r="I254" s="373"/>
      <x:c r="J254" s="373"/>
      <x:c r="K254" s="373"/>
      <x:c r="L254" s="373"/>
      <x:c r="M254" s="373"/>
      <x:c r="N254" s="373"/>
      <x:c r="O254" s="373"/>
      <x:c r="P254" s="373"/>
      <x:c r="Q254" s="373"/>
      <x:c r="R254" s="373"/>
      <x:c r="S254" s="373"/>
      <x:c r="T254" s="373"/>
      <x:c r="U254" s="373"/>
      <x:c r="V254" s="373"/>
      <x:c r="W254" s="373"/>
      <x:c r="X254" s="373"/>
      <x:c r="Y254" s="373"/>
      <x:c r="Z254" s="373"/>
    </x:row>
    <x:row r="255">
      <x:c r="A255" s="373"/>
      <x:c r="B255" s="373"/>
      <x:c r="C255" s="373"/>
      <x:c r="D255" s="373"/>
      <x:c r="E255" s="373"/>
      <x:c r="F255" s="373"/>
      <x:c r="G255" s="373"/>
      <x:c r="H255" s="373"/>
      <x:c r="I255" s="373"/>
      <x:c r="J255" s="373"/>
      <x:c r="K255" s="373"/>
      <x:c r="L255" s="373"/>
      <x:c r="M255" s="373"/>
      <x:c r="N255" s="373"/>
      <x:c r="O255" s="373"/>
      <x:c r="P255" s="373"/>
      <x:c r="Q255" s="373"/>
      <x:c r="R255" s="373"/>
      <x:c r="S255" s="373"/>
      <x:c r="T255" s="373"/>
      <x:c r="U255" s="373"/>
      <x:c r="V255" s="373"/>
      <x:c r="W255" s="373"/>
      <x:c r="X255" s="373"/>
      <x:c r="Y255" s="373"/>
      <x:c r="Z255" s="373"/>
    </x:row>
    <x:row r="256">
      <x:c r="A256" s="373"/>
      <x:c r="B256" s="373"/>
      <x:c r="C256" s="373"/>
      <x:c r="D256" s="373"/>
      <x:c r="E256" s="373"/>
      <x:c r="F256" s="373"/>
      <x:c r="G256" s="373"/>
      <x:c r="H256" s="373"/>
      <x:c r="I256" s="373"/>
      <x:c r="J256" s="373"/>
      <x:c r="K256" s="373"/>
      <x:c r="L256" s="373"/>
      <x:c r="M256" s="373"/>
      <x:c r="N256" s="373"/>
      <x:c r="O256" s="373"/>
      <x:c r="P256" s="373"/>
      <x:c r="Q256" s="373"/>
      <x:c r="R256" s="373"/>
      <x:c r="S256" s="373"/>
      <x:c r="T256" s="373"/>
      <x:c r="U256" s="373"/>
      <x:c r="V256" s="373"/>
      <x:c r="W256" s="373"/>
      <x:c r="X256" s="373"/>
      <x:c r="Y256" s="373"/>
      <x:c r="Z256" s="373"/>
    </x:row>
    <x:row r="257">
      <x:c r="A257" s="373"/>
      <x:c r="B257" s="373"/>
      <x:c r="C257" s="373"/>
      <x:c r="D257" s="373"/>
      <x:c r="E257" s="373"/>
      <x:c r="F257" s="373"/>
      <x:c r="G257" s="373"/>
      <x:c r="H257" s="373"/>
      <x:c r="I257" s="373"/>
      <x:c r="J257" s="373"/>
      <x:c r="K257" s="373"/>
      <x:c r="L257" s="373"/>
      <x:c r="M257" s="373"/>
      <x:c r="N257" s="373"/>
      <x:c r="O257" s="373"/>
      <x:c r="P257" s="373"/>
      <x:c r="Q257" s="373"/>
      <x:c r="R257" s="373"/>
      <x:c r="S257" s="373"/>
      <x:c r="T257" s="373"/>
      <x:c r="U257" s="373"/>
      <x:c r="V257" s="373"/>
      <x:c r="W257" s="373"/>
      <x:c r="X257" s="373"/>
      <x:c r="Y257" s="373"/>
      <x:c r="Z257" s="373"/>
    </x:row>
    <x:row r="258">
      <x:c r="A258" s="373"/>
      <x:c r="B258" s="373"/>
      <x:c r="C258" s="373"/>
      <x:c r="D258" s="373"/>
      <x:c r="E258" s="373"/>
      <x:c r="F258" s="373"/>
      <x:c r="G258" s="373"/>
      <x:c r="H258" s="373"/>
      <x:c r="I258" s="373"/>
      <x:c r="J258" s="373"/>
      <x:c r="K258" s="373"/>
      <x:c r="L258" s="373"/>
      <x:c r="M258" s="373"/>
      <x:c r="N258" s="373"/>
      <x:c r="O258" s="373"/>
      <x:c r="P258" s="373"/>
      <x:c r="Q258" s="373"/>
      <x:c r="R258" s="373"/>
      <x:c r="S258" s="373"/>
      <x:c r="T258" s="373"/>
      <x:c r="U258" s="373"/>
      <x:c r="V258" s="373"/>
      <x:c r="W258" s="373"/>
      <x:c r="X258" s="373"/>
      <x:c r="Y258" s="373"/>
      <x:c r="Z258" s="373"/>
    </x:row>
    <x:row r="259">
      <x:c r="A259" s="373"/>
      <x:c r="B259" s="373"/>
      <x:c r="C259" s="373"/>
      <x:c r="D259" s="373"/>
      <x:c r="E259" s="373"/>
      <x:c r="F259" s="373"/>
      <x:c r="G259" s="373"/>
      <x:c r="H259" s="373"/>
      <x:c r="I259" s="373"/>
      <x:c r="J259" s="373"/>
      <x:c r="K259" s="373"/>
      <x:c r="L259" s="373"/>
      <x:c r="M259" s="373"/>
      <x:c r="N259" s="373"/>
      <x:c r="O259" s="373"/>
      <x:c r="P259" s="373"/>
      <x:c r="Q259" s="373"/>
      <x:c r="R259" s="373"/>
      <x:c r="S259" s="373"/>
      <x:c r="T259" s="373"/>
      <x:c r="U259" s="373"/>
      <x:c r="V259" s="373"/>
      <x:c r="W259" s="373"/>
      <x:c r="X259" s="373"/>
      <x:c r="Y259" s="373"/>
      <x:c r="Z259" s="373"/>
    </x:row>
    <x:row r="260">
      <x:c r="A260" s="373"/>
      <x:c r="B260" s="373"/>
      <x:c r="C260" s="373"/>
      <x:c r="D260" s="373"/>
      <x:c r="E260" s="373"/>
      <x:c r="F260" s="373"/>
      <x:c r="G260" s="373"/>
      <x:c r="H260" s="373"/>
      <x:c r="I260" s="373"/>
      <x:c r="J260" s="373"/>
      <x:c r="K260" s="373"/>
      <x:c r="L260" s="373"/>
      <x:c r="M260" s="373"/>
      <x:c r="N260" s="373"/>
      <x:c r="O260" s="373"/>
      <x:c r="P260" s="373"/>
      <x:c r="Q260" s="373"/>
      <x:c r="R260" s="373"/>
      <x:c r="S260" s="373"/>
      <x:c r="T260" s="373"/>
      <x:c r="U260" s="373"/>
      <x:c r="V260" s="373"/>
      <x:c r="W260" s="373"/>
      <x:c r="X260" s="373"/>
      <x:c r="Y260" s="373"/>
      <x:c r="Z260" s="373"/>
    </x:row>
    <x:row r="261">
      <x:c r="A261" s="373"/>
      <x:c r="B261" s="373"/>
      <x:c r="C261" s="373"/>
      <x:c r="D261" s="373"/>
      <x:c r="E261" s="373"/>
      <x:c r="F261" s="373"/>
      <x:c r="G261" s="373"/>
      <x:c r="H261" s="373"/>
      <x:c r="I261" s="373"/>
      <x:c r="J261" s="373"/>
      <x:c r="K261" s="373"/>
      <x:c r="L261" s="373"/>
      <x:c r="M261" s="373"/>
      <x:c r="N261" s="373"/>
      <x:c r="O261" s="373"/>
      <x:c r="P261" s="373"/>
      <x:c r="Q261" s="373"/>
      <x:c r="R261" s="373"/>
      <x:c r="S261" s="373"/>
      <x:c r="T261" s="373"/>
      <x:c r="U261" s="373"/>
      <x:c r="V261" s="373"/>
      <x:c r="W261" s="373"/>
      <x:c r="X261" s="373"/>
      <x:c r="Y261" s="373"/>
      <x:c r="Z261" s="373"/>
    </x:row>
    <x:row r="262">
      <x:c r="A262" s="373"/>
      <x:c r="B262" s="373"/>
      <x:c r="C262" s="373"/>
      <x:c r="D262" s="373"/>
      <x:c r="E262" s="373"/>
      <x:c r="F262" s="373"/>
      <x:c r="G262" s="373"/>
      <x:c r="H262" s="373"/>
      <x:c r="I262" s="373"/>
      <x:c r="J262" s="373"/>
      <x:c r="K262" s="373"/>
      <x:c r="L262" s="373"/>
      <x:c r="M262" s="373"/>
      <x:c r="N262" s="373"/>
      <x:c r="O262" s="373"/>
      <x:c r="P262" s="373"/>
      <x:c r="Q262" s="373"/>
      <x:c r="R262" s="373"/>
      <x:c r="S262" s="373"/>
      <x:c r="T262" s="373"/>
      <x:c r="U262" s="373"/>
      <x:c r="V262" s="373"/>
      <x:c r="W262" s="373"/>
      <x:c r="X262" s="373"/>
      <x:c r="Y262" s="373"/>
      <x:c r="Z262" s="373"/>
    </x:row>
    <x:row r="263">
      <x:c r="A263" s="373"/>
      <x:c r="B263" s="373"/>
      <x:c r="C263" s="373"/>
      <x:c r="D263" s="373"/>
      <x:c r="E263" s="373"/>
      <x:c r="F263" s="373"/>
      <x:c r="G263" s="373"/>
      <x:c r="H263" s="373"/>
      <x:c r="I263" s="373"/>
      <x:c r="J263" s="373"/>
      <x:c r="K263" s="373"/>
      <x:c r="L263" s="373"/>
      <x:c r="M263" s="373"/>
      <x:c r="N263" s="373"/>
      <x:c r="O263" s="373"/>
      <x:c r="P263" s="373"/>
      <x:c r="Q263" s="373"/>
      <x:c r="R263" s="373"/>
      <x:c r="S263" s="373"/>
      <x:c r="T263" s="373"/>
      <x:c r="U263" s="373"/>
      <x:c r="V263" s="373"/>
      <x:c r="W263" s="373"/>
      <x:c r="X263" s="373"/>
      <x:c r="Y263" s="373"/>
      <x:c r="Z263" s="373"/>
    </x:row>
    <x:row r="264">
      <x:c r="A264" s="373"/>
      <x:c r="B264" s="373"/>
      <x:c r="C264" s="373"/>
      <x:c r="D264" s="373"/>
      <x:c r="E264" s="373"/>
      <x:c r="F264" s="373"/>
      <x:c r="G264" s="373"/>
      <x:c r="H264" s="373"/>
      <x:c r="I264" s="373"/>
      <x:c r="J264" s="373"/>
      <x:c r="K264" s="373"/>
      <x:c r="L264" s="373"/>
      <x:c r="M264" s="373"/>
      <x:c r="N264" s="373"/>
      <x:c r="O264" s="373"/>
      <x:c r="P264" s="373"/>
      <x:c r="Q264" s="373"/>
      <x:c r="R264" s="373"/>
      <x:c r="S264" s="373"/>
      <x:c r="T264" s="373"/>
      <x:c r="U264" s="373"/>
      <x:c r="V264" s="373"/>
      <x:c r="W264" s="373"/>
      <x:c r="X264" s="373"/>
      <x:c r="Y264" s="373"/>
      <x:c r="Z264" s="373"/>
    </x:row>
    <x:row r="265">
      <x:c r="A265" s="373"/>
      <x:c r="B265" s="373"/>
      <x:c r="C265" s="373"/>
      <x:c r="D265" s="373"/>
      <x:c r="E265" s="373"/>
      <x:c r="F265" s="373"/>
      <x:c r="G265" s="373"/>
      <x:c r="H265" s="373"/>
      <x:c r="I265" s="373"/>
      <x:c r="J265" s="373"/>
      <x:c r="K265" s="373"/>
      <x:c r="L265" s="373"/>
      <x:c r="M265" s="373"/>
      <x:c r="N265" s="373"/>
      <x:c r="O265" s="373"/>
      <x:c r="P265" s="373"/>
      <x:c r="Q265" s="373"/>
      <x:c r="R265" s="373"/>
      <x:c r="S265" s="373"/>
      <x:c r="T265" s="373"/>
      <x:c r="U265" s="373"/>
      <x:c r="V265" s="373"/>
      <x:c r="W265" s="373"/>
      <x:c r="X265" s="373"/>
      <x:c r="Y265" s="373"/>
      <x:c r="Z265" s="373"/>
    </x:row>
    <x:row r="266">
      <x:c r="A266" s="373"/>
      <x:c r="B266" s="373"/>
      <x:c r="C266" s="373"/>
      <x:c r="D266" s="373"/>
      <x:c r="E266" s="373"/>
      <x:c r="F266" s="373"/>
      <x:c r="G266" s="373"/>
      <x:c r="H266" s="373"/>
      <x:c r="I266" s="373"/>
      <x:c r="J266" s="373"/>
      <x:c r="K266" s="373"/>
      <x:c r="L266" s="373"/>
      <x:c r="M266" s="373"/>
      <x:c r="N266" s="373"/>
      <x:c r="O266" s="373"/>
      <x:c r="P266" s="373"/>
      <x:c r="Q266" s="373"/>
      <x:c r="R266" s="373"/>
      <x:c r="S266" s="373"/>
      <x:c r="T266" s="373"/>
      <x:c r="U266" s="373"/>
      <x:c r="V266" s="373"/>
      <x:c r="W266" s="373"/>
      <x:c r="X266" s="373"/>
      <x:c r="Y266" s="373"/>
      <x:c r="Z266" s="373"/>
    </x:row>
    <x:row r="267">
      <x:c r="A267" s="373"/>
      <x:c r="B267" s="373"/>
      <x:c r="C267" s="373"/>
      <x:c r="D267" s="373"/>
      <x:c r="E267" s="373"/>
      <x:c r="F267" s="373"/>
      <x:c r="G267" s="373"/>
      <x:c r="H267" s="373"/>
      <x:c r="I267" s="373"/>
      <x:c r="J267" s="373"/>
      <x:c r="K267" s="373"/>
      <x:c r="L267" s="373"/>
      <x:c r="M267" s="373"/>
      <x:c r="N267" s="373"/>
      <x:c r="O267" s="373"/>
      <x:c r="P267" s="373"/>
      <x:c r="Q267" s="373"/>
      <x:c r="R267" s="373"/>
      <x:c r="S267" s="373"/>
      <x:c r="T267" s="373"/>
      <x:c r="U267" s="373"/>
      <x:c r="V267" s="373"/>
      <x:c r="W267" s="373"/>
      <x:c r="X267" s="373"/>
      <x:c r="Y267" s="373"/>
      <x:c r="Z267" s="373"/>
    </x:row>
    <x:row r="268">
      <x:c r="A268" s="373"/>
      <x:c r="B268" s="373"/>
      <x:c r="C268" s="373"/>
      <x:c r="D268" s="373"/>
      <x:c r="E268" s="373"/>
      <x:c r="F268" s="373"/>
      <x:c r="G268" s="373"/>
      <x:c r="H268" s="373"/>
      <x:c r="I268" s="373"/>
      <x:c r="J268" s="373"/>
      <x:c r="K268" s="373"/>
      <x:c r="L268" s="373"/>
      <x:c r="M268" s="373"/>
      <x:c r="N268" s="373"/>
      <x:c r="O268" s="373"/>
      <x:c r="P268" s="373"/>
      <x:c r="Q268" s="373"/>
      <x:c r="R268" s="373"/>
      <x:c r="S268" s="373"/>
      <x:c r="T268" s="373"/>
      <x:c r="U268" s="373"/>
      <x:c r="V268" s="373"/>
      <x:c r="W268" s="373"/>
      <x:c r="X268" s="373"/>
      <x:c r="Y268" s="373"/>
      <x:c r="Z268" s="373"/>
    </x:row>
    <x:row r="269">
      <x:c r="A269" s="373"/>
      <x:c r="B269" s="373"/>
      <x:c r="C269" s="373"/>
      <x:c r="D269" s="373"/>
      <x:c r="E269" s="373"/>
      <x:c r="F269" s="373"/>
      <x:c r="G269" s="373"/>
      <x:c r="H269" s="373"/>
      <x:c r="I269" s="373"/>
      <x:c r="J269" s="373"/>
      <x:c r="K269" s="373"/>
      <x:c r="L269" s="373"/>
      <x:c r="M269" s="373"/>
      <x:c r="N269" s="373"/>
      <x:c r="O269" s="373"/>
      <x:c r="P269" s="373"/>
      <x:c r="Q269" s="373"/>
      <x:c r="R269" s="373"/>
      <x:c r="S269" s="373"/>
      <x:c r="T269" s="373"/>
      <x:c r="U269" s="373"/>
      <x:c r="V269" s="373"/>
      <x:c r="W269" s="373"/>
      <x:c r="X269" s="373"/>
      <x:c r="Y269" s="373"/>
      <x:c r="Z269" s="373"/>
    </x:row>
    <x:row r="270">
      <x:c r="A270" s="373"/>
      <x:c r="B270" s="373"/>
      <x:c r="C270" s="373"/>
      <x:c r="D270" s="373"/>
      <x:c r="E270" s="373"/>
      <x:c r="F270" s="373"/>
      <x:c r="G270" s="373"/>
      <x:c r="H270" s="373"/>
      <x:c r="I270" s="373"/>
      <x:c r="J270" s="373"/>
      <x:c r="K270" s="373"/>
      <x:c r="L270" s="373"/>
      <x:c r="M270" s="373"/>
      <x:c r="N270" s="373"/>
      <x:c r="O270" s="373"/>
      <x:c r="P270" s="373"/>
      <x:c r="Q270" s="373"/>
      <x:c r="R270" s="373"/>
      <x:c r="S270" s="373"/>
      <x:c r="T270" s="373"/>
      <x:c r="U270" s="373"/>
      <x:c r="V270" s="373"/>
      <x:c r="W270" s="373"/>
      <x:c r="X270" s="373"/>
      <x:c r="Y270" s="373"/>
      <x:c r="Z270" s="373"/>
    </x:row>
    <x:row r="271">
      <x:c r="A271" s="373"/>
      <x:c r="B271" s="373"/>
      <x:c r="C271" s="373"/>
      <x:c r="D271" s="373"/>
      <x:c r="E271" s="373"/>
      <x:c r="F271" s="373"/>
      <x:c r="G271" s="373"/>
      <x:c r="H271" s="373"/>
      <x:c r="I271" s="373"/>
      <x:c r="J271" s="373"/>
      <x:c r="K271" s="373"/>
      <x:c r="L271" s="373"/>
      <x:c r="M271" s="373"/>
      <x:c r="N271" s="373"/>
      <x:c r="O271" s="373"/>
      <x:c r="P271" s="373"/>
      <x:c r="Q271" s="373"/>
      <x:c r="R271" s="373"/>
      <x:c r="S271" s="373"/>
      <x:c r="T271" s="373"/>
      <x:c r="U271" s="373"/>
      <x:c r="V271" s="373"/>
      <x:c r="W271" s="373"/>
      <x:c r="X271" s="373"/>
      <x:c r="Y271" s="373"/>
      <x:c r="Z271" s="373"/>
    </x:row>
    <x:row r="272">
      <x:c r="A272" s="373"/>
      <x:c r="B272" s="373"/>
      <x:c r="C272" s="373"/>
      <x:c r="D272" s="373"/>
      <x:c r="E272" s="373"/>
      <x:c r="F272" s="373"/>
      <x:c r="G272" s="373"/>
      <x:c r="H272" s="373"/>
      <x:c r="I272" s="373"/>
      <x:c r="J272" s="373"/>
      <x:c r="K272" s="373"/>
      <x:c r="L272" s="373"/>
      <x:c r="M272" s="373"/>
      <x:c r="N272" s="373"/>
      <x:c r="O272" s="373"/>
      <x:c r="P272" s="373"/>
      <x:c r="Q272" s="373"/>
      <x:c r="R272" s="373"/>
      <x:c r="S272" s="373"/>
      <x:c r="T272" s="373"/>
      <x:c r="U272" s="373"/>
      <x:c r="V272" s="373"/>
      <x:c r="W272" s="373"/>
      <x:c r="X272" s="373"/>
      <x:c r="Y272" s="373"/>
      <x:c r="Z272" s="373"/>
    </x:row>
    <x:row r="273">
      <x:c r="A273" s="373"/>
      <x:c r="B273" s="373"/>
      <x:c r="C273" s="373"/>
      <x:c r="D273" s="373"/>
      <x:c r="E273" s="373"/>
      <x:c r="F273" s="373"/>
      <x:c r="G273" s="373"/>
      <x:c r="H273" s="373"/>
      <x:c r="I273" s="373"/>
      <x:c r="J273" s="373"/>
      <x:c r="K273" s="373"/>
      <x:c r="L273" s="373"/>
      <x:c r="M273" s="373"/>
      <x:c r="N273" s="373"/>
      <x:c r="O273" s="373"/>
      <x:c r="P273" s="373"/>
      <x:c r="Q273" s="373"/>
      <x:c r="R273" s="373"/>
      <x:c r="S273" s="373"/>
      <x:c r="T273" s="373"/>
      <x:c r="U273" s="373"/>
      <x:c r="V273" s="373"/>
      <x:c r="W273" s="373"/>
      <x:c r="X273" s="373"/>
      <x:c r="Y273" s="373"/>
      <x:c r="Z273" s="373"/>
    </x:row>
    <x:row r="274">
      <x:c r="A274" s="373"/>
      <x:c r="B274" s="373"/>
      <x:c r="C274" s="373"/>
      <x:c r="D274" s="373"/>
      <x:c r="E274" s="373"/>
      <x:c r="F274" s="373"/>
      <x:c r="G274" s="373"/>
      <x:c r="H274" s="373"/>
      <x:c r="I274" s="373"/>
      <x:c r="J274" s="373"/>
      <x:c r="K274" s="373"/>
      <x:c r="L274" s="373"/>
      <x:c r="M274" s="373"/>
      <x:c r="N274" s="373"/>
      <x:c r="O274" s="373"/>
      <x:c r="P274" s="373"/>
      <x:c r="Q274" s="373"/>
      <x:c r="R274" s="373"/>
      <x:c r="S274" s="373"/>
      <x:c r="T274" s="373"/>
      <x:c r="U274" s="373"/>
      <x:c r="V274" s="373"/>
      <x:c r="W274" s="373"/>
      <x:c r="X274" s="373"/>
      <x:c r="Y274" s="373"/>
      <x:c r="Z274" s="373"/>
    </x:row>
    <x:row r="275">
      <x:c r="A275" s="373"/>
      <x:c r="B275" s="373"/>
      <x:c r="C275" s="373"/>
      <x:c r="D275" s="373"/>
      <x:c r="E275" s="373"/>
      <x:c r="F275" s="373"/>
      <x:c r="G275" s="373"/>
      <x:c r="H275" s="373"/>
      <x:c r="I275" s="373"/>
      <x:c r="J275" s="373"/>
      <x:c r="K275" s="373"/>
      <x:c r="L275" s="373"/>
      <x:c r="M275" s="373"/>
      <x:c r="N275" s="373"/>
      <x:c r="O275" s="373"/>
      <x:c r="P275" s="373"/>
      <x:c r="Q275" s="373"/>
      <x:c r="R275" s="373"/>
      <x:c r="S275" s="373"/>
      <x:c r="T275" s="373"/>
      <x:c r="U275" s="373"/>
      <x:c r="V275" s="373"/>
      <x:c r="W275" s="373"/>
      <x:c r="X275" s="373"/>
      <x:c r="Y275" s="373"/>
      <x:c r="Z275" s="373"/>
    </x:row>
    <x:row r="276">
      <x:c r="A276" s="373"/>
      <x:c r="B276" s="373"/>
      <x:c r="C276" s="373"/>
      <x:c r="D276" s="373"/>
      <x:c r="E276" s="373"/>
      <x:c r="F276" s="373"/>
      <x:c r="G276" s="373"/>
      <x:c r="H276" s="373"/>
      <x:c r="I276" s="373"/>
      <x:c r="J276" s="373"/>
      <x:c r="K276" s="373"/>
      <x:c r="L276" s="373"/>
      <x:c r="M276" s="373"/>
      <x:c r="N276" s="373"/>
      <x:c r="O276" s="373"/>
      <x:c r="P276" s="373"/>
      <x:c r="Q276" s="373"/>
      <x:c r="R276" s="373"/>
      <x:c r="S276" s="373"/>
      <x:c r="T276" s="373"/>
      <x:c r="U276" s="373"/>
      <x:c r="V276" s="373"/>
      <x:c r="W276" s="373"/>
      <x:c r="X276" s="373"/>
      <x:c r="Y276" s="373"/>
      <x:c r="Z276" s="373"/>
    </x:row>
    <x:row r="277">
      <x:c r="A277" s="373"/>
      <x:c r="B277" s="373"/>
      <x:c r="C277" s="373"/>
      <x:c r="D277" s="373"/>
      <x:c r="E277" s="373"/>
      <x:c r="F277" s="373"/>
      <x:c r="G277" s="373"/>
      <x:c r="H277" s="373"/>
      <x:c r="I277" s="373"/>
      <x:c r="J277" s="373"/>
      <x:c r="K277" s="373"/>
      <x:c r="L277" s="373"/>
      <x:c r="M277" s="373"/>
      <x:c r="N277" s="373"/>
      <x:c r="O277" s="373"/>
      <x:c r="P277" s="373"/>
      <x:c r="Q277" s="373"/>
      <x:c r="R277" s="373"/>
      <x:c r="S277" s="373"/>
      <x:c r="T277" s="373"/>
      <x:c r="U277" s="373"/>
      <x:c r="V277" s="373"/>
      <x:c r="W277" s="373"/>
      <x:c r="X277" s="373"/>
      <x:c r="Y277" s="373"/>
      <x:c r="Z277" s="373"/>
    </x:row>
    <x:row r="278">
      <x:c r="A278" s="373"/>
      <x:c r="B278" s="373"/>
      <x:c r="C278" s="373"/>
      <x:c r="D278" s="373"/>
      <x:c r="E278" s="373"/>
      <x:c r="F278" s="373"/>
      <x:c r="G278" s="373"/>
      <x:c r="H278" s="373"/>
      <x:c r="I278" s="373"/>
      <x:c r="J278" s="373"/>
      <x:c r="K278" s="373"/>
      <x:c r="L278" s="373"/>
      <x:c r="M278" s="373"/>
      <x:c r="N278" s="373"/>
      <x:c r="O278" s="373"/>
      <x:c r="P278" s="373"/>
      <x:c r="Q278" s="373"/>
      <x:c r="R278" s="373"/>
      <x:c r="S278" s="373"/>
      <x:c r="T278" s="373"/>
      <x:c r="U278" s="373"/>
      <x:c r="V278" s="373"/>
      <x:c r="W278" s="373"/>
      <x:c r="X278" s="373"/>
      <x:c r="Y278" s="373"/>
      <x:c r="Z278" s="373"/>
    </x:row>
    <x:row r="279">
      <x:c r="A279" s="373"/>
      <x:c r="B279" s="373"/>
      <x:c r="C279" s="373"/>
      <x:c r="D279" s="373"/>
      <x:c r="E279" s="373"/>
      <x:c r="F279" s="373"/>
      <x:c r="G279" s="373"/>
      <x:c r="H279" s="373"/>
      <x:c r="I279" s="373"/>
      <x:c r="J279" s="373"/>
      <x:c r="K279" s="373"/>
      <x:c r="L279" s="373"/>
      <x:c r="M279" s="373"/>
      <x:c r="N279" s="373"/>
      <x:c r="O279" s="373"/>
      <x:c r="P279" s="373"/>
      <x:c r="Q279" s="373"/>
      <x:c r="R279" s="373"/>
      <x:c r="S279" s="373"/>
      <x:c r="T279" s="373"/>
      <x:c r="U279" s="373"/>
      <x:c r="V279" s="373"/>
      <x:c r="W279" s="373"/>
      <x:c r="X279" s="373"/>
      <x:c r="Y279" s="373"/>
      <x:c r="Z279" s="373"/>
    </x:row>
    <x:row r="280">
      <x:c r="A280" s="373"/>
      <x:c r="B280" s="373"/>
      <x:c r="C280" s="373"/>
      <x:c r="D280" s="373"/>
      <x:c r="E280" s="373"/>
      <x:c r="F280" s="373"/>
      <x:c r="G280" s="373"/>
      <x:c r="H280" s="373"/>
      <x:c r="I280" s="373"/>
      <x:c r="J280" s="373"/>
      <x:c r="K280" s="373"/>
      <x:c r="L280" s="373"/>
      <x:c r="M280" s="373"/>
      <x:c r="N280" s="373"/>
      <x:c r="O280" s="373"/>
      <x:c r="P280" s="373"/>
      <x:c r="Q280" s="373"/>
      <x:c r="R280" s="373"/>
      <x:c r="S280" s="373"/>
      <x:c r="T280" s="373"/>
      <x:c r="U280" s="373"/>
      <x:c r="V280" s="373"/>
      <x:c r="W280" s="373"/>
      <x:c r="X280" s="373"/>
      <x:c r="Y280" s="373"/>
      <x:c r="Z280" s="373"/>
    </x:row>
    <x:row r="281">
      <x:c r="A281" s="373"/>
      <x:c r="B281" s="373"/>
      <x:c r="C281" s="373"/>
      <x:c r="D281" s="373"/>
      <x:c r="E281" s="373"/>
      <x:c r="F281" s="373"/>
      <x:c r="G281" s="373"/>
      <x:c r="H281" s="373"/>
      <x:c r="I281" s="373"/>
      <x:c r="J281" s="373"/>
      <x:c r="K281" s="373"/>
      <x:c r="L281" s="373"/>
      <x:c r="M281" s="373"/>
      <x:c r="N281" s="373"/>
      <x:c r="O281" s="373"/>
      <x:c r="P281" s="373"/>
      <x:c r="Q281" s="373"/>
      <x:c r="R281" s="373"/>
      <x:c r="S281" s="373"/>
      <x:c r="T281" s="373"/>
      <x:c r="U281" s="373"/>
      <x:c r="V281" s="373"/>
      <x:c r="W281" s="373"/>
      <x:c r="X281" s="373"/>
      <x:c r="Y281" s="373"/>
      <x:c r="Z281" s="373"/>
    </x:row>
    <x:row r="282">
      <x:c r="A282" s="373"/>
      <x:c r="B282" s="373"/>
      <x:c r="C282" s="373"/>
      <x:c r="D282" s="373"/>
      <x:c r="E282" s="373"/>
      <x:c r="F282" s="373"/>
      <x:c r="G282" s="373"/>
      <x:c r="H282" s="373"/>
      <x:c r="I282" s="373"/>
      <x:c r="J282" s="373"/>
      <x:c r="K282" s="373"/>
      <x:c r="L282" s="373"/>
      <x:c r="M282" s="373"/>
      <x:c r="N282" s="373"/>
      <x:c r="O282" s="373"/>
      <x:c r="P282" s="373"/>
      <x:c r="Q282" s="373"/>
      <x:c r="R282" s="373"/>
      <x:c r="S282" s="373"/>
      <x:c r="T282" s="373"/>
      <x:c r="U282" s="373"/>
      <x:c r="V282" s="373"/>
      <x:c r="W282" s="373"/>
      <x:c r="X282" s="373"/>
      <x:c r="Y282" s="373"/>
      <x:c r="Z282" s="373"/>
    </x:row>
    <x:row r="283">
      <x:c r="A283" s="373"/>
      <x:c r="B283" s="373"/>
      <x:c r="C283" s="373"/>
      <x:c r="D283" s="373"/>
      <x:c r="E283" s="373"/>
      <x:c r="F283" s="373"/>
      <x:c r="G283" s="373"/>
      <x:c r="H283" s="373"/>
      <x:c r="I283" s="373"/>
      <x:c r="J283" s="373"/>
      <x:c r="K283" s="373"/>
      <x:c r="L283" s="373"/>
      <x:c r="M283" s="373"/>
      <x:c r="N283" s="373"/>
      <x:c r="O283" s="373"/>
      <x:c r="P283" s="373"/>
      <x:c r="Q283" s="373"/>
      <x:c r="R283" s="373"/>
      <x:c r="S283" s="373"/>
      <x:c r="T283" s="373"/>
      <x:c r="U283" s="373"/>
      <x:c r="V283" s="373"/>
      <x:c r="W283" s="373"/>
      <x:c r="X283" s="373"/>
      <x:c r="Y283" s="373"/>
      <x:c r="Z283" s="373"/>
    </x:row>
    <x:row r="284">
      <x:c r="A284" s="373"/>
      <x:c r="B284" s="373"/>
      <x:c r="C284" s="373"/>
      <x:c r="D284" s="373"/>
      <x:c r="E284" s="373"/>
      <x:c r="F284" s="373"/>
      <x:c r="G284" s="373"/>
      <x:c r="H284" s="373"/>
      <x:c r="I284" s="373"/>
      <x:c r="J284" s="373"/>
      <x:c r="K284" s="373"/>
      <x:c r="L284" s="373"/>
      <x:c r="M284" s="373"/>
      <x:c r="N284" s="373"/>
      <x:c r="O284" s="373"/>
      <x:c r="P284" s="373"/>
      <x:c r="Q284" s="373"/>
      <x:c r="R284" s="373"/>
      <x:c r="S284" s="373"/>
      <x:c r="T284" s="373"/>
      <x:c r="U284" s="373"/>
      <x:c r="V284" s="373"/>
      <x:c r="W284" s="373"/>
      <x:c r="X284" s="373"/>
      <x:c r="Y284" s="373"/>
      <x:c r="Z284" s="373"/>
    </x:row>
    <x:row r="285">
      <x:c r="A285" s="373"/>
      <x:c r="B285" s="373"/>
      <x:c r="C285" s="373"/>
      <x:c r="D285" s="373"/>
      <x:c r="E285" s="373"/>
      <x:c r="F285" s="373"/>
      <x:c r="G285" s="373"/>
      <x:c r="H285" s="373"/>
      <x:c r="I285" s="373"/>
      <x:c r="J285" s="373"/>
      <x:c r="K285" s="373"/>
      <x:c r="L285" s="373"/>
      <x:c r="M285" s="373"/>
      <x:c r="N285" s="373"/>
      <x:c r="O285" s="373"/>
      <x:c r="P285" s="373"/>
      <x:c r="Q285" s="373"/>
      <x:c r="R285" s="373"/>
      <x:c r="S285" s="373"/>
      <x:c r="T285" s="373"/>
      <x:c r="U285" s="373"/>
      <x:c r="V285" s="373"/>
      <x:c r="W285" s="373"/>
      <x:c r="X285" s="373"/>
      <x:c r="Y285" s="373"/>
      <x:c r="Z285" s="373"/>
    </x:row>
    <x:row r="286">
      <x:c r="A286" s="373"/>
      <x:c r="B286" s="373"/>
      <x:c r="C286" s="373"/>
      <x:c r="D286" s="373"/>
      <x:c r="E286" s="373"/>
      <x:c r="F286" s="373"/>
      <x:c r="G286" s="373"/>
      <x:c r="H286" s="373"/>
      <x:c r="I286" s="373"/>
      <x:c r="J286" s="373"/>
      <x:c r="K286" s="373"/>
      <x:c r="L286" s="373"/>
      <x:c r="M286" s="373"/>
      <x:c r="N286" s="373"/>
      <x:c r="O286" s="373"/>
      <x:c r="P286" s="373"/>
      <x:c r="Q286" s="373"/>
      <x:c r="R286" s="373"/>
      <x:c r="S286" s="373"/>
      <x:c r="T286" s="373"/>
      <x:c r="U286" s="373"/>
      <x:c r="V286" s="373"/>
      <x:c r="W286" s="373"/>
      <x:c r="X286" s="373"/>
      <x:c r="Y286" s="373"/>
      <x:c r="Z286" s="373"/>
    </x:row>
    <x:row r="287">
      <x:c r="A287" s="373"/>
      <x:c r="B287" s="373"/>
      <x:c r="C287" s="373"/>
      <x:c r="D287" s="373"/>
      <x:c r="E287" s="373"/>
      <x:c r="F287" s="373"/>
      <x:c r="G287" s="373"/>
      <x:c r="H287" s="373"/>
      <x:c r="I287" s="373"/>
      <x:c r="J287" s="373"/>
      <x:c r="K287" s="373"/>
      <x:c r="L287" s="373"/>
      <x:c r="M287" s="373"/>
      <x:c r="N287" s="373"/>
      <x:c r="O287" s="373"/>
      <x:c r="P287" s="373"/>
      <x:c r="Q287" s="373"/>
      <x:c r="R287" s="373"/>
      <x:c r="S287" s="373"/>
      <x:c r="T287" s="373"/>
      <x:c r="U287" s="373"/>
      <x:c r="V287" s="373"/>
      <x:c r="W287" s="373"/>
      <x:c r="X287" s="373"/>
      <x:c r="Y287" s="373"/>
      <x:c r="Z287" s="373"/>
    </x:row>
    <x:row r="288">
      <x:c r="A288" s="373"/>
      <x:c r="B288" s="373"/>
      <x:c r="C288" s="373"/>
      <x:c r="D288" s="373"/>
      <x:c r="E288" s="373"/>
      <x:c r="F288" s="373"/>
      <x:c r="G288" s="373"/>
      <x:c r="H288" s="373"/>
      <x:c r="I288" s="373"/>
      <x:c r="J288" s="373"/>
      <x:c r="K288" s="373"/>
      <x:c r="L288" s="373"/>
      <x:c r="M288" s="373"/>
      <x:c r="N288" s="373"/>
      <x:c r="O288" s="373"/>
      <x:c r="P288" s="373"/>
      <x:c r="Q288" s="373"/>
      <x:c r="R288" s="373"/>
      <x:c r="S288" s="373"/>
      <x:c r="T288" s="373"/>
      <x:c r="U288" s="373"/>
      <x:c r="V288" s="373"/>
      <x:c r="W288" s="373"/>
      <x:c r="X288" s="373"/>
      <x:c r="Y288" s="373"/>
      <x:c r="Z288" s="373"/>
    </x:row>
    <x:row r="289">
      <x:c r="A289" s="373"/>
      <x:c r="B289" s="373"/>
      <x:c r="C289" s="373"/>
      <x:c r="D289" s="373"/>
      <x:c r="E289" s="373"/>
      <x:c r="F289" s="373"/>
      <x:c r="G289" s="373"/>
      <x:c r="H289" s="373"/>
      <x:c r="I289" s="373"/>
      <x:c r="J289" s="373"/>
      <x:c r="K289" s="373"/>
      <x:c r="L289" s="373"/>
      <x:c r="M289" s="373"/>
      <x:c r="N289" s="373"/>
      <x:c r="O289" s="373"/>
      <x:c r="P289" s="373"/>
      <x:c r="Q289" s="373"/>
      <x:c r="R289" s="373"/>
      <x:c r="S289" s="373"/>
      <x:c r="T289" s="373"/>
      <x:c r="U289" s="373"/>
      <x:c r="V289" s="373"/>
      <x:c r="W289" s="373"/>
      <x:c r="X289" s="373"/>
      <x:c r="Y289" s="373"/>
      <x:c r="Z289" s="373"/>
    </x:row>
    <x:row r="290">
      <x:c r="A290" s="373"/>
      <x:c r="B290" s="373"/>
      <x:c r="C290" s="373"/>
      <x:c r="D290" s="373"/>
      <x:c r="E290" s="373"/>
      <x:c r="F290" s="373"/>
      <x:c r="G290" s="373"/>
      <x:c r="H290" s="373"/>
      <x:c r="I290" s="373"/>
      <x:c r="J290" s="373"/>
      <x:c r="K290" s="373"/>
      <x:c r="L290" s="373"/>
      <x:c r="M290" s="373"/>
      <x:c r="N290" s="373"/>
      <x:c r="O290" s="373"/>
      <x:c r="P290" s="373"/>
      <x:c r="Q290" s="373"/>
      <x:c r="R290" s="373"/>
      <x:c r="S290" s="373"/>
      <x:c r="T290" s="373"/>
      <x:c r="U290" s="373"/>
      <x:c r="V290" s="373"/>
      <x:c r="W290" s="373"/>
      <x:c r="X290" s="373"/>
      <x:c r="Y290" s="373"/>
      <x:c r="Z290" s="373"/>
    </x:row>
    <x:row r="291">
      <x:c r="A291" s="373"/>
      <x:c r="B291" s="373"/>
      <x:c r="C291" s="373"/>
      <x:c r="D291" s="373"/>
      <x:c r="E291" s="373"/>
      <x:c r="F291" s="373"/>
      <x:c r="G291" s="373"/>
      <x:c r="H291" s="373"/>
      <x:c r="I291" s="373"/>
      <x:c r="J291" s="373"/>
      <x:c r="K291" s="373"/>
      <x:c r="L291" s="373"/>
      <x:c r="M291" s="373"/>
      <x:c r="N291" s="373"/>
      <x:c r="O291" s="373"/>
      <x:c r="P291" s="373"/>
      <x:c r="Q291" s="373"/>
      <x:c r="R291" s="373"/>
      <x:c r="S291" s="373"/>
      <x:c r="T291" s="373"/>
      <x:c r="U291" s="373"/>
      <x:c r="V291" s="373"/>
      <x:c r="W291" s="373"/>
      <x:c r="X291" s="373"/>
      <x:c r="Y291" s="373"/>
      <x:c r="Z291" s="373"/>
    </x:row>
    <x:row r="292">
      <x:c r="A292" s="373"/>
      <x:c r="B292" s="373"/>
      <x:c r="C292" s="373"/>
      <x:c r="D292" s="373"/>
      <x:c r="E292" s="373"/>
      <x:c r="F292" s="373"/>
      <x:c r="G292" s="373"/>
      <x:c r="H292" s="373"/>
      <x:c r="I292" s="373"/>
      <x:c r="J292" s="373"/>
      <x:c r="K292" s="373"/>
      <x:c r="L292" s="373"/>
      <x:c r="M292" s="373"/>
      <x:c r="N292" s="373"/>
      <x:c r="O292" s="373"/>
      <x:c r="P292" s="373"/>
      <x:c r="Q292" s="373"/>
      <x:c r="R292" s="373"/>
      <x:c r="S292" s="373"/>
      <x:c r="T292" s="373"/>
      <x:c r="U292" s="373"/>
      <x:c r="V292" s="373"/>
      <x:c r="W292" s="373"/>
      <x:c r="X292" s="373"/>
      <x:c r="Y292" s="373"/>
      <x:c r="Z292" s="373"/>
    </x:row>
    <x:row r="293">
      <x:c r="A293" s="373"/>
      <x:c r="B293" s="373"/>
      <x:c r="C293" s="373"/>
      <x:c r="D293" s="373"/>
      <x:c r="E293" s="373"/>
      <x:c r="F293" s="373"/>
      <x:c r="G293" s="373"/>
      <x:c r="H293" s="373"/>
      <x:c r="I293" s="373"/>
      <x:c r="J293" s="373"/>
      <x:c r="K293" s="373"/>
      <x:c r="L293" s="373"/>
      <x:c r="M293" s="373"/>
      <x:c r="N293" s="373"/>
      <x:c r="O293" s="373"/>
      <x:c r="P293" s="373"/>
      <x:c r="Q293" s="373"/>
      <x:c r="R293" s="373"/>
      <x:c r="S293" s="373"/>
      <x:c r="T293" s="373"/>
      <x:c r="U293" s="373"/>
      <x:c r="V293" s="373"/>
      <x:c r="W293" s="373"/>
      <x:c r="X293" s="373"/>
      <x:c r="Y293" s="373"/>
      <x:c r="Z293" s="373"/>
    </x:row>
    <x:row r="294">
      <x:c r="A294" s="373"/>
      <x:c r="B294" s="373"/>
      <x:c r="C294" s="373"/>
      <x:c r="D294" s="373"/>
      <x:c r="E294" s="373"/>
      <x:c r="F294" s="373"/>
      <x:c r="G294" s="373"/>
      <x:c r="H294" s="373"/>
      <x:c r="I294" s="373"/>
      <x:c r="J294" s="373"/>
      <x:c r="K294" s="373"/>
      <x:c r="L294" s="373"/>
      <x:c r="M294" s="373"/>
      <x:c r="N294" s="373"/>
      <x:c r="O294" s="373"/>
      <x:c r="P294" s="373"/>
      <x:c r="Q294" s="373"/>
      <x:c r="R294" s="373"/>
      <x:c r="S294" s="373"/>
      <x:c r="T294" s="373"/>
      <x:c r="U294" s="373"/>
      <x:c r="V294" s="373"/>
      <x:c r="W294" s="373"/>
      <x:c r="X294" s="373"/>
      <x:c r="Y294" s="373"/>
      <x:c r="Z294" s="373"/>
    </x:row>
    <x:row r="295">
      <x:c r="A295" s="373"/>
      <x:c r="B295" s="373"/>
      <x:c r="C295" s="373"/>
      <x:c r="D295" s="373"/>
      <x:c r="E295" s="373"/>
      <x:c r="F295" s="373"/>
      <x:c r="G295" s="373"/>
      <x:c r="H295" s="373"/>
      <x:c r="I295" s="373"/>
      <x:c r="J295" s="373"/>
      <x:c r="K295" s="373"/>
      <x:c r="L295" s="373"/>
      <x:c r="M295" s="373"/>
      <x:c r="N295" s="373"/>
      <x:c r="O295" s="373"/>
      <x:c r="P295" s="373"/>
      <x:c r="Q295" s="373"/>
      <x:c r="R295" s="373"/>
      <x:c r="S295" s="373"/>
      <x:c r="T295" s="373"/>
      <x:c r="U295" s="373"/>
      <x:c r="V295" s="373"/>
      <x:c r="W295" s="373"/>
      <x:c r="X295" s="373"/>
      <x:c r="Y295" s="373"/>
      <x:c r="Z295" s="373"/>
    </x:row>
    <x:row r="296">
      <x:c r="A296" s="373"/>
      <x:c r="B296" s="373"/>
      <x:c r="C296" s="373"/>
      <x:c r="D296" s="373"/>
      <x:c r="E296" s="373"/>
      <x:c r="F296" s="373"/>
      <x:c r="G296" s="373"/>
      <x:c r="H296" s="373"/>
      <x:c r="I296" s="373"/>
      <x:c r="J296" s="373"/>
      <x:c r="K296" s="373"/>
      <x:c r="L296" s="373"/>
      <x:c r="M296" s="373"/>
      <x:c r="N296" s="373"/>
      <x:c r="O296" s="373"/>
      <x:c r="P296" s="373"/>
      <x:c r="Q296" s="373"/>
      <x:c r="R296" s="373"/>
      <x:c r="S296" s="373"/>
      <x:c r="T296" s="373"/>
      <x:c r="U296" s="373"/>
      <x:c r="V296" s="373"/>
      <x:c r="W296" s="373"/>
      <x:c r="X296" s="373"/>
      <x:c r="Y296" s="373"/>
      <x:c r="Z296" s="373"/>
    </x:row>
    <x:row r="297">
      <x:c r="A297" s="373"/>
      <x:c r="B297" s="373"/>
      <x:c r="C297" s="373"/>
      <x:c r="D297" s="373"/>
      <x:c r="E297" s="373"/>
      <x:c r="F297" s="373"/>
      <x:c r="G297" s="373"/>
      <x:c r="H297" s="373"/>
      <x:c r="I297" s="373"/>
      <x:c r="J297" s="373"/>
      <x:c r="K297" s="373"/>
      <x:c r="L297" s="373"/>
      <x:c r="M297" s="373"/>
      <x:c r="N297" s="373"/>
      <x:c r="O297" s="373"/>
      <x:c r="P297" s="373"/>
      <x:c r="Q297" s="373"/>
      <x:c r="R297" s="373"/>
      <x:c r="S297" s="373"/>
      <x:c r="T297" s="373"/>
      <x:c r="U297" s="373"/>
      <x:c r="V297" s="373"/>
      <x:c r="W297" s="373"/>
      <x:c r="X297" s="373"/>
      <x:c r="Y297" s="373"/>
      <x:c r="Z297" s="373"/>
    </x:row>
    <x:row r="298">
      <x:c r="A298" s="373"/>
      <x:c r="B298" s="373"/>
      <x:c r="C298" s="373"/>
      <x:c r="D298" s="373"/>
      <x:c r="E298" s="373"/>
      <x:c r="F298" s="373"/>
      <x:c r="G298" s="373"/>
      <x:c r="H298" s="373"/>
      <x:c r="I298" s="373"/>
      <x:c r="J298" s="373"/>
      <x:c r="K298" s="373"/>
      <x:c r="L298" s="373"/>
      <x:c r="M298" s="373"/>
      <x:c r="N298" s="373"/>
      <x:c r="O298" s="373"/>
      <x:c r="P298" s="373"/>
      <x:c r="Q298" s="373"/>
      <x:c r="R298" s="373"/>
      <x:c r="S298" s="373"/>
      <x:c r="T298" s="373"/>
      <x:c r="U298" s="373"/>
      <x:c r="V298" s="373"/>
      <x:c r="W298" s="373"/>
      <x:c r="X298" s="373"/>
      <x:c r="Y298" s="373"/>
      <x:c r="Z298" s="373"/>
    </x:row>
    <x:row r="299">
      <x:c r="A299" s="373"/>
      <x:c r="B299" s="373"/>
      <x:c r="C299" s="373"/>
      <x:c r="D299" s="373"/>
      <x:c r="E299" s="373"/>
      <x:c r="F299" s="373"/>
      <x:c r="G299" s="373"/>
      <x:c r="H299" s="373"/>
      <x:c r="I299" s="373"/>
      <x:c r="J299" s="373"/>
      <x:c r="K299" s="373"/>
      <x:c r="L299" s="373"/>
      <x:c r="M299" s="373"/>
      <x:c r="N299" s="373"/>
      <x:c r="O299" s="373"/>
      <x:c r="P299" s="373"/>
      <x:c r="Q299" s="373"/>
      <x:c r="R299" s="373"/>
      <x:c r="S299" s="373"/>
      <x:c r="T299" s="373"/>
      <x:c r="U299" s="373"/>
      <x:c r="V299" s="373"/>
      <x:c r="W299" s="373"/>
      <x:c r="X299" s="373"/>
      <x:c r="Y299" s="373"/>
      <x:c r="Z299" s="373"/>
    </x:row>
    <x:row r="300">
      <x:c r="A300" s="373"/>
      <x:c r="B300" s="373"/>
      <x:c r="C300" s="373"/>
      <x:c r="D300" s="373"/>
      <x:c r="E300" s="373"/>
      <x:c r="F300" s="373"/>
      <x:c r="G300" s="373"/>
      <x:c r="H300" s="373"/>
      <x:c r="I300" s="373"/>
      <x:c r="J300" s="373"/>
      <x:c r="K300" s="373"/>
      <x:c r="L300" s="373"/>
      <x:c r="M300" s="373"/>
      <x:c r="N300" s="373"/>
      <x:c r="O300" s="373"/>
      <x:c r="P300" s="373"/>
      <x:c r="Q300" s="373"/>
      <x:c r="R300" s="373"/>
      <x:c r="S300" s="373"/>
      <x:c r="T300" s="373"/>
      <x:c r="U300" s="373"/>
      <x:c r="V300" s="373"/>
      <x:c r="W300" s="373"/>
      <x:c r="X300" s="373"/>
      <x:c r="Y300" s="373"/>
      <x:c r="Z300" s="373"/>
    </x:row>
    <x:row r="301">
      <x:c r="A301" s="373"/>
      <x:c r="B301" s="373"/>
      <x:c r="C301" s="373"/>
      <x:c r="D301" s="373"/>
      <x:c r="E301" s="373"/>
      <x:c r="F301" s="373"/>
      <x:c r="G301" s="373"/>
      <x:c r="H301" s="373"/>
      <x:c r="I301" s="373"/>
      <x:c r="J301" s="373"/>
      <x:c r="K301" s="373"/>
      <x:c r="L301" s="373"/>
      <x:c r="M301" s="373"/>
      <x:c r="N301" s="373"/>
      <x:c r="O301" s="373"/>
      <x:c r="P301" s="373"/>
      <x:c r="Q301" s="373"/>
      <x:c r="R301" s="373"/>
      <x:c r="S301" s="373"/>
      <x:c r="T301" s="373"/>
      <x:c r="U301" s="373"/>
      <x:c r="V301" s="373"/>
      <x:c r="W301" s="373"/>
      <x:c r="X301" s="373"/>
      <x:c r="Y301" s="373"/>
      <x:c r="Z301" s="373"/>
    </x:row>
    <x:row r="302">
      <x:c r="A302" s="373"/>
      <x:c r="B302" s="373"/>
      <x:c r="C302" s="373"/>
      <x:c r="D302" s="373"/>
      <x:c r="E302" s="373"/>
      <x:c r="F302" s="373"/>
      <x:c r="G302" s="373"/>
      <x:c r="H302" s="373"/>
      <x:c r="I302" s="373"/>
      <x:c r="J302" s="373"/>
      <x:c r="K302" s="373"/>
      <x:c r="L302" s="373"/>
      <x:c r="M302" s="373"/>
      <x:c r="N302" s="373"/>
      <x:c r="O302" s="373"/>
      <x:c r="P302" s="373"/>
      <x:c r="Q302" s="373"/>
      <x:c r="R302" s="373"/>
      <x:c r="S302" s="373"/>
      <x:c r="T302" s="373"/>
      <x:c r="U302" s="373"/>
      <x:c r="V302" s="373"/>
      <x:c r="W302" s="373"/>
      <x:c r="X302" s="373"/>
      <x:c r="Y302" s="373"/>
      <x:c r="Z302" s="373"/>
    </x:row>
    <x:row r="303">
      <x:c r="A303" s="373"/>
      <x:c r="B303" s="373"/>
      <x:c r="C303" s="373"/>
      <x:c r="D303" s="373"/>
      <x:c r="E303" s="373"/>
      <x:c r="F303" s="373"/>
      <x:c r="G303" s="373"/>
      <x:c r="H303" s="373"/>
      <x:c r="I303" s="373"/>
      <x:c r="J303" s="373"/>
      <x:c r="K303" s="373"/>
      <x:c r="L303" s="373"/>
      <x:c r="M303" s="373"/>
      <x:c r="N303" s="373"/>
      <x:c r="O303" s="373"/>
      <x:c r="P303" s="373"/>
      <x:c r="Q303" s="373"/>
      <x:c r="R303" s="373"/>
      <x:c r="S303" s="373"/>
      <x:c r="T303" s="373"/>
      <x:c r="U303" s="373"/>
      <x:c r="V303" s="373"/>
      <x:c r="W303" s="373"/>
      <x:c r="X303" s="373"/>
      <x:c r="Y303" s="373"/>
      <x:c r="Z303" s="373"/>
    </x:row>
    <x:row r="304">
      <x:c r="A304" s="373"/>
      <x:c r="B304" s="373"/>
      <x:c r="C304" s="373"/>
      <x:c r="D304" s="373"/>
      <x:c r="E304" s="373"/>
      <x:c r="F304" s="373"/>
      <x:c r="G304" s="373"/>
      <x:c r="H304" s="373"/>
      <x:c r="I304" s="373"/>
      <x:c r="J304" s="373"/>
      <x:c r="K304" s="373"/>
      <x:c r="L304" s="373"/>
      <x:c r="M304" s="373"/>
      <x:c r="N304" s="373"/>
      <x:c r="O304" s="373"/>
      <x:c r="P304" s="373"/>
      <x:c r="Q304" s="373"/>
      <x:c r="R304" s="373"/>
      <x:c r="S304" s="373"/>
      <x:c r="T304" s="373"/>
      <x:c r="U304" s="373"/>
      <x:c r="V304" s="373"/>
      <x:c r="W304" s="373"/>
      <x:c r="X304" s="373"/>
      <x:c r="Y304" s="373"/>
      <x:c r="Z304" s="373"/>
    </x:row>
    <x:row r="305">
      <x:c r="A305" s="373"/>
      <x:c r="B305" s="373"/>
      <x:c r="C305" s="373"/>
      <x:c r="D305" s="373"/>
      <x:c r="E305" s="373"/>
      <x:c r="F305" s="373"/>
      <x:c r="G305" s="373"/>
      <x:c r="H305" s="373"/>
      <x:c r="I305" s="373"/>
      <x:c r="J305" s="373"/>
      <x:c r="K305" s="373"/>
      <x:c r="L305" s="373"/>
      <x:c r="M305" s="373"/>
      <x:c r="N305" s="373"/>
      <x:c r="O305" s="373"/>
      <x:c r="P305" s="373"/>
      <x:c r="Q305" s="373"/>
      <x:c r="R305" s="373"/>
      <x:c r="S305" s="373"/>
      <x:c r="T305" s="373"/>
      <x:c r="U305" s="373"/>
      <x:c r="V305" s="373"/>
      <x:c r="W305" s="373"/>
      <x:c r="X305" s="373"/>
      <x:c r="Y305" s="373"/>
      <x:c r="Z305" s="373"/>
    </x:row>
    <x:row r="306">
      <x:c r="A306" s="373"/>
      <x:c r="B306" s="373"/>
      <x:c r="C306" s="373"/>
      <x:c r="D306" s="373"/>
      <x:c r="E306" s="373"/>
      <x:c r="F306" s="373"/>
      <x:c r="G306" s="373"/>
      <x:c r="H306" s="373"/>
      <x:c r="I306" s="373"/>
      <x:c r="J306" s="373"/>
      <x:c r="K306" s="373"/>
      <x:c r="L306" s="373"/>
      <x:c r="M306" s="373"/>
      <x:c r="N306" s="373"/>
      <x:c r="O306" s="373"/>
      <x:c r="P306" s="373"/>
      <x:c r="Q306" s="373"/>
      <x:c r="R306" s="373"/>
      <x:c r="S306" s="373"/>
      <x:c r="T306" s="373"/>
      <x:c r="U306" s="373"/>
      <x:c r="V306" s="373"/>
      <x:c r="W306" s="373"/>
      <x:c r="X306" s="373"/>
      <x:c r="Y306" s="373"/>
      <x:c r="Z306" s="373"/>
    </x:row>
    <x:row r="307">
      <x:c r="A307" s="373"/>
      <x:c r="B307" s="373"/>
      <x:c r="C307" s="373"/>
      <x:c r="D307" s="373"/>
      <x:c r="E307" s="373"/>
      <x:c r="F307" s="373"/>
      <x:c r="G307" s="373"/>
      <x:c r="H307" s="373"/>
      <x:c r="I307" s="373"/>
      <x:c r="J307" s="373"/>
      <x:c r="K307" s="373"/>
      <x:c r="L307" s="373"/>
      <x:c r="M307" s="373"/>
      <x:c r="N307" s="373"/>
      <x:c r="O307" s="373"/>
      <x:c r="P307" s="373"/>
      <x:c r="Q307" s="373"/>
      <x:c r="R307" s="373"/>
      <x:c r="S307" s="373"/>
      <x:c r="T307" s="373"/>
      <x:c r="U307" s="373"/>
      <x:c r="V307" s="373"/>
      <x:c r="W307" s="373"/>
      <x:c r="X307" s="373"/>
      <x:c r="Y307" s="373"/>
      <x:c r="Z307" s="373"/>
    </x:row>
    <x:row r="308">
      <x:c r="A308" s="373"/>
      <x:c r="B308" s="373"/>
      <x:c r="C308" s="373"/>
      <x:c r="D308" s="373"/>
      <x:c r="E308" s="373"/>
      <x:c r="F308" s="373"/>
      <x:c r="G308" s="373"/>
      <x:c r="H308" s="373"/>
      <x:c r="I308" s="373"/>
      <x:c r="J308" s="373"/>
      <x:c r="K308" s="373"/>
      <x:c r="L308" s="373"/>
      <x:c r="M308" s="373"/>
      <x:c r="N308" s="373"/>
      <x:c r="O308" s="373"/>
      <x:c r="P308" s="373"/>
      <x:c r="Q308" s="373"/>
      <x:c r="R308" s="373"/>
      <x:c r="S308" s="373"/>
      <x:c r="T308" s="373"/>
      <x:c r="U308" s="373"/>
      <x:c r="V308" s="373"/>
      <x:c r="W308" s="373"/>
      <x:c r="X308" s="373"/>
      <x:c r="Y308" s="373"/>
      <x:c r="Z308" s="373"/>
    </x:row>
    <x:row r="309">
      <x:c r="A309" s="373"/>
      <x:c r="B309" s="373"/>
      <x:c r="C309" s="373"/>
      <x:c r="D309" s="373"/>
      <x:c r="E309" s="373"/>
      <x:c r="F309" s="373"/>
      <x:c r="G309" s="373"/>
      <x:c r="H309" s="373"/>
      <x:c r="I309" s="373"/>
      <x:c r="J309" s="373"/>
      <x:c r="K309" s="373"/>
      <x:c r="L309" s="373"/>
      <x:c r="M309" s="373"/>
      <x:c r="N309" s="373"/>
      <x:c r="O309" s="373"/>
      <x:c r="P309" s="373"/>
      <x:c r="Q309" s="373"/>
      <x:c r="R309" s="373"/>
      <x:c r="S309" s="373"/>
      <x:c r="T309" s="373"/>
      <x:c r="U309" s="373"/>
      <x:c r="V309" s="373"/>
      <x:c r="W309" s="373"/>
      <x:c r="X309" s="373"/>
      <x:c r="Y309" s="373"/>
      <x:c r="Z309" s="373"/>
    </x:row>
    <x:row r="310">
      <x:c r="A310" s="373"/>
      <x:c r="B310" s="373"/>
      <x:c r="C310" s="373"/>
      <x:c r="D310" s="373"/>
      <x:c r="E310" s="373"/>
      <x:c r="F310" s="373"/>
      <x:c r="G310" s="373"/>
      <x:c r="H310" s="373"/>
      <x:c r="I310" s="373"/>
      <x:c r="J310" s="373"/>
      <x:c r="K310" s="373"/>
      <x:c r="L310" s="373"/>
      <x:c r="M310" s="373"/>
      <x:c r="N310" s="373"/>
      <x:c r="O310" s="373"/>
      <x:c r="P310" s="373"/>
      <x:c r="Q310" s="373"/>
      <x:c r="R310" s="373"/>
      <x:c r="S310" s="373"/>
      <x:c r="T310" s="373"/>
      <x:c r="U310" s="373"/>
      <x:c r="V310" s="373"/>
      <x:c r="W310" s="373"/>
      <x:c r="X310" s="373"/>
      <x:c r="Y310" s="373"/>
      <x:c r="Z310" s="373"/>
    </x:row>
    <x:row r="311">
      <x:c r="A311" s="373"/>
      <x:c r="B311" s="373"/>
      <x:c r="C311" s="373"/>
      <x:c r="D311" s="373"/>
      <x:c r="E311" s="373"/>
      <x:c r="F311" s="373"/>
      <x:c r="G311" s="373"/>
      <x:c r="H311" s="373"/>
      <x:c r="I311" s="373"/>
      <x:c r="J311" s="373"/>
      <x:c r="K311" s="373"/>
      <x:c r="L311" s="373"/>
      <x:c r="M311" s="373"/>
      <x:c r="N311" s="373"/>
      <x:c r="O311" s="373"/>
      <x:c r="P311" s="373"/>
      <x:c r="Q311" s="373"/>
      <x:c r="R311" s="373"/>
      <x:c r="S311" s="373"/>
      <x:c r="T311" s="373"/>
      <x:c r="U311" s="373"/>
      <x:c r="V311" s="373"/>
      <x:c r="W311" s="373"/>
      <x:c r="X311" s="373"/>
      <x:c r="Y311" s="373"/>
      <x:c r="Z311" s="373"/>
    </x:row>
    <x:row r="312">
      <x:c r="A312" s="373"/>
      <x:c r="B312" s="373"/>
      <x:c r="C312" s="373"/>
      <x:c r="D312" s="373"/>
      <x:c r="E312" s="373"/>
      <x:c r="F312" s="373"/>
      <x:c r="G312" s="373"/>
      <x:c r="H312" s="373"/>
      <x:c r="I312" s="373"/>
      <x:c r="J312" s="373"/>
      <x:c r="K312" s="373"/>
      <x:c r="L312" s="373"/>
      <x:c r="M312" s="373"/>
      <x:c r="N312" s="373"/>
      <x:c r="O312" s="373"/>
      <x:c r="P312" s="373"/>
      <x:c r="Q312" s="373"/>
      <x:c r="R312" s="373"/>
      <x:c r="S312" s="373"/>
      <x:c r="T312" s="373"/>
      <x:c r="U312" s="373"/>
      <x:c r="V312" s="373"/>
      <x:c r="W312" s="373"/>
      <x:c r="X312" s="373"/>
      <x:c r="Y312" s="373"/>
      <x:c r="Z312" s="373"/>
    </x:row>
    <x:row r="313">
      <x:c r="A313" s="373"/>
      <x:c r="B313" s="373"/>
      <x:c r="C313" s="373"/>
      <x:c r="D313" s="373"/>
      <x:c r="E313" s="373"/>
      <x:c r="F313" s="373"/>
      <x:c r="G313" s="373"/>
      <x:c r="H313" s="373"/>
      <x:c r="I313" s="373"/>
      <x:c r="J313" s="373"/>
      <x:c r="K313" s="373"/>
      <x:c r="L313" s="373"/>
      <x:c r="M313" s="373"/>
      <x:c r="N313" s="373"/>
      <x:c r="O313" s="373"/>
      <x:c r="P313" s="373"/>
      <x:c r="Q313" s="373"/>
      <x:c r="R313" s="373"/>
      <x:c r="S313" s="373"/>
      <x:c r="T313" s="373"/>
      <x:c r="U313" s="373"/>
      <x:c r="V313" s="373"/>
      <x:c r="W313" s="373"/>
      <x:c r="X313" s="373"/>
      <x:c r="Y313" s="373"/>
      <x:c r="Z313" s="373"/>
    </x:row>
    <x:row r="314">
      <x:c r="A314" s="373"/>
      <x:c r="B314" s="373"/>
      <x:c r="C314" s="373"/>
      <x:c r="D314" s="373"/>
      <x:c r="E314" s="373"/>
      <x:c r="F314" s="373"/>
      <x:c r="G314" s="373"/>
      <x:c r="H314" s="373"/>
      <x:c r="I314" s="373"/>
      <x:c r="J314" s="373"/>
      <x:c r="K314" s="373"/>
      <x:c r="L314" s="373"/>
      <x:c r="M314" s="373"/>
      <x:c r="N314" s="373"/>
      <x:c r="O314" s="373"/>
      <x:c r="P314" s="373"/>
      <x:c r="Q314" s="373"/>
      <x:c r="R314" s="373"/>
      <x:c r="S314" s="373"/>
      <x:c r="T314" s="373"/>
      <x:c r="U314" s="373"/>
      <x:c r="V314" s="373"/>
      <x:c r="W314" s="373"/>
      <x:c r="X314" s="373"/>
      <x:c r="Y314" s="373"/>
      <x:c r="Z314" s="373"/>
    </x:row>
    <x:row r="315">
      <x:c r="A315" s="373"/>
      <x:c r="B315" s="373"/>
      <x:c r="C315" s="373"/>
      <x:c r="D315" s="373"/>
      <x:c r="E315" s="373"/>
      <x:c r="F315" s="373"/>
      <x:c r="G315" s="373"/>
      <x:c r="H315" s="373"/>
      <x:c r="I315" s="373"/>
      <x:c r="J315" s="373"/>
      <x:c r="K315" s="373"/>
      <x:c r="L315" s="373"/>
      <x:c r="M315" s="373"/>
      <x:c r="N315" s="373"/>
      <x:c r="O315" s="373"/>
      <x:c r="P315" s="373"/>
      <x:c r="Q315" s="373"/>
      <x:c r="R315" s="373"/>
      <x:c r="S315" s="373"/>
      <x:c r="T315" s="373"/>
      <x:c r="U315" s="373"/>
      <x:c r="V315" s="373"/>
      <x:c r="W315" s="373"/>
      <x:c r="X315" s="373"/>
      <x:c r="Y315" s="373"/>
      <x:c r="Z315" s="373"/>
    </x:row>
    <x:row r="316">
      <x:c r="A316" s="373"/>
      <x:c r="B316" s="373"/>
      <x:c r="C316" s="373"/>
      <x:c r="D316" s="373"/>
      <x:c r="E316" s="373"/>
      <x:c r="F316" s="373"/>
      <x:c r="G316" s="373"/>
      <x:c r="H316" s="373"/>
      <x:c r="I316" s="373"/>
      <x:c r="J316" s="373"/>
      <x:c r="K316" s="373"/>
      <x:c r="L316" s="373"/>
      <x:c r="M316" s="373"/>
      <x:c r="N316" s="373"/>
      <x:c r="O316" s="373"/>
      <x:c r="P316" s="373"/>
      <x:c r="Q316" s="373"/>
      <x:c r="R316" s="373"/>
      <x:c r="S316" s="373"/>
      <x:c r="T316" s="373"/>
      <x:c r="U316" s="373"/>
      <x:c r="V316" s="373"/>
      <x:c r="W316" s="373"/>
      <x:c r="X316" s="373"/>
      <x:c r="Y316" s="373"/>
      <x:c r="Z316" s="373"/>
    </x:row>
    <x:row r="317">
      <x:c r="A317" s="373"/>
      <x:c r="B317" s="373"/>
      <x:c r="C317" s="373"/>
      <x:c r="D317" s="373"/>
      <x:c r="E317" s="373"/>
      <x:c r="F317" s="373"/>
      <x:c r="G317" s="373"/>
      <x:c r="H317" s="373"/>
      <x:c r="I317" s="373"/>
      <x:c r="J317" s="373"/>
      <x:c r="K317" s="373"/>
      <x:c r="L317" s="373"/>
      <x:c r="M317" s="373"/>
      <x:c r="N317" s="373"/>
      <x:c r="O317" s="373"/>
      <x:c r="P317" s="373"/>
      <x:c r="Q317" s="373"/>
      <x:c r="R317" s="373"/>
      <x:c r="S317" s="373"/>
      <x:c r="T317" s="373"/>
      <x:c r="U317" s="373"/>
      <x:c r="V317" s="373"/>
      <x:c r="W317" s="373"/>
      <x:c r="X317" s="373"/>
      <x:c r="Y317" s="373"/>
      <x:c r="Z317" s="373"/>
    </x:row>
    <x:row r="318">
      <x:c r="A318" s="373"/>
      <x:c r="B318" s="373"/>
      <x:c r="C318" s="373"/>
      <x:c r="D318" s="373"/>
      <x:c r="E318" s="373"/>
      <x:c r="F318" s="373"/>
      <x:c r="G318" s="373"/>
      <x:c r="H318" s="373"/>
      <x:c r="I318" s="373"/>
      <x:c r="J318" s="373"/>
      <x:c r="K318" s="373"/>
      <x:c r="L318" s="373"/>
      <x:c r="M318" s="373"/>
      <x:c r="N318" s="373"/>
      <x:c r="O318" s="373"/>
      <x:c r="P318" s="373"/>
      <x:c r="Q318" s="373"/>
      <x:c r="R318" s="373"/>
      <x:c r="S318" s="373"/>
      <x:c r="T318" s="373"/>
      <x:c r="U318" s="373"/>
      <x:c r="V318" s="373"/>
      <x:c r="W318" s="373"/>
      <x:c r="X318" s="373"/>
      <x:c r="Y318" s="373"/>
      <x:c r="Z318" s="373"/>
    </x:row>
    <x:row r="319">
      <x:c r="A319" s="373"/>
      <x:c r="B319" s="373"/>
      <x:c r="C319" s="373"/>
      <x:c r="D319" s="373"/>
      <x:c r="E319" s="373"/>
      <x:c r="F319" s="373"/>
      <x:c r="G319" s="373"/>
      <x:c r="H319" s="373"/>
      <x:c r="I319" s="373"/>
      <x:c r="J319" s="373"/>
      <x:c r="K319" s="373"/>
      <x:c r="L319" s="373"/>
      <x:c r="M319" s="373"/>
      <x:c r="N319" s="373"/>
      <x:c r="O319" s="373"/>
      <x:c r="P319" s="373"/>
      <x:c r="Q319" s="373"/>
      <x:c r="R319" s="373"/>
      <x:c r="S319" s="373"/>
      <x:c r="T319" s="373"/>
      <x:c r="U319" s="373"/>
      <x:c r="V319" s="373"/>
      <x:c r="W319" s="373"/>
      <x:c r="X319" s="373"/>
      <x:c r="Y319" s="373"/>
      <x:c r="Z319" s="373"/>
    </x:row>
    <x:row r="320">
      <x:c r="A320" s="373"/>
      <x:c r="B320" s="373"/>
      <x:c r="C320" s="373"/>
      <x:c r="D320" s="373"/>
      <x:c r="E320" s="373"/>
      <x:c r="F320" s="373"/>
      <x:c r="G320" s="373"/>
      <x:c r="H320" s="373"/>
      <x:c r="I320" s="373"/>
      <x:c r="J320" s="373"/>
      <x:c r="K320" s="373"/>
      <x:c r="L320" s="373"/>
      <x:c r="M320" s="373"/>
      <x:c r="N320" s="373"/>
      <x:c r="O320" s="373"/>
      <x:c r="P320" s="373"/>
      <x:c r="Q320" s="373"/>
      <x:c r="R320" s="373"/>
      <x:c r="S320" s="373"/>
      <x:c r="T320" s="373"/>
      <x:c r="U320" s="373"/>
      <x:c r="V320" s="373"/>
      <x:c r="W320" s="373"/>
      <x:c r="X320" s="373"/>
      <x:c r="Y320" s="373"/>
      <x:c r="Z320" s="373"/>
    </x:row>
    <x:row r="321">
      <x:c r="A321" s="373"/>
      <x:c r="B321" s="373"/>
      <x:c r="C321" s="373"/>
      <x:c r="D321" s="373"/>
      <x:c r="E321" s="373"/>
      <x:c r="F321" s="373"/>
      <x:c r="G321" s="373"/>
      <x:c r="H321" s="373"/>
      <x:c r="I321" s="373"/>
      <x:c r="J321" s="373"/>
      <x:c r="K321" s="373"/>
      <x:c r="L321" s="373"/>
      <x:c r="M321" s="373"/>
      <x:c r="N321" s="373"/>
      <x:c r="O321" s="373"/>
      <x:c r="P321" s="373"/>
      <x:c r="Q321" s="373"/>
      <x:c r="R321" s="373"/>
      <x:c r="S321" s="373"/>
      <x:c r="T321" s="373"/>
      <x:c r="U321" s="373"/>
      <x:c r="V321" s="373"/>
      <x:c r="W321" s="373"/>
      <x:c r="X321" s="373"/>
      <x:c r="Y321" s="373"/>
      <x:c r="Z321" s="373"/>
    </x:row>
    <x:row r="322">
      <x:c r="A322" s="373"/>
      <x:c r="B322" s="373"/>
      <x:c r="C322" s="373"/>
      <x:c r="D322" s="373"/>
      <x:c r="E322" s="373"/>
      <x:c r="F322" s="373"/>
      <x:c r="G322" s="373"/>
      <x:c r="H322" s="373"/>
      <x:c r="I322" s="373"/>
      <x:c r="J322" s="373"/>
      <x:c r="K322" s="373"/>
      <x:c r="L322" s="373"/>
      <x:c r="M322" s="373"/>
      <x:c r="N322" s="373"/>
      <x:c r="O322" s="373"/>
      <x:c r="P322" s="373"/>
      <x:c r="Q322" s="373"/>
      <x:c r="R322" s="373"/>
      <x:c r="S322" s="373"/>
      <x:c r="T322" s="373"/>
      <x:c r="U322" s="373"/>
      <x:c r="V322" s="373"/>
      <x:c r="W322" s="373"/>
      <x:c r="X322" s="373"/>
      <x:c r="Y322" s="373"/>
      <x:c r="Z322" s="373"/>
    </x:row>
    <x:row r="323">
      <x:c r="A323" s="373"/>
      <x:c r="B323" s="373"/>
      <x:c r="C323" s="373"/>
      <x:c r="D323" s="373"/>
      <x:c r="E323" s="373"/>
      <x:c r="F323" s="373"/>
      <x:c r="G323" s="373"/>
      <x:c r="H323" s="373"/>
      <x:c r="I323" s="373"/>
      <x:c r="J323" s="373"/>
      <x:c r="K323" s="373"/>
      <x:c r="L323" s="373"/>
      <x:c r="M323" s="373"/>
      <x:c r="N323" s="373"/>
      <x:c r="O323" s="373"/>
      <x:c r="P323" s="373"/>
      <x:c r="Q323" s="373"/>
      <x:c r="R323" s="373"/>
      <x:c r="S323" s="373"/>
      <x:c r="T323" s="373"/>
      <x:c r="U323" s="373"/>
      <x:c r="V323" s="373"/>
      <x:c r="W323" s="373"/>
      <x:c r="X323" s="373"/>
      <x:c r="Y323" s="373"/>
      <x:c r="Z323" s="373"/>
    </x:row>
    <x:row r="324">
      <x:c r="A324" s="373"/>
      <x:c r="B324" s="373"/>
      <x:c r="C324" s="373"/>
      <x:c r="D324" s="373"/>
      <x:c r="E324" s="373"/>
      <x:c r="F324" s="373"/>
      <x:c r="G324" s="373"/>
      <x:c r="H324" s="373"/>
      <x:c r="I324" s="373"/>
      <x:c r="J324" s="373"/>
      <x:c r="K324" s="373"/>
      <x:c r="L324" s="373"/>
      <x:c r="M324" s="373"/>
      <x:c r="N324" s="373"/>
      <x:c r="O324" s="373"/>
      <x:c r="P324" s="373"/>
      <x:c r="Q324" s="373"/>
      <x:c r="R324" s="373"/>
      <x:c r="S324" s="373"/>
      <x:c r="T324" s="373"/>
      <x:c r="U324" s="373"/>
      <x:c r="V324" s="373"/>
      <x:c r="W324" s="373"/>
      <x:c r="X324" s="373"/>
      <x:c r="Y324" s="373"/>
      <x:c r="Z324" s="373"/>
    </x:row>
    <x:row r="325">
      <x:c r="A325" s="373"/>
      <x:c r="B325" s="373"/>
      <x:c r="C325" s="373"/>
      <x:c r="D325" s="373"/>
      <x:c r="E325" s="373"/>
      <x:c r="F325" s="373"/>
      <x:c r="G325" s="373"/>
      <x:c r="H325" s="373"/>
      <x:c r="I325" s="373"/>
      <x:c r="J325" s="373"/>
      <x:c r="K325" s="373"/>
      <x:c r="L325" s="373"/>
      <x:c r="M325" s="373"/>
      <x:c r="N325" s="373"/>
      <x:c r="O325" s="373"/>
      <x:c r="P325" s="373"/>
      <x:c r="Q325" s="373"/>
      <x:c r="R325" s="373"/>
      <x:c r="S325" s="373"/>
      <x:c r="T325" s="373"/>
      <x:c r="U325" s="373"/>
      <x:c r="V325" s="373"/>
      <x:c r="W325" s="373"/>
      <x:c r="X325" s="373"/>
      <x:c r="Y325" s="373"/>
      <x:c r="Z325" s="373"/>
    </x:row>
    <x:row r="326">
      <x:c r="A326" s="373"/>
      <x:c r="B326" s="373"/>
      <x:c r="C326" s="373"/>
      <x:c r="D326" s="373"/>
      <x:c r="E326" s="373"/>
      <x:c r="F326" s="373"/>
      <x:c r="G326" s="373"/>
      <x:c r="H326" s="373"/>
      <x:c r="I326" s="373"/>
      <x:c r="J326" s="373"/>
      <x:c r="K326" s="373"/>
      <x:c r="L326" s="373"/>
      <x:c r="M326" s="373"/>
      <x:c r="N326" s="373"/>
      <x:c r="O326" s="373"/>
      <x:c r="P326" s="373"/>
      <x:c r="Q326" s="373"/>
      <x:c r="R326" s="373"/>
      <x:c r="S326" s="373"/>
      <x:c r="T326" s="373"/>
      <x:c r="U326" s="373"/>
      <x:c r="V326" s="373"/>
      <x:c r="W326" s="373"/>
      <x:c r="X326" s="373"/>
      <x:c r="Y326" s="373"/>
      <x:c r="Z326" s="373"/>
    </x:row>
    <x:row r="327">
      <x:c r="A327" s="373"/>
      <x:c r="B327" s="373"/>
      <x:c r="C327" s="373"/>
      <x:c r="D327" s="373"/>
      <x:c r="E327" s="373"/>
      <x:c r="F327" s="373"/>
      <x:c r="G327" s="373"/>
      <x:c r="H327" s="373"/>
      <x:c r="I327" s="373"/>
      <x:c r="J327" s="373"/>
      <x:c r="K327" s="373"/>
      <x:c r="L327" s="373"/>
      <x:c r="M327" s="373"/>
      <x:c r="N327" s="373"/>
      <x:c r="O327" s="373"/>
      <x:c r="P327" s="373"/>
      <x:c r="Q327" s="373"/>
      <x:c r="R327" s="373"/>
      <x:c r="S327" s="373"/>
      <x:c r="T327" s="373"/>
      <x:c r="U327" s="373"/>
      <x:c r="V327" s="373"/>
      <x:c r="W327" s="373"/>
      <x:c r="X327" s="373"/>
      <x:c r="Y327" s="373"/>
      <x:c r="Z327" s="373"/>
    </x:row>
    <x:row r="328">
      <x:c r="A328" s="373"/>
      <x:c r="B328" s="373"/>
      <x:c r="C328" s="373"/>
      <x:c r="D328" s="373"/>
      <x:c r="E328" s="373"/>
      <x:c r="F328" s="373"/>
      <x:c r="G328" s="373"/>
      <x:c r="H328" s="373"/>
      <x:c r="I328" s="373"/>
      <x:c r="J328" s="373"/>
      <x:c r="K328" s="373"/>
      <x:c r="L328" s="373"/>
      <x:c r="M328" s="373"/>
      <x:c r="N328" s="373"/>
      <x:c r="O328" s="373"/>
      <x:c r="P328" s="373"/>
      <x:c r="Q328" s="373"/>
      <x:c r="R328" s="373"/>
      <x:c r="S328" s="373"/>
      <x:c r="T328" s="373"/>
      <x:c r="U328" s="373"/>
      <x:c r="V328" s="373"/>
      <x:c r="W328" s="373"/>
      <x:c r="X328" s="373"/>
      <x:c r="Y328" s="373"/>
      <x:c r="Z328" s="373"/>
    </x:row>
    <x:row r="329">
      <x:c r="A329" s="373"/>
      <x:c r="B329" s="373"/>
      <x:c r="C329" s="373"/>
      <x:c r="D329" s="373"/>
      <x:c r="E329" s="373"/>
      <x:c r="F329" s="373"/>
      <x:c r="G329" s="373"/>
      <x:c r="H329" s="373"/>
      <x:c r="I329" s="373"/>
      <x:c r="J329" s="373"/>
      <x:c r="K329" s="373"/>
      <x:c r="L329" s="373"/>
      <x:c r="M329" s="373"/>
      <x:c r="N329" s="373"/>
      <x:c r="O329" s="373"/>
      <x:c r="P329" s="373"/>
      <x:c r="Q329" s="373"/>
      <x:c r="R329" s="373"/>
      <x:c r="S329" s="373"/>
      <x:c r="T329" s="373"/>
      <x:c r="U329" s="373"/>
      <x:c r="V329" s="373"/>
      <x:c r="W329" s="373"/>
      <x:c r="X329" s="373"/>
      <x:c r="Y329" s="373"/>
      <x:c r="Z329" s="373"/>
    </x:row>
    <x:row r="330">
      <x:c r="A330" s="373"/>
      <x:c r="B330" s="373"/>
      <x:c r="C330" s="373"/>
      <x:c r="D330" s="373"/>
      <x:c r="E330" s="373"/>
      <x:c r="F330" s="373"/>
      <x:c r="G330" s="373"/>
      <x:c r="H330" s="373"/>
      <x:c r="I330" s="373"/>
      <x:c r="J330" s="373"/>
      <x:c r="K330" s="373"/>
      <x:c r="L330" s="373"/>
      <x:c r="M330" s="373"/>
      <x:c r="N330" s="373"/>
      <x:c r="O330" s="373"/>
      <x:c r="P330" s="373"/>
      <x:c r="Q330" s="373"/>
      <x:c r="R330" s="373"/>
      <x:c r="S330" s="373"/>
      <x:c r="T330" s="373"/>
      <x:c r="U330" s="373"/>
      <x:c r="V330" s="373"/>
      <x:c r="W330" s="373"/>
      <x:c r="X330" s="373"/>
      <x:c r="Y330" s="373"/>
      <x:c r="Z330" s="373"/>
    </x:row>
    <x:row r="331">
      <x:c r="A331" s="373"/>
      <x:c r="B331" s="373"/>
      <x:c r="C331" s="373"/>
      <x:c r="D331" s="373"/>
      <x:c r="E331" s="373"/>
      <x:c r="F331" s="373"/>
      <x:c r="G331" s="373"/>
      <x:c r="H331" s="373"/>
      <x:c r="I331" s="373"/>
      <x:c r="J331" s="373"/>
      <x:c r="K331" s="373"/>
      <x:c r="L331" s="373"/>
      <x:c r="M331" s="373"/>
      <x:c r="N331" s="373"/>
      <x:c r="O331" s="373"/>
      <x:c r="P331" s="373"/>
      <x:c r="Q331" s="373"/>
      <x:c r="R331" s="373"/>
      <x:c r="S331" s="373"/>
      <x:c r="T331" s="373"/>
      <x:c r="U331" s="373"/>
      <x:c r="V331" s="373"/>
      <x:c r="W331" s="373"/>
      <x:c r="X331" s="373"/>
      <x:c r="Y331" s="373"/>
      <x:c r="Z331" s="373"/>
    </x:row>
    <x:row r="332">
      <x:c r="A332" s="373"/>
      <x:c r="B332" s="373"/>
      <x:c r="C332" s="373"/>
      <x:c r="D332" s="373"/>
      <x:c r="E332" s="373"/>
      <x:c r="F332" s="373"/>
      <x:c r="G332" s="373"/>
      <x:c r="H332" s="373"/>
      <x:c r="I332" s="373"/>
      <x:c r="J332" s="373"/>
      <x:c r="K332" s="373"/>
      <x:c r="L332" s="373"/>
      <x:c r="M332" s="373"/>
      <x:c r="N332" s="373"/>
      <x:c r="O332" s="373"/>
      <x:c r="P332" s="373"/>
      <x:c r="Q332" s="373"/>
      <x:c r="R332" s="373"/>
      <x:c r="S332" s="373"/>
      <x:c r="T332" s="373"/>
      <x:c r="U332" s="373"/>
      <x:c r="V332" s="373"/>
      <x:c r="W332" s="373"/>
      <x:c r="X332" s="373"/>
      <x:c r="Y332" s="373"/>
      <x:c r="Z332" s="373"/>
    </x:row>
    <x:row r="333">
      <x:c r="A333" s="373"/>
      <x:c r="B333" s="373"/>
      <x:c r="C333" s="373"/>
      <x:c r="D333" s="373"/>
      <x:c r="E333" s="373"/>
      <x:c r="F333" s="373"/>
      <x:c r="G333" s="373"/>
      <x:c r="H333" s="373"/>
      <x:c r="I333" s="373"/>
      <x:c r="J333" s="373"/>
      <x:c r="K333" s="373"/>
      <x:c r="L333" s="373"/>
      <x:c r="M333" s="373"/>
      <x:c r="N333" s="373"/>
      <x:c r="O333" s="373"/>
      <x:c r="P333" s="373"/>
      <x:c r="Q333" s="373"/>
      <x:c r="R333" s="373"/>
      <x:c r="S333" s="373"/>
      <x:c r="T333" s="373"/>
      <x:c r="U333" s="373"/>
      <x:c r="V333" s="373"/>
      <x:c r="W333" s="373"/>
      <x:c r="X333" s="373"/>
      <x:c r="Y333" s="373"/>
      <x:c r="Z333" s="373"/>
    </x:row>
    <x:row r="334">
      <x:c r="A334" s="373"/>
      <x:c r="B334" s="373"/>
      <x:c r="C334" s="373"/>
      <x:c r="D334" s="373"/>
      <x:c r="E334" s="373"/>
      <x:c r="F334" s="373"/>
      <x:c r="G334" s="373"/>
      <x:c r="H334" s="373"/>
      <x:c r="I334" s="373"/>
      <x:c r="J334" s="373"/>
      <x:c r="K334" s="373"/>
      <x:c r="L334" s="373"/>
      <x:c r="M334" s="373"/>
      <x:c r="N334" s="373"/>
      <x:c r="O334" s="373"/>
      <x:c r="P334" s="373"/>
      <x:c r="Q334" s="373"/>
      <x:c r="R334" s="373"/>
      <x:c r="S334" s="373"/>
      <x:c r="T334" s="373"/>
      <x:c r="U334" s="373"/>
      <x:c r="V334" s="373"/>
      <x:c r="W334" s="373"/>
      <x:c r="X334" s="373"/>
      <x:c r="Y334" s="373"/>
      <x:c r="Z334" s="373"/>
    </x:row>
    <x:row r="335">
      <x:c r="A335" s="373"/>
      <x:c r="B335" s="373"/>
      <x:c r="C335" s="373"/>
      <x:c r="D335" s="373"/>
      <x:c r="E335" s="373"/>
      <x:c r="F335" s="373"/>
      <x:c r="G335" s="373"/>
      <x:c r="H335" s="373"/>
      <x:c r="I335" s="373"/>
      <x:c r="J335" s="373"/>
      <x:c r="K335" s="373"/>
      <x:c r="L335" s="373"/>
      <x:c r="M335" s="373"/>
      <x:c r="N335" s="373"/>
      <x:c r="O335" s="373"/>
      <x:c r="P335" s="373"/>
      <x:c r="Q335" s="373"/>
      <x:c r="R335" s="373"/>
      <x:c r="S335" s="373"/>
      <x:c r="T335" s="373"/>
      <x:c r="U335" s="373"/>
      <x:c r="V335" s="373"/>
      <x:c r="W335" s="373"/>
      <x:c r="X335" s="373"/>
      <x:c r="Y335" s="373"/>
      <x:c r="Z335" s="373"/>
    </x:row>
    <x:row r="336">
      <x:c r="A336" s="373"/>
      <x:c r="B336" s="373"/>
      <x:c r="C336" s="373"/>
      <x:c r="D336" s="373"/>
      <x:c r="E336" s="373"/>
      <x:c r="F336" s="373"/>
      <x:c r="G336" s="373"/>
      <x:c r="H336" s="373"/>
      <x:c r="I336" s="373"/>
      <x:c r="J336" s="373"/>
      <x:c r="K336" s="373"/>
      <x:c r="L336" s="373"/>
      <x:c r="M336" s="373"/>
      <x:c r="N336" s="373"/>
      <x:c r="O336" s="373"/>
      <x:c r="P336" s="373"/>
      <x:c r="Q336" s="373"/>
      <x:c r="R336" s="373"/>
      <x:c r="S336" s="373"/>
      <x:c r="T336" s="373"/>
      <x:c r="U336" s="373"/>
      <x:c r="V336" s="373"/>
      <x:c r="W336" s="373"/>
      <x:c r="X336" s="373"/>
      <x:c r="Y336" s="373"/>
      <x:c r="Z336" s="373"/>
    </x:row>
    <x:row r="337">
      <x:c r="A337" s="373"/>
      <x:c r="B337" s="373"/>
      <x:c r="C337" s="373"/>
      <x:c r="D337" s="373"/>
      <x:c r="E337" s="373"/>
      <x:c r="F337" s="373"/>
      <x:c r="G337" s="373"/>
      <x:c r="H337" s="373"/>
      <x:c r="I337" s="373"/>
      <x:c r="J337" s="373"/>
      <x:c r="K337" s="373"/>
      <x:c r="L337" s="373"/>
      <x:c r="M337" s="373"/>
      <x:c r="N337" s="373"/>
      <x:c r="O337" s="373"/>
      <x:c r="P337" s="373"/>
      <x:c r="Q337" s="373"/>
      <x:c r="R337" s="373"/>
      <x:c r="S337" s="373"/>
      <x:c r="T337" s="373"/>
      <x:c r="U337" s="373"/>
      <x:c r="V337" s="373"/>
      <x:c r="W337" s="373"/>
      <x:c r="X337" s="373"/>
      <x:c r="Y337" s="373"/>
      <x:c r="Z337" s="373"/>
    </x:row>
    <x:row r="338">
      <x:c r="A338" s="373"/>
      <x:c r="B338" s="373"/>
      <x:c r="C338" s="373"/>
      <x:c r="D338" s="373"/>
      <x:c r="E338" s="373"/>
      <x:c r="F338" s="373"/>
      <x:c r="G338" s="373"/>
      <x:c r="H338" s="373"/>
      <x:c r="I338" s="373"/>
      <x:c r="J338" s="373"/>
      <x:c r="K338" s="373"/>
      <x:c r="L338" s="373"/>
      <x:c r="M338" s="373"/>
      <x:c r="N338" s="373"/>
      <x:c r="O338" s="373"/>
      <x:c r="P338" s="373"/>
      <x:c r="Q338" s="373"/>
      <x:c r="R338" s="373"/>
      <x:c r="S338" s="373"/>
      <x:c r="T338" s="373"/>
      <x:c r="U338" s="373"/>
      <x:c r="V338" s="373"/>
      <x:c r="W338" s="373"/>
      <x:c r="X338" s="373"/>
      <x:c r="Y338" s="373"/>
      <x:c r="Z338" s="373"/>
    </x:row>
    <x:row r="339">
      <x:c r="A339" s="373"/>
      <x:c r="B339" s="373"/>
      <x:c r="C339" s="373"/>
      <x:c r="D339" s="373"/>
      <x:c r="E339" s="373"/>
      <x:c r="F339" s="373"/>
      <x:c r="G339" s="373"/>
      <x:c r="H339" s="373"/>
      <x:c r="I339" s="373"/>
      <x:c r="J339" s="373"/>
      <x:c r="K339" s="373"/>
      <x:c r="L339" s="373"/>
      <x:c r="M339" s="373"/>
      <x:c r="N339" s="373"/>
      <x:c r="O339" s="373"/>
      <x:c r="P339" s="373"/>
      <x:c r="Q339" s="373"/>
      <x:c r="R339" s="373"/>
      <x:c r="S339" s="373"/>
      <x:c r="T339" s="373"/>
      <x:c r="U339" s="373"/>
      <x:c r="V339" s="373"/>
      <x:c r="W339" s="373"/>
      <x:c r="X339" s="373"/>
      <x:c r="Y339" s="373"/>
      <x:c r="Z339" s="373"/>
    </x:row>
    <x:row r="340">
      <x:c r="A340" s="373"/>
      <x:c r="B340" s="373"/>
      <x:c r="C340" s="373"/>
      <x:c r="D340" s="373"/>
      <x:c r="E340" s="373"/>
      <x:c r="F340" s="373"/>
      <x:c r="G340" s="373"/>
      <x:c r="H340" s="373"/>
      <x:c r="I340" s="373"/>
      <x:c r="J340" s="373"/>
      <x:c r="K340" s="373"/>
      <x:c r="L340" s="373"/>
      <x:c r="M340" s="373"/>
      <x:c r="N340" s="373"/>
      <x:c r="O340" s="373"/>
      <x:c r="P340" s="373"/>
      <x:c r="Q340" s="373"/>
      <x:c r="R340" s="373"/>
      <x:c r="S340" s="373"/>
      <x:c r="T340" s="373"/>
      <x:c r="U340" s="373"/>
      <x:c r="V340" s="373"/>
      <x:c r="W340" s="373"/>
      <x:c r="X340" s="373"/>
      <x:c r="Y340" s="373"/>
      <x:c r="Z340" s="373"/>
    </x:row>
    <x:row r="341">
      <x:c r="A341" s="373"/>
      <x:c r="B341" s="373"/>
      <x:c r="C341" s="373"/>
      <x:c r="D341" s="373"/>
      <x:c r="E341" s="373"/>
      <x:c r="F341" s="373"/>
      <x:c r="G341" s="373"/>
      <x:c r="H341" s="373"/>
      <x:c r="I341" s="373"/>
      <x:c r="J341" s="373"/>
      <x:c r="K341" s="373"/>
      <x:c r="L341" s="373"/>
      <x:c r="M341" s="373"/>
      <x:c r="N341" s="373"/>
      <x:c r="O341" s="373"/>
      <x:c r="P341" s="373"/>
      <x:c r="Q341" s="373"/>
      <x:c r="R341" s="373"/>
      <x:c r="S341" s="373"/>
      <x:c r="T341" s="373"/>
      <x:c r="U341" s="373"/>
      <x:c r="V341" s="373"/>
      <x:c r="W341" s="373"/>
      <x:c r="X341" s="373"/>
      <x:c r="Y341" s="373"/>
      <x:c r="Z341" s="373"/>
    </x:row>
    <x:row r="342">
      <x:c r="A342" s="373"/>
      <x:c r="B342" s="373"/>
      <x:c r="C342" s="373"/>
      <x:c r="D342" s="373"/>
      <x:c r="E342" s="373"/>
      <x:c r="F342" s="373"/>
      <x:c r="G342" s="373"/>
      <x:c r="H342" s="373"/>
      <x:c r="I342" s="373"/>
      <x:c r="J342" s="373"/>
      <x:c r="K342" s="373"/>
      <x:c r="L342" s="373"/>
      <x:c r="M342" s="373"/>
      <x:c r="N342" s="373"/>
      <x:c r="O342" s="373"/>
      <x:c r="P342" s="373"/>
      <x:c r="Q342" s="373"/>
      <x:c r="R342" s="373"/>
      <x:c r="S342" s="373"/>
      <x:c r="T342" s="373"/>
      <x:c r="U342" s="373"/>
      <x:c r="V342" s="373"/>
      <x:c r="W342" s="373"/>
      <x:c r="X342" s="373"/>
      <x:c r="Y342" s="373"/>
      <x:c r="Z342" s="373"/>
    </x:row>
    <x:row r="343">
      <x:c r="A343" s="373"/>
      <x:c r="B343" s="373"/>
      <x:c r="C343" s="373"/>
      <x:c r="D343" s="373"/>
      <x:c r="E343" s="373"/>
      <x:c r="F343" s="373"/>
      <x:c r="G343" s="373"/>
      <x:c r="H343" s="373"/>
      <x:c r="I343" s="373"/>
      <x:c r="J343" s="373"/>
      <x:c r="K343" s="373"/>
      <x:c r="L343" s="373"/>
      <x:c r="M343" s="373"/>
      <x:c r="N343" s="373"/>
      <x:c r="O343" s="373"/>
      <x:c r="P343" s="373"/>
      <x:c r="Q343" s="373"/>
      <x:c r="R343" s="373"/>
      <x:c r="S343" s="373"/>
      <x:c r="T343" s="373"/>
      <x:c r="U343" s="373"/>
      <x:c r="V343" s="373"/>
      <x:c r="W343" s="373"/>
      <x:c r="X343" s="373"/>
      <x:c r="Y343" s="373"/>
      <x:c r="Z343" s="373"/>
    </x:row>
    <x:row r="344">
      <x:c r="A344" s="373"/>
      <x:c r="B344" s="373"/>
      <x:c r="C344" s="373"/>
      <x:c r="D344" s="373"/>
      <x:c r="E344" s="373"/>
      <x:c r="F344" s="373"/>
      <x:c r="G344" s="373"/>
      <x:c r="H344" s="373"/>
      <x:c r="I344" s="373"/>
      <x:c r="J344" s="373"/>
      <x:c r="K344" s="373"/>
      <x:c r="L344" s="373"/>
      <x:c r="M344" s="373"/>
      <x:c r="N344" s="373"/>
      <x:c r="O344" s="373"/>
      <x:c r="P344" s="373"/>
      <x:c r="Q344" s="373"/>
      <x:c r="R344" s="373"/>
      <x:c r="S344" s="373"/>
      <x:c r="T344" s="373"/>
      <x:c r="U344" s="373"/>
      <x:c r="V344" s="373"/>
      <x:c r="W344" s="373"/>
      <x:c r="X344" s="373"/>
      <x:c r="Y344" s="373"/>
      <x:c r="Z344" s="373"/>
    </x:row>
    <x:row r="345">
      <x:c r="A345" s="373"/>
      <x:c r="B345" s="373"/>
      <x:c r="C345" s="373"/>
      <x:c r="D345" s="373"/>
      <x:c r="E345" s="373"/>
      <x:c r="F345" s="373"/>
      <x:c r="G345" s="373"/>
      <x:c r="H345" s="373"/>
      <x:c r="I345" s="373"/>
      <x:c r="J345" s="373"/>
      <x:c r="K345" s="373"/>
      <x:c r="L345" s="373"/>
      <x:c r="M345" s="373"/>
      <x:c r="N345" s="373"/>
      <x:c r="O345" s="373"/>
      <x:c r="P345" s="373"/>
      <x:c r="Q345" s="373"/>
      <x:c r="R345" s="373"/>
      <x:c r="S345" s="373"/>
      <x:c r="T345" s="373"/>
      <x:c r="U345" s="373"/>
      <x:c r="V345" s="373"/>
      <x:c r="W345" s="373"/>
      <x:c r="X345" s="373"/>
      <x:c r="Y345" s="373"/>
      <x:c r="Z345" s="373"/>
    </x:row>
    <x:row r="346">
      <x:c r="A346" s="373"/>
      <x:c r="B346" s="373"/>
      <x:c r="C346" s="373"/>
      <x:c r="D346" s="373"/>
      <x:c r="E346" s="373"/>
      <x:c r="F346" s="373"/>
      <x:c r="G346" s="373"/>
      <x:c r="H346" s="373"/>
      <x:c r="I346" s="373"/>
      <x:c r="J346" s="373"/>
      <x:c r="K346" s="373"/>
      <x:c r="L346" s="373"/>
      <x:c r="M346" s="373"/>
      <x:c r="N346" s="373"/>
      <x:c r="O346" s="373"/>
      <x:c r="P346" s="373"/>
      <x:c r="Q346" s="373"/>
      <x:c r="R346" s="373"/>
      <x:c r="S346" s="373"/>
      <x:c r="T346" s="373"/>
      <x:c r="U346" s="373"/>
      <x:c r="V346" s="373"/>
      <x:c r="W346" s="373"/>
      <x:c r="X346" s="373"/>
      <x:c r="Y346" s="373"/>
      <x:c r="Z346" s="373"/>
    </x:row>
    <x:row r="347">
      <x:c r="A347" s="373"/>
      <x:c r="B347" s="373"/>
      <x:c r="C347" s="373"/>
      <x:c r="D347" s="373"/>
      <x:c r="E347" s="373"/>
      <x:c r="F347" s="373"/>
      <x:c r="G347" s="373"/>
      <x:c r="H347" s="373"/>
      <x:c r="I347" s="373"/>
      <x:c r="J347" s="373"/>
      <x:c r="K347" s="373"/>
      <x:c r="L347" s="373"/>
      <x:c r="M347" s="373"/>
      <x:c r="N347" s="373"/>
      <x:c r="O347" s="373"/>
      <x:c r="P347" s="373"/>
      <x:c r="Q347" s="373"/>
      <x:c r="R347" s="373"/>
      <x:c r="S347" s="373"/>
      <x:c r="T347" s="373"/>
      <x:c r="U347" s="373"/>
      <x:c r="V347" s="373"/>
      <x:c r="W347" s="373"/>
      <x:c r="X347" s="373"/>
      <x:c r="Y347" s="373"/>
      <x:c r="Z347" s="373"/>
    </x:row>
    <x:row r="348">
      <x:c r="A348" s="373"/>
      <x:c r="B348" s="373"/>
      <x:c r="C348" s="373"/>
      <x:c r="D348" s="373"/>
      <x:c r="E348" s="373"/>
      <x:c r="F348" s="373"/>
      <x:c r="G348" s="373"/>
      <x:c r="H348" s="373"/>
      <x:c r="I348" s="373"/>
      <x:c r="J348" s="373"/>
      <x:c r="K348" s="373"/>
      <x:c r="L348" s="373"/>
      <x:c r="M348" s="373"/>
      <x:c r="N348" s="373"/>
      <x:c r="O348" s="373"/>
      <x:c r="P348" s="373"/>
      <x:c r="Q348" s="373"/>
      <x:c r="R348" s="373"/>
      <x:c r="S348" s="373"/>
      <x:c r="T348" s="373"/>
      <x:c r="U348" s="373"/>
      <x:c r="V348" s="373"/>
      <x:c r="W348" s="373"/>
      <x:c r="X348" s="373"/>
      <x:c r="Y348" s="373"/>
      <x:c r="Z348" s="373"/>
    </x:row>
    <x:row r="349">
      <x:c r="A349" s="373"/>
      <x:c r="B349" s="373"/>
      <x:c r="C349" s="373"/>
      <x:c r="D349" s="373"/>
      <x:c r="E349" s="373"/>
      <x:c r="F349" s="373"/>
      <x:c r="G349" s="373"/>
      <x:c r="H349" s="373"/>
      <x:c r="I349" s="373"/>
      <x:c r="J349" s="373"/>
      <x:c r="K349" s="373"/>
      <x:c r="L349" s="373"/>
      <x:c r="M349" s="373"/>
      <x:c r="N349" s="373"/>
      <x:c r="O349" s="373"/>
      <x:c r="P349" s="373"/>
      <x:c r="Q349" s="373"/>
      <x:c r="R349" s="373"/>
      <x:c r="S349" s="373"/>
      <x:c r="T349" s="373"/>
      <x:c r="U349" s="373"/>
      <x:c r="V349" s="373"/>
      <x:c r="W349" s="373"/>
      <x:c r="X349" s="373"/>
      <x:c r="Y349" s="373"/>
      <x:c r="Z349" s="373"/>
    </x:row>
    <x:row r="350">
      <x:c r="A350" s="373"/>
      <x:c r="B350" s="373"/>
      <x:c r="C350" s="373"/>
      <x:c r="D350" s="373"/>
      <x:c r="E350" s="373"/>
      <x:c r="F350" s="373"/>
      <x:c r="G350" s="373"/>
      <x:c r="H350" s="373"/>
      <x:c r="I350" s="373"/>
      <x:c r="J350" s="373"/>
      <x:c r="K350" s="373"/>
      <x:c r="L350" s="373"/>
      <x:c r="M350" s="373"/>
      <x:c r="N350" s="373"/>
      <x:c r="O350" s="373"/>
      <x:c r="P350" s="373"/>
      <x:c r="Q350" s="373"/>
      <x:c r="R350" s="373"/>
      <x:c r="S350" s="373"/>
      <x:c r="T350" s="373"/>
      <x:c r="U350" s="373"/>
      <x:c r="V350" s="373"/>
      <x:c r="W350" s="373"/>
      <x:c r="X350" s="373"/>
      <x:c r="Y350" s="373"/>
      <x:c r="Z350" s="373"/>
    </x:row>
    <x:row r="351">
      <x:c r="A351" s="373"/>
      <x:c r="B351" s="373"/>
      <x:c r="C351" s="373"/>
      <x:c r="D351" s="373"/>
      <x:c r="E351" s="373"/>
      <x:c r="F351" s="373"/>
      <x:c r="G351" s="373"/>
      <x:c r="H351" s="373"/>
      <x:c r="I351" s="373"/>
      <x:c r="J351" s="373"/>
      <x:c r="K351" s="373"/>
      <x:c r="L351" s="373"/>
      <x:c r="M351" s="373"/>
      <x:c r="N351" s="373"/>
      <x:c r="O351" s="373"/>
      <x:c r="P351" s="373"/>
      <x:c r="Q351" s="373"/>
      <x:c r="R351" s="373"/>
      <x:c r="S351" s="373"/>
      <x:c r="T351" s="373"/>
      <x:c r="U351" s="373"/>
      <x:c r="V351" s="373"/>
      <x:c r="W351" s="373"/>
      <x:c r="X351" s="373"/>
      <x:c r="Y351" s="373"/>
      <x:c r="Z351" s="373"/>
    </x:row>
    <x:row r="352">
      <x:c r="A352" s="373"/>
      <x:c r="B352" s="373"/>
      <x:c r="C352" s="373"/>
      <x:c r="D352" s="373"/>
      <x:c r="E352" s="373"/>
      <x:c r="F352" s="373"/>
      <x:c r="G352" s="373"/>
      <x:c r="H352" s="373"/>
      <x:c r="I352" s="373"/>
      <x:c r="J352" s="373"/>
      <x:c r="K352" s="373"/>
      <x:c r="L352" s="373"/>
      <x:c r="M352" s="373"/>
      <x:c r="N352" s="373"/>
      <x:c r="O352" s="373"/>
      <x:c r="P352" s="373"/>
      <x:c r="Q352" s="373"/>
      <x:c r="R352" s="373"/>
      <x:c r="S352" s="373"/>
      <x:c r="T352" s="373"/>
      <x:c r="U352" s="373"/>
      <x:c r="V352" s="373"/>
      <x:c r="W352" s="373"/>
      <x:c r="X352" s="373"/>
      <x:c r="Y352" s="373"/>
      <x:c r="Z352" s="373"/>
    </x:row>
    <x:row r="353">
      <x:c r="A353" s="373"/>
      <x:c r="B353" s="373"/>
      <x:c r="C353" s="373"/>
      <x:c r="D353" s="373"/>
      <x:c r="E353" s="373"/>
      <x:c r="F353" s="373"/>
      <x:c r="G353" s="373"/>
      <x:c r="H353" s="373"/>
      <x:c r="I353" s="373"/>
      <x:c r="J353" s="373"/>
      <x:c r="K353" s="373"/>
      <x:c r="L353" s="373"/>
      <x:c r="M353" s="373"/>
      <x:c r="N353" s="373"/>
      <x:c r="O353" s="373"/>
      <x:c r="P353" s="373"/>
      <x:c r="Q353" s="373"/>
      <x:c r="R353" s="373"/>
      <x:c r="S353" s="373"/>
      <x:c r="T353" s="373"/>
      <x:c r="U353" s="373"/>
      <x:c r="V353" s="373"/>
      <x:c r="W353" s="373"/>
      <x:c r="X353" s="373"/>
      <x:c r="Y353" s="373"/>
      <x:c r="Z353" s="373"/>
    </x:row>
    <x:row r="354">
      <x:c r="A354" s="373"/>
      <x:c r="B354" s="373"/>
      <x:c r="C354" s="373"/>
      <x:c r="D354" s="373"/>
      <x:c r="E354" s="373"/>
      <x:c r="F354" s="373"/>
      <x:c r="G354" s="373"/>
      <x:c r="H354" s="373"/>
      <x:c r="I354" s="373"/>
      <x:c r="J354" s="373"/>
      <x:c r="K354" s="373"/>
      <x:c r="L354" s="373"/>
      <x:c r="M354" s="373"/>
      <x:c r="N354" s="373"/>
      <x:c r="O354" s="373"/>
      <x:c r="P354" s="373"/>
      <x:c r="Q354" s="373"/>
      <x:c r="R354" s="373"/>
      <x:c r="S354" s="373"/>
      <x:c r="T354" s="373"/>
      <x:c r="U354" s="373"/>
      <x:c r="V354" s="373"/>
      <x:c r="W354" s="373"/>
      <x:c r="X354" s="373"/>
      <x:c r="Y354" s="373"/>
      <x:c r="Z354" s="373"/>
    </x:row>
    <x:row r="355">
      <x:c r="A355" s="373"/>
      <x:c r="B355" s="373"/>
      <x:c r="C355" s="373"/>
      <x:c r="D355" s="373"/>
      <x:c r="E355" s="373"/>
      <x:c r="F355" s="373"/>
      <x:c r="G355" s="373"/>
      <x:c r="H355" s="373"/>
      <x:c r="I355" s="373"/>
      <x:c r="J355" s="373"/>
      <x:c r="K355" s="373"/>
      <x:c r="L355" s="373"/>
      <x:c r="M355" s="373"/>
      <x:c r="N355" s="373"/>
      <x:c r="O355" s="373"/>
      <x:c r="P355" s="373"/>
      <x:c r="Q355" s="373"/>
      <x:c r="R355" s="373"/>
      <x:c r="S355" s="373"/>
      <x:c r="T355" s="373"/>
      <x:c r="U355" s="373"/>
      <x:c r="V355" s="373"/>
      <x:c r="W355" s="373"/>
      <x:c r="X355" s="373"/>
      <x:c r="Y355" s="373"/>
      <x:c r="Z355" s="373"/>
    </x:row>
    <x:row r="356">
      <x:c r="A356" s="373"/>
      <x:c r="B356" s="373"/>
      <x:c r="C356" s="373"/>
      <x:c r="D356" s="373"/>
      <x:c r="E356" s="373"/>
      <x:c r="F356" s="373"/>
      <x:c r="G356" s="373"/>
      <x:c r="H356" s="373"/>
      <x:c r="I356" s="373"/>
      <x:c r="J356" s="373"/>
      <x:c r="K356" s="373"/>
      <x:c r="L356" s="373"/>
      <x:c r="M356" s="373"/>
      <x:c r="N356" s="373"/>
      <x:c r="O356" s="373"/>
      <x:c r="P356" s="373"/>
      <x:c r="Q356" s="373"/>
      <x:c r="R356" s="373"/>
      <x:c r="S356" s="373"/>
      <x:c r="T356" s="373"/>
      <x:c r="U356" s="373"/>
      <x:c r="V356" s="373"/>
      <x:c r="W356" s="373"/>
      <x:c r="X356" s="373"/>
      <x:c r="Y356" s="373"/>
      <x:c r="Z356" s="373"/>
    </x:row>
    <x:row r="357">
      <x:c r="A357" s="373"/>
      <x:c r="B357" s="373"/>
      <x:c r="C357" s="373"/>
      <x:c r="D357" s="373"/>
      <x:c r="E357" s="373"/>
      <x:c r="F357" s="373"/>
      <x:c r="G357" s="373"/>
      <x:c r="H357" s="373"/>
      <x:c r="I357" s="373"/>
      <x:c r="J357" s="373"/>
      <x:c r="K357" s="373"/>
      <x:c r="L357" s="373"/>
      <x:c r="M357" s="373"/>
      <x:c r="N357" s="373"/>
      <x:c r="O357" s="373"/>
      <x:c r="P357" s="373"/>
      <x:c r="Q357" s="373"/>
      <x:c r="R357" s="373"/>
      <x:c r="S357" s="373"/>
      <x:c r="T357" s="373"/>
      <x:c r="U357" s="373"/>
      <x:c r="V357" s="373"/>
      <x:c r="W357" s="373"/>
      <x:c r="X357" s="373"/>
      <x:c r="Y357" s="373"/>
      <x:c r="Z357" s="373"/>
    </x:row>
    <x:row r="358">
      <x:c r="A358" s="373"/>
      <x:c r="B358" s="373"/>
      <x:c r="C358" s="373"/>
      <x:c r="D358" s="373"/>
      <x:c r="E358" s="373"/>
      <x:c r="F358" s="373"/>
      <x:c r="G358" s="373"/>
      <x:c r="H358" s="373"/>
      <x:c r="I358" s="373"/>
      <x:c r="J358" s="373"/>
      <x:c r="K358" s="373"/>
      <x:c r="L358" s="373"/>
      <x:c r="M358" s="373"/>
      <x:c r="N358" s="373"/>
      <x:c r="O358" s="373"/>
      <x:c r="P358" s="373"/>
      <x:c r="Q358" s="373"/>
      <x:c r="R358" s="373"/>
      <x:c r="S358" s="373"/>
      <x:c r="T358" s="373"/>
      <x:c r="U358" s="373"/>
      <x:c r="V358" s="373"/>
      <x:c r="W358" s="373"/>
      <x:c r="X358" s="373"/>
      <x:c r="Y358" s="373"/>
      <x:c r="Z358" s="373"/>
    </x:row>
    <x:row r="359">
      <x:c r="A359" s="373"/>
      <x:c r="B359" s="373"/>
      <x:c r="C359" s="373"/>
      <x:c r="D359" s="373"/>
      <x:c r="E359" s="373"/>
      <x:c r="F359" s="373"/>
      <x:c r="G359" s="373"/>
      <x:c r="H359" s="373"/>
      <x:c r="I359" s="373"/>
      <x:c r="J359" s="373"/>
      <x:c r="K359" s="373"/>
      <x:c r="L359" s="373"/>
      <x:c r="M359" s="373"/>
      <x:c r="N359" s="373"/>
      <x:c r="O359" s="373"/>
      <x:c r="P359" s="373"/>
      <x:c r="Q359" s="373"/>
      <x:c r="R359" s="373"/>
      <x:c r="S359" s="373"/>
      <x:c r="T359" s="373"/>
      <x:c r="U359" s="373"/>
      <x:c r="V359" s="373"/>
      <x:c r="W359" s="373"/>
      <x:c r="X359" s="373"/>
      <x:c r="Y359" s="373"/>
      <x:c r="Z359" s="373"/>
    </x:row>
    <x:row r="360">
      <x:c r="A360" s="373"/>
      <x:c r="B360" s="373"/>
      <x:c r="C360" s="373"/>
      <x:c r="D360" s="373"/>
      <x:c r="E360" s="373"/>
      <x:c r="F360" s="373"/>
      <x:c r="G360" s="373"/>
      <x:c r="H360" s="373"/>
      <x:c r="I360" s="373"/>
      <x:c r="J360" s="373"/>
      <x:c r="K360" s="373"/>
      <x:c r="L360" s="373"/>
      <x:c r="M360" s="373"/>
      <x:c r="N360" s="373"/>
      <x:c r="O360" s="373"/>
      <x:c r="P360" s="373"/>
      <x:c r="Q360" s="373"/>
      <x:c r="R360" s="373"/>
      <x:c r="S360" s="373"/>
      <x:c r="T360" s="373"/>
      <x:c r="U360" s="373"/>
      <x:c r="V360" s="373"/>
      <x:c r="W360" s="373"/>
      <x:c r="X360" s="373"/>
      <x:c r="Y360" s="373"/>
      <x:c r="Z360" s="373"/>
    </x:row>
    <x:row r="361">
      <x:c r="A361" s="373"/>
      <x:c r="B361" s="373"/>
      <x:c r="C361" s="373"/>
      <x:c r="D361" s="373"/>
      <x:c r="E361" s="373"/>
      <x:c r="F361" s="373"/>
      <x:c r="G361" s="373"/>
      <x:c r="H361" s="373"/>
      <x:c r="I361" s="373"/>
      <x:c r="J361" s="373"/>
      <x:c r="K361" s="373"/>
      <x:c r="L361" s="373"/>
      <x:c r="M361" s="373"/>
      <x:c r="N361" s="373"/>
      <x:c r="O361" s="373"/>
      <x:c r="P361" s="373"/>
      <x:c r="Q361" s="373"/>
      <x:c r="R361" s="373"/>
      <x:c r="S361" s="373"/>
      <x:c r="T361" s="373"/>
      <x:c r="U361" s="373"/>
      <x:c r="V361" s="373"/>
      <x:c r="W361" s="373"/>
      <x:c r="X361" s="373"/>
      <x:c r="Y361" s="373"/>
      <x:c r="Z361" s="373"/>
    </x:row>
    <x:row r="362">
      <x:c r="A362" s="373"/>
      <x:c r="B362" s="373"/>
      <x:c r="C362" s="373"/>
      <x:c r="D362" s="373"/>
      <x:c r="E362" s="373"/>
      <x:c r="F362" s="373"/>
      <x:c r="G362" s="373"/>
      <x:c r="H362" s="373"/>
      <x:c r="I362" s="373"/>
      <x:c r="J362" s="373"/>
      <x:c r="K362" s="373"/>
      <x:c r="L362" s="373"/>
      <x:c r="M362" s="373"/>
      <x:c r="N362" s="373"/>
      <x:c r="O362" s="373"/>
      <x:c r="P362" s="373"/>
      <x:c r="Q362" s="373"/>
      <x:c r="R362" s="373"/>
      <x:c r="S362" s="373"/>
      <x:c r="T362" s="373"/>
      <x:c r="U362" s="373"/>
      <x:c r="V362" s="373"/>
      <x:c r="W362" s="373"/>
      <x:c r="X362" s="373"/>
      <x:c r="Y362" s="373"/>
      <x:c r="Z362" s="373"/>
    </x:row>
    <x:row r="363">
      <x:c r="A363" s="373"/>
      <x:c r="B363" s="373"/>
      <x:c r="C363" s="373"/>
      <x:c r="D363" s="373"/>
      <x:c r="E363" s="373"/>
      <x:c r="F363" s="373"/>
      <x:c r="G363" s="373"/>
      <x:c r="H363" s="373"/>
      <x:c r="I363" s="373"/>
      <x:c r="J363" s="373"/>
      <x:c r="K363" s="373"/>
      <x:c r="L363" s="373"/>
      <x:c r="M363" s="373"/>
      <x:c r="N363" s="373"/>
      <x:c r="O363" s="373"/>
      <x:c r="P363" s="373"/>
      <x:c r="Q363" s="373"/>
      <x:c r="R363" s="373"/>
      <x:c r="S363" s="373"/>
      <x:c r="T363" s="373"/>
      <x:c r="U363" s="373"/>
      <x:c r="V363" s="373"/>
      <x:c r="W363" s="373"/>
      <x:c r="X363" s="373"/>
      <x:c r="Y363" s="373"/>
      <x:c r="Z363" s="373"/>
    </x:row>
    <x:row r="364">
      <x:c r="A364" s="373"/>
      <x:c r="B364" s="373"/>
      <x:c r="C364" s="373"/>
      <x:c r="D364" s="373"/>
      <x:c r="E364" s="373"/>
      <x:c r="F364" s="373"/>
      <x:c r="G364" s="373"/>
      <x:c r="H364" s="373"/>
      <x:c r="I364" s="373"/>
      <x:c r="J364" s="373"/>
      <x:c r="K364" s="373"/>
      <x:c r="L364" s="373"/>
      <x:c r="M364" s="373"/>
      <x:c r="N364" s="373"/>
      <x:c r="O364" s="373"/>
      <x:c r="P364" s="373"/>
      <x:c r="Q364" s="373"/>
      <x:c r="R364" s="373"/>
      <x:c r="S364" s="373"/>
      <x:c r="T364" s="373"/>
      <x:c r="U364" s="373"/>
      <x:c r="V364" s="373"/>
      <x:c r="W364" s="373"/>
      <x:c r="X364" s="373"/>
      <x:c r="Y364" s="373"/>
      <x:c r="Z364" s="373"/>
    </x:row>
    <x:row r="365">
      <x:c r="A365" s="373"/>
      <x:c r="B365" s="373"/>
      <x:c r="C365" s="373"/>
      <x:c r="D365" s="373"/>
      <x:c r="E365" s="373"/>
      <x:c r="F365" s="373"/>
      <x:c r="G365" s="373"/>
      <x:c r="H365" s="373"/>
      <x:c r="I365" s="373"/>
      <x:c r="J365" s="373"/>
      <x:c r="K365" s="373"/>
      <x:c r="L365" s="373"/>
      <x:c r="M365" s="373"/>
      <x:c r="N365" s="373"/>
      <x:c r="O365" s="373"/>
      <x:c r="P365" s="373"/>
      <x:c r="Q365" s="373"/>
      <x:c r="R365" s="373"/>
      <x:c r="S365" s="373"/>
      <x:c r="T365" s="373"/>
      <x:c r="U365" s="373"/>
      <x:c r="V365" s="373"/>
      <x:c r="W365" s="373"/>
      <x:c r="X365" s="373"/>
      <x:c r="Y365" s="373"/>
      <x:c r="Z365" s="373"/>
    </x:row>
    <x:row r="366">
      <x:c r="A366" s="373"/>
      <x:c r="B366" s="373"/>
      <x:c r="C366" s="373"/>
      <x:c r="D366" s="373"/>
      <x:c r="E366" s="373"/>
      <x:c r="F366" s="373"/>
      <x:c r="G366" s="373"/>
      <x:c r="H366" s="373"/>
      <x:c r="I366" s="373"/>
      <x:c r="J366" s="373"/>
      <x:c r="K366" s="373"/>
      <x:c r="L366" s="373"/>
      <x:c r="M366" s="373"/>
      <x:c r="N366" s="373"/>
      <x:c r="O366" s="373"/>
      <x:c r="P366" s="373"/>
      <x:c r="Q366" s="373"/>
      <x:c r="R366" s="373"/>
      <x:c r="S366" s="373"/>
      <x:c r="T366" s="373"/>
      <x:c r="U366" s="373"/>
      <x:c r="V366" s="373"/>
      <x:c r="W366" s="373"/>
      <x:c r="X366" s="373"/>
      <x:c r="Y366" s="373"/>
      <x:c r="Z366" s="373"/>
    </x:row>
    <x:row r="367">
      <x:c r="A367" s="373"/>
      <x:c r="B367" s="373"/>
      <x:c r="C367" s="373"/>
      <x:c r="D367" s="373"/>
      <x:c r="E367" s="373"/>
      <x:c r="F367" s="373"/>
      <x:c r="G367" s="373"/>
      <x:c r="H367" s="373"/>
      <x:c r="I367" s="373"/>
      <x:c r="J367" s="373"/>
      <x:c r="K367" s="373"/>
      <x:c r="L367" s="373"/>
      <x:c r="M367" s="373"/>
      <x:c r="N367" s="373"/>
      <x:c r="O367" s="373"/>
      <x:c r="P367" s="373"/>
      <x:c r="Q367" s="373"/>
      <x:c r="R367" s="373"/>
      <x:c r="S367" s="373"/>
      <x:c r="T367" s="373"/>
      <x:c r="U367" s="373"/>
      <x:c r="V367" s="373"/>
      <x:c r="W367" s="373"/>
      <x:c r="X367" s="373"/>
      <x:c r="Y367" s="373"/>
      <x:c r="Z367" s="373"/>
    </x:row>
    <x:row r="368">
      <x:c r="A368" s="373"/>
      <x:c r="B368" s="373"/>
      <x:c r="C368" s="373"/>
      <x:c r="D368" s="373"/>
      <x:c r="E368" s="373"/>
      <x:c r="F368" s="373"/>
      <x:c r="G368" s="373"/>
      <x:c r="H368" s="373"/>
      <x:c r="I368" s="373"/>
      <x:c r="J368" s="373"/>
      <x:c r="K368" s="373"/>
      <x:c r="L368" s="373"/>
      <x:c r="M368" s="373"/>
      <x:c r="N368" s="373"/>
      <x:c r="O368" s="373"/>
      <x:c r="P368" s="373"/>
      <x:c r="Q368" s="373"/>
      <x:c r="R368" s="373"/>
      <x:c r="S368" s="373"/>
      <x:c r="T368" s="373"/>
      <x:c r="U368" s="373"/>
      <x:c r="V368" s="373"/>
      <x:c r="W368" s="373"/>
      <x:c r="X368" s="373"/>
      <x:c r="Y368" s="373"/>
      <x:c r="Z368" s="373"/>
    </x:row>
    <x:row r="369">
      <x:c r="A369" s="373"/>
      <x:c r="B369" s="373"/>
      <x:c r="C369" s="373"/>
      <x:c r="D369" s="373"/>
      <x:c r="E369" s="373"/>
      <x:c r="F369" s="373"/>
      <x:c r="G369" s="373"/>
      <x:c r="H369" s="373"/>
      <x:c r="I369" s="373"/>
      <x:c r="J369" s="373"/>
      <x:c r="K369" s="373"/>
      <x:c r="L369" s="373"/>
      <x:c r="M369" s="373"/>
      <x:c r="N369" s="373"/>
      <x:c r="O369" s="373"/>
      <x:c r="P369" s="373"/>
      <x:c r="Q369" s="373"/>
      <x:c r="R369" s="373"/>
      <x:c r="S369" s="373"/>
      <x:c r="T369" s="373"/>
      <x:c r="U369" s="373"/>
      <x:c r="V369" s="373"/>
      <x:c r="W369" s="373"/>
      <x:c r="X369" s="373"/>
      <x:c r="Y369" s="373"/>
      <x:c r="Z369" s="373"/>
    </x:row>
    <x:row r="370">
      <x:c r="A370" s="373"/>
      <x:c r="B370" s="373"/>
      <x:c r="C370" s="373"/>
      <x:c r="D370" s="373"/>
      <x:c r="E370" s="373"/>
      <x:c r="F370" s="373"/>
      <x:c r="G370" s="373"/>
      <x:c r="H370" s="373"/>
      <x:c r="I370" s="373"/>
      <x:c r="J370" s="373"/>
      <x:c r="K370" s="373"/>
      <x:c r="L370" s="373"/>
      <x:c r="M370" s="373"/>
      <x:c r="N370" s="373"/>
      <x:c r="O370" s="373"/>
      <x:c r="P370" s="373"/>
      <x:c r="Q370" s="373"/>
      <x:c r="R370" s="373"/>
      <x:c r="S370" s="373"/>
      <x:c r="T370" s="373"/>
      <x:c r="U370" s="373"/>
      <x:c r="V370" s="373"/>
      <x:c r="W370" s="373"/>
      <x:c r="X370" s="373"/>
      <x:c r="Y370" s="373"/>
      <x:c r="Z370" s="373"/>
    </x:row>
    <x:row r="371">
      <x:c r="A371" s="373"/>
      <x:c r="B371" s="373"/>
      <x:c r="C371" s="373"/>
      <x:c r="D371" s="373"/>
      <x:c r="E371" s="373"/>
      <x:c r="F371" s="373"/>
      <x:c r="G371" s="373"/>
      <x:c r="H371" s="373"/>
      <x:c r="I371" s="373"/>
      <x:c r="J371" s="373"/>
      <x:c r="K371" s="373"/>
      <x:c r="L371" s="373"/>
      <x:c r="M371" s="373"/>
      <x:c r="N371" s="373"/>
      <x:c r="O371" s="373"/>
      <x:c r="P371" s="373"/>
      <x:c r="Q371" s="373"/>
      <x:c r="R371" s="373"/>
      <x:c r="S371" s="373"/>
      <x:c r="T371" s="373"/>
      <x:c r="U371" s="373"/>
      <x:c r="V371" s="373"/>
      <x:c r="W371" s="373"/>
      <x:c r="X371" s="373"/>
      <x:c r="Y371" s="373"/>
      <x:c r="Z371" s="373"/>
    </x:row>
    <x:row r="372">
      <x:c r="A372" s="373"/>
      <x:c r="B372" s="373"/>
      <x:c r="C372" s="373"/>
      <x:c r="D372" s="373"/>
      <x:c r="E372" s="373"/>
      <x:c r="F372" s="373"/>
      <x:c r="G372" s="373"/>
      <x:c r="H372" s="373"/>
      <x:c r="I372" s="373"/>
      <x:c r="J372" s="373"/>
      <x:c r="K372" s="373"/>
      <x:c r="L372" s="373"/>
      <x:c r="M372" s="373"/>
      <x:c r="N372" s="373"/>
      <x:c r="O372" s="373"/>
      <x:c r="P372" s="373"/>
      <x:c r="Q372" s="373"/>
      <x:c r="R372" s="373"/>
      <x:c r="S372" s="373"/>
      <x:c r="T372" s="373"/>
      <x:c r="U372" s="373"/>
      <x:c r="V372" s="373"/>
      <x:c r="W372" s="373"/>
      <x:c r="X372" s="373"/>
      <x:c r="Y372" s="373"/>
      <x:c r="Z372" s="373"/>
    </x:row>
    <x:row r="373">
      <x:c r="A373" s="373"/>
      <x:c r="B373" s="373"/>
      <x:c r="C373" s="373"/>
      <x:c r="D373" s="373"/>
      <x:c r="E373" s="373"/>
      <x:c r="F373" s="373"/>
      <x:c r="G373" s="373"/>
      <x:c r="H373" s="373"/>
      <x:c r="I373" s="373"/>
      <x:c r="J373" s="373"/>
      <x:c r="K373" s="373"/>
      <x:c r="L373" s="373"/>
      <x:c r="M373" s="373"/>
      <x:c r="N373" s="373"/>
      <x:c r="O373" s="373"/>
      <x:c r="P373" s="373"/>
      <x:c r="Q373" s="373"/>
      <x:c r="R373" s="373"/>
      <x:c r="S373" s="373"/>
      <x:c r="T373" s="373"/>
      <x:c r="U373" s="373"/>
      <x:c r="V373" s="373"/>
      <x:c r="W373" s="373"/>
      <x:c r="X373" s="373"/>
      <x:c r="Y373" s="373"/>
      <x:c r="Z373" s="373"/>
    </x:row>
    <x:row r="374">
      <x:c r="A374" s="373"/>
      <x:c r="B374" s="373"/>
      <x:c r="C374" s="373"/>
      <x:c r="D374" s="373"/>
      <x:c r="E374" s="373"/>
      <x:c r="F374" s="373"/>
      <x:c r="G374" s="373"/>
      <x:c r="H374" s="373"/>
      <x:c r="I374" s="373"/>
      <x:c r="J374" s="373"/>
      <x:c r="K374" s="373"/>
      <x:c r="L374" s="373"/>
      <x:c r="M374" s="373"/>
      <x:c r="N374" s="373"/>
      <x:c r="O374" s="373"/>
      <x:c r="P374" s="373"/>
      <x:c r="Q374" s="373"/>
      <x:c r="R374" s="373"/>
      <x:c r="S374" s="373"/>
      <x:c r="T374" s="373"/>
      <x:c r="U374" s="373"/>
      <x:c r="V374" s="373"/>
      <x:c r="W374" s="373"/>
      <x:c r="X374" s="373"/>
      <x:c r="Y374" s="373"/>
      <x:c r="Z374" s="373"/>
    </x:row>
    <x:row r="375">
      <x:c r="A375" s="373"/>
      <x:c r="B375" s="373"/>
      <x:c r="C375" s="373"/>
      <x:c r="D375" s="373"/>
      <x:c r="E375" s="373"/>
      <x:c r="F375" s="373"/>
      <x:c r="G375" s="373"/>
      <x:c r="H375" s="373"/>
      <x:c r="I375" s="373"/>
      <x:c r="J375" s="373"/>
      <x:c r="K375" s="373"/>
      <x:c r="L375" s="373"/>
      <x:c r="M375" s="373"/>
      <x:c r="N375" s="373"/>
      <x:c r="O375" s="373"/>
      <x:c r="P375" s="373"/>
      <x:c r="Q375" s="373"/>
      <x:c r="R375" s="373"/>
      <x:c r="S375" s="373"/>
      <x:c r="T375" s="373"/>
      <x:c r="U375" s="373"/>
      <x:c r="V375" s="373"/>
      <x:c r="W375" s="373"/>
      <x:c r="X375" s="373"/>
      <x:c r="Y375" s="373"/>
      <x:c r="Z375" s="373"/>
    </x:row>
    <x:row r="376">
      <x:c r="A376" s="373"/>
      <x:c r="B376" s="373"/>
      <x:c r="C376" s="373"/>
      <x:c r="D376" s="373"/>
      <x:c r="E376" s="373"/>
      <x:c r="F376" s="373"/>
      <x:c r="G376" s="373"/>
      <x:c r="H376" s="373"/>
      <x:c r="I376" s="373"/>
      <x:c r="J376" s="373"/>
      <x:c r="K376" s="373"/>
      <x:c r="L376" s="373"/>
      <x:c r="M376" s="373"/>
      <x:c r="N376" s="373"/>
      <x:c r="O376" s="373"/>
      <x:c r="P376" s="373"/>
      <x:c r="Q376" s="373"/>
      <x:c r="R376" s="373"/>
      <x:c r="S376" s="373"/>
      <x:c r="T376" s="373"/>
      <x:c r="U376" s="373"/>
      <x:c r="V376" s="373"/>
      <x:c r="W376" s="373"/>
      <x:c r="X376" s="373"/>
      <x:c r="Y376" s="373"/>
      <x:c r="Z376" s="373"/>
    </x:row>
    <x:row r="377">
      <x:c r="A377" s="373"/>
      <x:c r="B377" s="373"/>
      <x:c r="C377" s="373"/>
      <x:c r="D377" s="373"/>
      <x:c r="E377" s="373"/>
      <x:c r="F377" s="373"/>
      <x:c r="G377" s="373"/>
      <x:c r="H377" s="373"/>
      <x:c r="I377" s="373"/>
      <x:c r="J377" s="373"/>
      <x:c r="K377" s="373"/>
      <x:c r="L377" s="373"/>
      <x:c r="M377" s="373"/>
      <x:c r="N377" s="373"/>
      <x:c r="O377" s="373"/>
      <x:c r="P377" s="373"/>
      <x:c r="Q377" s="373"/>
      <x:c r="R377" s="373"/>
      <x:c r="S377" s="373"/>
      <x:c r="T377" s="373"/>
      <x:c r="U377" s="373"/>
      <x:c r="V377" s="373"/>
      <x:c r="W377" s="373"/>
      <x:c r="X377" s="373"/>
      <x:c r="Y377" s="373"/>
      <x:c r="Z377" s="373"/>
    </x:row>
    <x:row r="378">
      <x:c r="A378" s="373"/>
      <x:c r="B378" s="373"/>
      <x:c r="C378" s="373"/>
      <x:c r="D378" s="373"/>
      <x:c r="E378" s="373"/>
      <x:c r="F378" s="373"/>
      <x:c r="G378" s="373"/>
      <x:c r="H378" s="373"/>
      <x:c r="I378" s="373"/>
      <x:c r="J378" s="373"/>
      <x:c r="K378" s="373"/>
      <x:c r="L378" s="373"/>
      <x:c r="M378" s="373"/>
      <x:c r="N378" s="373"/>
      <x:c r="O378" s="373"/>
      <x:c r="P378" s="373"/>
      <x:c r="Q378" s="373"/>
      <x:c r="R378" s="373"/>
      <x:c r="S378" s="373"/>
      <x:c r="T378" s="373"/>
      <x:c r="U378" s="373"/>
      <x:c r="V378" s="373"/>
      <x:c r="W378" s="373"/>
      <x:c r="X378" s="373"/>
      <x:c r="Y378" s="373"/>
      <x:c r="Z378" s="373"/>
    </x:row>
    <x:row r="379">
      <x:c r="A379" s="373"/>
      <x:c r="B379" s="373"/>
      <x:c r="C379" s="373"/>
      <x:c r="D379" s="373"/>
      <x:c r="E379" s="373"/>
      <x:c r="F379" s="373"/>
      <x:c r="G379" s="373"/>
      <x:c r="H379" s="373"/>
      <x:c r="I379" s="373"/>
      <x:c r="J379" s="373"/>
      <x:c r="K379" s="373"/>
      <x:c r="L379" s="373"/>
      <x:c r="M379" s="373"/>
      <x:c r="N379" s="373"/>
      <x:c r="O379" s="373"/>
      <x:c r="P379" s="373"/>
      <x:c r="Q379" s="373"/>
      <x:c r="R379" s="373"/>
      <x:c r="S379" s="373"/>
      <x:c r="T379" s="373"/>
      <x:c r="U379" s="373"/>
      <x:c r="V379" s="373"/>
      <x:c r="W379" s="373"/>
      <x:c r="X379" s="373"/>
      <x:c r="Y379" s="373"/>
      <x:c r="Z379" s="373"/>
    </x:row>
    <x:row r="380">
      <x:c r="A380" s="373"/>
      <x:c r="B380" s="373"/>
      <x:c r="C380" s="373"/>
      <x:c r="D380" s="373"/>
      <x:c r="E380" s="373"/>
      <x:c r="F380" s="373"/>
      <x:c r="G380" s="373"/>
      <x:c r="H380" s="373"/>
      <x:c r="I380" s="373"/>
      <x:c r="J380" s="373"/>
      <x:c r="K380" s="373"/>
      <x:c r="L380" s="373"/>
      <x:c r="M380" s="373"/>
      <x:c r="N380" s="373"/>
      <x:c r="O380" s="373"/>
      <x:c r="P380" s="373"/>
      <x:c r="Q380" s="373"/>
      <x:c r="R380" s="373"/>
      <x:c r="S380" s="373"/>
      <x:c r="T380" s="373"/>
      <x:c r="U380" s="373"/>
      <x:c r="V380" s="373"/>
      <x:c r="W380" s="373"/>
      <x:c r="X380" s="373"/>
      <x:c r="Y380" s="373"/>
      <x:c r="Z380" s="373"/>
    </x:row>
    <x:row r="381">
      <x:c r="A381" s="373"/>
      <x:c r="B381" s="373"/>
      <x:c r="C381" s="373"/>
      <x:c r="D381" s="373"/>
      <x:c r="E381" s="373"/>
      <x:c r="F381" s="373"/>
      <x:c r="G381" s="373"/>
      <x:c r="H381" s="373"/>
      <x:c r="I381" s="373"/>
      <x:c r="J381" s="373"/>
      <x:c r="K381" s="373"/>
      <x:c r="L381" s="373"/>
      <x:c r="M381" s="373"/>
      <x:c r="N381" s="373"/>
      <x:c r="O381" s="373"/>
      <x:c r="P381" s="373"/>
      <x:c r="Q381" s="373"/>
      <x:c r="R381" s="373"/>
      <x:c r="S381" s="373"/>
      <x:c r="T381" s="373"/>
      <x:c r="U381" s="373"/>
      <x:c r="V381" s="373"/>
      <x:c r="W381" s="373"/>
      <x:c r="X381" s="373"/>
      <x:c r="Y381" s="373"/>
      <x:c r="Z381" s="373"/>
    </x:row>
    <x:row r="382">
      <x:c r="A382" s="373"/>
      <x:c r="B382" s="373"/>
      <x:c r="C382" s="373"/>
      <x:c r="D382" s="373"/>
      <x:c r="E382" s="373"/>
      <x:c r="F382" s="373"/>
      <x:c r="G382" s="373"/>
      <x:c r="H382" s="373"/>
      <x:c r="I382" s="373"/>
      <x:c r="J382" s="373"/>
      <x:c r="K382" s="373"/>
      <x:c r="L382" s="373"/>
      <x:c r="M382" s="373"/>
      <x:c r="N382" s="373"/>
      <x:c r="O382" s="373"/>
      <x:c r="P382" s="373"/>
      <x:c r="Q382" s="373"/>
      <x:c r="R382" s="373"/>
      <x:c r="S382" s="373"/>
      <x:c r="T382" s="373"/>
      <x:c r="U382" s="373"/>
      <x:c r="V382" s="373"/>
      <x:c r="W382" s="373"/>
      <x:c r="X382" s="373"/>
      <x:c r="Y382" s="373"/>
      <x:c r="Z382" s="373"/>
    </x:row>
    <x:row r="383">
      <x:c r="A383" s="373"/>
      <x:c r="B383" s="373"/>
      <x:c r="C383" s="373"/>
      <x:c r="D383" s="373"/>
      <x:c r="E383" s="373"/>
      <x:c r="F383" s="373"/>
      <x:c r="G383" s="373"/>
      <x:c r="H383" s="373"/>
      <x:c r="I383" s="373"/>
      <x:c r="J383" s="373"/>
      <x:c r="K383" s="373"/>
      <x:c r="L383" s="373"/>
      <x:c r="M383" s="373"/>
      <x:c r="N383" s="373"/>
      <x:c r="O383" s="373"/>
      <x:c r="P383" s="373"/>
      <x:c r="Q383" s="373"/>
      <x:c r="R383" s="373"/>
      <x:c r="S383" s="373"/>
      <x:c r="T383" s="373"/>
      <x:c r="U383" s="373"/>
      <x:c r="V383" s="373"/>
      <x:c r="W383" s="373"/>
      <x:c r="X383" s="373"/>
      <x:c r="Y383" s="373"/>
      <x:c r="Z383" s="373"/>
    </x:row>
    <x:row r="384">
      <x:c r="A384" s="373"/>
      <x:c r="B384" s="373"/>
      <x:c r="C384" s="373"/>
      <x:c r="D384" s="373"/>
      <x:c r="E384" s="373"/>
      <x:c r="F384" s="373"/>
      <x:c r="G384" s="373"/>
      <x:c r="H384" s="373"/>
      <x:c r="I384" s="373"/>
      <x:c r="J384" s="373"/>
      <x:c r="K384" s="373"/>
      <x:c r="L384" s="373"/>
      <x:c r="M384" s="373"/>
      <x:c r="N384" s="373"/>
      <x:c r="O384" s="373"/>
      <x:c r="P384" s="373"/>
      <x:c r="Q384" s="373"/>
      <x:c r="R384" s="373"/>
      <x:c r="S384" s="373"/>
      <x:c r="T384" s="373"/>
      <x:c r="U384" s="373"/>
      <x:c r="V384" s="373"/>
      <x:c r="W384" s="373"/>
      <x:c r="X384" s="373"/>
      <x:c r="Y384" s="373"/>
      <x:c r="Z384" s="373"/>
    </x:row>
    <x:row r="385">
      <x:c r="A385" s="373"/>
      <x:c r="B385" s="373"/>
      <x:c r="C385" s="373"/>
      <x:c r="D385" s="373"/>
      <x:c r="E385" s="373"/>
      <x:c r="F385" s="373"/>
      <x:c r="G385" s="373"/>
      <x:c r="H385" s="373"/>
      <x:c r="I385" s="373"/>
      <x:c r="J385" s="373"/>
      <x:c r="K385" s="373"/>
      <x:c r="L385" s="373"/>
      <x:c r="M385" s="373"/>
      <x:c r="N385" s="373"/>
      <x:c r="O385" s="373"/>
      <x:c r="P385" s="373"/>
      <x:c r="Q385" s="373"/>
      <x:c r="R385" s="373"/>
      <x:c r="S385" s="373"/>
      <x:c r="T385" s="373"/>
      <x:c r="U385" s="373"/>
      <x:c r="V385" s="373"/>
      <x:c r="W385" s="373"/>
      <x:c r="X385" s="373"/>
      <x:c r="Y385" s="373"/>
      <x:c r="Z385" s="373"/>
    </x:row>
    <x:row r="386">
      <x:c r="A386" s="373"/>
      <x:c r="B386" s="373"/>
      <x:c r="C386" s="373"/>
      <x:c r="D386" s="373"/>
      <x:c r="E386" s="373"/>
      <x:c r="F386" s="373"/>
      <x:c r="G386" s="373"/>
      <x:c r="H386" s="373"/>
      <x:c r="I386" s="373"/>
      <x:c r="J386" s="373"/>
      <x:c r="K386" s="373"/>
      <x:c r="L386" s="373"/>
      <x:c r="M386" s="373"/>
      <x:c r="N386" s="373"/>
      <x:c r="O386" s="373"/>
      <x:c r="P386" s="373"/>
      <x:c r="Q386" s="373"/>
      <x:c r="R386" s="373"/>
      <x:c r="S386" s="373"/>
      <x:c r="T386" s="373"/>
      <x:c r="U386" s="373"/>
      <x:c r="V386" s="373"/>
      <x:c r="W386" s="373"/>
      <x:c r="X386" s="373"/>
      <x:c r="Y386" s="373"/>
      <x:c r="Z386" s="373"/>
    </x:row>
    <x:row r="387">
      <x:c r="A387" s="373"/>
      <x:c r="B387" s="373"/>
      <x:c r="C387" s="373"/>
      <x:c r="D387" s="373"/>
      <x:c r="E387" s="373"/>
      <x:c r="F387" s="373"/>
      <x:c r="G387" s="373"/>
      <x:c r="H387" s="373"/>
      <x:c r="I387" s="373"/>
      <x:c r="J387" s="373"/>
      <x:c r="K387" s="373"/>
      <x:c r="L387" s="373"/>
      <x:c r="M387" s="373"/>
      <x:c r="N387" s="373"/>
      <x:c r="O387" s="373"/>
      <x:c r="P387" s="373"/>
      <x:c r="Q387" s="373"/>
      <x:c r="R387" s="373"/>
      <x:c r="S387" s="373"/>
      <x:c r="T387" s="373"/>
      <x:c r="U387" s="373"/>
      <x:c r="V387" s="373"/>
      <x:c r="W387" s="373"/>
      <x:c r="X387" s="373"/>
      <x:c r="Y387" s="373"/>
      <x:c r="Z387" s="373"/>
    </x:row>
    <x:row r="388">
      <x:c r="A388" s="373"/>
      <x:c r="B388" s="373"/>
      <x:c r="C388" s="373"/>
      <x:c r="D388" s="373"/>
      <x:c r="E388" s="373"/>
      <x:c r="F388" s="373"/>
      <x:c r="G388" s="373"/>
      <x:c r="H388" s="373"/>
      <x:c r="I388" s="373"/>
      <x:c r="J388" s="373"/>
      <x:c r="K388" s="373"/>
      <x:c r="L388" s="373"/>
      <x:c r="M388" s="373"/>
      <x:c r="N388" s="373"/>
      <x:c r="O388" s="373"/>
      <x:c r="P388" s="373"/>
      <x:c r="Q388" s="373"/>
      <x:c r="R388" s="373"/>
      <x:c r="S388" s="373"/>
      <x:c r="T388" s="373"/>
      <x:c r="U388" s="373"/>
      <x:c r="V388" s="373"/>
      <x:c r="W388" s="373"/>
      <x:c r="X388" s="373"/>
      <x:c r="Y388" s="373"/>
      <x:c r="Z388" s="373"/>
    </x:row>
    <x:row r="389">
      <x:c r="A389" s="373"/>
      <x:c r="B389" s="373"/>
      <x:c r="C389" s="373"/>
      <x:c r="D389" s="373"/>
      <x:c r="E389" s="373"/>
      <x:c r="F389" s="373"/>
      <x:c r="G389" s="373"/>
      <x:c r="H389" s="373"/>
      <x:c r="I389" s="373"/>
      <x:c r="J389" s="373"/>
      <x:c r="K389" s="373"/>
      <x:c r="L389" s="373"/>
      <x:c r="M389" s="373"/>
      <x:c r="N389" s="373"/>
      <x:c r="O389" s="373"/>
      <x:c r="P389" s="373"/>
      <x:c r="Q389" s="373"/>
      <x:c r="R389" s="373"/>
      <x:c r="S389" s="373"/>
      <x:c r="T389" s="373"/>
      <x:c r="U389" s="373"/>
      <x:c r="V389" s="373"/>
      <x:c r="W389" s="373"/>
      <x:c r="X389" s="373"/>
      <x:c r="Y389" s="373"/>
      <x:c r="Z389" s="373"/>
    </x:row>
    <x:row r="390">
      <x:c r="A390" s="373"/>
      <x:c r="B390" s="373"/>
      <x:c r="C390" s="373"/>
      <x:c r="D390" s="373"/>
      <x:c r="E390" s="373"/>
      <x:c r="F390" s="373"/>
      <x:c r="G390" s="373"/>
      <x:c r="H390" s="373"/>
      <x:c r="I390" s="373"/>
      <x:c r="J390" s="373"/>
      <x:c r="K390" s="373"/>
      <x:c r="L390" s="373"/>
      <x:c r="M390" s="373"/>
      <x:c r="N390" s="373"/>
      <x:c r="O390" s="373"/>
      <x:c r="P390" s="373"/>
      <x:c r="Q390" s="373"/>
      <x:c r="R390" s="373"/>
      <x:c r="S390" s="373"/>
      <x:c r="T390" s="373"/>
      <x:c r="U390" s="373"/>
      <x:c r="V390" s="373"/>
      <x:c r="W390" s="373"/>
      <x:c r="X390" s="373"/>
      <x:c r="Y390" s="373"/>
      <x:c r="Z390" s="373"/>
    </x:row>
    <x:row r="391">
      <x:c r="A391" s="373"/>
      <x:c r="B391" s="373"/>
      <x:c r="C391" s="373"/>
      <x:c r="D391" s="373"/>
      <x:c r="E391" s="373"/>
      <x:c r="F391" s="373"/>
      <x:c r="G391" s="373"/>
      <x:c r="H391" s="373"/>
      <x:c r="I391" s="373"/>
      <x:c r="J391" s="373"/>
      <x:c r="K391" s="373"/>
      <x:c r="L391" s="373"/>
      <x:c r="M391" s="373"/>
      <x:c r="N391" s="373"/>
      <x:c r="O391" s="373"/>
      <x:c r="P391" s="373"/>
      <x:c r="Q391" s="373"/>
      <x:c r="R391" s="373"/>
      <x:c r="S391" s="373"/>
      <x:c r="T391" s="373"/>
      <x:c r="U391" s="373"/>
      <x:c r="V391" s="373"/>
      <x:c r="W391" s="373"/>
      <x:c r="X391" s="373"/>
      <x:c r="Y391" s="373"/>
      <x:c r="Z391" s="373"/>
    </x:row>
    <x:row r="392">
      <x:c r="A392" s="373"/>
      <x:c r="B392" s="373"/>
      <x:c r="C392" s="373"/>
      <x:c r="D392" s="373"/>
      <x:c r="E392" s="373"/>
      <x:c r="F392" s="373"/>
      <x:c r="G392" s="373"/>
      <x:c r="H392" s="373"/>
      <x:c r="I392" s="373"/>
      <x:c r="J392" s="373"/>
      <x:c r="K392" s="373"/>
      <x:c r="L392" s="373"/>
      <x:c r="M392" s="373"/>
      <x:c r="N392" s="373"/>
      <x:c r="O392" s="373"/>
      <x:c r="P392" s="373"/>
      <x:c r="Q392" s="373"/>
      <x:c r="R392" s="373"/>
      <x:c r="S392" s="373"/>
      <x:c r="T392" s="373"/>
      <x:c r="U392" s="373"/>
      <x:c r="V392" s="373"/>
      <x:c r="W392" s="373"/>
      <x:c r="X392" s="373"/>
      <x:c r="Y392" s="373"/>
      <x:c r="Z392" s="373"/>
    </x:row>
    <x:row r="393">
      <x:c r="A393" s="373"/>
      <x:c r="B393" s="373"/>
      <x:c r="C393" s="373"/>
      <x:c r="D393" s="373"/>
      <x:c r="E393" s="373"/>
      <x:c r="F393" s="373"/>
      <x:c r="G393" s="373"/>
      <x:c r="H393" s="373"/>
      <x:c r="I393" s="373"/>
      <x:c r="J393" s="373"/>
      <x:c r="K393" s="373"/>
      <x:c r="L393" s="373"/>
      <x:c r="M393" s="373"/>
      <x:c r="N393" s="373"/>
      <x:c r="O393" s="373"/>
      <x:c r="P393" s="373"/>
      <x:c r="Q393" s="373"/>
      <x:c r="R393" s="373"/>
      <x:c r="S393" s="373"/>
      <x:c r="T393" s="373"/>
      <x:c r="U393" s="373"/>
      <x:c r="V393" s="373"/>
      <x:c r="W393" s="373"/>
      <x:c r="X393" s="373"/>
      <x:c r="Y393" s="373"/>
      <x:c r="Z393" s="373"/>
    </x:row>
    <x:row r="394">
      <x:c r="A394" s="373"/>
      <x:c r="B394" s="373"/>
      <x:c r="C394" s="373"/>
      <x:c r="D394" s="373"/>
      <x:c r="E394" s="373"/>
      <x:c r="F394" s="373"/>
      <x:c r="G394" s="373"/>
      <x:c r="H394" s="373"/>
      <x:c r="I394" s="373"/>
      <x:c r="J394" s="373"/>
      <x:c r="K394" s="373"/>
      <x:c r="L394" s="373"/>
      <x:c r="M394" s="373"/>
      <x:c r="N394" s="373"/>
      <x:c r="O394" s="373"/>
      <x:c r="P394" s="373"/>
      <x:c r="Q394" s="373"/>
      <x:c r="R394" s="373"/>
      <x:c r="S394" s="373"/>
      <x:c r="T394" s="373"/>
      <x:c r="U394" s="373"/>
      <x:c r="V394" s="373"/>
      <x:c r="W394" s="373"/>
      <x:c r="X394" s="373"/>
      <x:c r="Y394" s="373"/>
      <x:c r="Z394" s="373"/>
    </x:row>
    <x:row r="395">
      <x:c r="A395" s="373"/>
      <x:c r="B395" s="373"/>
      <x:c r="C395" s="373"/>
      <x:c r="D395" s="373"/>
      <x:c r="E395" s="373"/>
      <x:c r="F395" s="373"/>
      <x:c r="G395" s="373"/>
      <x:c r="H395" s="373"/>
      <x:c r="I395" s="373"/>
      <x:c r="J395" s="373"/>
      <x:c r="K395" s="373"/>
      <x:c r="L395" s="373"/>
      <x:c r="M395" s="373"/>
      <x:c r="N395" s="373"/>
      <x:c r="O395" s="373"/>
      <x:c r="P395" s="373"/>
      <x:c r="Q395" s="373"/>
      <x:c r="R395" s="373"/>
      <x:c r="S395" s="373"/>
      <x:c r="T395" s="373"/>
      <x:c r="U395" s="373"/>
      <x:c r="V395" s="373"/>
      <x:c r="W395" s="373"/>
      <x:c r="X395" s="373"/>
      <x:c r="Y395" s="373"/>
      <x:c r="Z395" s="373"/>
    </x:row>
    <x:row r="396">
      <x:c r="A396" s="373"/>
      <x:c r="B396" s="373"/>
      <x:c r="C396" s="373"/>
      <x:c r="D396" s="373"/>
      <x:c r="E396" s="373"/>
      <x:c r="F396" s="373"/>
      <x:c r="G396" s="373"/>
      <x:c r="H396" s="373"/>
      <x:c r="I396" s="373"/>
      <x:c r="J396" s="373"/>
      <x:c r="K396" s="373"/>
      <x:c r="L396" s="373"/>
      <x:c r="M396" s="373"/>
      <x:c r="N396" s="373"/>
      <x:c r="O396" s="373"/>
      <x:c r="P396" s="373"/>
      <x:c r="Q396" s="373"/>
      <x:c r="R396" s="373"/>
      <x:c r="S396" s="373"/>
      <x:c r="T396" s="373"/>
      <x:c r="U396" s="373"/>
      <x:c r="V396" s="373"/>
      <x:c r="W396" s="373"/>
      <x:c r="X396" s="373"/>
      <x:c r="Y396" s="373"/>
      <x:c r="Z396" s="373"/>
    </x:row>
    <x:row r="397">
      <x:c r="A397" s="373"/>
      <x:c r="B397" s="373"/>
      <x:c r="C397" s="373"/>
      <x:c r="D397" s="373"/>
      <x:c r="E397" s="373"/>
      <x:c r="F397" s="373"/>
      <x:c r="G397" s="373"/>
      <x:c r="H397" s="373"/>
      <x:c r="I397" s="373"/>
      <x:c r="J397" s="373"/>
      <x:c r="K397" s="373"/>
      <x:c r="L397" s="373"/>
      <x:c r="M397" s="373"/>
      <x:c r="N397" s="373"/>
      <x:c r="O397" s="373"/>
      <x:c r="P397" s="373"/>
      <x:c r="Q397" s="373"/>
      <x:c r="R397" s="373"/>
      <x:c r="S397" s="373"/>
      <x:c r="T397" s="373"/>
      <x:c r="U397" s="373"/>
      <x:c r="V397" s="373"/>
      <x:c r="W397" s="373"/>
      <x:c r="X397" s="373"/>
      <x:c r="Y397" s="373"/>
      <x:c r="Z397" s="373"/>
    </x:row>
    <x:row r="398">
      <x:c r="A398" s="373"/>
      <x:c r="B398" s="373"/>
      <x:c r="C398" s="373"/>
      <x:c r="D398" s="373"/>
      <x:c r="E398" s="373"/>
      <x:c r="F398" s="373"/>
      <x:c r="G398" s="373"/>
      <x:c r="H398" s="373"/>
      <x:c r="I398" s="373"/>
      <x:c r="J398" s="373"/>
      <x:c r="K398" s="373"/>
      <x:c r="L398" s="373"/>
      <x:c r="M398" s="373"/>
      <x:c r="N398" s="373"/>
      <x:c r="O398" s="373"/>
      <x:c r="P398" s="373"/>
      <x:c r="Q398" s="373"/>
      <x:c r="R398" s="373"/>
      <x:c r="S398" s="373"/>
      <x:c r="T398" s="373"/>
      <x:c r="U398" s="373"/>
      <x:c r="V398" s="373"/>
      <x:c r="W398" s="373"/>
      <x:c r="X398" s="373"/>
      <x:c r="Y398" s="373"/>
      <x:c r="Z398" s="373"/>
    </x:row>
    <x:row r="399">
      <x:c r="A399" s="373"/>
      <x:c r="B399" s="373"/>
      <x:c r="C399" s="373"/>
      <x:c r="D399" s="373"/>
      <x:c r="E399" s="373"/>
      <x:c r="F399" s="373"/>
      <x:c r="G399" s="373"/>
      <x:c r="H399" s="373"/>
      <x:c r="I399" s="373"/>
      <x:c r="J399" s="373"/>
      <x:c r="K399" s="373"/>
      <x:c r="L399" s="373"/>
      <x:c r="M399" s="373"/>
      <x:c r="N399" s="373"/>
      <x:c r="O399" s="373"/>
      <x:c r="P399" s="373"/>
      <x:c r="Q399" s="373"/>
      <x:c r="R399" s="373"/>
      <x:c r="S399" s="373"/>
      <x:c r="T399" s="373"/>
      <x:c r="U399" s="373"/>
      <x:c r="V399" s="373"/>
      <x:c r="W399" s="373"/>
      <x:c r="X399" s="373"/>
      <x:c r="Y399" s="373"/>
      <x:c r="Z399" s="373"/>
    </x:row>
    <x:row r="400">
      <x:c r="A400" s="373"/>
      <x:c r="B400" s="373"/>
      <x:c r="C400" s="373"/>
      <x:c r="D400" s="373"/>
      <x:c r="E400" s="373"/>
      <x:c r="F400" s="373"/>
      <x:c r="G400" s="373"/>
      <x:c r="H400" s="373"/>
      <x:c r="I400" s="373"/>
      <x:c r="J400" s="373"/>
      <x:c r="K400" s="373"/>
      <x:c r="L400" s="373"/>
      <x:c r="M400" s="373"/>
      <x:c r="N400" s="373"/>
      <x:c r="O400" s="373"/>
      <x:c r="P400" s="373"/>
      <x:c r="Q400" s="373"/>
      <x:c r="R400" s="373"/>
      <x:c r="S400" s="373"/>
      <x:c r="T400" s="373"/>
      <x:c r="U400" s="373"/>
      <x:c r="V400" s="373"/>
      <x:c r="W400" s="373"/>
      <x:c r="X400" s="373"/>
      <x:c r="Y400" s="373"/>
      <x:c r="Z400" s="373"/>
    </x:row>
    <x:row r="401">
      <x:c r="A401" s="373"/>
      <x:c r="B401" s="373"/>
      <x:c r="C401" s="373"/>
      <x:c r="D401" s="373"/>
      <x:c r="E401" s="373"/>
      <x:c r="F401" s="373"/>
      <x:c r="G401" s="373"/>
      <x:c r="H401" s="373"/>
      <x:c r="I401" s="373"/>
      <x:c r="J401" s="373"/>
      <x:c r="K401" s="373"/>
      <x:c r="L401" s="373"/>
      <x:c r="M401" s="373"/>
      <x:c r="N401" s="373"/>
      <x:c r="O401" s="373"/>
      <x:c r="P401" s="373"/>
      <x:c r="Q401" s="373"/>
      <x:c r="R401" s="373"/>
      <x:c r="S401" s="373"/>
      <x:c r="T401" s="373"/>
      <x:c r="U401" s="373"/>
      <x:c r="V401" s="373"/>
      <x:c r="W401" s="373"/>
      <x:c r="X401" s="373"/>
      <x:c r="Y401" s="373"/>
      <x:c r="Z401" s="373"/>
    </x:row>
    <x:row r="402">
      <x:c r="A402" s="373"/>
      <x:c r="B402" s="373"/>
      <x:c r="C402" s="373"/>
      <x:c r="D402" s="373"/>
      <x:c r="E402" s="373"/>
      <x:c r="F402" s="373"/>
      <x:c r="G402" s="373"/>
      <x:c r="H402" s="373"/>
      <x:c r="I402" s="373"/>
      <x:c r="J402" s="373"/>
      <x:c r="K402" s="373"/>
      <x:c r="L402" s="373"/>
      <x:c r="M402" s="373"/>
      <x:c r="N402" s="373"/>
      <x:c r="O402" s="373"/>
      <x:c r="P402" s="373"/>
      <x:c r="Q402" s="373"/>
      <x:c r="R402" s="373"/>
      <x:c r="S402" s="373"/>
      <x:c r="T402" s="373"/>
      <x:c r="U402" s="373"/>
      <x:c r="V402" s="373"/>
      <x:c r="W402" s="373"/>
      <x:c r="X402" s="373"/>
      <x:c r="Y402" s="373"/>
      <x:c r="Z402" s="373"/>
    </x:row>
    <x:row r="403">
      <x:c r="A403" s="373"/>
      <x:c r="B403" s="373"/>
      <x:c r="C403" s="373"/>
      <x:c r="D403" s="373"/>
      <x:c r="E403" s="373"/>
      <x:c r="F403" s="373"/>
      <x:c r="G403" s="373"/>
      <x:c r="H403" s="373"/>
      <x:c r="I403" s="373"/>
      <x:c r="J403" s="373"/>
      <x:c r="K403" s="373"/>
      <x:c r="L403" s="373"/>
      <x:c r="M403" s="373"/>
      <x:c r="N403" s="373"/>
      <x:c r="O403" s="373"/>
      <x:c r="P403" s="373"/>
      <x:c r="Q403" s="373"/>
      <x:c r="R403" s="373"/>
      <x:c r="S403" s="373"/>
      <x:c r="T403" s="373"/>
      <x:c r="U403" s="373"/>
      <x:c r="V403" s="373"/>
      <x:c r="W403" s="373"/>
      <x:c r="X403" s="373"/>
      <x:c r="Y403" s="373"/>
      <x:c r="Z403" s="373"/>
    </x:row>
    <x:row r="404">
      <x:c r="A404" s="373"/>
      <x:c r="B404" s="373"/>
      <x:c r="C404" s="373"/>
      <x:c r="D404" s="373"/>
      <x:c r="E404" s="373"/>
      <x:c r="F404" s="373"/>
      <x:c r="G404" s="373"/>
      <x:c r="H404" s="373"/>
      <x:c r="I404" s="373"/>
      <x:c r="J404" s="373"/>
      <x:c r="K404" s="373"/>
      <x:c r="L404" s="373"/>
      <x:c r="M404" s="373"/>
      <x:c r="N404" s="373"/>
      <x:c r="O404" s="373"/>
      <x:c r="P404" s="373"/>
      <x:c r="Q404" s="373"/>
      <x:c r="R404" s="373"/>
      <x:c r="S404" s="373"/>
      <x:c r="T404" s="373"/>
      <x:c r="U404" s="373"/>
      <x:c r="V404" s="373"/>
      <x:c r="W404" s="373"/>
      <x:c r="X404" s="373"/>
      <x:c r="Y404" s="373"/>
      <x:c r="Z404" s="373"/>
    </x:row>
    <x:row r="405">
      <x:c r="A405" s="373"/>
      <x:c r="B405" s="373"/>
      <x:c r="C405" s="373"/>
      <x:c r="D405" s="373"/>
      <x:c r="E405" s="373"/>
      <x:c r="F405" s="373"/>
      <x:c r="G405" s="373"/>
      <x:c r="H405" s="373"/>
      <x:c r="I405" s="373"/>
      <x:c r="J405" s="373"/>
      <x:c r="K405" s="373"/>
      <x:c r="L405" s="373"/>
      <x:c r="M405" s="373"/>
      <x:c r="N405" s="373"/>
      <x:c r="O405" s="373"/>
      <x:c r="P405" s="373"/>
      <x:c r="Q405" s="373"/>
      <x:c r="R405" s="373"/>
      <x:c r="S405" s="373"/>
      <x:c r="T405" s="373"/>
      <x:c r="U405" s="373"/>
      <x:c r="V405" s="373"/>
      <x:c r="W405" s="373"/>
      <x:c r="X405" s="373"/>
      <x:c r="Y405" s="373"/>
      <x:c r="Z405" s="373"/>
    </x:row>
    <x:row r="406">
      <x:c r="A406" s="373"/>
      <x:c r="B406" s="373"/>
      <x:c r="C406" s="373"/>
      <x:c r="D406" s="373"/>
      <x:c r="E406" s="373"/>
      <x:c r="F406" s="373"/>
      <x:c r="G406" s="373"/>
      <x:c r="H406" s="373"/>
      <x:c r="I406" s="373"/>
      <x:c r="J406" s="373"/>
      <x:c r="K406" s="373"/>
      <x:c r="L406" s="373"/>
      <x:c r="M406" s="373"/>
      <x:c r="N406" s="373"/>
      <x:c r="O406" s="373"/>
      <x:c r="P406" s="373"/>
      <x:c r="Q406" s="373"/>
      <x:c r="R406" s="373"/>
      <x:c r="S406" s="373"/>
      <x:c r="T406" s="373"/>
      <x:c r="U406" s="373"/>
      <x:c r="V406" s="373"/>
      <x:c r="W406" s="373"/>
      <x:c r="X406" s="373"/>
      <x:c r="Y406" s="373"/>
      <x:c r="Z406" s="373"/>
    </x:row>
    <x:row r="407">
      <x:c r="A407" s="373"/>
      <x:c r="B407" s="373"/>
      <x:c r="C407" s="373"/>
      <x:c r="D407" s="373"/>
      <x:c r="E407" s="373"/>
      <x:c r="F407" s="373"/>
      <x:c r="G407" s="373"/>
      <x:c r="H407" s="373"/>
      <x:c r="I407" s="373"/>
      <x:c r="J407" s="373"/>
      <x:c r="K407" s="373"/>
      <x:c r="L407" s="373"/>
      <x:c r="M407" s="373"/>
      <x:c r="N407" s="373"/>
      <x:c r="O407" s="373"/>
      <x:c r="P407" s="373"/>
      <x:c r="Q407" s="373"/>
      <x:c r="R407" s="373"/>
      <x:c r="S407" s="373"/>
      <x:c r="T407" s="373"/>
      <x:c r="U407" s="373"/>
      <x:c r="V407" s="373"/>
      <x:c r="W407" s="373"/>
      <x:c r="X407" s="373"/>
      <x:c r="Y407" s="373"/>
      <x:c r="Z407" s="373"/>
    </x:row>
    <x:row r="408">
      <x:c r="A408" s="373"/>
      <x:c r="B408" s="373"/>
      <x:c r="C408" s="373"/>
      <x:c r="D408" s="373"/>
      <x:c r="E408" s="373"/>
      <x:c r="F408" s="373"/>
      <x:c r="G408" s="373"/>
      <x:c r="H408" s="373"/>
      <x:c r="I408" s="373"/>
      <x:c r="J408" s="373"/>
      <x:c r="K408" s="373"/>
      <x:c r="L408" s="373"/>
      <x:c r="M408" s="373"/>
      <x:c r="N408" s="373"/>
      <x:c r="O408" s="373"/>
      <x:c r="P408" s="373"/>
      <x:c r="Q408" s="373"/>
      <x:c r="R408" s="373"/>
      <x:c r="S408" s="373"/>
      <x:c r="T408" s="373"/>
      <x:c r="U408" s="373"/>
      <x:c r="V408" s="373"/>
      <x:c r="W408" s="373"/>
      <x:c r="X408" s="373"/>
      <x:c r="Y408" s="373"/>
      <x:c r="Z408" s="373"/>
    </x:row>
    <x:row r="409">
      <x:c r="A409" s="373"/>
      <x:c r="B409" s="373"/>
      <x:c r="C409" s="373"/>
      <x:c r="D409" s="373"/>
      <x:c r="E409" s="373"/>
      <x:c r="F409" s="373"/>
      <x:c r="G409" s="373"/>
      <x:c r="H409" s="373"/>
      <x:c r="I409" s="373"/>
      <x:c r="J409" s="373"/>
      <x:c r="K409" s="373"/>
      <x:c r="L409" s="373"/>
      <x:c r="M409" s="373"/>
      <x:c r="N409" s="373"/>
      <x:c r="O409" s="373"/>
      <x:c r="P409" s="373"/>
      <x:c r="Q409" s="373"/>
      <x:c r="R409" s="373"/>
      <x:c r="S409" s="373"/>
      <x:c r="T409" s="373"/>
      <x:c r="U409" s="373"/>
      <x:c r="V409" s="373"/>
      <x:c r="W409" s="373"/>
      <x:c r="X409" s="373"/>
      <x:c r="Y409" s="373"/>
      <x:c r="Z409" s="373"/>
    </x:row>
    <x:row r="410">
      <x:c r="A410" s="373"/>
      <x:c r="B410" s="373"/>
      <x:c r="C410" s="373"/>
      <x:c r="D410" s="373"/>
      <x:c r="E410" s="373"/>
      <x:c r="F410" s="373"/>
      <x:c r="G410" s="373"/>
      <x:c r="H410" s="373"/>
      <x:c r="I410" s="373"/>
      <x:c r="J410" s="373"/>
      <x:c r="K410" s="373"/>
      <x:c r="L410" s="373"/>
      <x:c r="M410" s="373"/>
      <x:c r="N410" s="373"/>
      <x:c r="O410" s="373"/>
      <x:c r="P410" s="373"/>
      <x:c r="Q410" s="373"/>
      <x:c r="R410" s="373"/>
      <x:c r="S410" s="373"/>
      <x:c r="T410" s="373"/>
      <x:c r="U410" s="373"/>
      <x:c r="V410" s="373"/>
      <x:c r="W410" s="373"/>
      <x:c r="X410" s="373"/>
      <x:c r="Y410" s="373"/>
      <x:c r="Z410" s="373"/>
    </x:row>
    <x:row r="411">
      <x:c r="A411" s="373"/>
      <x:c r="B411" s="373"/>
      <x:c r="C411" s="373"/>
      <x:c r="D411" s="373"/>
      <x:c r="E411" s="373"/>
      <x:c r="F411" s="373"/>
      <x:c r="G411" s="373"/>
      <x:c r="H411" s="373"/>
      <x:c r="I411" s="373"/>
      <x:c r="J411" s="373"/>
      <x:c r="K411" s="373"/>
      <x:c r="L411" s="373"/>
      <x:c r="M411" s="373"/>
      <x:c r="N411" s="373"/>
      <x:c r="O411" s="373"/>
      <x:c r="P411" s="373"/>
      <x:c r="Q411" s="373"/>
      <x:c r="R411" s="373"/>
      <x:c r="S411" s="373"/>
      <x:c r="T411" s="373"/>
      <x:c r="U411" s="373"/>
      <x:c r="V411" s="373"/>
      <x:c r="W411" s="373"/>
      <x:c r="X411" s="373"/>
      <x:c r="Y411" s="373"/>
      <x:c r="Z411" s="373"/>
    </x:row>
    <x:row r="412">
      <x:c r="A412" s="373"/>
      <x:c r="B412" s="373"/>
      <x:c r="C412" s="373"/>
      <x:c r="D412" s="373"/>
      <x:c r="E412" s="373"/>
      <x:c r="F412" s="373"/>
      <x:c r="G412" s="373"/>
      <x:c r="H412" s="373"/>
      <x:c r="I412" s="373"/>
      <x:c r="J412" s="373"/>
      <x:c r="K412" s="373"/>
      <x:c r="L412" s="373"/>
      <x:c r="M412" s="373"/>
      <x:c r="N412" s="373"/>
      <x:c r="O412" s="373"/>
      <x:c r="P412" s="373"/>
      <x:c r="Q412" s="373"/>
      <x:c r="R412" s="373"/>
      <x:c r="S412" s="373"/>
      <x:c r="T412" s="373"/>
      <x:c r="U412" s="373"/>
      <x:c r="V412" s="373"/>
      <x:c r="W412" s="373"/>
      <x:c r="X412" s="373"/>
      <x:c r="Y412" s="373"/>
      <x:c r="Z412" s="373"/>
    </x:row>
    <x:row r="413">
      <x:c r="A413" s="373"/>
      <x:c r="B413" s="373"/>
      <x:c r="C413" s="373"/>
      <x:c r="D413" s="373"/>
      <x:c r="E413" s="373"/>
      <x:c r="F413" s="373"/>
      <x:c r="G413" s="373"/>
      <x:c r="H413" s="373"/>
      <x:c r="I413" s="373"/>
      <x:c r="J413" s="373"/>
      <x:c r="K413" s="373"/>
      <x:c r="L413" s="373"/>
      <x:c r="M413" s="373"/>
      <x:c r="N413" s="373"/>
      <x:c r="O413" s="373"/>
      <x:c r="P413" s="373"/>
      <x:c r="Q413" s="373"/>
      <x:c r="R413" s="373"/>
      <x:c r="S413" s="373"/>
      <x:c r="T413" s="373"/>
      <x:c r="U413" s="373"/>
      <x:c r="V413" s="373"/>
      <x:c r="W413" s="373"/>
      <x:c r="X413" s="373"/>
      <x:c r="Y413" s="373"/>
      <x:c r="Z413" s="373"/>
    </x:row>
    <x:row r="414">
      <x:c r="A414" s="373"/>
      <x:c r="B414" s="373"/>
      <x:c r="C414" s="373"/>
      <x:c r="D414" s="373"/>
      <x:c r="E414" s="373"/>
      <x:c r="F414" s="373"/>
      <x:c r="G414" s="373"/>
      <x:c r="H414" s="373"/>
      <x:c r="I414" s="373"/>
      <x:c r="J414" s="373"/>
      <x:c r="K414" s="373"/>
      <x:c r="L414" s="373"/>
      <x:c r="M414" s="373"/>
      <x:c r="N414" s="373"/>
      <x:c r="O414" s="373"/>
      <x:c r="P414" s="373"/>
      <x:c r="Q414" s="373"/>
      <x:c r="R414" s="373"/>
      <x:c r="S414" s="373"/>
      <x:c r="T414" s="373"/>
      <x:c r="U414" s="373"/>
      <x:c r="V414" s="373"/>
      <x:c r="W414" s="373"/>
      <x:c r="X414" s="373"/>
      <x:c r="Y414" s="373"/>
      <x:c r="Z414" s="373"/>
    </x:row>
    <x:row r="415">
      <x:c r="A415" s="373"/>
      <x:c r="B415" s="373"/>
      <x:c r="C415" s="373"/>
      <x:c r="D415" s="373"/>
      <x:c r="E415" s="373"/>
      <x:c r="F415" s="373"/>
      <x:c r="G415" s="373"/>
      <x:c r="H415" s="373"/>
      <x:c r="I415" s="373"/>
      <x:c r="J415" s="373"/>
      <x:c r="K415" s="373"/>
      <x:c r="L415" s="373"/>
      <x:c r="M415" s="373"/>
      <x:c r="N415" s="373"/>
      <x:c r="O415" s="373"/>
      <x:c r="P415" s="373"/>
      <x:c r="Q415" s="373"/>
      <x:c r="R415" s="373"/>
      <x:c r="S415" s="373"/>
      <x:c r="T415" s="373"/>
      <x:c r="U415" s="373"/>
      <x:c r="V415" s="373"/>
      <x:c r="W415" s="373"/>
      <x:c r="X415" s="373"/>
      <x:c r="Y415" s="373"/>
      <x:c r="Z415" s="373"/>
    </x:row>
    <x:row r="416">
      <x:c r="A416" s="373"/>
      <x:c r="B416" s="373"/>
      <x:c r="C416" s="373"/>
      <x:c r="D416" s="373"/>
      <x:c r="E416" s="373"/>
      <x:c r="F416" s="373"/>
      <x:c r="G416" s="373"/>
      <x:c r="H416" s="373"/>
      <x:c r="I416" s="373"/>
      <x:c r="J416" s="373"/>
      <x:c r="K416" s="373"/>
      <x:c r="L416" s="373"/>
      <x:c r="M416" s="373"/>
      <x:c r="N416" s="373"/>
      <x:c r="O416" s="373"/>
      <x:c r="P416" s="373"/>
      <x:c r="Q416" s="373"/>
      <x:c r="R416" s="373"/>
      <x:c r="S416" s="373"/>
      <x:c r="T416" s="373"/>
      <x:c r="U416" s="373"/>
      <x:c r="V416" s="373"/>
      <x:c r="W416" s="373"/>
      <x:c r="X416" s="373"/>
      <x:c r="Y416" s="373"/>
      <x:c r="Z416" s="373"/>
    </x:row>
    <x:row r="417">
      <x:c r="A417" s="373"/>
      <x:c r="B417" s="373"/>
      <x:c r="C417" s="373"/>
      <x:c r="D417" s="373"/>
      <x:c r="E417" s="373"/>
      <x:c r="F417" s="373"/>
      <x:c r="G417" s="373"/>
      <x:c r="H417" s="373"/>
      <x:c r="I417" s="373"/>
      <x:c r="J417" s="373"/>
      <x:c r="K417" s="373"/>
      <x:c r="L417" s="373"/>
      <x:c r="M417" s="373"/>
      <x:c r="N417" s="373"/>
      <x:c r="O417" s="373"/>
      <x:c r="P417" s="373"/>
      <x:c r="Q417" s="373"/>
      <x:c r="R417" s="373"/>
      <x:c r="S417" s="373"/>
      <x:c r="T417" s="373"/>
      <x:c r="U417" s="373"/>
      <x:c r="V417" s="373"/>
      <x:c r="W417" s="373"/>
      <x:c r="X417" s="373"/>
      <x:c r="Y417" s="373"/>
      <x:c r="Z417" s="373"/>
    </x:row>
    <x:row r="418">
      <x:c r="A418" s="373"/>
      <x:c r="B418" s="373"/>
      <x:c r="C418" s="373"/>
      <x:c r="D418" s="373"/>
      <x:c r="E418" s="373"/>
      <x:c r="F418" s="373"/>
      <x:c r="G418" s="373"/>
      <x:c r="H418" s="373"/>
      <x:c r="I418" s="373"/>
      <x:c r="J418" s="373"/>
      <x:c r="K418" s="373"/>
      <x:c r="L418" s="373"/>
      <x:c r="M418" s="373"/>
      <x:c r="N418" s="373"/>
      <x:c r="O418" s="373"/>
      <x:c r="P418" s="373"/>
      <x:c r="Q418" s="373"/>
      <x:c r="R418" s="373"/>
      <x:c r="S418" s="373"/>
      <x:c r="T418" s="373"/>
      <x:c r="U418" s="373"/>
      <x:c r="V418" s="373"/>
      <x:c r="W418" s="373"/>
      <x:c r="X418" s="373"/>
      <x:c r="Y418" s="373"/>
      <x:c r="Z418" s="373"/>
    </x:row>
    <x:row r="419">
      <x:c r="A419" s="373"/>
      <x:c r="B419" s="373"/>
      <x:c r="C419" s="373"/>
      <x:c r="D419" s="373"/>
      <x:c r="E419" s="373"/>
      <x:c r="F419" s="373"/>
      <x:c r="G419" s="373"/>
      <x:c r="H419" s="373"/>
      <x:c r="I419" s="373"/>
      <x:c r="J419" s="373"/>
      <x:c r="K419" s="373"/>
      <x:c r="L419" s="373"/>
      <x:c r="M419" s="373"/>
      <x:c r="N419" s="373"/>
      <x:c r="O419" s="373"/>
      <x:c r="P419" s="373"/>
      <x:c r="Q419" s="373"/>
      <x:c r="R419" s="373"/>
      <x:c r="S419" s="373"/>
      <x:c r="T419" s="373"/>
      <x:c r="U419" s="373"/>
      <x:c r="V419" s="373"/>
      <x:c r="W419" s="373"/>
      <x:c r="X419" s="373"/>
      <x:c r="Y419" s="373"/>
      <x:c r="Z419" s="373"/>
    </x:row>
    <x:row r="420">
      <x:c r="A420" s="373"/>
      <x:c r="B420" s="373"/>
      <x:c r="C420" s="373"/>
      <x:c r="D420" s="373"/>
      <x:c r="E420" s="373"/>
      <x:c r="F420" s="373"/>
      <x:c r="G420" s="373"/>
      <x:c r="H420" s="373"/>
      <x:c r="I420" s="373"/>
      <x:c r="J420" s="373"/>
      <x:c r="K420" s="373"/>
      <x:c r="L420" s="373"/>
      <x:c r="M420" s="373"/>
      <x:c r="N420" s="373"/>
      <x:c r="O420" s="373"/>
      <x:c r="P420" s="373"/>
      <x:c r="Q420" s="373"/>
      <x:c r="R420" s="373"/>
      <x:c r="S420" s="373"/>
      <x:c r="T420" s="373"/>
      <x:c r="U420" s="373"/>
      <x:c r="V420" s="373"/>
      <x:c r="W420" s="373"/>
      <x:c r="X420" s="373"/>
      <x:c r="Y420" s="373"/>
      <x:c r="Z420" s="373"/>
    </x:row>
    <x:row r="421">
      <x:c r="A421" s="373"/>
      <x:c r="B421" s="373"/>
      <x:c r="C421" s="373"/>
      <x:c r="D421" s="373"/>
      <x:c r="E421" s="373"/>
      <x:c r="F421" s="373"/>
      <x:c r="G421" s="373"/>
      <x:c r="H421" s="373"/>
      <x:c r="I421" s="373"/>
      <x:c r="J421" s="373"/>
      <x:c r="K421" s="373"/>
      <x:c r="L421" s="373"/>
      <x:c r="M421" s="373"/>
      <x:c r="N421" s="373"/>
      <x:c r="O421" s="373"/>
      <x:c r="P421" s="373"/>
      <x:c r="Q421" s="373"/>
      <x:c r="R421" s="373"/>
      <x:c r="S421" s="373"/>
      <x:c r="T421" s="373"/>
      <x:c r="U421" s="373"/>
      <x:c r="V421" s="373"/>
      <x:c r="W421" s="373"/>
      <x:c r="X421" s="373"/>
      <x:c r="Y421" s="373"/>
      <x:c r="Z421" s="373"/>
    </x:row>
    <x:row r="422">
      <x:c r="A422" s="373"/>
      <x:c r="B422" s="373"/>
      <x:c r="C422" s="373"/>
      <x:c r="D422" s="373"/>
      <x:c r="E422" s="373"/>
      <x:c r="F422" s="373"/>
      <x:c r="G422" s="373"/>
      <x:c r="H422" s="373"/>
      <x:c r="I422" s="373"/>
      <x:c r="J422" s="373"/>
      <x:c r="K422" s="373"/>
      <x:c r="L422" s="373"/>
      <x:c r="M422" s="373"/>
      <x:c r="N422" s="373"/>
      <x:c r="O422" s="373"/>
      <x:c r="P422" s="373"/>
      <x:c r="Q422" s="373"/>
      <x:c r="R422" s="373"/>
      <x:c r="S422" s="373"/>
      <x:c r="T422" s="373"/>
      <x:c r="U422" s="373"/>
      <x:c r="V422" s="373"/>
      <x:c r="W422" s="373"/>
      <x:c r="X422" s="373"/>
      <x:c r="Y422" s="373"/>
      <x:c r="Z422" s="373"/>
    </x:row>
    <x:row r="423">
      <x:c r="A423" s="373"/>
      <x:c r="B423" s="373"/>
      <x:c r="C423" s="373"/>
      <x:c r="D423" s="373"/>
      <x:c r="E423" s="373"/>
      <x:c r="F423" s="373"/>
      <x:c r="G423" s="373"/>
      <x:c r="H423" s="373"/>
      <x:c r="I423" s="373"/>
      <x:c r="J423" s="373"/>
      <x:c r="K423" s="373"/>
      <x:c r="L423" s="373"/>
      <x:c r="M423" s="373"/>
      <x:c r="N423" s="373"/>
      <x:c r="O423" s="373"/>
      <x:c r="P423" s="373"/>
      <x:c r="Q423" s="373"/>
      <x:c r="R423" s="373"/>
      <x:c r="S423" s="373"/>
      <x:c r="T423" s="373"/>
      <x:c r="U423" s="373"/>
      <x:c r="V423" s="373"/>
      <x:c r="W423" s="373"/>
      <x:c r="X423" s="373"/>
      <x:c r="Y423" s="373"/>
      <x:c r="Z423" s="373"/>
    </x:row>
    <x:row r="424">
      <x:c r="A424" s="373"/>
      <x:c r="B424" s="373"/>
      <x:c r="C424" s="373"/>
      <x:c r="D424" s="373"/>
      <x:c r="E424" s="373"/>
      <x:c r="F424" s="373"/>
      <x:c r="G424" s="373"/>
      <x:c r="H424" s="373"/>
      <x:c r="I424" s="373"/>
      <x:c r="J424" s="373"/>
      <x:c r="K424" s="373"/>
      <x:c r="L424" s="373"/>
      <x:c r="M424" s="373"/>
      <x:c r="N424" s="373"/>
      <x:c r="O424" s="373"/>
      <x:c r="P424" s="373"/>
      <x:c r="Q424" s="373"/>
      <x:c r="R424" s="373"/>
      <x:c r="S424" s="373"/>
      <x:c r="T424" s="373"/>
      <x:c r="U424" s="373"/>
      <x:c r="V424" s="373"/>
      <x:c r="W424" s="373"/>
      <x:c r="X424" s="373"/>
      <x:c r="Y424" s="373"/>
      <x:c r="Z424" s="373"/>
    </x:row>
    <x:row r="425">
      <x:c r="A425" s="373"/>
      <x:c r="B425" s="373"/>
      <x:c r="C425" s="373"/>
      <x:c r="D425" s="373"/>
      <x:c r="E425" s="373"/>
      <x:c r="F425" s="373"/>
      <x:c r="G425" s="373"/>
      <x:c r="H425" s="373"/>
      <x:c r="I425" s="373"/>
      <x:c r="J425" s="373"/>
      <x:c r="K425" s="373"/>
      <x:c r="L425" s="373"/>
      <x:c r="M425" s="373"/>
      <x:c r="N425" s="373"/>
      <x:c r="O425" s="373"/>
      <x:c r="P425" s="373"/>
      <x:c r="Q425" s="373"/>
      <x:c r="R425" s="373"/>
      <x:c r="S425" s="373"/>
      <x:c r="T425" s="373"/>
      <x:c r="U425" s="373"/>
      <x:c r="V425" s="373"/>
      <x:c r="W425" s="373"/>
      <x:c r="X425" s="373"/>
      <x:c r="Y425" s="373"/>
      <x:c r="Z425" s="373"/>
    </x:row>
    <x:row r="426">
      <x:c r="A426" s="373"/>
      <x:c r="B426" s="373"/>
      <x:c r="C426" s="373"/>
      <x:c r="D426" s="373"/>
      <x:c r="E426" s="373"/>
      <x:c r="F426" s="373"/>
      <x:c r="G426" s="373"/>
      <x:c r="H426" s="373"/>
      <x:c r="I426" s="373"/>
      <x:c r="J426" s="373"/>
      <x:c r="K426" s="373"/>
      <x:c r="L426" s="373"/>
      <x:c r="M426" s="373"/>
      <x:c r="N426" s="373"/>
      <x:c r="O426" s="373"/>
      <x:c r="P426" s="373"/>
      <x:c r="Q426" s="373"/>
      <x:c r="R426" s="373"/>
      <x:c r="S426" s="373"/>
      <x:c r="T426" s="373"/>
      <x:c r="U426" s="373"/>
      <x:c r="V426" s="373"/>
      <x:c r="W426" s="373"/>
      <x:c r="X426" s="373"/>
      <x:c r="Y426" s="373"/>
      <x:c r="Z426" s="373"/>
    </x:row>
    <x:row r="427">
      <x:c r="A427" s="373"/>
      <x:c r="B427" s="373"/>
      <x:c r="C427" s="373"/>
      <x:c r="D427" s="373"/>
      <x:c r="E427" s="373"/>
      <x:c r="F427" s="373"/>
      <x:c r="G427" s="373"/>
      <x:c r="H427" s="373"/>
      <x:c r="I427" s="373"/>
      <x:c r="J427" s="373"/>
      <x:c r="K427" s="373"/>
      <x:c r="L427" s="373"/>
      <x:c r="M427" s="373"/>
      <x:c r="N427" s="373"/>
      <x:c r="O427" s="373"/>
      <x:c r="P427" s="373"/>
      <x:c r="Q427" s="373"/>
      <x:c r="R427" s="373"/>
      <x:c r="S427" s="373"/>
      <x:c r="T427" s="373"/>
      <x:c r="U427" s="373"/>
      <x:c r="V427" s="373"/>
      <x:c r="W427" s="373"/>
      <x:c r="X427" s="373"/>
      <x:c r="Y427" s="373"/>
      <x:c r="Z427" s="373"/>
    </x:row>
    <x:row r="428">
      <x:c r="A428" s="373"/>
      <x:c r="B428" s="373"/>
      <x:c r="C428" s="373"/>
      <x:c r="D428" s="373"/>
      <x:c r="E428" s="373"/>
      <x:c r="F428" s="373"/>
      <x:c r="G428" s="373"/>
      <x:c r="H428" s="373"/>
      <x:c r="I428" s="373"/>
      <x:c r="J428" s="373"/>
      <x:c r="K428" s="373"/>
      <x:c r="L428" s="373"/>
      <x:c r="M428" s="373"/>
      <x:c r="N428" s="373"/>
      <x:c r="O428" s="373"/>
      <x:c r="P428" s="373"/>
      <x:c r="Q428" s="373"/>
      <x:c r="R428" s="373"/>
      <x:c r="S428" s="373"/>
      <x:c r="T428" s="373"/>
      <x:c r="U428" s="373"/>
      <x:c r="V428" s="373"/>
      <x:c r="W428" s="373"/>
      <x:c r="X428" s="373"/>
      <x:c r="Y428" s="373"/>
      <x:c r="Z428" s="373"/>
    </x:row>
    <x:row r="429">
      <x:c r="A429" s="373"/>
      <x:c r="B429" s="373"/>
      <x:c r="C429" s="373"/>
      <x:c r="D429" s="373"/>
      <x:c r="E429" s="373"/>
      <x:c r="F429" s="373"/>
      <x:c r="G429" s="373"/>
      <x:c r="H429" s="373"/>
      <x:c r="I429" s="373"/>
      <x:c r="J429" s="373"/>
      <x:c r="K429" s="373"/>
      <x:c r="L429" s="373"/>
      <x:c r="M429" s="373"/>
      <x:c r="N429" s="373"/>
      <x:c r="O429" s="373"/>
      <x:c r="P429" s="373"/>
      <x:c r="Q429" s="373"/>
      <x:c r="R429" s="373"/>
      <x:c r="S429" s="373"/>
      <x:c r="T429" s="373"/>
      <x:c r="U429" s="373"/>
      <x:c r="V429" s="373"/>
      <x:c r="W429" s="373"/>
      <x:c r="X429" s="373"/>
      <x:c r="Y429" s="373"/>
      <x:c r="Z429" s="373"/>
    </x:row>
    <x:row r="430">
      <x:c r="A430" s="373"/>
      <x:c r="B430" s="373"/>
      <x:c r="C430" s="373"/>
      <x:c r="D430" s="373"/>
      <x:c r="E430" s="373"/>
      <x:c r="F430" s="373"/>
      <x:c r="G430" s="373"/>
      <x:c r="H430" s="373"/>
      <x:c r="I430" s="373"/>
      <x:c r="J430" s="373"/>
      <x:c r="K430" s="373"/>
      <x:c r="L430" s="373"/>
      <x:c r="M430" s="373"/>
      <x:c r="N430" s="373"/>
      <x:c r="O430" s="373"/>
      <x:c r="P430" s="373"/>
      <x:c r="Q430" s="373"/>
      <x:c r="R430" s="373"/>
      <x:c r="S430" s="373"/>
      <x:c r="T430" s="373"/>
      <x:c r="U430" s="373"/>
      <x:c r="V430" s="373"/>
      <x:c r="W430" s="373"/>
      <x:c r="X430" s="373"/>
      <x:c r="Y430" s="373"/>
      <x:c r="Z430" s="373"/>
    </x:row>
    <x:row r="431">
      <x:c r="A431" s="373"/>
      <x:c r="B431" s="373"/>
      <x:c r="C431" s="373"/>
      <x:c r="D431" s="373"/>
      <x:c r="E431" s="373"/>
      <x:c r="F431" s="373"/>
      <x:c r="G431" s="373"/>
      <x:c r="H431" s="373"/>
      <x:c r="I431" s="373"/>
      <x:c r="J431" s="373"/>
      <x:c r="K431" s="373"/>
      <x:c r="L431" s="373"/>
      <x:c r="M431" s="373"/>
      <x:c r="N431" s="373"/>
      <x:c r="O431" s="373"/>
      <x:c r="P431" s="373"/>
      <x:c r="Q431" s="373"/>
      <x:c r="R431" s="373"/>
      <x:c r="S431" s="373"/>
      <x:c r="T431" s="373"/>
      <x:c r="U431" s="373"/>
      <x:c r="V431" s="373"/>
      <x:c r="W431" s="373"/>
      <x:c r="X431" s="373"/>
      <x:c r="Y431" s="373"/>
      <x:c r="Z431" s="373"/>
    </x:row>
    <x:row r="432">
      <x:c r="A432" s="373"/>
      <x:c r="B432" s="373"/>
      <x:c r="C432" s="373"/>
      <x:c r="D432" s="373"/>
      <x:c r="E432" s="373"/>
      <x:c r="F432" s="373"/>
      <x:c r="G432" s="373"/>
      <x:c r="H432" s="373"/>
      <x:c r="I432" s="373"/>
      <x:c r="J432" s="373"/>
      <x:c r="K432" s="373"/>
      <x:c r="L432" s="373"/>
      <x:c r="M432" s="373"/>
      <x:c r="N432" s="373"/>
      <x:c r="O432" s="373"/>
      <x:c r="P432" s="373"/>
      <x:c r="Q432" s="373"/>
      <x:c r="R432" s="373"/>
      <x:c r="S432" s="373"/>
      <x:c r="T432" s="373"/>
      <x:c r="U432" s="373"/>
      <x:c r="V432" s="373"/>
      <x:c r="W432" s="373"/>
      <x:c r="X432" s="373"/>
      <x:c r="Y432" s="373"/>
      <x:c r="Z432" s="373"/>
    </x:row>
    <x:row r="433">
      <x:c r="A433" s="373"/>
      <x:c r="B433" s="373"/>
      <x:c r="C433" s="373"/>
      <x:c r="D433" s="373"/>
      <x:c r="E433" s="373"/>
      <x:c r="F433" s="373"/>
      <x:c r="G433" s="373"/>
      <x:c r="H433" s="373"/>
      <x:c r="I433" s="373"/>
      <x:c r="J433" s="373"/>
      <x:c r="K433" s="373"/>
      <x:c r="L433" s="373"/>
      <x:c r="M433" s="373"/>
      <x:c r="N433" s="373"/>
      <x:c r="O433" s="373"/>
      <x:c r="P433" s="373"/>
      <x:c r="Q433" s="373"/>
      <x:c r="R433" s="373"/>
      <x:c r="S433" s="373"/>
      <x:c r="T433" s="373"/>
      <x:c r="U433" s="373"/>
      <x:c r="V433" s="373"/>
      <x:c r="W433" s="373"/>
      <x:c r="X433" s="373"/>
      <x:c r="Y433" s="373"/>
      <x:c r="Z433" s="373"/>
    </x:row>
    <x:row r="434">
      <x:c r="A434" s="373"/>
      <x:c r="B434" s="373"/>
      <x:c r="C434" s="373"/>
      <x:c r="D434" s="373"/>
      <x:c r="E434" s="373"/>
      <x:c r="F434" s="373"/>
      <x:c r="G434" s="373"/>
      <x:c r="H434" s="373"/>
      <x:c r="I434" s="373"/>
      <x:c r="J434" s="373"/>
      <x:c r="K434" s="373"/>
      <x:c r="L434" s="373"/>
      <x:c r="M434" s="373"/>
      <x:c r="N434" s="373"/>
      <x:c r="O434" s="373"/>
      <x:c r="P434" s="373"/>
      <x:c r="Q434" s="373"/>
      <x:c r="R434" s="373"/>
      <x:c r="S434" s="373"/>
      <x:c r="T434" s="373"/>
      <x:c r="U434" s="373"/>
      <x:c r="V434" s="373"/>
      <x:c r="W434" s="373"/>
      <x:c r="X434" s="373"/>
      <x:c r="Y434" s="373"/>
      <x:c r="Z434" s="373"/>
    </x:row>
    <x:row r="435">
      <x:c r="A435" s="373"/>
      <x:c r="B435" s="373"/>
      <x:c r="C435" s="373"/>
      <x:c r="D435" s="373"/>
      <x:c r="E435" s="373"/>
      <x:c r="F435" s="373"/>
      <x:c r="G435" s="373"/>
      <x:c r="H435" s="373"/>
      <x:c r="I435" s="373"/>
      <x:c r="J435" s="373"/>
      <x:c r="K435" s="373"/>
      <x:c r="L435" s="373"/>
      <x:c r="M435" s="373"/>
      <x:c r="N435" s="373"/>
      <x:c r="O435" s="373"/>
      <x:c r="P435" s="373"/>
      <x:c r="Q435" s="373"/>
      <x:c r="R435" s="373"/>
      <x:c r="S435" s="373"/>
      <x:c r="T435" s="373"/>
      <x:c r="U435" s="373"/>
      <x:c r="V435" s="373"/>
      <x:c r="W435" s="373"/>
      <x:c r="X435" s="373"/>
      <x:c r="Y435" s="373"/>
      <x:c r="Z435" s="373"/>
    </x:row>
    <x:row r="436">
      <x:c r="A436" s="373"/>
      <x:c r="B436" s="373"/>
      <x:c r="C436" s="373"/>
      <x:c r="D436" s="373"/>
      <x:c r="E436" s="373"/>
      <x:c r="F436" s="373"/>
      <x:c r="G436" s="373"/>
      <x:c r="H436" s="373"/>
      <x:c r="I436" s="373"/>
      <x:c r="J436" s="373"/>
      <x:c r="K436" s="373"/>
      <x:c r="L436" s="373"/>
      <x:c r="M436" s="373"/>
      <x:c r="N436" s="373"/>
      <x:c r="O436" s="373"/>
      <x:c r="P436" s="373"/>
      <x:c r="Q436" s="373"/>
      <x:c r="R436" s="373"/>
      <x:c r="S436" s="373"/>
      <x:c r="T436" s="373"/>
      <x:c r="U436" s="373"/>
      <x:c r="V436" s="373"/>
      <x:c r="W436" s="373"/>
      <x:c r="X436" s="373"/>
      <x:c r="Y436" s="373"/>
      <x:c r="Z436" s="373"/>
    </x:row>
    <x:row r="437">
      <x:c r="A437" s="373"/>
      <x:c r="B437" s="373"/>
      <x:c r="C437" s="373"/>
      <x:c r="D437" s="373"/>
      <x:c r="E437" s="373"/>
      <x:c r="F437" s="373"/>
      <x:c r="G437" s="373"/>
      <x:c r="H437" s="373"/>
      <x:c r="I437" s="373"/>
      <x:c r="J437" s="373"/>
      <x:c r="K437" s="373"/>
      <x:c r="L437" s="373"/>
      <x:c r="M437" s="373"/>
      <x:c r="N437" s="373"/>
      <x:c r="O437" s="373"/>
      <x:c r="P437" s="373"/>
      <x:c r="Q437" s="373"/>
      <x:c r="R437" s="373"/>
      <x:c r="S437" s="373"/>
      <x:c r="T437" s="373"/>
      <x:c r="U437" s="373"/>
      <x:c r="V437" s="373"/>
      <x:c r="W437" s="373"/>
      <x:c r="X437" s="373"/>
      <x:c r="Y437" s="373"/>
      <x:c r="Z437" s="373"/>
    </x:row>
    <x:row r="438">
      <x:c r="A438" s="373"/>
      <x:c r="B438" s="373"/>
      <x:c r="C438" s="373"/>
      <x:c r="D438" s="373"/>
      <x:c r="E438" s="373"/>
      <x:c r="F438" s="373"/>
      <x:c r="G438" s="373"/>
      <x:c r="H438" s="373"/>
      <x:c r="I438" s="373"/>
      <x:c r="J438" s="373"/>
      <x:c r="K438" s="373"/>
      <x:c r="L438" s="373"/>
      <x:c r="M438" s="373"/>
      <x:c r="N438" s="373"/>
      <x:c r="O438" s="373"/>
      <x:c r="P438" s="373"/>
      <x:c r="Q438" s="373"/>
      <x:c r="R438" s="373"/>
      <x:c r="S438" s="373"/>
      <x:c r="T438" s="373"/>
      <x:c r="U438" s="373"/>
      <x:c r="V438" s="373"/>
      <x:c r="W438" s="373"/>
      <x:c r="X438" s="373"/>
      <x:c r="Y438" s="373"/>
      <x:c r="Z438" s="373"/>
    </x:row>
    <x:row r="439">
      <x:c r="A439" s="373"/>
      <x:c r="B439" s="373"/>
      <x:c r="C439" s="373"/>
      <x:c r="D439" s="373"/>
      <x:c r="E439" s="373"/>
      <x:c r="F439" s="373"/>
      <x:c r="G439" s="373"/>
      <x:c r="H439" s="373"/>
      <x:c r="I439" s="373"/>
      <x:c r="J439" s="373"/>
      <x:c r="K439" s="373"/>
      <x:c r="L439" s="373"/>
      <x:c r="M439" s="373"/>
      <x:c r="N439" s="373"/>
      <x:c r="O439" s="373"/>
      <x:c r="P439" s="373"/>
      <x:c r="Q439" s="373"/>
      <x:c r="R439" s="373"/>
      <x:c r="S439" s="373"/>
      <x:c r="T439" s="373"/>
      <x:c r="U439" s="373"/>
      <x:c r="V439" s="373"/>
      <x:c r="W439" s="373"/>
      <x:c r="X439" s="373"/>
      <x:c r="Y439" s="373"/>
      <x:c r="Z439" s="373"/>
    </x:row>
    <x:row r="440">
      <x:c r="A440" s="373"/>
      <x:c r="B440" s="373"/>
      <x:c r="C440" s="373"/>
      <x:c r="D440" s="373"/>
      <x:c r="E440" s="373"/>
      <x:c r="F440" s="373"/>
      <x:c r="G440" s="373"/>
      <x:c r="H440" s="373"/>
      <x:c r="I440" s="373"/>
      <x:c r="J440" s="373"/>
      <x:c r="K440" s="373"/>
      <x:c r="L440" s="373"/>
      <x:c r="M440" s="373"/>
      <x:c r="N440" s="373"/>
      <x:c r="O440" s="373"/>
      <x:c r="P440" s="373"/>
      <x:c r="Q440" s="373"/>
      <x:c r="R440" s="373"/>
      <x:c r="S440" s="373"/>
      <x:c r="T440" s="373"/>
      <x:c r="U440" s="373"/>
      <x:c r="V440" s="373"/>
      <x:c r="W440" s="373"/>
      <x:c r="X440" s="373"/>
      <x:c r="Y440" s="373"/>
      <x:c r="Z440" s="373"/>
    </x:row>
    <x:row r="441">
      <x:c r="A441" s="373"/>
      <x:c r="B441" s="373"/>
      <x:c r="C441" s="373"/>
      <x:c r="D441" s="373"/>
      <x:c r="E441" s="373"/>
      <x:c r="F441" s="373"/>
      <x:c r="G441" s="373"/>
      <x:c r="H441" s="373"/>
      <x:c r="I441" s="373"/>
      <x:c r="J441" s="373"/>
      <x:c r="K441" s="373"/>
      <x:c r="L441" s="373"/>
      <x:c r="M441" s="373"/>
      <x:c r="N441" s="373"/>
      <x:c r="O441" s="373"/>
      <x:c r="P441" s="373"/>
      <x:c r="Q441" s="373"/>
      <x:c r="R441" s="373"/>
      <x:c r="S441" s="373"/>
      <x:c r="T441" s="373"/>
      <x:c r="U441" s="373"/>
      <x:c r="V441" s="373"/>
      <x:c r="W441" s="373"/>
      <x:c r="X441" s="373"/>
      <x:c r="Y441" s="373"/>
      <x:c r="Z441" s="373"/>
    </x:row>
    <x:row r="442">
      <x:c r="A442" s="373"/>
      <x:c r="B442" s="373"/>
      <x:c r="C442" s="373"/>
      <x:c r="D442" s="373"/>
      <x:c r="E442" s="373"/>
      <x:c r="F442" s="373"/>
      <x:c r="G442" s="373"/>
      <x:c r="H442" s="373"/>
      <x:c r="I442" s="373"/>
      <x:c r="J442" s="373"/>
      <x:c r="K442" s="373"/>
      <x:c r="L442" s="373"/>
      <x:c r="M442" s="373"/>
      <x:c r="N442" s="373"/>
      <x:c r="O442" s="373"/>
      <x:c r="P442" s="373"/>
      <x:c r="Q442" s="373"/>
      <x:c r="R442" s="373"/>
      <x:c r="S442" s="373"/>
      <x:c r="T442" s="373"/>
      <x:c r="U442" s="373"/>
      <x:c r="V442" s="373"/>
      <x:c r="W442" s="373"/>
      <x:c r="X442" s="373"/>
      <x:c r="Y442" s="373"/>
      <x:c r="Z442" s="373"/>
    </x:row>
    <x:row r="443">
      <x:c r="A443" s="373"/>
      <x:c r="B443" s="373"/>
      <x:c r="C443" s="373"/>
      <x:c r="D443" s="373"/>
      <x:c r="E443" s="373"/>
      <x:c r="F443" s="373"/>
      <x:c r="G443" s="373"/>
      <x:c r="H443" s="373"/>
      <x:c r="I443" s="373"/>
      <x:c r="J443" s="373"/>
      <x:c r="K443" s="373"/>
      <x:c r="L443" s="373"/>
      <x:c r="M443" s="373"/>
      <x:c r="N443" s="373"/>
      <x:c r="O443" s="373"/>
      <x:c r="P443" s="373"/>
      <x:c r="Q443" s="373"/>
      <x:c r="R443" s="373"/>
      <x:c r="S443" s="373"/>
      <x:c r="T443" s="373"/>
      <x:c r="U443" s="373"/>
      <x:c r="V443" s="373"/>
      <x:c r="W443" s="373"/>
      <x:c r="X443" s="373"/>
      <x:c r="Y443" s="373"/>
      <x:c r="Z443" s="373"/>
    </x:row>
    <x:row r="444">
      <x:c r="A444" s="373"/>
      <x:c r="B444" s="373"/>
      <x:c r="C444" s="373"/>
      <x:c r="D444" s="373"/>
      <x:c r="E444" s="373"/>
      <x:c r="F444" s="373"/>
      <x:c r="G444" s="373"/>
      <x:c r="H444" s="373"/>
      <x:c r="I444" s="373"/>
      <x:c r="J444" s="373"/>
      <x:c r="K444" s="373"/>
      <x:c r="L444" s="373"/>
      <x:c r="M444" s="373"/>
      <x:c r="N444" s="373"/>
      <x:c r="O444" s="373"/>
      <x:c r="P444" s="373"/>
      <x:c r="Q444" s="373"/>
      <x:c r="R444" s="373"/>
      <x:c r="S444" s="373"/>
      <x:c r="T444" s="373"/>
      <x:c r="U444" s="373"/>
      <x:c r="V444" s="373"/>
      <x:c r="W444" s="373"/>
      <x:c r="X444" s="373"/>
      <x:c r="Y444" s="373"/>
      <x:c r="Z444" s="373"/>
    </x:row>
    <x:row r="445">
      <x:c r="A445" s="373"/>
      <x:c r="B445" s="373"/>
      <x:c r="C445" s="373"/>
      <x:c r="D445" s="373"/>
      <x:c r="E445" s="373"/>
      <x:c r="F445" s="373"/>
      <x:c r="G445" s="373"/>
      <x:c r="H445" s="373"/>
      <x:c r="I445" s="373"/>
      <x:c r="J445" s="373"/>
      <x:c r="K445" s="373"/>
      <x:c r="L445" s="373"/>
      <x:c r="M445" s="373"/>
      <x:c r="N445" s="373"/>
      <x:c r="O445" s="373"/>
      <x:c r="P445" s="373"/>
      <x:c r="Q445" s="373"/>
      <x:c r="R445" s="373"/>
      <x:c r="S445" s="373"/>
      <x:c r="T445" s="373"/>
      <x:c r="U445" s="373"/>
      <x:c r="V445" s="373"/>
      <x:c r="W445" s="373"/>
      <x:c r="X445" s="373"/>
      <x:c r="Y445" s="373"/>
      <x:c r="Z445" s="373"/>
    </x:row>
    <x:row r="446">
      <x:c r="A446" s="373"/>
      <x:c r="B446" s="373"/>
      <x:c r="C446" s="373"/>
      <x:c r="D446" s="373"/>
      <x:c r="E446" s="373"/>
      <x:c r="F446" s="373"/>
      <x:c r="G446" s="373"/>
      <x:c r="H446" s="373"/>
      <x:c r="I446" s="373"/>
      <x:c r="J446" s="373"/>
      <x:c r="K446" s="373"/>
      <x:c r="L446" s="373"/>
      <x:c r="M446" s="373"/>
      <x:c r="N446" s="373"/>
      <x:c r="O446" s="373"/>
      <x:c r="P446" s="373"/>
      <x:c r="Q446" s="373"/>
      <x:c r="R446" s="373"/>
      <x:c r="S446" s="373"/>
      <x:c r="T446" s="373"/>
      <x:c r="U446" s="373"/>
      <x:c r="V446" s="373"/>
      <x:c r="W446" s="373"/>
      <x:c r="X446" s="373"/>
      <x:c r="Y446" s="373"/>
      <x:c r="Z446" s="373"/>
    </x:row>
    <x:row r="447">
      <x:c r="A447" s="373"/>
      <x:c r="B447" s="373"/>
      <x:c r="C447" s="373"/>
      <x:c r="D447" s="373"/>
      <x:c r="E447" s="373"/>
      <x:c r="F447" s="373"/>
      <x:c r="G447" s="373"/>
      <x:c r="H447" s="373"/>
      <x:c r="I447" s="373"/>
      <x:c r="J447" s="373"/>
      <x:c r="K447" s="373"/>
      <x:c r="L447" s="373"/>
      <x:c r="M447" s="373"/>
      <x:c r="N447" s="373"/>
      <x:c r="O447" s="373"/>
      <x:c r="P447" s="373"/>
      <x:c r="Q447" s="373"/>
      <x:c r="R447" s="373"/>
      <x:c r="S447" s="373"/>
      <x:c r="T447" s="373"/>
      <x:c r="U447" s="373"/>
      <x:c r="V447" s="373"/>
      <x:c r="W447" s="373"/>
      <x:c r="X447" s="373"/>
      <x:c r="Y447" s="373"/>
      <x:c r="Z447" s="373"/>
    </x:row>
    <x:row r="448">
      <x:c r="A448" s="373"/>
      <x:c r="B448" s="373"/>
      <x:c r="C448" s="373"/>
      <x:c r="D448" s="373"/>
      <x:c r="E448" s="373"/>
      <x:c r="F448" s="373"/>
      <x:c r="G448" s="373"/>
      <x:c r="H448" s="373"/>
      <x:c r="I448" s="373"/>
      <x:c r="J448" s="373"/>
      <x:c r="K448" s="373"/>
      <x:c r="L448" s="373"/>
      <x:c r="M448" s="373"/>
      <x:c r="N448" s="373"/>
      <x:c r="O448" s="373"/>
      <x:c r="P448" s="373"/>
      <x:c r="Q448" s="373"/>
      <x:c r="R448" s="373"/>
      <x:c r="S448" s="373"/>
      <x:c r="T448" s="373"/>
      <x:c r="U448" s="373"/>
      <x:c r="V448" s="373"/>
      <x:c r="W448" s="373"/>
      <x:c r="X448" s="373"/>
      <x:c r="Y448" s="373"/>
      <x:c r="Z448" s="373"/>
    </x:row>
    <x:row r="449">
      <x:c r="A449" s="373"/>
      <x:c r="B449" s="373"/>
      <x:c r="C449" s="373"/>
      <x:c r="D449" s="373"/>
      <x:c r="E449" s="373"/>
      <x:c r="F449" s="373"/>
      <x:c r="G449" s="373"/>
      <x:c r="H449" s="373"/>
      <x:c r="I449" s="373"/>
      <x:c r="J449" s="373"/>
      <x:c r="K449" s="373"/>
      <x:c r="L449" s="373"/>
      <x:c r="M449" s="373"/>
      <x:c r="N449" s="373"/>
      <x:c r="O449" s="373"/>
      <x:c r="P449" s="373"/>
      <x:c r="Q449" s="373"/>
      <x:c r="R449" s="373"/>
      <x:c r="S449" s="373"/>
      <x:c r="T449" s="373"/>
      <x:c r="U449" s="373"/>
      <x:c r="V449" s="373"/>
      <x:c r="W449" s="373"/>
      <x:c r="X449" s="373"/>
      <x:c r="Y449" s="373"/>
      <x:c r="Z449" s="373"/>
    </x:row>
    <x:row r="450">
      <x:c r="A450" s="373"/>
      <x:c r="B450" s="373"/>
      <x:c r="C450" s="373"/>
      <x:c r="D450" s="373"/>
      <x:c r="E450" s="373"/>
      <x:c r="F450" s="373"/>
      <x:c r="G450" s="373"/>
      <x:c r="H450" s="373"/>
      <x:c r="I450" s="373"/>
      <x:c r="J450" s="373"/>
      <x:c r="K450" s="373"/>
      <x:c r="L450" s="373"/>
      <x:c r="M450" s="373"/>
      <x:c r="N450" s="373"/>
      <x:c r="O450" s="373"/>
      <x:c r="P450" s="373"/>
      <x:c r="Q450" s="373"/>
      <x:c r="R450" s="373"/>
      <x:c r="S450" s="373"/>
      <x:c r="T450" s="373"/>
      <x:c r="U450" s="373"/>
      <x:c r="V450" s="373"/>
      <x:c r="W450" s="373"/>
      <x:c r="X450" s="373"/>
      <x:c r="Y450" s="373"/>
      <x:c r="Z450" s="373"/>
    </x:row>
    <x:row r="451">
      <x:c r="A451" s="373"/>
      <x:c r="B451" s="373"/>
      <x:c r="C451" s="373"/>
      <x:c r="D451" s="373"/>
      <x:c r="E451" s="373"/>
      <x:c r="F451" s="373"/>
      <x:c r="G451" s="373"/>
      <x:c r="H451" s="373"/>
      <x:c r="I451" s="373"/>
      <x:c r="J451" s="373"/>
      <x:c r="K451" s="373"/>
      <x:c r="L451" s="373"/>
      <x:c r="M451" s="373"/>
      <x:c r="N451" s="373"/>
      <x:c r="O451" s="373"/>
      <x:c r="P451" s="373"/>
      <x:c r="Q451" s="373"/>
      <x:c r="R451" s="373"/>
      <x:c r="S451" s="373"/>
      <x:c r="T451" s="373"/>
      <x:c r="U451" s="373"/>
      <x:c r="V451" s="373"/>
      <x:c r="W451" s="373"/>
      <x:c r="X451" s="373"/>
      <x:c r="Y451" s="373"/>
      <x:c r="Z451" s="373"/>
    </x:row>
    <x:row r="452">
      <x:c r="A452" s="373"/>
      <x:c r="B452" s="373"/>
      <x:c r="C452" s="373"/>
      <x:c r="D452" s="373"/>
      <x:c r="E452" s="373"/>
      <x:c r="F452" s="373"/>
      <x:c r="G452" s="373"/>
      <x:c r="H452" s="373"/>
      <x:c r="I452" s="373"/>
      <x:c r="J452" s="373"/>
      <x:c r="K452" s="373"/>
      <x:c r="L452" s="373"/>
      <x:c r="M452" s="373"/>
      <x:c r="N452" s="373"/>
      <x:c r="O452" s="373"/>
      <x:c r="P452" s="373"/>
      <x:c r="Q452" s="373"/>
      <x:c r="R452" s="373"/>
      <x:c r="S452" s="373"/>
      <x:c r="T452" s="373"/>
      <x:c r="U452" s="373"/>
      <x:c r="V452" s="373"/>
      <x:c r="W452" s="373"/>
      <x:c r="X452" s="373"/>
      <x:c r="Y452" s="373"/>
      <x:c r="Z452" s="373"/>
    </x:row>
    <x:row r="453">
      <x:c r="A453" s="373"/>
      <x:c r="B453" s="373"/>
      <x:c r="C453" s="373"/>
      <x:c r="D453" s="373"/>
      <x:c r="E453" s="373"/>
      <x:c r="F453" s="373"/>
      <x:c r="G453" s="373"/>
      <x:c r="H453" s="373"/>
      <x:c r="I453" s="373"/>
      <x:c r="J453" s="373"/>
      <x:c r="K453" s="373"/>
      <x:c r="L453" s="373"/>
      <x:c r="M453" s="373"/>
      <x:c r="N453" s="373"/>
      <x:c r="O453" s="373"/>
      <x:c r="P453" s="373"/>
      <x:c r="Q453" s="373"/>
      <x:c r="R453" s="373"/>
      <x:c r="S453" s="373"/>
      <x:c r="T453" s="373"/>
      <x:c r="U453" s="373"/>
      <x:c r="V453" s="373"/>
      <x:c r="W453" s="373"/>
      <x:c r="X453" s="373"/>
      <x:c r="Y453" s="373"/>
      <x:c r="Z453" s="373"/>
    </x:row>
    <x:row r="454">
      <x:c r="A454" s="373"/>
      <x:c r="B454" s="373"/>
      <x:c r="C454" s="373"/>
      <x:c r="D454" s="373"/>
      <x:c r="E454" s="373"/>
      <x:c r="F454" s="373"/>
      <x:c r="G454" s="373"/>
      <x:c r="H454" s="373"/>
      <x:c r="I454" s="373"/>
      <x:c r="J454" s="373"/>
      <x:c r="K454" s="373"/>
      <x:c r="L454" s="373"/>
      <x:c r="M454" s="373"/>
      <x:c r="N454" s="373"/>
      <x:c r="O454" s="373"/>
      <x:c r="P454" s="373"/>
      <x:c r="Q454" s="373"/>
      <x:c r="R454" s="373"/>
      <x:c r="S454" s="373"/>
      <x:c r="T454" s="373"/>
      <x:c r="U454" s="373"/>
      <x:c r="V454" s="373"/>
      <x:c r="W454" s="373"/>
      <x:c r="X454" s="373"/>
      <x:c r="Y454" s="373"/>
      <x:c r="Z454" s="373"/>
    </x:row>
    <x:row r="455">
      <x:c r="A455" s="373"/>
      <x:c r="B455" s="373"/>
      <x:c r="C455" s="373"/>
      <x:c r="D455" s="373"/>
      <x:c r="E455" s="373"/>
      <x:c r="F455" s="373"/>
      <x:c r="G455" s="373"/>
      <x:c r="H455" s="373"/>
      <x:c r="I455" s="373"/>
      <x:c r="J455" s="373"/>
      <x:c r="K455" s="373"/>
      <x:c r="L455" s="373"/>
      <x:c r="M455" s="373"/>
      <x:c r="N455" s="373"/>
      <x:c r="O455" s="373"/>
      <x:c r="P455" s="373"/>
      <x:c r="Q455" s="373"/>
      <x:c r="R455" s="373"/>
      <x:c r="S455" s="373"/>
      <x:c r="T455" s="373"/>
      <x:c r="U455" s="373"/>
      <x:c r="V455" s="373"/>
      <x:c r="W455" s="373"/>
      <x:c r="X455" s="373"/>
      <x:c r="Y455" s="373"/>
      <x:c r="Z455" s="373"/>
    </x:row>
    <x:row r="456">
      <x:c r="A456" s="373"/>
      <x:c r="B456" s="373"/>
      <x:c r="C456" s="373"/>
      <x:c r="D456" s="373"/>
      <x:c r="E456" s="373"/>
      <x:c r="F456" s="373"/>
      <x:c r="G456" s="373"/>
      <x:c r="H456" s="373"/>
      <x:c r="I456" s="373"/>
      <x:c r="J456" s="373"/>
      <x:c r="K456" s="373"/>
      <x:c r="L456" s="373"/>
      <x:c r="M456" s="373"/>
      <x:c r="N456" s="373"/>
      <x:c r="O456" s="373"/>
      <x:c r="P456" s="373"/>
      <x:c r="Q456" s="373"/>
      <x:c r="R456" s="373"/>
      <x:c r="S456" s="373"/>
      <x:c r="T456" s="373"/>
      <x:c r="U456" s="373"/>
      <x:c r="V456" s="373"/>
      <x:c r="W456" s="373"/>
      <x:c r="X456" s="373"/>
      <x:c r="Y456" s="373"/>
      <x:c r="Z456" s="373"/>
    </x:row>
    <x:row r="457">
      <x:c r="A457" s="373"/>
      <x:c r="B457" s="373"/>
      <x:c r="C457" s="373"/>
      <x:c r="D457" s="373"/>
      <x:c r="E457" s="373"/>
      <x:c r="F457" s="373"/>
      <x:c r="G457" s="373"/>
      <x:c r="H457" s="373"/>
      <x:c r="I457" s="373"/>
      <x:c r="J457" s="373"/>
      <x:c r="K457" s="373"/>
      <x:c r="L457" s="373"/>
      <x:c r="M457" s="373"/>
      <x:c r="N457" s="373"/>
      <x:c r="O457" s="373"/>
      <x:c r="P457" s="373"/>
      <x:c r="Q457" s="373"/>
      <x:c r="R457" s="373"/>
      <x:c r="S457" s="373"/>
      <x:c r="T457" s="373"/>
      <x:c r="U457" s="373"/>
      <x:c r="V457" s="373"/>
      <x:c r="W457" s="373"/>
      <x:c r="X457" s="373"/>
      <x:c r="Y457" s="373"/>
      <x:c r="Z457" s="373"/>
    </x:row>
    <x:row r="458">
      <x:c r="A458" s="373"/>
      <x:c r="B458" s="373"/>
      <x:c r="C458" s="373"/>
      <x:c r="D458" s="373"/>
      <x:c r="E458" s="373"/>
      <x:c r="F458" s="373"/>
      <x:c r="G458" s="373"/>
      <x:c r="H458" s="373"/>
      <x:c r="I458" s="373"/>
      <x:c r="J458" s="373"/>
      <x:c r="K458" s="373"/>
      <x:c r="L458" s="373"/>
      <x:c r="M458" s="373"/>
      <x:c r="N458" s="373"/>
      <x:c r="O458" s="373"/>
      <x:c r="P458" s="373"/>
      <x:c r="Q458" s="373"/>
      <x:c r="R458" s="373"/>
      <x:c r="S458" s="373"/>
      <x:c r="T458" s="373"/>
      <x:c r="U458" s="373"/>
      <x:c r="V458" s="373"/>
      <x:c r="W458" s="373"/>
      <x:c r="X458" s="373"/>
      <x:c r="Y458" s="373"/>
      <x:c r="Z458" s="373"/>
    </x:row>
    <x:row r="459">
      <x:c r="A459" s="373"/>
      <x:c r="B459" s="373"/>
      <x:c r="C459" s="373"/>
      <x:c r="D459" s="373"/>
      <x:c r="E459" s="373"/>
      <x:c r="F459" s="373"/>
      <x:c r="G459" s="373"/>
      <x:c r="H459" s="373"/>
      <x:c r="I459" s="373"/>
      <x:c r="J459" s="373"/>
      <x:c r="K459" s="373"/>
      <x:c r="L459" s="373"/>
      <x:c r="M459" s="373"/>
      <x:c r="N459" s="373"/>
      <x:c r="O459" s="373"/>
      <x:c r="P459" s="373"/>
      <x:c r="Q459" s="373"/>
      <x:c r="R459" s="373"/>
      <x:c r="S459" s="373"/>
      <x:c r="T459" s="373"/>
      <x:c r="U459" s="373"/>
      <x:c r="V459" s="373"/>
      <x:c r="W459" s="373"/>
      <x:c r="X459" s="373"/>
      <x:c r="Y459" s="373"/>
      <x:c r="Z459" s="373"/>
    </x:row>
    <x:row r="460">
      <x:c r="A460" s="373"/>
      <x:c r="B460" s="373"/>
      <x:c r="C460" s="373"/>
      <x:c r="D460" s="373"/>
      <x:c r="E460" s="373"/>
      <x:c r="F460" s="373"/>
      <x:c r="G460" s="373"/>
      <x:c r="H460" s="373"/>
      <x:c r="I460" s="373"/>
      <x:c r="J460" s="373"/>
      <x:c r="K460" s="373"/>
      <x:c r="L460" s="373"/>
      <x:c r="M460" s="373"/>
      <x:c r="N460" s="373"/>
      <x:c r="O460" s="373"/>
      <x:c r="P460" s="373"/>
      <x:c r="Q460" s="373"/>
      <x:c r="R460" s="373"/>
      <x:c r="S460" s="373"/>
      <x:c r="T460" s="373"/>
      <x:c r="U460" s="373"/>
      <x:c r="V460" s="373"/>
      <x:c r="W460" s="373"/>
      <x:c r="X460" s="373"/>
      <x:c r="Y460" s="373"/>
      <x:c r="Z460" s="373"/>
    </x:row>
    <x:row r="461">
      <x:c r="A461" s="373"/>
      <x:c r="B461" s="373"/>
      <x:c r="C461" s="373"/>
      <x:c r="D461" s="373"/>
      <x:c r="E461" s="373"/>
      <x:c r="F461" s="373"/>
      <x:c r="G461" s="373"/>
      <x:c r="H461" s="373"/>
      <x:c r="I461" s="373"/>
      <x:c r="J461" s="373"/>
      <x:c r="K461" s="373"/>
      <x:c r="L461" s="373"/>
      <x:c r="M461" s="373"/>
      <x:c r="N461" s="373"/>
      <x:c r="O461" s="373"/>
      <x:c r="P461" s="373"/>
      <x:c r="Q461" s="373"/>
      <x:c r="R461" s="373"/>
      <x:c r="S461" s="373"/>
      <x:c r="T461" s="373"/>
      <x:c r="U461" s="373"/>
      <x:c r="V461" s="373"/>
      <x:c r="W461" s="373"/>
      <x:c r="X461" s="373"/>
      <x:c r="Y461" s="373"/>
      <x:c r="Z461" s="373"/>
    </x:row>
    <x:row r="462">
      <x:c r="A462" s="373"/>
      <x:c r="B462" s="373"/>
      <x:c r="C462" s="373"/>
      <x:c r="D462" s="373"/>
      <x:c r="E462" s="373"/>
      <x:c r="F462" s="373"/>
      <x:c r="G462" s="373"/>
      <x:c r="H462" s="373"/>
      <x:c r="I462" s="373"/>
      <x:c r="J462" s="373"/>
      <x:c r="K462" s="373"/>
      <x:c r="L462" s="373"/>
      <x:c r="M462" s="373"/>
      <x:c r="N462" s="373"/>
      <x:c r="O462" s="373"/>
      <x:c r="P462" s="373"/>
      <x:c r="Q462" s="373"/>
      <x:c r="R462" s="373"/>
      <x:c r="S462" s="373"/>
      <x:c r="T462" s="373"/>
      <x:c r="U462" s="373"/>
      <x:c r="V462" s="373"/>
      <x:c r="W462" s="373"/>
      <x:c r="X462" s="373"/>
      <x:c r="Y462" s="373"/>
      <x:c r="Z462" s="373"/>
    </x:row>
    <x:row r="463">
      <x:c r="A463" s="373"/>
      <x:c r="B463" s="373"/>
      <x:c r="C463" s="373"/>
      <x:c r="D463" s="373"/>
      <x:c r="E463" s="373"/>
      <x:c r="F463" s="373"/>
      <x:c r="G463" s="373"/>
      <x:c r="H463" s="373"/>
      <x:c r="I463" s="373"/>
      <x:c r="J463" s="373"/>
      <x:c r="K463" s="373"/>
      <x:c r="L463" s="373"/>
      <x:c r="M463" s="373"/>
      <x:c r="N463" s="373"/>
      <x:c r="O463" s="373"/>
      <x:c r="P463" s="373"/>
      <x:c r="Q463" s="373"/>
      <x:c r="R463" s="373"/>
      <x:c r="S463" s="373"/>
      <x:c r="T463" s="373"/>
      <x:c r="U463" s="373"/>
      <x:c r="V463" s="373"/>
      <x:c r="W463" s="373"/>
      <x:c r="X463" s="373"/>
      <x:c r="Y463" s="373"/>
      <x:c r="Z463" s="373"/>
    </x:row>
    <x:row r="464">
      <x:c r="A464" s="373"/>
      <x:c r="B464" s="373"/>
      <x:c r="C464" s="373"/>
      <x:c r="D464" s="373"/>
      <x:c r="E464" s="373"/>
      <x:c r="F464" s="373"/>
      <x:c r="G464" s="373"/>
      <x:c r="H464" s="373"/>
      <x:c r="I464" s="373"/>
      <x:c r="J464" s="373"/>
      <x:c r="K464" s="373"/>
      <x:c r="L464" s="373"/>
      <x:c r="M464" s="373"/>
      <x:c r="N464" s="373"/>
      <x:c r="O464" s="373"/>
      <x:c r="P464" s="373"/>
      <x:c r="Q464" s="373"/>
      <x:c r="R464" s="373"/>
      <x:c r="S464" s="373"/>
      <x:c r="T464" s="373"/>
      <x:c r="U464" s="373"/>
      <x:c r="V464" s="373"/>
      <x:c r="W464" s="373"/>
      <x:c r="X464" s="373"/>
      <x:c r="Y464" s="373"/>
      <x:c r="Z464" s="373"/>
    </x:row>
    <x:row r="465">
      <x:c r="A465" s="373"/>
      <x:c r="B465" s="373"/>
      <x:c r="C465" s="373"/>
      <x:c r="D465" s="373"/>
      <x:c r="E465" s="373"/>
      <x:c r="F465" s="373"/>
      <x:c r="G465" s="373"/>
      <x:c r="H465" s="373"/>
      <x:c r="I465" s="373"/>
      <x:c r="J465" s="373"/>
      <x:c r="K465" s="373"/>
      <x:c r="L465" s="373"/>
      <x:c r="M465" s="373"/>
      <x:c r="N465" s="373"/>
      <x:c r="O465" s="373"/>
      <x:c r="P465" s="373"/>
      <x:c r="Q465" s="373"/>
      <x:c r="R465" s="373"/>
      <x:c r="S465" s="373"/>
      <x:c r="T465" s="373"/>
      <x:c r="U465" s="373"/>
      <x:c r="V465" s="373"/>
      <x:c r="W465" s="373"/>
      <x:c r="X465" s="373"/>
      <x:c r="Y465" s="373"/>
      <x:c r="Z465" s="373"/>
    </x:row>
    <x:row r="466">
      <x:c r="A466" s="373"/>
      <x:c r="B466" s="373"/>
      <x:c r="C466" s="373"/>
      <x:c r="D466" s="373"/>
      <x:c r="E466" s="373"/>
      <x:c r="F466" s="373"/>
      <x:c r="G466" s="373"/>
      <x:c r="H466" s="373"/>
      <x:c r="I466" s="373"/>
      <x:c r="J466" s="373"/>
      <x:c r="K466" s="373"/>
      <x:c r="L466" s="373"/>
      <x:c r="M466" s="373"/>
      <x:c r="N466" s="373"/>
      <x:c r="O466" s="373"/>
      <x:c r="P466" s="373"/>
      <x:c r="Q466" s="373"/>
      <x:c r="R466" s="373"/>
      <x:c r="S466" s="373"/>
      <x:c r="T466" s="373"/>
      <x:c r="U466" s="373"/>
      <x:c r="V466" s="373"/>
      <x:c r="W466" s="373"/>
      <x:c r="X466" s="373"/>
      <x:c r="Y466" s="373"/>
      <x:c r="Z466" s="373"/>
    </x:row>
    <x:row r="467">
      <x:c r="A467" s="373"/>
      <x:c r="B467" s="373"/>
      <x:c r="C467" s="373"/>
      <x:c r="D467" s="373"/>
      <x:c r="E467" s="373"/>
      <x:c r="F467" s="373"/>
      <x:c r="G467" s="373"/>
      <x:c r="H467" s="373"/>
      <x:c r="I467" s="373"/>
      <x:c r="J467" s="373"/>
      <x:c r="K467" s="373"/>
      <x:c r="L467" s="373"/>
      <x:c r="M467" s="373"/>
      <x:c r="N467" s="373"/>
      <x:c r="O467" s="373"/>
      <x:c r="P467" s="373"/>
      <x:c r="Q467" s="373"/>
      <x:c r="R467" s="373"/>
      <x:c r="S467" s="373"/>
      <x:c r="T467" s="373"/>
      <x:c r="U467" s="373"/>
      <x:c r="V467" s="373"/>
      <x:c r="W467" s="373"/>
      <x:c r="X467" s="373"/>
      <x:c r="Y467" s="373"/>
      <x:c r="Z467" s="373"/>
    </x:row>
    <x:row r="468">
      <x:c r="A468" s="373"/>
      <x:c r="B468" s="373"/>
      <x:c r="C468" s="373"/>
      <x:c r="D468" s="373"/>
      <x:c r="E468" s="373"/>
      <x:c r="F468" s="373"/>
      <x:c r="G468" s="373"/>
      <x:c r="H468" s="373"/>
      <x:c r="I468" s="373"/>
      <x:c r="J468" s="373"/>
      <x:c r="K468" s="373"/>
      <x:c r="L468" s="373"/>
      <x:c r="M468" s="373"/>
      <x:c r="N468" s="373"/>
      <x:c r="O468" s="373"/>
      <x:c r="P468" s="373"/>
      <x:c r="Q468" s="373"/>
      <x:c r="R468" s="373"/>
      <x:c r="S468" s="373"/>
      <x:c r="T468" s="373"/>
      <x:c r="U468" s="373"/>
      <x:c r="V468" s="373"/>
      <x:c r="W468" s="373"/>
      <x:c r="X468" s="373"/>
      <x:c r="Y468" s="373"/>
      <x:c r="Z468" s="373"/>
    </x:row>
    <x:row r="469">
      <x:c r="A469" s="373"/>
      <x:c r="B469" s="373"/>
      <x:c r="C469" s="373"/>
      <x:c r="D469" s="373"/>
      <x:c r="E469" s="373"/>
      <x:c r="F469" s="373"/>
      <x:c r="G469" s="373"/>
      <x:c r="H469" s="373"/>
      <x:c r="I469" s="373"/>
      <x:c r="J469" s="373"/>
      <x:c r="K469" s="373"/>
      <x:c r="L469" s="373"/>
      <x:c r="M469" s="373"/>
      <x:c r="N469" s="373"/>
      <x:c r="O469" s="373"/>
      <x:c r="P469" s="373"/>
      <x:c r="Q469" s="373"/>
      <x:c r="R469" s="373"/>
      <x:c r="S469" s="373"/>
      <x:c r="T469" s="373"/>
      <x:c r="U469" s="373"/>
      <x:c r="V469" s="373"/>
      <x:c r="W469" s="373"/>
      <x:c r="X469" s="373"/>
      <x:c r="Y469" s="373"/>
      <x:c r="Z469" s="373"/>
    </x:row>
    <x:row r="470">
      <x:c r="A470" s="373"/>
      <x:c r="B470" s="373"/>
      <x:c r="C470" s="373"/>
      <x:c r="D470" s="373"/>
      <x:c r="E470" s="373"/>
      <x:c r="F470" s="373"/>
      <x:c r="G470" s="373"/>
      <x:c r="H470" s="373"/>
      <x:c r="I470" s="373"/>
      <x:c r="J470" s="373"/>
      <x:c r="K470" s="373"/>
      <x:c r="L470" s="373"/>
      <x:c r="M470" s="373"/>
      <x:c r="N470" s="373"/>
      <x:c r="O470" s="373"/>
      <x:c r="P470" s="373"/>
      <x:c r="Q470" s="373"/>
      <x:c r="R470" s="373"/>
      <x:c r="S470" s="373"/>
      <x:c r="T470" s="373"/>
      <x:c r="U470" s="373"/>
      <x:c r="V470" s="373"/>
      <x:c r="W470" s="373"/>
      <x:c r="X470" s="373"/>
      <x:c r="Y470" s="373"/>
      <x:c r="Z470" s="373"/>
    </x:row>
    <x:row r="471">
      <x:c r="A471" s="373"/>
      <x:c r="B471" s="373"/>
      <x:c r="C471" s="373"/>
      <x:c r="D471" s="373"/>
      <x:c r="E471" s="373"/>
      <x:c r="F471" s="373"/>
      <x:c r="G471" s="373"/>
      <x:c r="H471" s="373"/>
      <x:c r="I471" s="373"/>
      <x:c r="J471" s="373"/>
      <x:c r="K471" s="373"/>
      <x:c r="L471" s="373"/>
      <x:c r="M471" s="373"/>
      <x:c r="N471" s="373"/>
      <x:c r="O471" s="373"/>
      <x:c r="P471" s="373"/>
      <x:c r="Q471" s="373"/>
      <x:c r="R471" s="373"/>
      <x:c r="S471" s="373"/>
      <x:c r="T471" s="373"/>
      <x:c r="U471" s="373"/>
      <x:c r="V471" s="373"/>
      <x:c r="W471" s="373"/>
      <x:c r="X471" s="373"/>
      <x:c r="Y471" s="373"/>
      <x:c r="Z471" s="373"/>
    </x:row>
    <x:row r="472">
      <x:c r="A472" s="373"/>
      <x:c r="B472" s="373"/>
      <x:c r="C472" s="373"/>
      <x:c r="D472" s="373"/>
      <x:c r="E472" s="373"/>
      <x:c r="F472" s="373"/>
      <x:c r="G472" s="373"/>
      <x:c r="H472" s="373"/>
      <x:c r="I472" s="373"/>
      <x:c r="J472" s="373"/>
      <x:c r="K472" s="373"/>
      <x:c r="L472" s="373"/>
      <x:c r="M472" s="373"/>
      <x:c r="N472" s="373"/>
      <x:c r="O472" s="373"/>
      <x:c r="P472" s="373"/>
      <x:c r="Q472" s="373"/>
      <x:c r="R472" s="373"/>
      <x:c r="S472" s="373"/>
      <x:c r="T472" s="373"/>
      <x:c r="U472" s="373"/>
      <x:c r="V472" s="373"/>
      <x:c r="W472" s="373"/>
      <x:c r="X472" s="373"/>
      <x:c r="Y472" s="373"/>
      <x:c r="Z472" s="373"/>
    </x:row>
    <x:row r="473">
      <x:c r="A473" s="373"/>
      <x:c r="B473" s="373"/>
      <x:c r="C473" s="373"/>
      <x:c r="D473" s="373"/>
      <x:c r="E473" s="373"/>
      <x:c r="F473" s="373"/>
      <x:c r="G473" s="373"/>
      <x:c r="H473" s="373"/>
      <x:c r="I473" s="373"/>
      <x:c r="J473" s="373"/>
      <x:c r="K473" s="373"/>
      <x:c r="L473" s="373"/>
      <x:c r="M473" s="373"/>
      <x:c r="N473" s="373"/>
      <x:c r="O473" s="373"/>
      <x:c r="P473" s="373"/>
      <x:c r="Q473" s="373"/>
      <x:c r="R473" s="373"/>
      <x:c r="S473" s="373"/>
      <x:c r="T473" s="373"/>
      <x:c r="U473" s="373"/>
      <x:c r="V473" s="373"/>
      <x:c r="W473" s="373"/>
      <x:c r="X473" s="373"/>
      <x:c r="Y473" s="373"/>
      <x:c r="Z473" s="373"/>
    </x:row>
    <x:row r="474">
      <x:c r="A474" s="373"/>
      <x:c r="B474" s="373"/>
      <x:c r="C474" s="373"/>
      <x:c r="D474" s="373"/>
      <x:c r="E474" s="373"/>
      <x:c r="F474" s="373"/>
      <x:c r="G474" s="373"/>
      <x:c r="H474" s="373"/>
      <x:c r="I474" s="373"/>
      <x:c r="J474" s="373"/>
      <x:c r="K474" s="373"/>
      <x:c r="L474" s="373"/>
      <x:c r="M474" s="373"/>
      <x:c r="N474" s="373"/>
      <x:c r="O474" s="373"/>
      <x:c r="P474" s="373"/>
      <x:c r="Q474" s="373"/>
      <x:c r="R474" s="373"/>
      <x:c r="S474" s="373"/>
      <x:c r="T474" s="373"/>
      <x:c r="U474" s="373"/>
      <x:c r="V474" s="373"/>
      <x:c r="W474" s="373"/>
      <x:c r="X474" s="373"/>
      <x:c r="Y474" s="373"/>
      <x:c r="Z474" s="373"/>
    </x:row>
    <x:row r="475">
      <x:c r="A475" s="373"/>
      <x:c r="B475" s="373"/>
      <x:c r="C475" s="373"/>
      <x:c r="D475" s="373"/>
      <x:c r="E475" s="373"/>
      <x:c r="F475" s="373"/>
      <x:c r="G475" s="373"/>
      <x:c r="H475" s="373"/>
      <x:c r="I475" s="373"/>
      <x:c r="J475" s="373"/>
      <x:c r="K475" s="373"/>
      <x:c r="L475" s="373"/>
      <x:c r="M475" s="373"/>
      <x:c r="N475" s="373"/>
      <x:c r="O475" s="373"/>
      <x:c r="P475" s="373"/>
      <x:c r="Q475" s="373"/>
      <x:c r="R475" s="373"/>
      <x:c r="S475" s="373"/>
      <x:c r="T475" s="373"/>
      <x:c r="U475" s="373"/>
      <x:c r="V475" s="373"/>
      <x:c r="W475" s="373"/>
      <x:c r="X475" s="373"/>
      <x:c r="Y475" s="373"/>
      <x:c r="Z475" s="373"/>
    </x:row>
    <x:row r="476">
      <x:c r="A476" s="373"/>
      <x:c r="B476" s="373"/>
      <x:c r="C476" s="373"/>
      <x:c r="D476" s="373"/>
      <x:c r="E476" s="373"/>
      <x:c r="F476" s="373"/>
      <x:c r="G476" s="373"/>
      <x:c r="H476" s="373"/>
      <x:c r="I476" s="373"/>
      <x:c r="J476" s="373"/>
      <x:c r="K476" s="373"/>
      <x:c r="L476" s="373"/>
      <x:c r="M476" s="373"/>
      <x:c r="N476" s="373"/>
      <x:c r="O476" s="373"/>
      <x:c r="P476" s="373"/>
      <x:c r="Q476" s="373"/>
      <x:c r="R476" s="373"/>
      <x:c r="S476" s="373"/>
      <x:c r="T476" s="373"/>
      <x:c r="U476" s="373"/>
      <x:c r="V476" s="373"/>
      <x:c r="W476" s="373"/>
      <x:c r="X476" s="373"/>
      <x:c r="Y476" s="373"/>
      <x:c r="Z476" s="373"/>
    </x:row>
    <x:row r="477">
      <x:c r="A477" s="373"/>
      <x:c r="B477" s="373"/>
      <x:c r="C477" s="373"/>
      <x:c r="D477" s="373"/>
      <x:c r="E477" s="373"/>
      <x:c r="F477" s="373"/>
      <x:c r="G477" s="373"/>
      <x:c r="H477" s="373"/>
      <x:c r="I477" s="373"/>
      <x:c r="J477" s="373"/>
      <x:c r="K477" s="373"/>
      <x:c r="L477" s="373"/>
      <x:c r="M477" s="373"/>
      <x:c r="N477" s="373"/>
      <x:c r="O477" s="373"/>
      <x:c r="P477" s="373"/>
      <x:c r="Q477" s="373"/>
      <x:c r="R477" s="373"/>
      <x:c r="S477" s="373"/>
      <x:c r="T477" s="373"/>
      <x:c r="U477" s="373"/>
      <x:c r="V477" s="373"/>
      <x:c r="W477" s="373"/>
      <x:c r="X477" s="373"/>
      <x:c r="Y477" s="373"/>
      <x:c r="Z477" s="373"/>
    </x:row>
    <x:row r="478">
      <x:c r="A478" s="373"/>
      <x:c r="B478" s="373"/>
      <x:c r="C478" s="373"/>
      <x:c r="D478" s="373"/>
      <x:c r="E478" s="373"/>
      <x:c r="F478" s="373"/>
      <x:c r="G478" s="373"/>
      <x:c r="H478" s="373"/>
      <x:c r="I478" s="373"/>
      <x:c r="J478" s="373"/>
      <x:c r="K478" s="373"/>
      <x:c r="L478" s="373"/>
      <x:c r="M478" s="373"/>
      <x:c r="N478" s="373"/>
      <x:c r="O478" s="373"/>
      <x:c r="P478" s="373"/>
      <x:c r="Q478" s="373"/>
      <x:c r="R478" s="373"/>
      <x:c r="S478" s="373"/>
      <x:c r="T478" s="373"/>
      <x:c r="U478" s="373"/>
      <x:c r="V478" s="373"/>
      <x:c r="W478" s="373"/>
      <x:c r="X478" s="373"/>
      <x:c r="Y478" s="373"/>
      <x:c r="Z478" s="373"/>
    </x:row>
    <x:row r="479">
      <x:c r="A479" s="373"/>
      <x:c r="B479" s="373"/>
      <x:c r="C479" s="373"/>
      <x:c r="D479" s="373"/>
      <x:c r="E479" s="373"/>
      <x:c r="F479" s="373"/>
      <x:c r="G479" s="373"/>
      <x:c r="H479" s="373"/>
      <x:c r="I479" s="373"/>
      <x:c r="J479" s="373"/>
      <x:c r="K479" s="373"/>
      <x:c r="L479" s="373"/>
      <x:c r="M479" s="373"/>
      <x:c r="N479" s="373"/>
      <x:c r="O479" s="373"/>
      <x:c r="P479" s="373"/>
      <x:c r="Q479" s="373"/>
      <x:c r="R479" s="373"/>
      <x:c r="S479" s="373"/>
      <x:c r="T479" s="373"/>
      <x:c r="U479" s="373"/>
      <x:c r="V479" s="373"/>
      <x:c r="W479" s="373"/>
      <x:c r="X479" s="373"/>
      <x:c r="Y479" s="373"/>
      <x:c r="Z479" s="373"/>
    </x:row>
    <x:row r="480">
      <x:c r="A480" s="373"/>
      <x:c r="B480" s="373"/>
      <x:c r="C480" s="373"/>
      <x:c r="D480" s="373"/>
      <x:c r="E480" s="373"/>
      <x:c r="F480" s="373"/>
      <x:c r="G480" s="373"/>
      <x:c r="H480" s="373"/>
      <x:c r="I480" s="373"/>
      <x:c r="J480" s="373"/>
      <x:c r="K480" s="373"/>
      <x:c r="L480" s="373"/>
      <x:c r="M480" s="373"/>
      <x:c r="N480" s="373"/>
      <x:c r="O480" s="373"/>
      <x:c r="P480" s="373"/>
      <x:c r="Q480" s="373"/>
      <x:c r="R480" s="373"/>
      <x:c r="S480" s="373"/>
      <x:c r="T480" s="373"/>
      <x:c r="U480" s="373"/>
      <x:c r="V480" s="373"/>
      <x:c r="W480" s="373"/>
      <x:c r="X480" s="373"/>
      <x:c r="Y480" s="373"/>
      <x:c r="Z480" s="373"/>
    </x:row>
    <x:row r="481">
      <x:c r="A481" s="373"/>
      <x:c r="B481" s="373"/>
      <x:c r="C481" s="373"/>
      <x:c r="D481" s="373"/>
      <x:c r="E481" s="373"/>
      <x:c r="F481" s="373"/>
      <x:c r="G481" s="373"/>
      <x:c r="H481" s="373"/>
      <x:c r="I481" s="373"/>
      <x:c r="J481" s="373"/>
      <x:c r="K481" s="373"/>
      <x:c r="L481" s="373"/>
      <x:c r="M481" s="373"/>
      <x:c r="N481" s="373"/>
      <x:c r="O481" s="373"/>
      <x:c r="P481" s="373"/>
      <x:c r="Q481" s="373"/>
      <x:c r="R481" s="373"/>
      <x:c r="S481" s="373"/>
      <x:c r="T481" s="373"/>
      <x:c r="U481" s="373"/>
      <x:c r="V481" s="373"/>
      <x:c r="W481" s="373"/>
      <x:c r="X481" s="373"/>
      <x:c r="Y481" s="373"/>
      <x:c r="Z481" s="373"/>
    </x:row>
    <x:row r="482">
      <x:c r="A482" s="373"/>
      <x:c r="B482" s="373"/>
      <x:c r="C482" s="373"/>
      <x:c r="D482" s="373"/>
      <x:c r="E482" s="373"/>
      <x:c r="F482" s="373"/>
      <x:c r="G482" s="373"/>
      <x:c r="H482" s="373"/>
      <x:c r="I482" s="373"/>
      <x:c r="J482" s="373"/>
      <x:c r="K482" s="373"/>
      <x:c r="L482" s="373"/>
      <x:c r="M482" s="373"/>
      <x:c r="N482" s="373"/>
      <x:c r="O482" s="373"/>
      <x:c r="P482" s="373"/>
      <x:c r="Q482" s="373"/>
      <x:c r="R482" s="373"/>
      <x:c r="S482" s="373"/>
      <x:c r="T482" s="373"/>
      <x:c r="U482" s="373"/>
      <x:c r="V482" s="373"/>
      <x:c r="W482" s="373"/>
      <x:c r="X482" s="373"/>
      <x:c r="Y482" s="373"/>
      <x:c r="Z482" s="373"/>
    </x:row>
    <x:row r="483">
      <x:c r="A483" s="373"/>
      <x:c r="B483" s="373"/>
      <x:c r="C483" s="373"/>
      <x:c r="D483" s="373"/>
      <x:c r="E483" s="373"/>
      <x:c r="F483" s="373"/>
      <x:c r="G483" s="373"/>
      <x:c r="H483" s="373"/>
      <x:c r="I483" s="373"/>
      <x:c r="J483" s="373"/>
      <x:c r="K483" s="373"/>
      <x:c r="L483" s="373"/>
      <x:c r="M483" s="373"/>
      <x:c r="N483" s="373"/>
      <x:c r="O483" s="373"/>
      <x:c r="P483" s="373"/>
      <x:c r="Q483" s="373"/>
      <x:c r="R483" s="373"/>
      <x:c r="S483" s="373"/>
      <x:c r="T483" s="373"/>
      <x:c r="U483" s="373"/>
      <x:c r="V483" s="373"/>
      <x:c r="W483" s="373"/>
      <x:c r="X483" s="373"/>
      <x:c r="Y483" s="373"/>
      <x:c r="Z483" s="373"/>
    </x:row>
    <x:row r="484">
      <x:c r="A484" s="373"/>
      <x:c r="B484" s="373"/>
      <x:c r="C484" s="373"/>
      <x:c r="D484" s="373"/>
      <x:c r="E484" s="373"/>
      <x:c r="F484" s="373"/>
      <x:c r="G484" s="373"/>
      <x:c r="H484" s="373"/>
      <x:c r="I484" s="373"/>
      <x:c r="J484" s="373"/>
      <x:c r="K484" s="373"/>
      <x:c r="L484" s="373"/>
      <x:c r="M484" s="373"/>
      <x:c r="N484" s="373"/>
      <x:c r="O484" s="373"/>
      <x:c r="P484" s="373"/>
      <x:c r="Q484" s="373"/>
      <x:c r="R484" s="373"/>
      <x:c r="S484" s="373"/>
      <x:c r="T484" s="373"/>
      <x:c r="U484" s="373"/>
      <x:c r="V484" s="373"/>
      <x:c r="W484" s="373"/>
      <x:c r="X484" s="373"/>
      <x:c r="Y484" s="373"/>
      <x:c r="Z484" s="373"/>
    </x:row>
    <x:row r="485">
      <x:c r="A485" s="373"/>
      <x:c r="B485" s="373"/>
      <x:c r="C485" s="373"/>
      <x:c r="D485" s="373"/>
      <x:c r="E485" s="373"/>
      <x:c r="F485" s="373"/>
      <x:c r="G485" s="373"/>
      <x:c r="H485" s="373"/>
      <x:c r="I485" s="373"/>
      <x:c r="J485" s="373"/>
      <x:c r="K485" s="373"/>
      <x:c r="L485" s="373"/>
      <x:c r="M485" s="373"/>
      <x:c r="N485" s="373"/>
      <x:c r="O485" s="373"/>
      <x:c r="P485" s="373"/>
      <x:c r="Q485" s="373"/>
      <x:c r="R485" s="373"/>
      <x:c r="S485" s="373"/>
      <x:c r="T485" s="373"/>
      <x:c r="U485" s="373"/>
      <x:c r="V485" s="373"/>
      <x:c r="W485" s="373"/>
      <x:c r="X485" s="373"/>
      <x:c r="Y485" s="373"/>
      <x:c r="Z485" s="373"/>
    </x:row>
    <x:row r="486">
      <x:c r="A486" s="373"/>
      <x:c r="B486" s="373"/>
      <x:c r="C486" s="373"/>
      <x:c r="D486" s="373"/>
      <x:c r="E486" s="373"/>
      <x:c r="F486" s="373"/>
      <x:c r="G486" s="373"/>
      <x:c r="H486" s="373"/>
      <x:c r="I486" s="373"/>
      <x:c r="J486" s="373"/>
      <x:c r="K486" s="373"/>
      <x:c r="L486" s="373"/>
      <x:c r="M486" s="373"/>
      <x:c r="N486" s="373"/>
      <x:c r="O486" s="373"/>
      <x:c r="P486" s="373"/>
      <x:c r="Q486" s="373"/>
      <x:c r="R486" s="373"/>
      <x:c r="S486" s="373"/>
      <x:c r="T486" s="373"/>
      <x:c r="U486" s="373"/>
      <x:c r="V486" s="373"/>
      <x:c r="W486" s="373"/>
      <x:c r="X486" s="373"/>
      <x:c r="Y486" s="373"/>
      <x:c r="Z486" s="373"/>
    </x:row>
    <x:row r="487">
      <x:c r="A487" s="373"/>
      <x:c r="B487" s="373"/>
      <x:c r="C487" s="373"/>
      <x:c r="D487" s="373"/>
      <x:c r="E487" s="373"/>
      <x:c r="F487" s="373"/>
      <x:c r="G487" s="373"/>
      <x:c r="H487" s="373"/>
      <x:c r="I487" s="373"/>
      <x:c r="J487" s="373"/>
      <x:c r="K487" s="373"/>
      <x:c r="L487" s="373"/>
      <x:c r="M487" s="373"/>
      <x:c r="N487" s="373"/>
      <x:c r="O487" s="373"/>
      <x:c r="P487" s="373"/>
      <x:c r="Q487" s="373"/>
      <x:c r="R487" s="373"/>
      <x:c r="S487" s="373"/>
      <x:c r="T487" s="373"/>
      <x:c r="U487" s="373"/>
      <x:c r="V487" s="373"/>
      <x:c r="W487" s="373"/>
      <x:c r="X487" s="373"/>
      <x:c r="Y487" s="373"/>
      <x:c r="Z487" s="373"/>
    </x:row>
    <x:row r="488">
      <x:c r="A488" s="373"/>
      <x:c r="B488" s="373"/>
      <x:c r="C488" s="373"/>
      <x:c r="D488" s="373"/>
      <x:c r="E488" s="373"/>
      <x:c r="F488" s="373"/>
      <x:c r="G488" s="373"/>
      <x:c r="H488" s="373"/>
      <x:c r="I488" s="373"/>
      <x:c r="J488" s="373"/>
      <x:c r="K488" s="373"/>
      <x:c r="L488" s="373"/>
      <x:c r="M488" s="373"/>
      <x:c r="N488" s="373"/>
      <x:c r="O488" s="373"/>
      <x:c r="P488" s="373"/>
      <x:c r="Q488" s="373"/>
      <x:c r="R488" s="373"/>
      <x:c r="S488" s="373"/>
      <x:c r="T488" s="373"/>
      <x:c r="U488" s="373"/>
      <x:c r="V488" s="373"/>
      <x:c r="W488" s="373"/>
      <x:c r="X488" s="373"/>
      <x:c r="Y488" s="373"/>
      <x:c r="Z488" s="373"/>
    </x:row>
    <x:row r="489">
      <x:c r="A489" s="373"/>
      <x:c r="B489" s="373"/>
      <x:c r="C489" s="373"/>
      <x:c r="D489" s="373"/>
      <x:c r="E489" s="373"/>
      <x:c r="F489" s="373"/>
      <x:c r="G489" s="373"/>
      <x:c r="H489" s="373"/>
      <x:c r="I489" s="373"/>
      <x:c r="J489" s="373"/>
      <x:c r="K489" s="373"/>
      <x:c r="L489" s="373"/>
      <x:c r="M489" s="373"/>
      <x:c r="N489" s="373"/>
      <x:c r="O489" s="373"/>
      <x:c r="P489" s="373"/>
      <x:c r="Q489" s="373"/>
      <x:c r="R489" s="373"/>
      <x:c r="S489" s="373"/>
      <x:c r="T489" s="373"/>
      <x:c r="U489" s="373"/>
      <x:c r="V489" s="373"/>
      <x:c r="W489" s="373"/>
      <x:c r="X489" s="373"/>
      <x:c r="Y489" s="373"/>
      <x:c r="Z489" s="373"/>
    </x:row>
    <x:row r="490">
      <x:c r="A490" s="373"/>
      <x:c r="B490" s="373"/>
      <x:c r="C490" s="373"/>
      <x:c r="D490" s="373"/>
      <x:c r="E490" s="373"/>
      <x:c r="F490" s="373"/>
      <x:c r="G490" s="373"/>
      <x:c r="H490" s="373"/>
      <x:c r="I490" s="373"/>
      <x:c r="J490" s="373"/>
      <x:c r="K490" s="373"/>
      <x:c r="L490" s="373"/>
      <x:c r="M490" s="373"/>
      <x:c r="N490" s="373"/>
      <x:c r="O490" s="373"/>
      <x:c r="P490" s="373"/>
      <x:c r="Q490" s="373"/>
      <x:c r="R490" s="373"/>
      <x:c r="S490" s="373"/>
      <x:c r="T490" s="373"/>
      <x:c r="U490" s="373"/>
      <x:c r="V490" s="373"/>
      <x:c r="W490" s="373"/>
      <x:c r="X490" s="373"/>
      <x:c r="Y490" s="373"/>
      <x:c r="Z490" s="373"/>
    </x:row>
    <x:row r="491">
      <x:c r="A491" s="373"/>
      <x:c r="B491" s="373"/>
      <x:c r="C491" s="373"/>
      <x:c r="D491" s="373"/>
      <x:c r="E491" s="373"/>
      <x:c r="F491" s="373"/>
      <x:c r="G491" s="373"/>
      <x:c r="H491" s="373"/>
      <x:c r="I491" s="373"/>
      <x:c r="J491" s="373"/>
      <x:c r="K491" s="373"/>
      <x:c r="L491" s="373"/>
      <x:c r="M491" s="373"/>
      <x:c r="N491" s="373"/>
      <x:c r="O491" s="373"/>
      <x:c r="P491" s="373"/>
      <x:c r="Q491" s="373"/>
      <x:c r="R491" s="373"/>
      <x:c r="S491" s="373"/>
      <x:c r="T491" s="373"/>
      <x:c r="U491" s="373"/>
      <x:c r="V491" s="373"/>
      <x:c r="W491" s="373"/>
      <x:c r="X491" s="373"/>
      <x:c r="Y491" s="373"/>
      <x:c r="Z491" s="373"/>
    </x:row>
    <x:row r="492">
      <x:c r="A492" s="373"/>
      <x:c r="B492" s="373"/>
      <x:c r="C492" s="373"/>
      <x:c r="D492" s="373"/>
      <x:c r="E492" s="373"/>
      <x:c r="F492" s="373"/>
      <x:c r="G492" s="373"/>
      <x:c r="H492" s="373"/>
      <x:c r="I492" s="373"/>
      <x:c r="J492" s="373"/>
      <x:c r="K492" s="373"/>
      <x:c r="L492" s="373"/>
      <x:c r="M492" s="373"/>
      <x:c r="N492" s="373"/>
      <x:c r="O492" s="373"/>
      <x:c r="P492" s="373"/>
      <x:c r="Q492" s="373"/>
      <x:c r="R492" s="373"/>
      <x:c r="S492" s="373"/>
      <x:c r="T492" s="373"/>
      <x:c r="U492" s="373"/>
      <x:c r="V492" s="373"/>
      <x:c r="W492" s="373"/>
      <x:c r="X492" s="373"/>
      <x:c r="Y492" s="373"/>
      <x:c r="Z492" s="373"/>
    </x:row>
    <x:row r="493">
      <x:c r="A493" s="373"/>
      <x:c r="B493" s="373"/>
      <x:c r="C493" s="373"/>
      <x:c r="D493" s="373"/>
      <x:c r="E493" s="373"/>
      <x:c r="F493" s="373"/>
      <x:c r="G493" s="373"/>
      <x:c r="H493" s="373"/>
      <x:c r="I493" s="373"/>
      <x:c r="J493" s="373"/>
      <x:c r="K493" s="373"/>
      <x:c r="L493" s="373"/>
      <x:c r="M493" s="373"/>
      <x:c r="N493" s="373"/>
      <x:c r="O493" s="373"/>
      <x:c r="P493" s="373"/>
      <x:c r="Q493" s="373"/>
      <x:c r="R493" s="373"/>
      <x:c r="S493" s="373"/>
      <x:c r="T493" s="373"/>
      <x:c r="U493" s="373"/>
      <x:c r="V493" s="373"/>
      <x:c r="W493" s="373"/>
      <x:c r="X493" s="373"/>
      <x:c r="Y493" s="373"/>
      <x:c r="Z493" s="373"/>
    </x:row>
    <x:row r="494">
      <x:c r="A494" s="373"/>
      <x:c r="B494" s="373"/>
      <x:c r="C494" s="373"/>
      <x:c r="D494" s="373"/>
      <x:c r="E494" s="373"/>
      <x:c r="F494" s="373"/>
      <x:c r="G494" s="373"/>
      <x:c r="H494" s="373"/>
      <x:c r="I494" s="373"/>
      <x:c r="J494" s="373"/>
      <x:c r="K494" s="373"/>
      <x:c r="L494" s="373"/>
      <x:c r="M494" s="373"/>
      <x:c r="N494" s="373"/>
      <x:c r="O494" s="373"/>
      <x:c r="P494" s="373"/>
      <x:c r="Q494" s="373"/>
      <x:c r="R494" s="373"/>
      <x:c r="S494" s="373"/>
      <x:c r="T494" s="373"/>
      <x:c r="U494" s="373"/>
      <x:c r="V494" s="373"/>
      <x:c r="W494" s="373"/>
      <x:c r="X494" s="373"/>
      <x:c r="Y494" s="373"/>
      <x:c r="Z494" s="373"/>
    </x:row>
    <x:row r="495">
      <x:c r="A495" s="373"/>
      <x:c r="B495" s="373"/>
      <x:c r="C495" s="373"/>
      <x:c r="D495" s="373"/>
      <x:c r="E495" s="373"/>
      <x:c r="F495" s="373"/>
      <x:c r="G495" s="373"/>
      <x:c r="H495" s="373"/>
      <x:c r="I495" s="373"/>
      <x:c r="J495" s="373"/>
      <x:c r="K495" s="373"/>
      <x:c r="L495" s="373"/>
      <x:c r="M495" s="373"/>
      <x:c r="N495" s="373"/>
      <x:c r="O495" s="373"/>
      <x:c r="P495" s="373"/>
      <x:c r="Q495" s="373"/>
      <x:c r="R495" s="373"/>
      <x:c r="S495" s="373"/>
      <x:c r="T495" s="373"/>
      <x:c r="U495" s="373"/>
      <x:c r="V495" s="373"/>
      <x:c r="W495" s="373"/>
      <x:c r="X495" s="373"/>
      <x:c r="Y495" s="373"/>
      <x:c r="Z495" s="373"/>
    </x:row>
    <x:row r="496">
      <x:c r="A496" s="373"/>
      <x:c r="B496" s="373"/>
      <x:c r="C496" s="373"/>
      <x:c r="D496" s="373"/>
      <x:c r="E496" s="373"/>
      <x:c r="F496" s="373"/>
      <x:c r="G496" s="373"/>
      <x:c r="H496" s="373"/>
      <x:c r="I496" s="373"/>
      <x:c r="J496" s="373"/>
      <x:c r="K496" s="373"/>
      <x:c r="L496" s="373"/>
      <x:c r="M496" s="373"/>
      <x:c r="N496" s="373"/>
      <x:c r="O496" s="373"/>
      <x:c r="P496" s="373"/>
      <x:c r="Q496" s="373"/>
      <x:c r="R496" s="373"/>
      <x:c r="S496" s="373"/>
      <x:c r="T496" s="373"/>
      <x:c r="U496" s="373"/>
      <x:c r="V496" s="373"/>
      <x:c r="W496" s="373"/>
      <x:c r="X496" s="373"/>
      <x:c r="Y496" s="373"/>
      <x:c r="Z496" s="373"/>
    </x:row>
    <x:row r="497">
      <x:c r="A497" s="373"/>
      <x:c r="B497" s="373"/>
      <x:c r="C497" s="373"/>
      <x:c r="D497" s="373"/>
      <x:c r="E497" s="373"/>
      <x:c r="F497" s="373"/>
      <x:c r="G497" s="373"/>
      <x:c r="H497" s="373"/>
      <x:c r="I497" s="373"/>
      <x:c r="J497" s="373"/>
      <x:c r="K497" s="373"/>
      <x:c r="L497" s="373"/>
      <x:c r="M497" s="373"/>
      <x:c r="N497" s="373"/>
      <x:c r="O497" s="373"/>
      <x:c r="P497" s="373"/>
      <x:c r="Q497" s="373"/>
      <x:c r="R497" s="373"/>
      <x:c r="S497" s="373"/>
      <x:c r="T497" s="373"/>
      <x:c r="U497" s="373"/>
      <x:c r="V497" s="373"/>
      <x:c r="W497" s="373"/>
      <x:c r="X497" s="373"/>
      <x:c r="Y497" s="373"/>
      <x:c r="Z497" s="373"/>
    </x:row>
    <x:row r="498">
      <x:c r="A498" s="373"/>
      <x:c r="B498" s="373"/>
      <x:c r="C498" s="373"/>
      <x:c r="D498" s="373"/>
      <x:c r="E498" s="373"/>
      <x:c r="F498" s="373"/>
      <x:c r="G498" s="373"/>
      <x:c r="H498" s="373"/>
      <x:c r="I498" s="373"/>
      <x:c r="J498" s="373"/>
      <x:c r="K498" s="373"/>
      <x:c r="L498" s="373"/>
      <x:c r="M498" s="373"/>
      <x:c r="N498" s="373"/>
      <x:c r="O498" s="373"/>
      <x:c r="P498" s="373"/>
      <x:c r="Q498" s="373"/>
      <x:c r="R498" s="373"/>
      <x:c r="S498" s="373"/>
      <x:c r="T498" s="373"/>
      <x:c r="U498" s="373"/>
      <x:c r="V498" s="373"/>
      <x:c r="W498" s="373"/>
      <x:c r="X498" s="373"/>
      <x:c r="Y498" s="373"/>
      <x:c r="Z498" s="373"/>
    </x:row>
    <x:row r="499">
      <x:c r="A499" s="373"/>
      <x:c r="B499" s="373"/>
      <x:c r="C499" s="373"/>
      <x:c r="D499" s="373"/>
      <x:c r="E499" s="373"/>
      <x:c r="F499" s="373"/>
      <x:c r="G499" s="373"/>
      <x:c r="H499" s="373"/>
      <x:c r="I499" s="373"/>
      <x:c r="J499" s="373"/>
      <x:c r="K499" s="373"/>
      <x:c r="L499" s="373"/>
      <x:c r="M499" s="373"/>
      <x:c r="N499" s="373"/>
      <x:c r="O499" s="373"/>
      <x:c r="P499" s="373"/>
      <x:c r="Q499" s="373"/>
      <x:c r="R499" s="373"/>
      <x:c r="S499" s="373"/>
      <x:c r="T499" s="373"/>
      <x:c r="U499" s="373"/>
      <x:c r="V499" s="373"/>
      <x:c r="W499" s="373"/>
      <x:c r="X499" s="373"/>
      <x:c r="Y499" s="373"/>
      <x:c r="Z499" s="373"/>
    </x:row>
    <x:row r="500">
      <x:c r="A500" s="373"/>
      <x:c r="B500" s="373"/>
      <x:c r="C500" s="373"/>
      <x:c r="D500" s="373"/>
      <x:c r="E500" s="373"/>
      <x:c r="F500" s="373"/>
      <x:c r="G500" s="373"/>
      <x:c r="H500" s="373"/>
      <x:c r="I500" s="373"/>
      <x:c r="J500" s="373"/>
      <x:c r="K500" s="373"/>
      <x:c r="L500" s="373"/>
      <x:c r="M500" s="373"/>
      <x:c r="N500" s="373"/>
      <x:c r="O500" s="373"/>
      <x:c r="P500" s="373"/>
      <x:c r="Q500" s="373"/>
      <x:c r="R500" s="373"/>
      <x:c r="S500" s="373"/>
      <x:c r="T500" s="373"/>
      <x:c r="U500" s="373"/>
      <x:c r="V500" s="373"/>
      <x:c r="W500" s="373"/>
      <x:c r="X500" s="373"/>
      <x:c r="Y500" s="373"/>
      <x:c r="Z500" s="373"/>
    </x:row>
  </x:sheetData>
  <x:mergeCells>
    <x:mergeCell ref="A1:Q1"/>
    <x:mergeCell ref="A2:Q2"/>
  </x:mergeCells>
  <x:conditionalFormatting sqref="K5:K11">
    <x:cfRule type="expression" dxfId="32" priority="1">
      <x:formula>K5="Done"</x:formula>
    </x:cfRule>
    <x:cfRule type="expression" dxfId="33" priority="2">
      <x:formula>K5="Passed"</x:formula>
    </x:cfRule>
    <x:cfRule type="expression" dxfId="34" priority="3">
      <x:formula>K5="In Progress"</x:formula>
    </x:cfRule>
    <x:cfRule type="expression" dxfId="35" priority="4">
      <x:formula>K5="In Review"</x:formula>
    </x:cfRule>
    <x:cfRule type="expression" dxfId="36" priority="5">
      <x:formula>K5="Blocked"</x:formula>
    </x:cfRule>
    <x:cfRule type="expression" dxfId="37" priority="6">
      <x:formula>K5="Failed"</x:formula>
    </x:cfRule>
    <x:cfRule type="expression" dxfId="38" priority="7">
      <x:formula>K5="Not Run"</x:formula>
    </x:cfRule>
    <x:cfRule type="expression" dxfId="39" priority="8">
      <x:formula>K5="Backlog"</x:formula>
    </x:cfRule>
  </x:conditionalFormatting>
  <x:dataValidations count="2">
    <x:dataValidation type="list" sqref="C5:C11">
      <x:formula1>"Critical,High,Medium,Low"</x:formula1>
    </x:dataValidation>
    <x:dataValidation type="list" sqref="K5:K11">
      <x:formula1>"Open,Triaged,In Progress,Fixed,Verified,Closed,Deferred"</x:formula1>
    </x:dataValidation>
  </x:dataValidations>
  <x:pageMargins left="0.7" right="0.7" top="0.75" bottom="0.75" header="0.3" footer="0.3"/>
  <x:tableParts count="1">
    <x:tablePart xmlns:r="http://schemas.openxmlformats.org/officeDocument/2006/relationships" r:id="R3700973ce992419b"/>
  </x:tableParts>
</x:worksheet>
</file>

<file path=xl/worksheets/sheet8.xml><?xml version="1.0" encoding="utf-8"?>
<x:worksheet xmlns:x="http://schemas.openxmlformats.org/spreadsheetml/2006/main">
  <x:sheetFormatPr defaultRowHeight="15"/>
  <x:cols>
    <x:col min="1" max="1" width="12" hidden="0" customWidth="1"/>
    <x:col min="2" max="2" width="10" hidden="0" customWidth="1"/>
    <x:col min="3" max="3" width="18" hidden="0" customWidth="1"/>
    <x:col min="4" max="4" width="46" hidden="0" customWidth="1"/>
    <x:col min="5" max="5" width="12" hidden="0" customWidth="1"/>
    <x:col min="6" max="6" width="10" hidden="0" customWidth="1"/>
    <x:col min="7" max="7" width="9" hidden="0" customWidth="1"/>
    <x:col min="8" max="8" width="48" hidden="0" customWidth="1"/>
    <x:col min="9" max="9" width="36" hidden="0" customWidth="1"/>
    <x:col min="10" max="10" width="12" hidden="0" customWidth="1"/>
    <x:col min="11" max="11" width="13" hidden="0" customWidth="1"/>
    <x:col min="12" max="12" width="13" hidden="0" customWidth="1"/>
    <x:col min="13" max="13" width="28" hidden="0" customWidth="1"/>
  </x:cols>
  <x:sheetData>
    <x:row r="1" ht="32" customHeight="1">
      <x:c r="A1" s="486" t="str">
        <x:v>Risk Register</x:v>
      </x:c>
      <x:c r="B1" s="486"/>
      <x:c r="C1" s="486"/>
      <x:c r="D1" s="486"/>
      <x:c r="E1" s="486"/>
      <x:c r="F1" s="486"/>
      <x:c r="G1" s="486"/>
      <x:c r="H1" s="486"/>
      <x:c r="I1" s="486"/>
      <x:c r="J1" s="486"/>
      <x:c r="K1" s="486"/>
      <x:c r="L1" s="486"/>
      <x:c r="M1" s="486"/>
      <x:c r="N1" s="373"/>
      <x:c r="O1" s="373"/>
      <x:c r="P1" s="373"/>
      <x:c r="Q1" s="373"/>
      <x:c r="R1" s="373"/>
      <x:c r="S1" s="373"/>
      <x:c r="T1" s="373"/>
      <x:c r="U1" s="373"/>
      <x:c r="V1" s="373"/>
      <x:c r="W1" s="373"/>
      <x:c r="X1" s="373"/>
      <x:c r="Y1" s="373"/>
      <x:c r="Z1" s="373"/>
    </x:row>
    <x:row r="2" ht="22" customHeight="1">
      <x:c r="A2" s="374" t="str">
        <x:v>Review risks frequently; scores are formula-driven from probability and impact.</x:v>
      </x:c>
      <x:c r="B2" s="374"/>
      <x:c r="C2" s="374"/>
      <x:c r="D2" s="374"/>
      <x:c r="E2" s="374"/>
      <x:c r="F2" s="374"/>
      <x:c r="G2" s="374"/>
      <x:c r="H2" s="374"/>
      <x:c r="I2" s="374"/>
      <x:c r="J2" s="374"/>
      <x:c r="K2" s="374"/>
      <x:c r="L2" s="374"/>
      <x:c r="M2" s="374"/>
      <x:c r="N2" s="373"/>
      <x:c r="O2" s="373"/>
      <x:c r="P2" s="373"/>
      <x:c r="Q2" s="373"/>
      <x:c r="R2" s="373"/>
      <x:c r="S2" s="373"/>
      <x:c r="T2" s="373"/>
      <x:c r="U2" s="373"/>
      <x:c r="V2" s="373"/>
      <x:c r="W2" s="373"/>
      <x:c r="X2" s="373"/>
      <x:c r="Y2" s="373"/>
      <x:c r="Z2" s="373"/>
    </x:row>
    <x:row r="3">
      <x:c r="A3" s="373"/>
      <x:c r="B3" s="373"/>
      <x:c r="C3" s="373"/>
      <x:c r="D3" s="373"/>
      <x:c r="E3" s="373"/>
      <x:c r="F3" s="373"/>
      <x:c r="G3" s="373"/>
      <x:c r="H3" s="373"/>
      <x:c r="I3" s="373"/>
      <x:c r="J3" s="373"/>
      <x:c r="K3" s="373"/>
      <x:c r="L3" s="373"/>
      <x:c r="M3" s="373"/>
      <x:c r="N3" s="373"/>
      <x:c r="O3" s="373"/>
      <x:c r="P3" s="373"/>
      <x:c r="Q3" s="373"/>
      <x:c r="R3" s="373"/>
      <x:c r="S3" s="373"/>
      <x:c r="T3" s="373"/>
      <x:c r="U3" s="373"/>
      <x:c r="V3" s="373"/>
      <x:c r="W3" s="373"/>
      <x:c r="X3" s="373"/>
      <x:c r="Y3" s="373"/>
      <x:c r="Z3" s="373"/>
    </x:row>
    <x:row r="4">
      <x:c r="A4" s="409" t="str">
        <x:v>Risk ID</x:v>
      </x:c>
      <x:c r="B4" s="413" t="str">
        <x:v>Release</x:v>
      </x:c>
      <x:c r="C4" s="413" t="str">
        <x:v>Area</x:v>
      </x:c>
      <x:c r="D4" s="413" t="str">
        <x:v>Description</x:v>
      </x:c>
      <x:c r="E4" s="413" t="str">
        <x:v>Probability</x:v>
      </x:c>
      <x:c r="F4" s="413" t="str">
        <x:v>Impact</x:v>
      </x:c>
      <x:c r="G4" s="413" t="str">
        <x:v>Score</x:v>
      </x:c>
      <x:c r="H4" s="413" t="str">
        <x:v>Mitigation</x:v>
      </x:c>
      <x:c r="I4" s="413" t="str">
        <x:v>Trigger</x:v>
      </x:c>
      <x:c r="J4" s="413" t="str">
        <x:v>Owner</x:v>
      </x:c>
      <x:c r="K4" s="413" t="str">
        <x:v>Status</x:v>
      </x:c>
      <x:c r="L4" s="413" t="str">
        <x:v>Review Date</x:v>
      </x:c>
      <x:c r="M4" s="410" t="str">
        <x:v>Notes</x:v>
      </x:c>
      <x:c r="N4" s="373"/>
      <x:c r="O4" s="373"/>
      <x:c r="P4" s="373"/>
      <x:c r="Q4" s="373"/>
      <x:c r="R4" s="373"/>
      <x:c r="S4" s="373"/>
      <x:c r="T4" s="373"/>
      <x:c r="U4" s="373"/>
      <x:c r="V4" s="373"/>
      <x:c r="W4" s="373"/>
      <x:c r="X4" s="373"/>
      <x:c r="Y4" s="373"/>
      <x:c r="Z4" s="373"/>
    </x:row>
    <x:row r="5">
      <x:c r="A5" s="411" t="str">
        <x:v>RSK-001</x:v>
      </x:c>
      <x:c r="B5" s="411" t="str">
        <x:v>v0.2.0</x:v>
      </x:c>
      <x:c r="C5" s="411" t="str">
        <x:v>Schedule</x:v>
      </x:c>
      <x:c r="D5" s="411" t="str">
        <x:v>Fourteen-day scope may force partially hardened features.</x:v>
      </x:c>
      <x:c r="E5" s="411" t="str">
        <x:v>High</x:v>
      </x:c>
      <x:c r="F5" s="411" t="str">
        <x:v>High</x:v>
      </x:c>
      <x:c r="G5" s="464" t="n">
        <x:f>IF(E5="High",3,IF(E5="Medium",2,1))*IF(F5="High",3,IF(F5="Medium",2,1))</x:f>
        <x:v>9</x:v>
      </x:c>
      <x:c r="H5" s="411" t="str">
        <x:v>Protect lifecycle, readiness, cleanup, TF, safety, and tests; reduce tuning breadth and polish first.</x:v>
      </x:c>
      <x:c r="I5" s="411" t="str">
        <x:v>Two consecutive days miss release gate.</x:v>
      </x:c>
      <x:c r="J5" s="411" t="str">
        <x:v>Devansh</x:v>
      </x:c>
      <x:c r="K5" s="411" t="str">
        <x:v>Open</x:v>
      </x:c>
      <x:c r="L5" s="460" t="n">
        <x:v>46241</x:v>
      </x:c>
      <x:c r="M5" s="411" t="str">
        <x:v>Core release risk.</x:v>
      </x:c>
      <x:c r="N5" s="373"/>
      <x:c r="O5" s="373"/>
      <x:c r="P5" s="373"/>
      <x:c r="Q5" s="373"/>
      <x:c r="R5" s="373"/>
      <x:c r="S5" s="373"/>
      <x:c r="T5" s="373"/>
      <x:c r="U5" s="373"/>
      <x:c r="V5" s="373"/>
      <x:c r="W5" s="373"/>
      <x:c r="X5" s="373"/>
      <x:c r="Y5" s="373"/>
      <x:c r="Z5" s="373"/>
    </x:row>
    <x:row r="6">
      <x:c r="A6" s="411" t="str">
        <x:v>RSK-002</x:v>
      </x:c>
      <x:c r="B6" s="411" t="str">
        <x:v>v0.1.2</x:v>
      </x:c>
      <x:c r="C6" s="411" t="str">
        <x:v>Architecture</x:v>
      </x:c>
      <x:c r="D6" s="411" t="str">
        <x:v>Lifecycle refactor can break working mode orchestration.</x:v>
      </x:c>
      <x:c r="E6" s="411" t="str">
        <x:v>Medium</x:v>
      </x:c>
      <x:c r="F6" s="411" t="str">
        <x:v>High</x:v>
      </x:c>
      <x:c r="G6" s="464" t="n">
        <x:f>IF(E6="High",3,IF(E6="Medium",2,1))*IF(F6="High",3,IF(F6="Medium",2,1))</x:f>
        <x:v>6</x:v>
      </x:c>
      <x:c r="H6" s="411" t="str">
        <x:v>Add transition tests before conversion; convert one manager at a time; preserve rollback branch.</x:v>
      </x:c>
      <x:c r="I6" s="411" t="str">
        <x:v>Existing navigation/mapping launch regresses.</x:v>
      </x:c>
      <x:c r="J6" s="411" t="str">
        <x:v>Devansh</x:v>
      </x:c>
      <x:c r="K6" s="411" t="str">
        <x:v>Open</x:v>
      </x:c>
      <x:c r="L6" s="460" t="n">
        <x:v>46241</x:v>
      </x:c>
      <x:c r="M6" s="411" t="str">
        <x:v>Use small commits.</x:v>
      </x:c>
      <x:c r="N6" s="373"/>
      <x:c r="O6" s="373"/>
      <x:c r="P6" s="373"/>
      <x:c r="Q6" s="373"/>
      <x:c r="R6" s="373"/>
      <x:c r="S6" s="373"/>
      <x:c r="T6" s="373"/>
      <x:c r="U6" s="373"/>
      <x:c r="V6" s="373"/>
      <x:c r="W6" s="373"/>
      <x:c r="X6" s="373"/>
      <x:c r="Y6" s="373"/>
      <x:c r="Z6" s="373"/>
    </x:row>
    <x:row r="7">
      <x:c r="A7" s="411" t="str">
        <x:v>RSK-003</x:v>
      </x:c>
      <x:c r="B7" s="411" t="str">
        <x:v>v0.1.6</x:v>
      </x:c>
      <x:c r="C7" s="411" t="str">
        <x:v>TF</x:v>
      </x:c>
      <x:c r="D7" s="411" t="str">
        <x:v>EKF integration may create duplicate TF publishers or discontinuities.</x:v>
      </x:c>
      <x:c r="E7" s="411" t="str">
        <x:v>High</x:v>
      </x:c>
      <x:c r="F7" s="411" t="str">
        <x:v>High</x:v>
      </x:c>
      <x:c r="G7" s="464" t="n">
        <x:f>IF(E7="High",3,IF(E7="Medium",2,1))*IF(F7="High",3,IF(F7="Medium",2,1))</x:f>
        <x:v>9</x:v>
      </x:c>
      <x:c r="H7" s="411" t="str">
        <x:v>Define TF ownership first; add duplicate-authority and continuity tests before enabling EKF TF.</x:v>
      </x:c>
      <x:c r="I7" s="411" t="str">
        <x:v>Two publishers claim odom to base_link or pose jumps.</x:v>
      </x:c>
      <x:c r="J7" s="411" t="str">
        <x:v>Devansh</x:v>
      </x:c>
      <x:c r="K7" s="411" t="str">
        <x:v>Open</x:v>
      </x:c>
      <x:c r="L7" s="460" t="n">
        <x:v>46244</x:v>
      </x:c>
      <x:c r="M7" s="411" t="str">
        <x:v>Must be blocked by test.</x:v>
      </x:c>
      <x:c r="N7" s="373"/>
      <x:c r="O7" s="373"/>
      <x:c r="P7" s="373"/>
      <x:c r="Q7" s="373"/>
      <x:c r="R7" s="373"/>
      <x:c r="S7" s="373"/>
      <x:c r="T7" s="373"/>
      <x:c r="U7" s="373"/>
      <x:c r="V7" s="373"/>
      <x:c r="W7" s="373"/>
      <x:c r="X7" s="373"/>
      <x:c r="Y7" s="373"/>
      <x:c r="Z7" s="373"/>
    </x:row>
    <x:row r="8">
      <x:c r="A8" s="411" t="str">
        <x:v>RSK-004</x:v>
      </x:c>
      <x:c r="B8" s="411" t="str">
        <x:v>v0.1.8</x:v>
      </x:c>
      <x:c r="C8" s="411" t="str">
        <x:v>Tuning</x:v>
      </x:c>
      <x:c r="D8" s="411" t="str">
        <x:v>Changing many SLAM/AMCL/Nav2 parameters together destroys causal understanding.</x:v>
      </x:c>
      <x:c r="E8" s="411" t="str">
        <x:v>High</x:v>
      </x:c>
      <x:c r="F8" s="411" t="str">
        <x:v>Medium</x:v>
      </x:c>
      <x:c r="G8" s="464" t="n">
        <x:f>IF(E8="High",3,IF(E8="Medium",2,1))*IF(F8="High",3,IF(F8="Medium",2,1))</x:f>
        <x:v>6</x:v>
      </x:c>
      <x:c r="H8" s="411" t="str">
        <x:v>Use one controlled parameter group at a time and log hypothesis/result/decision.</x:v>
      </x:c>
      <x:c r="I8" s="411" t="str">
        <x:v>More than one parameter group changes without a benchmark run.</x:v>
      </x:c>
      <x:c r="J8" s="411" t="str">
        <x:v>Devansh</x:v>
      </x:c>
      <x:c r="K8" s="411" t="str">
        <x:v>Open</x:v>
      </x:c>
      <x:c r="L8" s="460" t="n">
        <x:v>46246</x:v>
      </x:c>
      <x:c r="M8" s="411" t="str">
        <x:v>Scientific tuning discipline.</x:v>
      </x:c>
      <x:c r="N8" s="373"/>
      <x:c r="O8" s="373"/>
      <x:c r="P8" s="373"/>
      <x:c r="Q8" s="373"/>
      <x:c r="R8" s="373"/>
      <x:c r="S8" s="373"/>
      <x:c r="T8" s="373"/>
      <x:c r="U8" s="373"/>
      <x:c r="V8" s="373"/>
      <x:c r="W8" s="373"/>
      <x:c r="X8" s="373"/>
      <x:c r="Y8" s="373"/>
      <x:c r="Z8" s="373"/>
    </x:row>
    <x:row r="9">
      <x:c r="A9" s="411" t="str">
        <x:v>RSK-005</x:v>
      </x:c>
      <x:c r="B9" s="411" t="str">
        <x:v>v0.1.12</x:v>
      </x:c>
      <x:c r="C9" s="411" t="str">
        <x:v>CI</x:v>
      </x:c>
      <x:c r="D9" s="411" t="str">
        <x:v>Gazebo/ROS simulation tests may be flaky or too slow for PR CI.</x:v>
      </x:c>
      <x:c r="E9" s="411" t="str">
        <x:v>Medium</x:v>
      </x:c>
      <x:c r="F9" s="411" t="str">
        <x:v>High</x:v>
      </x:c>
      <x:c r="G9" s="464" t="n">
        <x:f>IF(E9="High",3,IF(E9="Medium",2,1))*IF(F9="High",3,IF(F9="Medium",2,1))</x:f>
        <x:v>6</x:v>
      </x:c>
      <x:c r="H9" s="411" t="str">
        <x:v>Use tiered CI: unit/readiness on PR, smoke suite gated, full regression scheduled/manual.</x:v>
      </x:c>
      <x:c r="I9" s="411" t="str">
        <x:v>Intermittent CI failures exceed 5%.</x:v>
      </x:c>
      <x:c r="J9" s="411" t="str">
        <x:v>Devansh</x:v>
      </x:c>
      <x:c r="K9" s="411" t="str">
        <x:v>Open</x:v>
      </x:c>
      <x:c r="L9" s="460" t="n">
        <x:v>46249</x:v>
      </x:c>
      <x:c r="M9" s="411" t="str">
        <x:v>Track flaky tests separately.</x:v>
      </x:c>
      <x:c r="N9" s="373"/>
      <x:c r="O9" s="373"/>
      <x:c r="P9" s="373"/>
      <x:c r="Q9" s="373"/>
      <x:c r="R9" s="373"/>
      <x:c r="S9" s="373"/>
      <x:c r="T9" s="373"/>
      <x:c r="U9" s="373"/>
      <x:c r="V9" s="373"/>
      <x:c r="W9" s="373"/>
      <x:c r="X9" s="373"/>
      <x:c r="Y9" s="373"/>
      <x:c r="Z9" s="373"/>
    </x:row>
    <x:row r="10">
      <x:c r="A10" s="411" t="str">
        <x:v>RSK-006</x:v>
      </x:c>
      <x:c r="B10" s="411" t="str">
        <x:v>v0.2.7</x:v>
      </x:c>
      <x:c r="C10" s="411" t="str">
        <x:v>Data</x:v>
      </x:c>
      <x:c r="D10" s="411" t="str">
        <x:v>Excel and JS dashboard may diverge into separate schemas.</x:v>
      </x:c>
      <x:c r="E10" s="411" t="str">
        <x:v>Medium</x:v>
      </x:c>
      <x:c r="F10" s="411" t="str">
        <x:v>High</x:v>
      </x:c>
      <x:c r="G10" s="464" t="n">
        <x:f>IF(E10="High",3,IF(E10="Medium",2,1))*IF(F10="High",3,IF(F10="Medium",2,1))</x:f>
        <x:v>6</x:v>
      </x:c>
      <x:c r="H10" s="411" t="str">
        <x:v>Use the JS_Data_Map sheet and stable IDs/keys; export normalized records from one backend contract.</x:v>
      </x:c>
      <x:c r="I10" s="411" t="str">
        <x:v>A dashboard field lacks a documented source/key/type.</x:v>
      </x:c>
      <x:c r="J10" s="411" t="str">
        <x:v>Devansh</x:v>
      </x:c>
      <x:c r="K10" s="411" t="str">
        <x:v>Open</x:v>
      </x:c>
      <x:c r="L10" s="460" t="n">
        <x:v>46254</x:v>
      </x:c>
      <x:c r="M10" s="411" t="str">
        <x:v>Workbook is the planning source, not runtime DB.</x:v>
      </x:c>
      <x:c r="N10" s="373"/>
      <x:c r="O10" s="373"/>
      <x:c r="P10" s="373"/>
      <x:c r="Q10" s="373"/>
      <x:c r="R10" s="373"/>
      <x:c r="S10" s="373"/>
      <x:c r="T10" s="373"/>
      <x:c r="U10" s="373"/>
      <x:c r="V10" s="373"/>
      <x:c r="W10" s="373"/>
      <x:c r="X10" s="373"/>
      <x:c r="Y10" s="373"/>
      <x:c r="Z10" s="373"/>
    </x:row>
    <x:row r="11">
      <x:c r="A11" s="411" t="str">
        <x:v>RSK-007</x:v>
      </x:c>
      <x:c r="B11" s="411" t="str">
        <x:v>v0.2.0</x:v>
      </x:c>
      <x:c r="C11" s="411" t="str">
        <x:v>Quality</x:v>
      </x:c>
      <x:c r="D11" s="411" t="str">
        <x:v>Large test count can create superficial tests with weak assertions.</x:v>
      </x:c>
      <x:c r="E11" s="411" t="str">
        <x:v>Medium</x:v>
      </x:c>
      <x:c r="F11" s="411" t="str">
        <x:v>High</x:v>
      </x:c>
      <x:c r="G11" s="464" t="n">
        <x:f>IF(E11="High",3,IF(E11="Medium",2,1))*IF(F11="High",3,IF(F11="Medium",2,1))</x:f>
        <x:v>6</x:v>
      </x:c>
      <x:c r="H11" s="411" t="str">
        <x:v>Every critical test must state failure mode, expected response, evidence, and release requirement.</x:v>
      </x:c>
      <x:c r="I11" s="411" t="str">
        <x:v>Tests pass without verifying a meaningful system outcome.</x:v>
      </x:c>
      <x:c r="J11" s="411" t="str">
        <x:v>Devansh</x:v>
      </x:c>
      <x:c r="K11" s="411" t="str">
        <x:v>Open</x:v>
      </x:c>
      <x:c r="L11" s="460" t="n">
        <x:v>46243</x:v>
      </x:c>
      <x:c r="M11" s="411" t="str">
        <x:v>Quality over count.</x:v>
      </x:c>
      <x:c r="N11" s="373"/>
      <x:c r="O11" s="373"/>
      <x:c r="P11" s="373"/>
      <x:c r="Q11" s="373"/>
      <x:c r="R11" s="373"/>
      <x:c r="S11" s="373"/>
      <x:c r="T11" s="373"/>
      <x:c r="U11" s="373"/>
      <x:c r="V11" s="373"/>
      <x:c r="W11" s="373"/>
      <x:c r="X11" s="373"/>
      <x:c r="Y11" s="373"/>
      <x:c r="Z11" s="373"/>
    </x:row>
    <x:row r="12">
      <x:c r="A12" s="412" t="str">
        <x:v>RSK-008</x:v>
      </x:c>
      <x:c r="B12" s="412" t="str">
        <x:v>v0.2.0</x:v>
      </x:c>
      <x:c r="C12" s="412" t="str">
        <x:v>Ownership</x:v>
      </x:c>
      <x:c r="D12" s="412" t="str">
        <x:v>External code assistance could reduce interview-level ownership.</x:v>
      </x:c>
      <x:c r="E12" s="412" t="str">
        <x:v>Medium</x:v>
      </x:c>
      <x:c r="F12" s="412" t="str">
        <x:v>High</x:v>
      </x:c>
      <x:c r="G12" s="465" t="n">
        <x:f>IF(E12="High",3,IF(E12="Medium",2,1))*IF(F12="High",3,IF(F12="Medium",2,1))</x:f>
        <x:v>6</x:v>
      </x:c>
      <x:c r="H12" s="412" t="str">
        <x:v>Implement independently; use progressive hints; require line-by-line explanation and self-written tests.</x:v>
      </x:c>
      <x:c r="I12" s="412" t="str">
        <x:v>Committed code cannot be rebuilt or explained without reference.</x:v>
      </x:c>
      <x:c r="J12" s="412" t="str">
        <x:v>Devansh</x:v>
      </x:c>
      <x:c r="K12" s="412" t="str">
        <x:v>Open</x:v>
      </x:c>
      <x:c r="L12" s="461" t="n">
        <x:v>46240</x:v>
      </x:c>
      <x:c r="M12" s="412" t="str">
        <x:v>Coding-independence rule.</x:v>
      </x:c>
      <x:c r="N12" s="373"/>
      <x:c r="O12" s="373"/>
      <x:c r="P12" s="373"/>
      <x:c r="Q12" s="373"/>
      <x:c r="R12" s="373"/>
      <x:c r="S12" s="373"/>
      <x:c r="T12" s="373"/>
      <x:c r="U12" s="373"/>
      <x:c r="V12" s="373"/>
      <x:c r="W12" s="373"/>
      <x:c r="X12" s="373"/>
      <x:c r="Y12" s="373"/>
      <x:c r="Z12" s="373"/>
    </x:row>
    <x:row r="13">
      <x:c r="A13" s="373"/>
      <x:c r="B13" s="373"/>
      <x:c r="C13" s="373"/>
      <x:c r="D13" s="373"/>
      <x:c r="E13" s="373"/>
      <x:c r="F13" s="373"/>
      <x:c r="G13" s="373"/>
      <x:c r="H13" s="373"/>
      <x:c r="I13" s="373"/>
      <x:c r="J13" s="373"/>
      <x:c r="K13" s="373"/>
      <x:c r="L13" s="373"/>
      <x:c r="M13" s="373"/>
      <x:c r="N13" s="373"/>
      <x:c r="O13" s="373"/>
      <x:c r="P13" s="373"/>
      <x:c r="Q13" s="373"/>
      <x:c r="R13" s="373"/>
      <x:c r="S13" s="373"/>
      <x:c r="T13" s="373"/>
      <x:c r="U13" s="373"/>
      <x:c r="V13" s="373"/>
      <x:c r="W13" s="373"/>
      <x:c r="X13" s="373"/>
      <x:c r="Y13" s="373"/>
      <x:c r="Z13" s="373"/>
    </x:row>
    <x:row r="14">
      <x:c r="A14" s="373"/>
      <x:c r="B14" s="373"/>
      <x:c r="C14" s="373"/>
      <x:c r="D14" s="373"/>
      <x:c r="E14" s="373"/>
      <x:c r="F14" s="373"/>
      <x:c r="G14" s="373"/>
      <x:c r="H14" s="373"/>
      <x:c r="I14" s="373"/>
      <x:c r="J14" s="373"/>
      <x:c r="K14" s="373"/>
      <x:c r="L14" s="373"/>
      <x:c r="M14" s="373"/>
      <x:c r="N14" s="373"/>
      <x:c r="O14" s="373"/>
      <x:c r="P14" s="373"/>
      <x:c r="Q14" s="373"/>
      <x:c r="R14" s="373"/>
      <x:c r="S14" s="373"/>
      <x:c r="T14" s="373"/>
      <x:c r="U14" s="373"/>
      <x:c r="V14" s="373"/>
      <x:c r="W14" s="373"/>
      <x:c r="X14" s="373"/>
      <x:c r="Y14" s="373"/>
      <x:c r="Z14" s="373"/>
    </x:row>
    <x:row r="15">
      <x:c r="A15" s="373"/>
      <x:c r="B15" s="373"/>
      <x:c r="C15" s="373"/>
      <x:c r="D15" s="373"/>
      <x:c r="E15" s="373"/>
      <x:c r="F15" s="373"/>
      <x:c r="G15" s="373"/>
      <x:c r="H15" s="373"/>
      <x:c r="I15" s="373"/>
      <x:c r="J15" s="373"/>
      <x:c r="K15" s="373"/>
      <x:c r="L15" s="373"/>
      <x:c r="M15" s="373"/>
      <x:c r="N15" s="373"/>
      <x:c r="O15" s="373"/>
      <x:c r="P15" s="373"/>
      <x:c r="Q15" s="373"/>
      <x:c r="R15" s="373"/>
      <x:c r="S15" s="373"/>
      <x:c r="T15" s="373"/>
      <x:c r="U15" s="373"/>
      <x:c r="V15" s="373"/>
      <x:c r="W15" s="373"/>
      <x:c r="X15" s="373"/>
      <x:c r="Y15" s="373"/>
      <x:c r="Z15" s="373"/>
    </x:row>
    <x:row r="16">
      <x:c r="A16" s="373"/>
      <x:c r="B16" s="373"/>
      <x:c r="C16" s="373"/>
      <x:c r="D16" s="373"/>
      <x:c r="E16" s="373"/>
      <x:c r="F16" s="373"/>
      <x:c r="G16" s="373"/>
      <x:c r="H16" s="373"/>
      <x:c r="I16" s="373"/>
      <x:c r="J16" s="373"/>
      <x:c r="K16" s="373"/>
      <x:c r="L16" s="373"/>
      <x:c r="M16" s="373"/>
      <x:c r="N16" s="373"/>
      <x:c r="O16" s="373"/>
      <x:c r="P16" s="373"/>
      <x:c r="Q16" s="373"/>
      <x:c r="R16" s="373"/>
      <x:c r="S16" s="373"/>
      <x:c r="T16" s="373"/>
      <x:c r="U16" s="373"/>
      <x:c r="V16" s="373"/>
      <x:c r="W16" s="373"/>
      <x:c r="X16" s="373"/>
      <x:c r="Y16" s="373"/>
      <x:c r="Z16" s="373"/>
    </x:row>
    <x:row r="17">
      <x:c r="A17" s="373"/>
      <x:c r="B17" s="373"/>
      <x:c r="C17" s="373"/>
      <x:c r="D17" s="373"/>
      <x:c r="E17" s="373"/>
      <x:c r="F17" s="373"/>
      <x:c r="G17" s="373"/>
      <x:c r="H17" s="373"/>
      <x:c r="I17" s="373"/>
      <x:c r="J17" s="373"/>
      <x:c r="K17" s="373"/>
      <x:c r="L17" s="373"/>
      <x:c r="M17" s="373"/>
      <x:c r="N17" s="373"/>
      <x:c r="O17" s="373"/>
      <x:c r="P17" s="373"/>
      <x:c r="Q17" s="373"/>
      <x:c r="R17" s="373"/>
      <x:c r="S17" s="373"/>
      <x:c r="T17" s="373"/>
      <x:c r="U17" s="373"/>
      <x:c r="V17" s="373"/>
      <x:c r="W17" s="373"/>
      <x:c r="X17" s="373"/>
      <x:c r="Y17" s="373"/>
      <x:c r="Z17" s="373"/>
    </x:row>
    <x:row r="18">
      <x:c r="A18" s="373"/>
      <x:c r="B18" s="373"/>
      <x:c r="C18" s="373"/>
      <x:c r="D18" s="373"/>
      <x:c r="E18" s="373"/>
      <x:c r="F18" s="373"/>
      <x:c r="G18" s="373"/>
      <x:c r="H18" s="373"/>
      <x:c r="I18" s="373"/>
      <x:c r="J18" s="373"/>
      <x:c r="K18" s="373"/>
      <x:c r="L18" s="373"/>
      <x:c r="M18" s="373"/>
      <x:c r="N18" s="373"/>
      <x:c r="O18" s="373"/>
      <x:c r="P18" s="373"/>
      <x:c r="Q18" s="373"/>
      <x:c r="R18" s="373"/>
      <x:c r="S18" s="373"/>
      <x:c r="T18" s="373"/>
      <x:c r="U18" s="373"/>
      <x:c r="V18" s="373"/>
      <x:c r="W18" s="373"/>
      <x:c r="X18" s="373"/>
      <x:c r="Y18" s="373"/>
      <x:c r="Z18" s="373"/>
    </x:row>
    <x:row r="19">
      <x:c r="A19" s="373"/>
      <x:c r="B19" s="373"/>
      <x:c r="C19" s="373"/>
      <x:c r="D19" s="373"/>
      <x:c r="E19" s="373"/>
      <x:c r="F19" s="373"/>
      <x:c r="G19" s="373"/>
      <x:c r="H19" s="373"/>
      <x:c r="I19" s="373"/>
      <x:c r="J19" s="373"/>
      <x:c r="K19" s="373"/>
      <x:c r="L19" s="373"/>
      <x:c r="M19" s="373"/>
      <x:c r="N19" s="373"/>
      <x:c r="O19" s="373"/>
      <x:c r="P19" s="373"/>
      <x:c r="Q19" s="373"/>
      <x:c r="R19" s="373"/>
      <x:c r="S19" s="373"/>
      <x:c r="T19" s="373"/>
      <x:c r="U19" s="373"/>
      <x:c r="V19" s="373"/>
      <x:c r="W19" s="373"/>
      <x:c r="X19" s="373"/>
      <x:c r="Y19" s="373"/>
      <x:c r="Z19" s="373"/>
    </x:row>
    <x:row r="20">
      <x:c r="A20" s="373"/>
      <x:c r="B20" s="373"/>
      <x:c r="C20" s="373"/>
      <x:c r="D20" s="373"/>
      <x:c r="E20" s="373"/>
      <x:c r="F20" s="373"/>
      <x:c r="G20" s="373"/>
      <x:c r="H20" s="373"/>
      <x:c r="I20" s="373"/>
      <x:c r="J20" s="373"/>
      <x:c r="K20" s="373"/>
      <x:c r="L20" s="373"/>
      <x:c r="M20" s="373"/>
      <x:c r="N20" s="373"/>
      <x:c r="O20" s="373"/>
      <x:c r="P20" s="373"/>
      <x:c r="Q20" s="373"/>
      <x:c r="R20" s="373"/>
      <x:c r="S20" s="373"/>
      <x:c r="T20" s="373"/>
      <x:c r="U20" s="373"/>
      <x:c r="V20" s="373"/>
      <x:c r="W20" s="373"/>
      <x:c r="X20" s="373"/>
      <x:c r="Y20" s="373"/>
      <x:c r="Z20" s="373"/>
    </x:row>
    <x:row r="21">
      <x:c r="A21" s="373"/>
      <x:c r="B21" s="373"/>
      <x:c r="C21" s="373"/>
      <x:c r="D21" s="373"/>
      <x:c r="E21" s="373"/>
      <x:c r="F21" s="373"/>
      <x:c r="G21" s="373"/>
      <x:c r="H21" s="373"/>
      <x:c r="I21" s="373"/>
      <x:c r="J21" s="373"/>
      <x:c r="K21" s="373"/>
      <x:c r="L21" s="373"/>
      <x:c r="M21" s="373"/>
      <x:c r="N21" s="373"/>
      <x:c r="O21" s="373"/>
      <x:c r="P21" s="373"/>
      <x:c r="Q21" s="373"/>
      <x:c r="R21" s="373"/>
      <x:c r="S21" s="373"/>
      <x:c r="T21" s="373"/>
      <x:c r="U21" s="373"/>
      <x:c r="V21" s="373"/>
      <x:c r="W21" s="373"/>
      <x:c r="X21" s="373"/>
      <x:c r="Y21" s="373"/>
      <x:c r="Z21" s="373"/>
    </x:row>
    <x:row r="22">
      <x:c r="A22" s="373"/>
      <x:c r="B22" s="373"/>
      <x:c r="C22" s="373"/>
      <x:c r="D22" s="373"/>
      <x:c r="E22" s="373"/>
      <x:c r="F22" s="373"/>
      <x:c r="G22" s="373"/>
      <x:c r="H22" s="373"/>
      <x:c r="I22" s="373"/>
      <x:c r="J22" s="373"/>
      <x:c r="K22" s="373"/>
      <x:c r="L22" s="373"/>
      <x:c r="M22" s="373"/>
      <x:c r="N22" s="373"/>
      <x:c r="O22" s="373"/>
      <x:c r="P22" s="373"/>
      <x:c r="Q22" s="373"/>
      <x:c r="R22" s="373"/>
      <x:c r="S22" s="373"/>
      <x:c r="T22" s="373"/>
      <x:c r="U22" s="373"/>
      <x:c r="V22" s="373"/>
      <x:c r="W22" s="373"/>
      <x:c r="X22" s="373"/>
      <x:c r="Y22" s="373"/>
      <x:c r="Z22" s="373"/>
    </x:row>
    <x:row r="23">
      <x:c r="A23" s="373"/>
      <x:c r="B23" s="373"/>
      <x:c r="C23" s="373"/>
      <x:c r="D23" s="373"/>
      <x:c r="E23" s="373"/>
      <x:c r="F23" s="373"/>
      <x:c r="G23" s="373"/>
      <x:c r="H23" s="373"/>
      <x:c r="I23" s="373"/>
      <x:c r="J23" s="373"/>
      <x:c r="K23" s="373"/>
      <x:c r="L23" s="373"/>
      <x:c r="M23" s="373"/>
      <x:c r="N23" s="373"/>
      <x:c r="O23" s="373"/>
      <x:c r="P23" s="373"/>
      <x:c r="Q23" s="373"/>
      <x:c r="R23" s="373"/>
      <x:c r="S23" s="373"/>
      <x:c r="T23" s="373"/>
      <x:c r="U23" s="373"/>
      <x:c r="V23" s="373"/>
      <x:c r="W23" s="373"/>
      <x:c r="X23" s="373"/>
      <x:c r="Y23" s="373"/>
      <x:c r="Z23" s="373"/>
    </x:row>
    <x:row r="24">
      <x:c r="A24" s="373"/>
      <x:c r="B24" s="373"/>
      <x:c r="C24" s="373"/>
      <x:c r="D24" s="373"/>
      <x:c r="E24" s="373"/>
      <x:c r="F24" s="373"/>
      <x:c r="G24" s="373"/>
      <x:c r="H24" s="373"/>
      <x:c r="I24" s="373"/>
      <x:c r="J24" s="373"/>
      <x:c r="K24" s="373"/>
      <x:c r="L24" s="373"/>
      <x:c r="M24" s="373"/>
      <x:c r="N24" s="373"/>
      <x:c r="O24" s="373"/>
      <x:c r="P24" s="373"/>
      <x:c r="Q24" s="373"/>
      <x:c r="R24" s="373"/>
      <x:c r="S24" s="373"/>
      <x:c r="T24" s="373"/>
      <x:c r="U24" s="373"/>
      <x:c r="V24" s="373"/>
      <x:c r="W24" s="373"/>
      <x:c r="X24" s="373"/>
      <x:c r="Y24" s="373"/>
      <x:c r="Z24" s="373"/>
    </x:row>
    <x:row r="25">
      <x:c r="A25" s="373"/>
      <x:c r="B25" s="373"/>
      <x:c r="C25" s="373"/>
      <x:c r="D25" s="373"/>
      <x:c r="E25" s="373"/>
      <x:c r="F25" s="373"/>
      <x:c r="G25" s="373"/>
      <x:c r="H25" s="373"/>
      <x:c r="I25" s="373"/>
      <x:c r="J25" s="373"/>
      <x:c r="K25" s="373"/>
      <x:c r="L25" s="373"/>
      <x:c r="M25" s="373"/>
      <x:c r="N25" s="373"/>
      <x:c r="O25" s="373"/>
      <x:c r="P25" s="373"/>
      <x:c r="Q25" s="373"/>
      <x:c r="R25" s="373"/>
      <x:c r="S25" s="373"/>
      <x:c r="T25" s="373"/>
      <x:c r="U25" s="373"/>
      <x:c r="V25" s="373"/>
      <x:c r="W25" s="373"/>
      <x:c r="X25" s="373"/>
      <x:c r="Y25" s="373"/>
      <x:c r="Z25" s="373"/>
    </x:row>
    <x:row r="26">
      <x:c r="A26" s="373"/>
      <x:c r="B26" s="373"/>
      <x:c r="C26" s="373"/>
      <x:c r="D26" s="373"/>
      <x:c r="E26" s="373"/>
      <x:c r="F26" s="373"/>
      <x:c r="G26" s="373"/>
      <x:c r="H26" s="373"/>
      <x:c r="I26" s="373"/>
      <x:c r="J26" s="373"/>
      <x:c r="K26" s="373"/>
      <x:c r="L26" s="373"/>
      <x:c r="M26" s="373"/>
      <x:c r="N26" s="373"/>
      <x:c r="O26" s="373"/>
      <x:c r="P26" s="373"/>
      <x:c r="Q26" s="373"/>
      <x:c r="R26" s="373"/>
      <x:c r="S26" s="373"/>
      <x:c r="T26" s="373"/>
      <x:c r="U26" s="373"/>
      <x:c r="V26" s="373"/>
      <x:c r="W26" s="373"/>
      <x:c r="X26" s="373"/>
      <x:c r="Y26" s="373"/>
      <x:c r="Z26" s="373"/>
    </x:row>
    <x:row r="27">
      <x:c r="A27" s="373"/>
      <x:c r="B27" s="373"/>
      <x:c r="C27" s="373"/>
      <x:c r="D27" s="373"/>
      <x:c r="E27" s="373"/>
      <x:c r="F27" s="373"/>
      <x:c r="G27" s="373"/>
      <x:c r="H27" s="373"/>
      <x:c r="I27" s="373"/>
      <x:c r="J27" s="373"/>
      <x:c r="K27" s="373"/>
      <x:c r="L27" s="373"/>
      <x:c r="M27" s="373"/>
      <x:c r="N27" s="373"/>
      <x:c r="O27" s="373"/>
      <x:c r="P27" s="373"/>
      <x:c r="Q27" s="373"/>
      <x:c r="R27" s="373"/>
      <x:c r="S27" s="373"/>
      <x:c r="T27" s="373"/>
      <x:c r="U27" s="373"/>
      <x:c r="V27" s="373"/>
      <x:c r="W27" s="373"/>
      <x:c r="X27" s="373"/>
      <x:c r="Y27" s="373"/>
      <x:c r="Z27" s="373"/>
    </x:row>
    <x:row r="28">
      <x:c r="A28" s="373"/>
      <x:c r="B28" s="373"/>
      <x:c r="C28" s="373"/>
      <x:c r="D28" s="373"/>
      <x:c r="E28" s="373"/>
      <x:c r="F28" s="373"/>
      <x:c r="G28" s="373"/>
      <x:c r="H28" s="373"/>
      <x:c r="I28" s="373"/>
      <x:c r="J28" s="373"/>
      <x:c r="K28" s="373"/>
      <x:c r="L28" s="373"/>
      <x:c r="M28" s="373"/>
      <x:c r="N28" s="373"/>
      <x:c r="O28" s="373"/>
      <x:c r="P28" s="373"/>
      <x:c r="Q28" s="373"/>
      <x:c r="R28" s="373"/>
      <x:c r="S28" s="373"/>
      <x:c r="T28" s="373"/>
      <x:c r="U28" s="373"/>
      <x:c r="V28" s="373"/>
      <x:c r="W28" s="373"/>
      <x:c r="X28" s="373"/>
      <x:c r="Y28" s="373"/>
      <x:c r="Z28" s="373"/>
    </x:row>
    <x:row r="29">
      <x:c r="A29" s="373"/>
      <x:c r="B29" s="373"/>
      <x:c r="C29" s="373"/>
      <x:c r="D29" s="373"/>
      <x:c r="E29" s="373"/>
      <x:c r="F29" s="373"/>
      <x:c r="G29" s="373"/>
      <x:c r="H29" s="373"/>
      <x:c r="I29" s="373"/>
      <x:c r="J29" s="373"/>
      <x:c r="K29" s="373"/>
      <x:c r="L29" s="373"/>
      <x:c r="M29" s="373"/>
      <x:c r="N29" s="373"/>
      <x:c r="O29" s="373"/>
      <x:c r="P29" s="373"/>
      <x:c r="Q29" s="373"/>
      <x:c r="R29" s="373"/>
      <x:c r="S29" s="373"/>
      <x:c r="T29" s="373"/>
      <x:c r="U29" s="373"/>
      <x:c r="V29" s="373"/>
      <x:c r="W29" s="373"/>
      <x:c r="X29" s="373"/>
      <x:c r="Y29" s="373"/>
      <x:c r="Z29" s="373"/>
    </x:row>
    <x:row r="30">
      <x:c r="A30" s="373"/>
      <x:c r="B30" s="373"/>
      <x:c r="C30" s="373"/>
      <x:c r="D30" s="373"/>
      <x:c r="E30" s="373"/>
      <x:c r="F30" s="373"/>
      <x:c r="G30" s="373"/>
      <x:c r="H30" s="373"/>
      <x:c r="I30" s="373"/>
      <x:c r="J30" s="373"/>
      <x:c r="K30" s="373"/>
      <x:c r="L30" s="373"/>
      <x:c r="M30" s="373"/>
      <x:c r="N30" s="373"/>
      <x:c r="O30" s="373"/>
      <x:c r="P30" s="373"/>
      <x:c r="Q30" s="373"/>
      <x:c r="R30" s="373"/>
      <x:c r="S30" s="373"/>
      <x:c r="T30" s="373"/>
      <x:c r="U30" s="373"/>
      <x:c r="V30" s="373"/>
      <x:c r="W30" s="373"/>
      <x:c r="X30" s="373"/>
      <x:c r="Y30" s="373"/>
      <x:c r="Z30" s="373"/>
    </x:row>
    <x:row r="31">
      <x:c r="A31" s="373"/>
      <x:c r="B31" s="373"/>
      <x:c r="C31" s="373"/>
      <x:c r="D31" s="373"/>
      <x:c r="E31" s="373"/>
      <x:c r="F31" s="373"/>
      <x:c r="G31" s="373"/>
      <x:c r="H31" s="373"/>
      <x:c r="I31" s="373"/>
      <x:c r="J31" s="373"/>
      <x:c r="K31" s="373"/>
      <x:c r="L31" s="373"/>
      <x:c r="M31" s="373"/>
      <x:c r="N31" s="373"/>
      <x:c r="O31" s="373"/>
      <x:c r="P31" s="373"/>
      <x:c r="Q31" s="373"/>
      <x:c r="R31" s="373"/>
      <x:c r="S31" s="373"/>
      <x:c r="T31" s="373"/>
      <x:c r="U31" s="373"/>
      <x:c r="V31" s="373"/>
      <x:c r="W31" s="373"/>
      <x:c r="X31" s="373"/>
      <x:c r="Y31" s="373"/>
      <x:c r="Z31" s="373"/>
    </x:row>
    <x:row r="32">
      <x:c r="A32" s="373"/>
      <x:c r="B32" s="373"/>
      <x:c r="C32" s="373"/>
      <x:c r="D32" s="373"/>
      <x:c r="E32" s="373"/>
      <x:c r="F32" s="373"/>
      <x:c r="G32" s="373"/>
      <x:c r="H32" s="373"/>
      <x:c r="I32" s="373"/>
      <x:c r="J32" s="373"/>
      <x:c r="K32" s="373"/>
      <x:c r="L32" s="373"/>
      <x:c r="M32" s="373"/>
      <x:c r="N32" s="373"/>
      <x:c r="O32" s="373"/>
      <x:c r="P32" s="373"/>
      <x:c r="Q32" s="373"/>
      <x:c r="R32" s="373"/>
      <x:c r="S32" s="373"/>
      <x:c r="T32" s="373"/>
      <x:c r="U32" s="373"/>
      <x:c r="V32" s="373"/>
      <x:c r="W32" s="373"/>
      <x:c r="X32" s="373"/>
      <x:c r="Y32" s="373"/>
      <x:c r="Z32" s="373"/>
    </x:row>
    <x:row r="33">
      <x:c r="A33" s="373"/>
      <x:c r="B33" s="373"/>
      <x:c r="C33" s="373"/>
      <x:c r="D33" s="373"/>
      <x:c r="E33" s="373"/>
      <x:c r="F33" s="373"/>
      <x:c r="G33" s="373"/>
      <x:c r="H33" s="373"/>
      <x:c r="I33" s="373"/>
      <x:c r="J33" s="373"/>
      <x:c r="K33" s="373"/>
      <x:c r="L33" s="373"/>
      <x:c r="M33" s="373"/>
      <x:c r="N33" s="373"/>
      <x:c r="O33" s="373"/>
      <x:c r="P33" s="373"/>
      <x:c r="Q33" s="373"/>
      <x:c r="R33" s="373"/>
      <x:c r="S33" s="373"/>
      <x:c r="T33" s="373"/>
      <x:c r="U33" s="373"/>
      <x:c r="V33" s="373"/>
      <x:c r="W33" s="373"/>
      <x:c r="X33" s="373"/>
      <x:c r="Y33" s="373"/>
      <x:c r="Z33" s="373"/>
    </x:row>
    <x:row r="34">
      <x:c r="A34" s="373"/>
      <x:c r="B34" s="373"/>
      <x:c r="C34" s="373"/>
      <x:c r="D34" s="373"/>
      <x:c r="E34" s="373"/>
      <x:c r="F34" s="373"/>
      <x:c r="G34" s="373"/>
      <x:c r="H34" s="373"/>
      <x:c r="I34" s="373"/>
      <x:c r="J34" s="373"/>
      <x:c r="K34" s="373"/>
      <x:c r="L34" s="373"/>
      <x:c r="M34" s="373"/>
      <x:c r="N34" s="373"/>
      <x:c r="O34" s="373"/>
      <x:c r="P34" s="373"/>
      <x:c r="Q34" s="373"/>
      <x:c r="R34" s="373"/>
      <x:c r="S34" s="373"/>
      <x:c r="T34" s="373"/>
      <x:c r="U34" s="373"/>
      <x:c r="V34" s="373"/>
      <x:c r="W34" s="373"/>
      <x:c r="X34" s="373"/>
      <x:c r="Y34" s="373"/>
      <x:c r="Z34" s="373"/>
    </x:row>
    <x:row r="35">
      <x:c r="A35" s="373"/>
      <x:c r="B35" s="373"/>
      <x:c r="C35" s="373"/>
      <x:c r="D35" s="373"/>
      <x:c r="E35" s="373"/>
      <x:c r="F35" s="373"/>
      <x:c r="G35" s="373"/>
      <x:c r="H35" s="373"/>
      <x:c r="I35" s="373"/>
      <x:c r="J35" s="373"/>
      <x:c r="K35" s="373"/>
      <x:c r="L35" s="373"/>
      <x:c r="M35" s="373"/>
      <x:c r="N35" s="373"/>
      <x:c r="O35" s="373"/>
      <x:c r="P35" s="373"/>
      <x:c r="Q35" s="373"/>
      <x:c r="R35" s="373"/>
      <x:c r="S35" s="373"/>
      <x:c r="T35" s="373"/>
      <x:c r="U35" s="373"/>
      <x:c r="V35" s="373"/>
      <x:c r="W35" s="373"/>
      <x:c r="X35" s="373"/>
      <x:c r="Y35" s="373"/>
      <x:c r="Z35" s="373"/>
    </x:row>
    <x:row r="36">
      <x:c r="A36" s="373"/>
      <x:c r="B36" s="373"/>
      <x:c r="C36" s="373"/>
      <x:c r="D36" s="373"/>
      <x:c r="E36" s="373"/>
      <x:c r="F36" s="373"/>
      <x:c r="G36" s="373"/>
      <x:c r="H36" s="373"/>
      <x:c r="I36" s="373"/>
      <x:c r="J36" s="373"/>
      <x:c r="K36" s="373"/>
      <x:c r="L36" s="373"/>
      <x:c r="M36" s="373"/>
      <x:c r="N36" s="373"/>
      <x:c r="O36" s="373"/>
      <x:c r="P36" s="373"/>
      <x:c r="Q36" s="373"/>
      <x:c r="R36" s="373"/>
      <x:c r="S36" s="373"/>
      <x:c r="T36" s="373"/>
      <x:c r="U36" s="373"/>
      <x:c r="V36" s="373"/>
      <x:c r="W36" s="373"/>
      <x:c r="X36" s="373"/>
      <x:c r="Y36" s="373"/>
      <x:c r="Z36" s="373"/>
    </x:row>
    <x:row r="37">
      <x:c r="A37" s="373"/>
      <x:c r="B37" s="373"/>
      <x:c r="C37" s="373"/>
      <x:c r="D37" s="373"/>
      <x:c r="E37" s="373"/>
      <x:c r="F37" s="373"/>
      <x:c r="G37" s="373"/>
      <x:c r="H37" s="373"/>
      <x:c r="I37" s="373"/>
      <x:c r="J37" s="373"/>
      <x:c r="K37" s="373"/>
      <x:c r="L37" s="373"/>
      <x:c r="M37" s="373"/>
      <x:c r="N37" s="373"/>
      <x:c r="O37" s="373"/>
      <x:c r="P37" s="373"/>
      <x:c r="Q37" s="373"/>
      <x:c r="R37" s="373"/>
      <x:c r="S37" s="373"/>
      <x:c r="T37" s="373"/>
      <x:c r="U37" s="373"/>
      <x:c r="V37" s="373"/>
      <x:c r="W37" s="373"/>
      <x:c r="X37" s="373"/>
      <x:c r="Y37" s="373"/>
      <x:c r="Z37" s="373"/>
    </x:row>
    <x:row r="38">
      <x:c r="A38" s="373"/>
      <x:c r="B38" s="373"/>
      <x:c r="C38" s="373"/>
      <x:c r="D38" s="373"/>
      <x:c r="E38" s="373"/>
      <x:c r="F38" s="373"/>
      <x:c r="G38" s="373"/>
      <x:c r="H38" s="373"/>
      <x:c r="I38" s="373"/>
      <x:c r="J38" s="373"/>
      <x:c r="K38" s="373"/>
      <x:c r="L38" s="373"/>
      <x:c r="M38" s="373"/>
      <x:c r="N38" s="373"/>
      <x:c r="O38" s="373"/>
      <x:c r="P38" s="373"/>
      <x:c r="Q38" s="373"/>
      <x:c r="R38" s="373"/>
      <x:c r="S38" s="373"/>
      <x:c r="T38" s="373"/>
      <x:c r="U38" s="373"/>
      <x:c r="V38" s="373"/>
      <x:c r="W38" s="373"/>
      <x:c r="X38" s="373"/>
      <x:c r="Y38" s="373"/>
      <x:c r="Z38" s="373"/>
    </x:row>
    <x:row r="39">
      <x:c r="A39" s="373"/>
      <x:c r="B39" s="373"/>
      <x:c r="C39" s="373"/>
      <x:c r="D39" s="373"/>
      <x:c r="E39" s="373"/>
      <x:c r="F39" s="373"/>
      <x:c r="G39" s="373"/>
      <x:c r="H39" s="373"/>
      <x:c r="I39" s="373"/>
      <x:c r="J39" s="373"/>
      <x:c r="K39" s="373"/>
      <x:c r="L39" s="373"/>
      <x:c r="M39" s="373"/>
      <x:c r="N39" s="373"/>
      <x:c r="O39" s="373"/>
      <x:c r="P39" s="373"/>
      <x:c r="Q39" s="373"/>
      <x:c r="R39" s="373"/>
      <x:c r="S39" s="373"/>
      <x:c r="T39" s="373"/>
      <x:c r="U39" s="373"/>
      <x:c r="V39" s="373"/>
      <x:c r="W39" s="373"/>
      <x:c r="X39" s="373"/>
      <x:c r="Y39" s="373"/>
      <x:c r="Z39" s="373"/>
    </x:row>
    <x:row r="40">
      <x:c r="A40" s="373"/>
      <x:c r="B40" s="373"/>
      <x:c r="C40" s="373"/>
      <x:c r="D40" s="373"/>
      <x:c r="E40" s="373"/>
      <x:c r="F40" s="373"/>
      <x:c r="G40" s="373"/>
      <x:c r="H40" s="373"/>
      <x:c r="I40" s="373"/>
      <x:c r="J40" s="373"/>
      <x:c r="K40" s="373"/>
      <x:c r="L40" s="373"/>
      <x:c r="M40" s="373"/>
      <x:c r="N40" s="373"/>
      <x:c r="O40" s="373"/>
      <x:c r="P40" s="373"/>
      <x:c r="Q40" s="373"/>
      <x:c r="R40" s="373"/>
      <x:c r="S40" s="373"/>
      <x:c r="T40" s="373"/>
      <x:c r="U40" s="373"/>
      <x:c r="V40" s="373"/>
      <x:c r="W40" s="373"/>
      <x:c r="X40" s="373"/>
      <x:c r="Y40" s="373"/>
      <x:c r="Z40" s="373"/>
    </x:row>
    <x:row r="41">
      <x:c r="A41" s="373"/>
      <x:c r="B41" s="373"/>
      <x:c r="C41" s="373"/>
      <x:c r="D41" s="373"/>
      <x:c r="E41" s="373"/>
      <x:c r="F41" s="373"/>
      <x:c r="G41" s="373"/>
      <x:c r="H41" s="373"/>
      <x:c r="I41" s="373"/>
      <x:c r="J41" s="373"/>
      <x:c r="K41" s="373"/>
      <x:c r="L41" s="373"/>
      <x:c r="M41" s="373"/>
      <x:c r="N41" s="373"/>
      <x:c r="O41" s="373"/>
      <x:c r="P41" s="373"/>
      <x:c r="Q41" s="373"/>
      <x:c r="R41" s="373"/>
      <x:c r="S41" s="373"/>
      <x:c r="T41" s="373"/>
      <x:c r="U41" s="373"/>
      <x:c r="V41" s="373"/>
      <x:c r="W41" s="373"/>
      <x:c r="X41" s="373"/>
      <x:c r="Y41" s="373"/>
      <x:c r="Z41" s="373"/>
    </x:row>
    <x:row r="42">
      <x:c r="A42" s="373"/>
      <x:c r="B42" s="373"/>
      <x:c r="C42" s="373"/>
      <x:c r="D42" s="373"/>
      <x:c r="E42" s="373"/>
      <x:c r="F42" s="373"/>
      <x:c r="G42" s="373"/>
      <x:c r="H42" s="373"/>
      <x:c r="I42" s="373"/>
      <x:c r="J42" s="373"/>
      <x:c r="K42" s="373"/>
      <x:c r="L42" s="373"/>
      <x:c r="M42" s="373"/>
      <x:c r="N42" s="373"/>
      <x:c r="O42" s="373"/>
      <x:c r="P42" s="373"/>
      <x:c r="Q42" s="373"/>
      <x:c r="R42" s="373"/>
      <x:c r="S42" s="373"/>
      <x:c r="T42" s="373"/>
      <x:c r="U42" s="373"/>
      <x:c r="V42" s="373"/>
      <x:c r="W42" s="373"/>
      <x:c r="X42" s="373"/>
      <x:c r="Y42" s="373"/>
      <x:c r="Z42" s="373"/>
    </x:row>
    <x:row r="43">
      <x:c r="A43" s="373"/>
      <x:c r="B43" s="373"/>
      <x:c r="C43" s="373"/>
      <x:c r="D43" s="373"/>
      <x:c r="E43" s="373"/>
      <x:c r="F43" s="373"/>
      <x:c r="G43" s="373"/>
      <x:c r="H43" s="373"/>
      <x:c r="I43" s="373"/>
      <x:c r="J43" s="373"/>
      <x:c r="K43" s="373"/>
      <x:c r="L43" s="373"/>
      <x:c r="M43" s="373"/>
      <x:c r="N43" s="373"/>
      <x:c r="O43" s="373"/>
      <x:c r="P43" s="373"/>
      <x:c r="Q43" s="373"/>
      <x:c r="R43" s="373"/>
      <x:c r="S43" s="373"/>
      <x:c r="T43" s="373"/>
      <x:c r="U43" s="373"/>
      <x:c r="V43" s="373"/>
      <x:c r="W43" s="373"/>
      <x:c r="X43" s="373"/>
      <x:c r="Y43" s="373"/>
      <x:c r="Z43" s="373"/>
    </x:row>
    <x:row r="44">
      <x:c r="A44" s="373"/>
      <x:c r="B44" s="373"/>
      <x:c r="C44" s="373"/>
      <x:c r="D44" s="373"/>
      <x:c r="E44" s="373"/>
      <x:c r="F44" s="373"/>
      <x:c r="G44" s="373"/>
      <x:c r="H44" s="373"/>
      <x:c r="I44" s="373"/>
      <x:c r="J44" s="373"/>
      <x:c r="K44" s="373"/>
      <x:c r="L44" s="373"/>
      <x:c r="M44" s="373"/>
      <x:c r="N44" s="373"/>
      <x:c r="O44" s="373"/>
      <x:c r="P44" s="373"/>
      <x:c r="Q44" s="373"/>
      <x:c r="R44" s="373"/>
      <x:c r="S44" s="373"/>
      <x:c r="T44" s="373"/>
      <x:c r="U44" s="373"/>
      <x:c r="V44" s="373"/>
      <x:c r="W44" s="373"/>
      <x:c r="X44" s="373"/>
      <x:c r="Y44" s="373"/>
      <x:c r="Z44" s="373"/>
    </x:row>
    <x:row r="45">
      <x:c r="A45" s="373"/>
      <x:c r="B45" s="373"/>
      <x:c r="C45" s="373"/>
      <x:c r="D45" s="373"/>
      <x:c r="E45" s="373"/>
      <x:c r="F45" s="373"/>
      <x:c r="G45" s="373"/>
      <x:c r="H45" s="373"/>
      <x:c r="I45" s="373"/>
      <x:c r="J45" s="373"/>
      <x:c r="K45" s="373"/>
      <x:c r="L45" s="373"/>
      <x:c r="M45" s="373"/>
      <x:c r="N45" s="373"/>
      <x:c r="O45" s="373"/>
      <x:c r="P45" s="373"/>
      <x:c r="Q45" s="373"/>
      <x:c r="R45" s="373"/>
      <x:c r="S45" s="373"/>
      <x:c r="T45" s="373"/>
      <x:c r="U45" s="373"/>
      <x:c r="V45" s="373"/>
      <x:c r="W45" s="373"/>
      <x:c r="X45" s="373"/>
      <x:c r="Y45" s="373"/>
      <x:c r="Z45" s="373"/>
    </x:row>
    <x:row r="46">
      <x:c r="A46" s="373"/>
      <x:c r="B46" s="373"/>
      <x:c r="C46" s="373"/>
      <x:c r="D46" s="373"/>
      <x:c r="E46" s="373"/>
      <x:c r="F46" s="373"/>
      <x:c r="G46" s="373"/>
      <x:c r="H46" s="373"/>
      <x:c r="I46" s="373"/>
      <x:c r="J46" s="373"/>
      <x:c r="K46" s="373"/>
      <x:c r="L46" s="373"/>
      <x:c r="M46" s="373"/>
      <x:c r="N46" s="373"/>
      <x:c r="O46" s="373"/>
      <x:c r="P46" s="373"/>
      <x:c r="Q46" s="373"/>
      <x:c r="R46" s="373"/>
      <x:c r="S46" s="373"/>
      <x:c r="T46" s="373"/>
      <x:c r="U46" s="373"/>
      <x:c r="V46" s="373"/>
      <x:c r="W46" s="373"/>
      <x:c r="X46" s="373"/>
      <x:c r="Y46" s="373"/>
      <x:c r="Z46" s="373"/>
    </x:row>
    <x:row r="47">
      <x:c r="A47" s="373"/>
      <x:c r="B47" s="373"/>
      <x:c r="C47" s="373"/>
      <x:c r="D47" s="373"/>
      <x:c r="E47" s="373"/>
      <x:c r="F47" s="373"/>
      <x:c r="G47" s="373"/>
      <x:c r="H47" s="373"/>
      <x:c r="I47" s="373"/>
      <x:c r="J47" s="373"/>
      <x:c r="K47" s="373"/>
      <x:c r="L47" s="373"/>
      <x:c r="M47" s="373"/>
      <x:c r="N47" s="373"/>
      <x:c r="O47" s="373"/>
      <x:c r="P47" s="373"/>
      <x:c r="Q47" s="373"/>
      <x:c r="R47" s="373"/>
      <x:c r="S47" s="373"/>
      <x:c r="T47" s="373"/>
      <x:c r="U47" s="373"/>
      <x:c r="V47" s="373"/>
      <x:c r="W47" s="373"/>
      <x:c r="X47" s="373"/>
      <x:c r="Y47" s="373"/>
      <x:c r="Z47" s="373"/>
    </x:row>
    <x:row r="48">
      <x:c r="A48" s="373"/>
      <x:c r="B48" s="373"/>
      <x:c r="C48" s="373"/>
      <x:c r="D48" s="373"/>
      <x:c r="E48" s="373"/>
      <x:c r="F48" s="373"/>
      <x:c r="G48" s="373"/>
      <x:c r="H48" s="373"/>
      <x:c r="I48" s="373"/>
      <x:c r="J48" s="373"/>
      <x:c r="K48" s="373"/>
      <x:c r="L48" s="373"/>
      <x:c r="M48" s="373"/>
      <x:c r="N48" s="373"/>
      <x:c r="O48" s="373"/>
      <x:c r="P48" s="373"/>
      <x:c r="Q48" s="373"/>
      <x:c r="R48" s="373"/>
      <x:c r="S48" s="373"/>
      <x:c r="T48" s="373"/>
      <x:c r="U48" s="373"/>
      <x:c r="V48" s="373"/>
      <x:c r="W48" s="373"/>
      <x:c r="X48" s="373"/>
      <x:c r="Y48" s="373"/>
      <x:c r="Z48" s="373"/>
    </x:row>
    <x:row r="49">
      <x:c r="A49" s="373"/>
      <x:c r="B49" s="373"/>
      <x:c r="C49" s="373"/>
      <x:c r="D49" s="373"/>
      <x:c r="E49" s="373"/>
      <x:c r="F49" s="373"/>
      <x:c r="G49" s="373"/>
      <x:c r="H49" s="373"/>
      <x:c r="I49" s="373"/>
      <x:c r="J49" s="373"/>
      <x:c r="K49" s="373"/>
      <x:c r="L49" s="373"/>
      <x:c r="M49" s="373"/>
      <x:c r="N49" s="373"/>
      <x:c r="O49" s="373"/>
      <x:c r="P49" s="373"/>
      <x:c r="Q49" s="373"/>
      <x:c r="R49" s="373"/>
      <x:c r="S49" s="373"/>
      <x:c r="T49" s="373"/>
      <x:c r="U49" s="373"/>
      <x:c r="V49" s="373"/>
      <x:c r="W49" s="373"/>
      <x:c r="X49" s="373"/>
      <x:c r="Y49" s="373"/>
      <x:c r="Z49" s="373"/>
    </x:row>
    <x:row r="50">
      <x:c r="A50" s="373"/>
      <x:c r="B50" s="373"/>
      <x:c r="C50" s="373"/>
      <x:c r="D50" s="373"/>
      <x:c r="E50" s="373"/>
      <x:c r="F50" s="373"/>
      <x:c r="G50" s="373"/>
      <x:c r="H50" s="373"/>
      <x:c r="I50" s="373"/>
      <x:c r="J50" s="373"/>
      <x:c r="K50" s="373"/>
      <x:c r="L50" s="373"/>
      <x:c r="M50" s="373"/>
      <x:c r="N50" s="373"/>
      <x:c r="O50" s="373"/>
      <x:c r="P50" s="373"/>
      <x:c r="Q50" s="373"/>
      <x:c r="R50" s="373"/>
      <x:c r="S50" s="373"/>
      <x:c r="T50" s="373"/>
      <x:c r="U50" s="373"/>
      <x:c r="V50" s="373"/>
      <x:c r="W50" s="373"/>
      <x:c r="X50" s="373"/>
      <x:c r="Y50" s="373"/>
      <x:c r="Z50" s="373"/>
    </x:row>
    <x:row r="51">
      <x:c r="A51" s="373"/>
      <x:c r="B51" s="373"/>
      <x:c r="C51" s="373"/>
      <x:c r="D51" s="373"/>
      <x:c r="E51" s="373"/>
      <x:c r="F51" s="373"/>
      <x:c r="G51" s="373"/>
      <x:c r="H51" s="373"/>
      <x:c r="I51" s="373"/>
      <x:c r="J51" s="373"/>
      <x:c r="K51" s="373"/>
      <x:c r="L51" s="373"/>
      <x:c r="M51" s="373"/>
      <x:c r="N51" s="373"/>
      <x:c r="O51" s="373"/>
      <x:c r="P51" s="373"/>
      <x:c r="Q51" s="373"/>
      <x:c r="R51" s="373"/>
      <x:c r="S51" s="373"/>
      <x:c r="T51" s="373"/>
      <x:c r="U51" s="373"/>
      <x:c r="V51" s="373"/>
      <x:c r="W51" s="373"/>
      <x:c r="X51" s="373"/>
      <x:c r="Y51" s="373"/>
      <x:c r="Z51" s="373"/>
    </x:row>
    <x:row r="52">
      <x:c r="A52" s="373"/>
      <x:c r="B52" s="373"/>
      <x:c r="C52" s="373"/>
      <x:c r="D52" s="373"/>
      <x:c r="E52" s="373"/>
      <x:c r="F52" s="373"/>
      <x:c r="G52" s="373"/>
      <x:c r="H52" s="373"/>
      <x:c r="I52" s="373"/>
      <x:c r="J52" s="373"/>
      <x:c r="K52" s="373"/>
      <x:c r="L52" s="373"/>
      <x:c r="M52" s="373"/>
      <x:c r="N52" s="373"/>
      <x:c r="O52" s="373"/>
      <x:c r="P52" s="373"/>
      <x:c r="Q52" s="373"/>
      <x:c r="R52" s="373"/>
      <x:c r="S52" s="373"/>
      <x:c r="T52" s="373"/>
      <x:c r="U52" s="373"/>
      <x:c r="V52" s="373"/>
      <x:c r="W52" s="373"/>
      <x:c r="X52" s="373"/>
      <x:c r="Y52" s="373"/>
      <x:c r="Z52" s="373"/>
    </x:row>
    <x:row r="53">
      <x:c r="A53" s="373"/>
      <x:c r="B53" s="373"/>
      <x:c r="C53" s="373"/>
      <x:c r="D53" s="373"/>
      <x:c r="E53" s="373"/>
      <x:c r="F53" s="373"/>
      <x:c r="G53" s="373"/>
      <x:c r="H53" s="373"/>
      <x:c r="I53" s="373"/>
      <x:c r="J53" s="373"/>
      <x:c r="K53" s="373"/>
      <x:c r="L53" s="373"/>
      <x:c r="M53" s="373"/>
      <x:c r="N53" s="373"/>
      <x:c r="O53" s="373"/>
      <x:c r="P53" s="373"/>
      <x:c r="Q53" s="373"/>
      <x:c r="R53" s="373"/>
      <x:c r="S53" s="373"/>
      <x:c r="T53" s="373"/>
      <x:c r="U53" s="373"/>
      <x:c r="V53" s="373"/>
      <x:c r="W53" s="373"/>
      <x:c r="X53" s="373"/>
      <x:c r="Y53" s="373"/>
      <x:c r="Z53" s="373"/>
    </x:row>
    <x:row r="54">
      <x:c r="A54" s="373"/>
      <x:c r="B54" s="373"/>
      <x:c r="C54" s="373"/>
      <x:c r="D54" s="373"/>
      <x:c r="E54" s="373"/>
      <x:c r="F54" s="373"/>
      <x:c r="G54" s="373"/>
      <x:c r="H54" s="373"/>
      <x:c r="I54" s="373"/>
      <x:c r="J54" s="373"/>
      <x:c r="K54" s="373"/>
      <x:c r="L54" s="373"/>
      <x:c r="M54" s="373"/>
      <x:c r="N54" s="373"/>
      <x:c r="O54" s="373"/>
      <x:c r="P54" s="373"/>
      <x:c r="Q54" s="373"/>
      <x:c r="R54" s="373"/>
      <x:c r="S54" s="373"/>
      <x:c r="T54" s="373"/>
      <x:c r="U54" s="373"/>
      <x:c r="V54" s="373"/>
      <x:c r="W54" s="373"/>
      <x:c r="X54" s="373"/>
      <x:c r="Y54" s="373"/>
      <x:c r="Z54" s="373"/>
    </x:row>
    <x:row r="55">
      <x:c r="A55" s="373"/>
      <x:c r="B55" s="373"/>
      <x:c r="C55" s="373"/>
      <x:c r="D55" s="373"/>
      <x:c r="E55" s="373"/>
      <x:c r="F55" s="373"/>
      <x:c r="G55" s="373"/>
      <x:c r="H55" s="373"/>
      <x:c r="I55" s="373"/>
      <x:c r="J55" s="373"/>
      <x:c r="K55" s="373"/>
      <x:c r="L55" s="373"/>
      <x:c r="M55" s="373"/>
      <x:c r="N55" s="373"/>
      <x:c r="O55" s="373"/>
      <x:c r="P55" s="373"/>
      <x:c r="Q55" s="373"/>
      <x:c r="R55" s="373"/>
      <x:c r="S55" s="373"/>
      <x:c r="T55" s="373"/>
      <x:c r="U55" s="373"/>
      <x:c r="V55" s="373"/>
      <x:c r="W55" s="373"/>
      <x:c r="X55" s="373"/>
      <x:c r="Y55" s="373"/>
      <x:c r="Z55" s="373"/>
    </x:row>
    <x:row r="56">
      <x:c r="A56" s="373"/>
      <x:c r="B56" s="373"/>
      <x:c r="C56" s="373"/>
      <x:c r="D56" s="373"/>
      <x:c r="E56" s="373"/>
      <x:c r="F56" s="373"/>
      <x:c r="G56" s="373"/>
      <x:c r="H56" s="373"/>
      <x:c r="I56" s="373"/>
      <x:c r="J56" s="373"/>
      <x:c r="K56" s="373"/>
      <x:c r="L56" s="373"/>
      <x:c r="M56" s="373"/>
      <x:c r="N56" s="373"/>
      <x:c r="O56" s="373"/>
      <x:c r="P56" s="373"/>
      <x:c r="Q56" s="373"/>
      <x:c r="R56" s="373"/>
      <x:c r="S56" s="373"/>
      <x:c r="T56" s="373"/>
      <x:c r="U56" s="373"/>
      <x:c r="V56" s="373"/>
      <x:c r="W56" s="373"/>
      <x:c r="X56" s="373"/>
      <x:c r="Y56" s="373"/>
      <x:c r="Z56" s="373"/>
    </x:row>
    <x:row r="57">
      <x:c r="A57" s="373"/>
      <x:c r="B57" s="373"/>
      <x:c r="C57" s="373"/>
      <x:c r="D57" s="373"/>
      <x:c r="E57" s="373"/>
      <x:c r="F57" s="373"/>
      <x:c r="G57" s="373"/>
      <x:c r="H57" s="373"/>
      <x:c r="I57" s="373"/>
      <x:c r="J57" s="373"/>
      <x:c r="K57" s="373"/>
      <x:c r="L57" s="373"/>
      <x:c r="M57" s="373"/>
      <x:c r="N57" s="373"/>
      <x:c r="O57" s="373"/>
      <x:c r="P57" s="373"/>
      <x:c r="Q57" s="373"/>
      <x:c r="R57" s="373"/>
      <x:c r="S57" s="373"/>
      <x:c r="T57" s="373"/>
      <x:c r="U57" s="373"/>
      <x:c r="V57" s="373"/>
      <x:c r="W57" s="373"/>
      <x:c r="X57" s="373"/>
      <x:c r="Y57" s="373"/>
      <x:c r="Z57" s="373"/>
    </x:row>
    <x:row r="58">
      <x:c r="A58" s="373"/>
      <x:c r="B58" s="373"/>
      <x:c r="C58" s="373"/>
      <x:c r="D58" s="373"/>
      <x:c r="E58" s="373"/>
      <x:c r="F58" s="373"/>
      <x:c r="G58" s="373"/>
      <x:c r="H58" s="373"/>
      <x:c r="I58" s="373"/>
      <x:c r="J58" s="373"/>
      <x:c r="K58" s="373"/>
      <x:c r="L58" s="373"/>
      <x:c r="M58" s="373"/>
      <x:c r="N58" s="373"/>
      <x:c r="O58" s="373"/>
      <x:c r="P58" s="373"/>
      <x:c r="Q58" s="373"/>
      <x:c r="R58" s="373"/>
      <x:c r="S58" s="373"/>
      <x:c r="T58" s="373"/>
      <x:c r="U58" s="373"/>
      <x:c r="V58" s="373"/>
      <x:c r="W58" s="373"/>
      <x:c r="X58" s="373"/>
      <x:c r="Y58" s="373"/>
      <x:c r="Z58" s="373"/>
    </x:row>
    <x:row r="59">
      <x:c r="A59" s="373"/>
      <x:c r="B59" s="373"/>
      <x:c r="C59" s="373"/>
      <x:c r="D59" s="373"/>
      <x:c r="E59" s="373"/>
      <x:c r="F59" s="373"/>
      <x:c r="G59" s="373"/>
      <x:c r="H59" s="373"/>
      <x:c r="I59" s="373"/>
      <x:c r="J59" s="373"/>
      <x:c r="K59" s="373"/>
      <x:c r="L59" s="373"/>
      <x:c r="M59" s="373"/>
      <x:c r="N59" s="373"/>
      <x:c r="O59" s="373"/>
      <x:c r="P59" s="373"/>
      <x:c r="Q59" s="373"/>
      <x:c r="R59" s="373"/>
      <x:c r="S59" s="373"/>
      <x:c r="T59" s="373"/>
      <x:c r="U59" s="373"/>
      <x:c r="V59" s="373"/>
      <x:c r="W59" s="373"/>
      <x:c r="X59" s="373"/>
      <x:c r="Y59" s="373"/>
      <x:c r="Z59" s="373"/>
    </x:row>
    <x:row r="60">
      <x:c r="A60" s="373"/>
      <x:c r="B60" s="373"/>
      <x:c r="C60" s="373"/>
      <x:c r="D60" s="373"/>
      <x:c r="E60" s="373"/>
      <x:c r="F60" s="373"/>
      <x:c r="G60" s="373"/>
      <x:c r="H60" s="373"/>
      <x:c r="I60" s="373"/>
      <x:c r="J60" s="373"/>
      <x:c r="K60" s="373"/>
      <x:c r="L60" s="373"/>
      <x:c r="M60" s="373"/>
      <x:c r="N60" s="373"/>
      <x:c r="O60" s="373"/>
      <x:c r="P60" s="373"/>
      <x:c r="Q60" s="373"/>
      <x:c r="R60" s="373"/>
      <x:c r="S60" s="373"/>
      <x:c r="T60" s="373"/>
      <x:c r="U60" s="373"/>
      <x:c r="V60" s="373"/>
      <x:c r="W60" s="373"/>
      <x:c r="X60" s="373"/>
      <x:c r="Y60" s="373"/>
      <x:c r="Z60" s="373"/>
    </x:row>
    <x:row r="61">
      <x:c r="A61" s="373"/>
      <x:c r="B61" s="373"/>
      <x:c r="C61" s="373"/>
      <x:c r="D61" s="373"/>
      <x:c r="E61" s="373"/>
      <x:c r="F61" s="373"/>
      <x:c r="G61" s="373"/>
      <x:c r="H61" s="373"/>
      <x:c r="I61" s="373"/>
      <x:c r="J61" s="373"/>
      <x:c r="K61" s="373"/>
      <x:c r="L61" s="373"/>
      <x:c r="M61" s="373"/>
      <x:c r="N61" s="373"/>
      <x:c r="O61" s="373"/>
      <x:c r="P61" s="373"/>
      <x:c r="Q61" s="373"/>
      <x:c r="R61" s="373"/>
      <x:c r="S61" s="373"/>
      <x:c r="T61" s="373"/>
      <x:c r="U61" s="373"/>
      <x:c r="V61" s="373"/>
      <x:c r="W61" s="373"/>
      <x:c r="X61" s="373"/>
      <x:c r="Y61" s="373"/>
      <x:c r="Z61" s="373"/>
    </x:row>
    <x:row r="62">
      <x:c r="A62" s="373"/>
      <x:c r="B62" s="373"/>
      <x:c r="C62" s="373"/>
      <x:c r="D62" s="373"/>
      <x:c r="E62" s="373"/>
      <x:c r="F62" s="373"/>
      <x:c r="G62" s="373"/>
      <x:c r="H62" s="373"/>
      <x:c r="I62" s="373"/>
      <x:c r="J62" s="373"/>
      <x:c r="K62" s="373"/>
      <x:c r="L62" s="373"/>
      <x:c r="M62" s="373"/>
      <x:c r="N62" s="373"/>
      <x:c r="O62" s="373"/>
      <x:c r="P62" s="373"/>
      <x:c r="Q62" s="373"/>
      <x:c r="R62" s="373"/>
      <x:c r="S62" s="373"/>
      <x:c r="T62" s="373"/>
      <x:c r="U62" s="373"/>
      <x:c r="V62" s="373"/>
      <x:c r="W62" s="373"/>
      <x:c r="X62" s="373"/>
      <x:c r="Y62" s="373"/>
      <x:c r="Z62" s="373"/>
    </x:row>
    <x:row r="63">
      <x:c r="A63" s="373"/>
      <x:c r="B63" s="373"/>
      <x:c r="C63" s="373"/>
      <x:c r="D63" s="373"/>
      <x:c r="E63" s="373"/>
      <x:c r="F63" s="373"/>
      <x:c r="G63" s="373"/>
      <x:c r="H63" s="373"/>
      <x:c r="I63" s="373"/>
      <x:c r="J63" s="373"/>
      <x:c r="K63" s="373"/>
      <x:c r="L63" s="373"/>
      <x:c r="M63" s="373"/>
      <x:c r="N63" s="373"/>
      <x:c r="O63" s="373"/>
      <x:c r="P63" s="373"/>
      <x:c r="Q63" s="373"/>
      <x:c r="R63" s="373"/>
      <x:c r="S63" s="373"/>
      <x:c r="T63" s="373"/>
      <x:c r="U63" s="373"/>
      <x:c r="V63" s="373"/>
      <x:c r="W63" s="373"/>
      <x:c r="X63" s="373"/>
      <x:c r="Y63" s="373"/>
      <x:c r="Z63" s="373"/>
    </x:row>
    <x:row r="64">
      <x:c r="A64" s="373"/>
      <x:c r="B64" s="373"/>
      <x:c r="C64" s="373"/>
      <x:c r="D64" s="373"/>
      <x:c r="E64" s="373"/>
      <x:c r="F64" s="373"/>
      <x:c r="G64" s="373"/>
      <x:c r="H64" s="373"/>
      <x:c r="I64" s="373"/>
      <x:c r="J64" s="373"/>
      <x:c r="K64" s="373"/>
      <x:c r="L64" s="373"/>
      <x:c r="M64" s="373"/>
      <x:c r="N64" s="373"/>
      <x:c r="O64" s="373"/>
      <x:c r="P64" s="373"/>
      <x:c r="Q64" s="373"/>
      <x:c r="R64" s="373"/>
      <x:c r="S64" s="373"/>
      <x:c r="T64" s="373"/>
      <x:c r="U64" s="373"/>
      <x:c r="V64" s="373"/>
      <x:c r="W64" s="373"/>
      <x:c r="X64" s="373"/>
      <x:c r="Y64" s="373"/>
      <x:c r="Z64" s="373"/>
    </x:row>
    <x:row r="65">
      <x:c r="A65" s="373"/>
      <x:c r="B65" s="373"/>
      <x:c r="C65" s="373"/>
      <x:c r="D65" s="373"/>
      <x:c r="E65" s="373"/>
      <x:c r="F65" s="373"/>
      <x:c r="G65" s="373"/>
      <x:c r="H65" s="373"/>
      <x:c r="I65" s="373"/>
      <x:c r="J65" s="373"/>
      <x:c r="K65" s="373"/>
      <x:c r="L65" s="373"/>
      <x:c r="M65" s="373"/>
      <x:c r="N65" s="373"/>
      <x:c r="O65" s="373"/>
      <x:c r="P65" s="373"/>
      <x:c r="Q65" s="373"/>
      <x:c r="R65" s="373"/>
      <x:c r="S65" s="373"/>
      <x:c r="T65" s="373"/>
      <x:c r="U65" s="373"/>
      <x:c r="V65" s="373"/>
      <x:c r="W65" s="373"/>
      <x:c r="X65" s="373"/>
      <x:c r="Y65" s="373"/>
      <x:c r="Z65" s="373"/>
    </x:row>
    <x:row r="66">
      <x:c r="A66" s="373"/>
      <x:c r="B66" s="373"/>
      <x:c r="C66" s="373"/>
      <x:c r="D66" s="373"/>
      <x:c r="E66" s="373"/>
      <x:c r="F66" s="373"/>
      <x:c r="G66" s="373"/>
      <x:c r="H66" s="373"/>
      <x:c r="I66" s="373"/>
      <x:c r="J66" s="373"/>
      <x:c r="K66" s="373"/>
      <x:c r="L66" s="373"/>
      <x:c r="M66" s="373"/>
      <x:c r="N66" s="373"/>
      <x:c r="O66" s="373"/>
      <x:c r="P66" s="373"/>
      <x:c r="Q66" s="373"/>
      <x:c r="R66" s="373"/>
      <x:c r="S66" s="373"/>
      <x:c r="T66" s="373"/>
      <x:c r="U66" s="373"/>
      <x:c r="V66" s="373"/>
      <x:c r="W66" s="373"/>
      <x:c r="X66" s="373"/>
      <x:c r="Y66" s="373"/>
      <x:c r="Z66" s="373"/>
    </x:row>
    <x:row r="67">
      <x:c r="A67" s="373"/>
      <x:c r="B67" s="373"/>
      <x:c r="C67" s="373"/>
      <x:c r="D67" s="373"/>
      <x:c r="E67" s="373"/>
      <x:c r="F67" s="373"/>
      <x:c r="G67" s="373"/>
      <x:c r="H67" s="373"/>
      <x:c r="I67" s="373"/>
      <x:c r="J67" s="373"/>
      <x:c r="K67" s="373"/>
      <x:c r="L67" s="373"/>
      <x:c r="M67" s="373"/>
      <x:c r="N67" s="373"/>
      <x:c r="O67" s="373"/>
      <x:c r="P67" s="373"/>
      <x:c r="Q67" s="373"/>
      <x:c r="R67" s="373"/>
      <x:c r="S67" s="373"/>
      <x:c r="T67" s="373"/>
      <x:c r="U67" s="373"/>
      <x:c r="V67" s="373"/>
      <x:c r="W67" s="373"/>
      <x:c r="X67" s="373"/>
      <x:c r="Y67" s="373"/>
      <x:c r="Z67" s="373"/>
    </x:row>
    <x:row r="68">
      <x:c r="A68" s="373"/>
      <x:c r="B68" s="373"/>
      <x:c r="C68" s="373"/>
      <x:c r="D68" s="373"/>
      <x:c r="E68" s="373"/>
      <x:c r="F68" s="373"/>
      <x:c r="G68" s="373"/>
      <x:c r="H68" s="373"/>
      <x:c r="I68" s="373"/>
      <x:c r="J68" s="373"/>
      <x:c r="K68" s="373"/>
      <x:c r="L68" s="373"/>
      <x:c r="M68" s="373"/>
      <x:c r="N68" s="373"/>
      <x:c r="O68" s="373"/>
      <x:c r="P68" s="373"/>
      <x:c r="Q68" s="373"/>
      <x:c r="R68" s="373"/>
      <x:c r="S68" s="373"/>
      <x:c r="T68" s="373"/>
      <x:c r="U68" s="373"/>
      <x:c r="V68" s="373"/>
      <x:c r="W68" s="373"/>
      <x:c r="X68" s="373"/>
      <x:c r="Y68" s="373"/>
      <x:c r="Z68" s="373"/>
    </x:row>
    <x:row r="69">
      <x:c r="A69" s="373"/>
      <x:c r="B69" s="373"/>
      <x:c r="C69" s="373"/>
      <x:c r="D69" s="373"/>
      <x:c r="E69" s="373"/>
      <x:c r="F69" s="373"/>
      <x:c r="G69" s="373"/>
      <x:c r="H69" s="373"/>
      <x:c r="I69" s="373"/>
      <x:c r="J69" s="373"/>
      <x:c r="K69" s="373"/>
      <x:c r="L69" s="373"/>
      <x:c r="M69" s="373"/>
      <x:c r="N69" s="373"/>
      <x:c r="O69" s="373"/>
      <x:c r="P69" s="373"/>
      <x:c r="Q69" s="373"/>
      <x:c r="R69" s="373"/>
      <x:c r="S69" s="373"/>
      <x:c r="T69" s="373"/>
      <x:c r="U69" s="373"/>
      <x:c r="V69" s="373"/>
      <x:c r="W69" s="373"/>
      <x:c r="X69" s="373"/>
      <x:c r="Y69" s="373"/>
      <x:c r="Z69" s="373"/>
    </x:row>
    <x:row r="70">
      <x:c r="A70" s="373"/>
      <x:c r="B70" s="373"/>
      <x:c r="C70" s="373"/>
      <x:c r="D70" s="373"/>
      <x:c r="E70" s="373"/>
      <x:c r="F70" s="373"/>
      <x:c r="G70" s="373"/>
      <x:c r="H70" s="373"/>
      <x:c r="I70" s="373"/>
      <x:c r="J70" s="373"/>
      <x:c r="K70" s="373"/>
      <x:c r="L70" s="373"/>
      <x:c r="M70" s="373"/>
      <x:c r="N70" s="373"/>
      <x:c r="O70" s="373"/>
      <x:c r="P70" s="373"/>
      <x:c r="Q70" s="373"/>
      <x:c r="R70" s="373"/>
      <x:c r="S70" s="373"/>
      <x:c r="T70" s="373"/>
      <x:c r="U70" s="373"/>
      <x:c r="V70" s="373"/>
      <x:c r="W70" s="373"/>
      <x:c r="X70" s="373"/>
      <x:c r="Y70" s="373"/>
      <x:c r="Z70" s="373"/>
    </x:row>
    <x:row r="71">
      <x:c r="A71" s="373"/>
      <x:c r="B71" s="373"/>
      <x:c r="C71" s="373"/>
      <x:c r="D71" s="373"/>
      <x:c r="E71" s="373"/>
      <x:c r="F71" s="373"/>
      <x:c r="G71" s="373"/>
      <x:c r="H71" s="373"/>
      <x:c r="I71" s="373"/>
      <x:c r="J71" s="373"/>
      <x:c r="K71" s="373"/>
      <x:c r="L71" s="373"/>
      <x:c r="M71" s="373"/>
      <x:c r="N71" s="373"/>
      <x:c r="O71" s="373"/>
      <x:c r="P71" s="373"/>
      <x:c r="Q71" s="373"/>
      <x:c r="R71" s="373"/>
      <x:c r="S71" s="373"/>
      <x:c r="T71" s="373"/>
      <x:c r="U71" s="373"/>
      <x:c r="V71" s="373"/>
      <x:c r="W71" s="373"/>
      <x:c r="X71" s="373"/>
      <x:c r="Y71" s="373"/>
      <x:c r="Z71" s="373"/>
    </x:row>
    <x:row r="72">
      <x:c r="A72" s="373"/>
      <x:c r="B72" s="373"/>
      <x:c r="C72" s="373"/>
      <x:c r="D72" s="373"/>
      <x:c r="E72" s="373"/>
      <x:c r="F72" s="373"/>
      <x:c r="G72" s="373"/>
      <x:c r="H72" s="373"/>
      <x:c r="I72" s="373"/>
      <x:c r="J72" s="373"/>
      <x:c r="K72" s="373"/>
      <x:c r="L72" s="373"/>
      <x:c r="M72" s="373"/>
      <x:c r="N72" s="373"/>
      <x:c r="O72" s="373"/>
      <x:c r="P72" s="373"/>
      <x:c r="Q72" s="373"/>
      <x:c r="R72" s="373"/>
      <x:c r="S72" s="373"/>
      <x:c r="T72" s="373"/>
      <x:c r="U72" s="373"/>
      <x:c r="V72" s="373"/>
      <x:c r="W72" s="373"/>
      <x:c r="X72" s="373"/>
      <x:c r="Y72" s="373"/>
      <x:c r="Z72" s="373"/>
    </x:row>
    <x:row r="73">
      <x:c r="A73" s="373"/>
      <x:c r="B73" s="373"/>
      <x:c r="C73" s="373"/>
      <x:c r="D73" s="373"/>
      <x:c r="E73" s="373"/>
      <x:c r="F73" s="373"/>
      <x:c r="G73" s="373"/>
      <x:c r="H73" s="373"/>
      <x:c r="I73" s="373"/>
      <x:c r="J73" s="373"/>
      <x:c r="K73" s="373"/>
      <x:c r="L73" s="373"/>
      <x:c r="M73" s="373"/>
      <x:c r="N73" s="373"/>
      <x:c r="O73" s="373"/>
      <x:c r="P73" s="373"/>
      <x:c r="Q73" s="373"/>
      <x:c r="R73" s="373"/>
      <x:c r="S73" s="373"/>
      <x:c r="T73" s="373"/>
      <x:c r="U73" s="373"/>
      <x:c r="V73" s="373"/>
      <x:c r="W73" s="373"/>
      <x:c r="X73" s="373"/>
      <x:c r="Y73" s="373"/>
      <x:c r="Z73" s="373"/>
    </x:row>
    <x:row r="74">
      <x:c r="A74" s="373"/>
      <x:c r="B74" s="373"/>
      <x:c r="C74" s="373"/>
      <x:c r="D74" s="373"/>
      <x:c r="E74" s="373"/>
      <x:c r="F74" s="373"/>
      <x:c r="G74" s="373"/>
      <x:c r="H74" s="373"/>
      <x:c r="I74" s="373"/>
      <x:c r="J74" s="373"/>
      <x:c r="K74" s="373"/>
      <x:c r="L74" s="373"/>
      <x:c r="M74" s="373"/>
      <x:c r="N74" s="373"/>
      <x:c r="O74" s="373"/>
      <x:c r="P74" s="373"/>
      <x:c r="Q74" s="373"/>
      <x:c r="R74" s="373"/>
      <x:c r="S74" s="373"/>
      <x:c r="T74" s="373"/>
      <x:c r="U74" s="373"/>
      <x:c r="V74" s="373"/>
      <x:c r="W74" s="373"/>
      <x:c r="X74" s="373"/>
      <x:c r="Y74" s="373"/>
      <x:c r="Z74" s="373"/>
    </x:row>
    <x:row r="75">
      <x:c r="A75" s="373"/>
      <x:c r="B75" s="373"/>
      <x:c r="C75" s="373"/>
      <x:c r="D75" s="373"/>
      <x:c r="E75" s="373"/>
      <x:c r="F75" s="373"/>
      <x:c r="G75" s="373"/>
      <x:c r="H75" s="373"/>
      <x:c r="I75" s="373"/>
      <x:c r="J75" s="373"/>
      <x:c r="K75" s="373"/>
      <x:c r="L75" s="373"/>
      <x:c r="M75" s="373"/>
      <x:c r="N75" s="373"/>
      <x:c r="O75" s="373"/>
      <x:c r="P75" s="373"/>
      <x:c r="Q75" s="373"/>
      <x:c r="R75" s="373"/>
      <x:c r="S75" s="373"/>
      <x:c r="T75" s="373"/>
      <x:c r="U75" s="373"/>
      <x:c r="V75" s="373"/>
      <x:c r="W75" s="373"/>
      <x:c r="X75" s="373"/>
      <x:c r="Y75" s="373"/>
      <x:c r="Z75" s="373"/>
    </x:row>
    <x:row r="76">
      <x:c r="A76" s="373"/>
      <x:c r="B76" s="373"/>
      <x:c r="C76" s="373"/>
      <x:c r="D76" s="373"/>
      <x:c r="E76" s="373"/>
      <x:c r="F76" s="373"/>
      <x:c r="G76" s="373"/>
      <x:c r="H76" s="373"/>
      <x:c r="I76" s="373"/>
      <x:c r="J76" s="373"/>
      <x:c r="K76" s="373"/>
      <x:c r="L76" s="373"/>
      <x:c r="M76" s="373"/>
      <x:c r="N76" s="373"/>
      <x:c r="O76" s="373"/>
      <x:c r="P76" s="373"/>
      <x:c r="Q76" s="373"/>
      <x:c r="R76" s="373"/>
      <x:c r="S76" s="373"/>
      <x:c r="T76" s="373"/>
      <x:c r="U76" s="373"/>
      <x:c r="V76" s="373"/>
      <x:c r="W76" s="373"/>
      <x:c r="X76" s="373"/>
      <x:c r="Y76" s="373"/>
      <x:c r="Z76" s="373"/>
    </x:row>
    <x:row r="77">
      <x:c r="A77" s="373"/>
      <x:c r="B77" s="373"/>
      <x:c r="C77" s="373"/>
      <x:c r="D77" s="373"/>
      <x:c r="E77" s="373"/>
      <x:c r="F77" s="373"/>
      <x:c r="G77" s="373"/>
      <x:c r="H77" s="373"/>
      <x:c r="I77" s="373"/>
      <x:c r="J77" s="373"/>
      <x:c r="K77" s="373"/>
      <x:c r="L77" s="373"/>
      <x:c r="M77" s="373"/>
      <x:c r="N77" s="373"/>
      <x:c r="O77" s="373"/>
      <x:c r="P77" s="373"/>
      <x:c r="Q77" s="373"/>
      <x:c r="R77" s="373"/>
      <x:c r="S77" s="373"/>
      <x:c r="T77" s="373"/>
      <x:c r="U77" s="373"/>
      <x:c r="V77" s="373"/>
      <x:c r="W77" s="373"/>
      <x:c r="X77" s="373"/>
      <x:c r="Y77" s="373"/>
      <x:c r="Z77" s="373"/>
    </x:row>
    <x:row r="78">
      <x:c r="A78" s="373"/>
      <x:c r="B78" s="373"/>
      <x:c r="C78" s="373"/>
      <x:c r="D78" s="373"/>
      <x:c r="E78" s="373"/>
      <x:c r="F78" s="373"/>
      <x:c r="G78" s="373"/>
      <x:c r="H78" s="373"/>
      <x:c r="I78" s="373"/>
      <x:c r="J78" s="373"/>
      <x:c r="K78" s="373"/>
      <x:c r="L78" s="373"/>
      <x:c r="M78" s="373"/>
      <x:c r="N78" s="373"/>
      <x:c r="O78" s="373"/>
      <x:c r="P78" s="373"/>
      <x:c r="Q78" s="373"/>
      <x:c r="R78" s="373"/>
      <x:c r="S78" s="373"/>
      <x:c r="T78" s="373"/>
      <x:c r="U78" s="373"/>
      <x:c r="V78" s="373"/>
      <x:c r="W78" s="373"/>
      <x:c r="X78" s="373"/>
      <x:c r="Y78" s="373"/>
      <x:c r="Z78" s="373"/>
    </x:row>
    <x:row r="79">
      <x:c r="A79" s="373"/>
      <x:c r="B79" s="373"/>
      <x:c r="C79" s="373"/>
      <x:c r="D79" s="373"/>
      <x:c r="E79" s="373"/>
      <x:c r="F79" s="373"/>
      <x:c r="G79" s="373"/>
      <x:c r="H79" s="373"/>
      <x:c r="I79" s="373"/>
      <x:c r="J79" s="373"/>
      <x:c r="K79" s="373"/>
      <x:c r="L79" s="373"/>
      <x:c r="M79" s="373"/>
      <x:c r="N79" s="373"/>
      <x:c r="O79" s="373"/>
      <x:c r="P79" s="373"/>
      <x:c r="Q79" s="373"/>
      <x:c r="R79" s="373"/>
      <x:c r="S79" s="373"/>
      <x:c r="T79" s="373"/>
      <x:c r="U79" s="373"/>
      <x:c r="V79" s="373"/>
      <x:c r="W79" s="373"/>
      <x:c r="X79" s="373"/>
      <x:c r="Y79" s="373"/>
      <x:c r="Z79" s="373"/>
    </x:row>
    <x:row r="80">
      <x:c r="A80" s="373"/>
      <x:c r="B80" s="373"/>
      <x:c r="C80" s="373"/>
      <x:c r="D80" s="373"/>
      <x:c r="E80" s="373"/>
      <x:c r="F80" s="373"/>
      <x:c r="G80" s="373"/>
      <x:c r="H80" s="373"/>
      <x:c r="I80" s="373"/>
      <x:c r="J80" s="373"/>
      <x:c r="K80" s="373"/>
      <x:c r="L80" s="373"/>
      <x:c r="M80" s="373"/>
      <x:c r="N80" s="373"/>
      <x:c r="O80" s="373"/>
      <x:c r="P80" s="373"/>
      <x:c r="Q80" s="373"/>
      <x:c r="R80" s="373"/>
      <x:c r="S80" s="373"/>
      <x:c r="T80" s="373"/>
      <x:c r="U80" s="373"/>
      <x:c r="V80" s="373"/>
      <x:c r="W80" s="373"/>
      <x:c r="X80" s="373"/>
      <x:c r="Y80" s="373"/>
      <x:c r="Z80" s="373"/>
    </x:row>
    <x:row r="81">
      <x:c r="A81" s="373"/>
      <x:c r="B81" s="373"/>
      <x:c r="C81" s="373"/>
      <x:c r="D81" s="373"/>
      <x:c r="E81" s="373"/>
      <x:c r="F81" s="373"/>
      <x:c r="G81" s="373"/>
      <x:c r="H81" s="373"/>
      <x:c r="I81" s="373"/>
      <x:c r="J81" s="373"/>
      <x:c r="K81" s="373"/>
      <x:c r="L81" s="373"/>
      <x:c r="M81" s="373"/>
      <x:c r="N81" s="373"/>
      <x:c r="O81" s="373"/>
      <x:c r="P81" s="373"/>
      <x:c r="Q81" s="373"/>
      <x:c r="R81" s="373"/>
      <x:c r="S81" s="373"/>
      <x:c r="T81" s="373"/>
      <x:c r="U81" s="373"/>
      <x:c r="V81" s="373"/>
      <x:c r="W81" s="373"/>
      <x:c r="X81" s="373"/>
      <x:c r="Y81" s="373"/>
      <x:c r="Z81" s="373"/>
    </x:row>
    <x:row r="82">
      <x:c r="A82" s="373"/>
      <x:c r="B82" s="373"/>
      <x:c r="C82" s="373"/>
      <x:c r="D82" s="373"/>
      <x:c r="E82" s="373"/>
      <x:c r="F82" s="373"/>
      <x:c r="G82" s="373"/>
      <x:c r="H82" s="373"/>
      <x:c r="I82" s="373"/>
      <x:c r="J82" s="373"/>
      <x:c r="K82" s="373"/>
      <x:c r="L82" s="373"/>
      <x:c r="M82" s="373"/>
      <x:c r="N82" s="373"/>
      <x:c r="O82" s="373"/>
      <x:c r="P82" s="373"/>
      <x:c r="Q82" s="373"/>
      <x:c r="R82" s="373"/>
      <x:c r="S82" s="373"/>
      <x:c r="T82" s="373"/>
      <x:c r="U82" s="373"/>
      <x:c r="V82" s="373"/>
      <x:c r="W82" s="373"/>
      <x:c r="X82" s="373"/>
      <x:c r="Y82" s="373"/>
      <x:c r="Z82" s="373"/>
    </x:row>
    <x:row r="83">
      <x:c r="A83" s="373"/>
      <x:c r="B83" s="373"/>
      <x:c r="C83" s="373"/>
      <x:c r="D83" s="373"/>
      <x:c r="E83" s="373"/>
      <x:c r="F83" s="373"/>
      <x:c r="G83" s="373"/>
      <x:c r="H83" s="373"/>
      <x:c r="I83" s="373"/>
      <x:c r="J83" s="373"/>
      <x:c r="K83" s="373"/>
      <x:c r="L83" s="373"/>
      <x:c r="M83" s="373"/>
      <x:c r="N83" s="373"/>
      <x:c r="O83" s="373"/>
      <x:c r="P83" s="373"/>
      <x:c r="Q83" s="373"/>
      <x:c r="R83" s="373"/>
      <x:c r="S83" s="373"/>
      <x:c r="T83" s="373"/>
      <x:c r="U83" s="373"/>
      <x:c r="V83" s="373"/>
      <x:c r="W83" s="373"/>
      <x:c r="X83" s="373"/>
      <x:c r="Y83" s="373"/>
      <x:c r="Z83" s="373"/>
    </x:row>
    <x:row r="84">
      <x:c r="A84" s="373"/>
      <x:c r="B84" s="373"/>
      <x:c r="C84" s="373"/>
      <x:c r="D84" s="373"/>
      <x:c r="E84" s="373"/>
      <x:c r="F84" s="373"/>
      <x:c r="G84" s="373"/>
      <x:c r="H84" s="373"/>
      <x:c r="I84" s="373"/>
      <x:c r="J84" s="373"/>
      <x:c r="K84" s="373"/>
      <x:c r="L84" s="373"/>
      <x:c r="M84" s="373"/>
      <x:c r="N84" s="373"/>
      <x:c r="O84" s="373"/>
      <x:c r="P84" s="373"/>
      <x:c r="Q84" s="373"/>
      <x:c r="R84" s="373"/>
      <x:c r="S84" s="373"/>
      <x:c r="T84" s="373"/>
      <x:c r="U84" s="373"/>
      <x:c r="V84" s="373"/>
      <x:c r="W84" s="373"/>
      <x:c r="X84" s="373"/>
      <x:c r="Y84" s="373"/>
      <x:c r="Z84" s="373"/>
    </x:row>
    <x:row r="85">
      <x:c r="A85" s="373"/>
      <x:c r="B85" s="373"/>
      <x:c r="C85" s="373"/>
      <x:c r="D85" s="373"/>
      <x:c r="E85" s="373"/>
      <x:c r="F85" s="373"/>
      <x:c r="G85" s="373"/>
      <x:c r="H85" s="373"/>
      <x:c r="I85" s="373"/>
      <x:c r="J85" s="373"/>
      <x:c r="K85" s="373"/>
      <x:c r="L85" s="373"/>
      <x:c r="M85" s="373"/>
      <x:c r="N85" s="373"/>
      <x:c r="O85" s="373"/>
      <x:c r="P85" s="373"/>
      <x:c r="Q85" s="373"/>
      <x:c r="R85" s="373"/>
      <x:c r="S85" s="373"/>
      <x:c r="T85" s="373"/>
      <x:c r="U85" s="373"/>
      <x:c r="V85" s="373"/>
      <x:c r="W85" s="373"/>
      <x:c r="X85" s="373"/>
      <x:c r="Y85" s="373"/>
      <x:c r="Z85" s="373"/>
    </x:row>
    <x:row r="86">
      <x:c r="A86" s="373"/>
      <x:c r="B86" s="373"/>
      <x:c r="C86" s="373"/>
      <x:c r="D86" s="373"/>
      <x:c r="E86" s="373"/>
      <x:c r="F86" s="373"/>
      <x:c r="G86" s="373"/>
      <x:c r="H86" s="373"/>
      <x:c r="I86" s="373"/>
      <x:c r="J86" s="373"/>
      <x:c r="K86" s="373"/>
      <x:c r="L86" s="373"/>
      <x:c r="M86" s="373"/>
      <x:c r="N86" s="373"/>
      <x:c r="O86" s="373"/>
      <x:c r="P86" s="373"/>
      <x:c r="Q86" s="373"/>
      <x:c r="R86" s="373"/>
      <x:c r="S86" s="373"/>
      <x:c r="T86" s="373"/>
      <x:c r="U86" s="373"/>
      <x:c r="V86" s="373"/>
      <x:c r="W86" s="373"/>
      <x:c r="X86" s="373"/>
      <x:c r="Y86" s="373"/>
      <x:c r="Z86" s="373"/>
    </x:row>
    <x:row r="87">
      <x:c r="A87" s="373"/>
      <x:c r="B87" s="373"/>
      <x:c r="C87" s="373"/>
      <x:c r="D87" s="373"/>
      <x:c r="E87" s="373"/>
      <x:c r="F87" s="373"/>
      <x:c r="G87" s="373"/>
      <x:c r="H87" s="373"/>
      <x:c r="I87" s="373"/>
      <x:c r="J87" s="373"/>
      <x:c r="K87" s="373"/>
      <x:c r="L87" s="373"/>
      <x:c r="M87" s="373"/>
      <x:c r="N87" s="373"/>
      <x:c r="O87" s="373"/>
      <x:c r="P87" s="373"/>
      <x:c r="Q87" s="373"/>
      <x:c r="R87" s="373"/>
      <x:c r="S87" s="373"/>
      <x:c r="T87" s="373"/>
      <x:c r="U87" s="373"/>
      <x:c r="V87" s="373"/>
      <x:c r="W87" s="373"/>
      <x:c r="X87" s="373"/>
      <x:c r="Y87" s="373"/>
      <x:c r="Z87" s="373"/>
    </x:row>
    <x:row r="88">
      <x:c r="A88" s="373"/>
      <x:c r="B88" s="373"/>
      <x:c r="C88" s="373"/>
      <x:c r="D88" s="373"/>
      <x:c r="E88" s="373"/>
      <x:c r="F88" s="373"/>
      <x:c r="G88" s="373"/>
      <x:c r="H88" s="373"/>
      <x:c r="I88" s="373"/>
      <x:c r="J88" s="373"/>
      <x:c r="K88" s="373"/>
      <x:c r="L88" s="373"/>
      <x:c r="M88" s="373"/>
      <x:c r="N88" s="373"/>
      <x:c r="O88" s="373"/>
      <x:c r="P88" s="373"/>
      <x:c r="Q88" s="373"/>
      <x:c r="R88" s="373"/>
      <x:c r="S88" s="373"/>
      <x:c r="T88" s="373"/>
      <x:c r="U88" s="373"/>
      <x:c r="V88" s="373"/>
      <x:c r="W88" s="373"/>
      <x:c r="X88" s="373"/>
      <x:c r="Y88" s="373"/>
      <x:c r="Z88" s="373"/>
    </x:row>
    <x:row r="89">
      <x:c r="A89" s="373"/>
      <x:c r="B89" s="373"/>
      <x:c r="C89" s="373"/>
      <x:c r="D89" s="373"/>
      <x:c r="E89" s="373"/>
      <x:c r="F89" s="373"/>
      <x:c r="G89" s="373"/>
      <x:c r="H89" s="373"/>
      <x:c r="I89" s="373"/>
      <x:c r="J89" s="373"/>
      <x:c r="K89" s="373"/>
      <x:c r="L89" s="373"/>
      <x:c r="M89" s="373"/>
      <x:c r="N89" s="373"/>
      <x:c r="O89" s="373"/>
      <x:c r="P89" s="373"/>
      <x:c r="Q89" s="373"/>
      <x:c r="R89" s="373"/>
      <x:c r="S89" s="373"/>
      <x:c r="T89" s="373"/>
      <x:c r="U89" s="373"/>
      <x:c r="V89" s="373"/>
      <x:c r="W89" s="373"/>
      <x:c r="X89" s="373"/>
      <x:c r="Y89" s="373"/>
      <x:c r="Z89" s="373"/>
    </x:row>
    <x:row r="90">
      <x:c r="A90" s="373"/>
      <x:c r="B90" s="373"/>
      <x:c r="C90" s="373"/>
      <x:c r="D90" s="373"/>
      <x:c r="E90" s="373"/>
      <x:c r="F90" s="373"/>
      <x:c r="G90" s="373"/>
      <x:c r="H90" s="373"/>
      <x:c r="I90" s="373"/>
      <x:c r="J90" s="373"/>
      <x:c r="K90" s="373"/>
      <x:c r="L90" s="373"/>
      <x:c r="M90" s="373"/>
      <x:c r="N90" s="373"/>
      <x:c r="O90" s="373"/>
      <x:c r="P90" s="373"/>
      <x:c r="Q90" s="373"/>
      <x:c r="R90" s="373"/>
      <x:c r="S90" s="373"/>
      <x:c r="T90" s="373"/>
      <x:c r="U90" s="373"/>
      <x:c r="V90" s="373"/>
      <x:c r="W90" s="373"/>
      <x:c r="X90" s="373"/>
      <x:c r="Y90" s="373"/>
      <x:c r="Z90" s="373"/>
    </x:row>
    <x:row r="91">
      <x:c r="A91" s="373"/>
      <x:c r="B91" s="373"/>
      <x:c r="C91" s="373"/>
      <x:c r="D91" s="373"/>
      <x:c r="E91" s="373"/>
      <x:c r="F91" s="373"/>
      <x:c r="G91" s="373"/>
      <x:c r="H91" s="373"/>
      <x:c r="I91" s="373"/>
      <x:c r="J91" s="373"/>
      <x:c r="K91" s="373"/>
      <x:c r="L91" s="373"/>
      <x:c r="M91" s="373"/>
      <x:c r="N91" s="373"/>
      <x:c r="O91" s="373"/>
      <x:c r="P91" s="373"/>
      <x:c r="Q91" s="373"/>
      <x:c r="R91" s="373"/>
      <x:c r="S91" s="373"/>
      <x:c r="T91" s="373"/>
      <x:c r="U91" s="373"/>
      <x:c r="V91" s="373"/>
      <x:c r="W91" s="373"/>
      <x:c r="X91" s="373"/>
      <x:c r="Y91" s="373"/>
      <x:c r="Z91" s="373"/>
    </x:row>
    <x:row r="92">
      <x:c r="A92" s="373"/>
      <x:c r="B92" s="373"/>
      <x:c r="C92" s="373"/>
      <x:c r="D92" s="373"/>
      <x:c r="E92" s="373"/>
      <x:c r="F92" s="373"/>
      <x:c r="G92" s="373"/>
      <x:c r="H92" s="373"/>
      <x:c r="I92" s="373"/>
      <x:c r="J92" s="373"/>
      <x:c r="K92" s="373"/>
      <x:c r="L92" s="373"/>
      <x:c r="M92" s="373"/>
      <x:c r="N92" s="373"/>
      <x:c r="O92" s="373"/>
      <x:c r="P92" s="373"/>
      <x:c r="Q92" s="373"/>
      <x:c r="R92" s="373"/>
      <x:c r="S92" s="373"/>
      <x:c r="T92" s="373"/>
      <x:c r="U92" s="373"/>
      <x:c r="V92" s="373"/>
      <x:c r="W92" s="373"/>
      <x:c r="X92" s="373"/>
      <x:c r="Y92" s="373"/>
      <x:c r="Z92" s="373"/>
    </x:row>
    <x:row r="93">
      <x:c r="A93" s="373"/>
      <x:c r="B93" s="373"/>
      <x:c r="C93" s="373"/>
      <x:c r="D93" s="373"/>
      <x:c r="E93" s="373"/>
      <x:c r="F93" s="373"/>
      <x:c r="G93" s="373"/>
      <x:c r="H93" s="373"/>
      <x:c r="I93" s="373"/>
      <x:c r="J93" s="373"/>
      <x:c r="K93" s="373"/>
      <x:c r="L93" s="373"/>
      <x:c r="M93" s="373"/>
      <x:c r="N93" s="373"/>
      <x:c r="O93" s="373"/>
      <x:c r="P93" s="373"/>
      <x:c r="Q93" s="373"/>
      <x:c r="R93" s="373"/>
      <x:c r="S93" s="373"/>
      <x:c r="T93" s="373"/>
      <x:c r="U93" s="373"/>
      <x:c r="V93" s="373"/>
      <x:c r="W93" s="373"/>
      <x:c r="X93" s="373"/>
      <x:c r="Y93" s="373"/>
      <x:c r="Z93" s="373"/>
    </x:row>
    <x:row r="94">
      <x:c r="A94" s="373"/>
      <x:c r="B94" s="373"/>
      <x:c r="C94" s="373"/>
      <x:c r="D94" s="373"/>
      <x:c r="E94" s="373"/>
      <x:c r="F94" s="373"/>
      <x:c r="G94" s="373"/>
      <x:c r="H94" s="373"/>
      <x:c r="I94" s="373"/>
      <x:c r="J94" s="373"/>
      <x:c r="K94" s="373"/>
      <x:c r="L94" s="373"/>
      <x:c r="M94" s="373"/>
      <x:c r="N94" s="373"/>
      <x:c r="O94" s="373"/>
      <x:c r="P94" s="373"/>
      <x:c r="Q94" s="373"/>
      <x:c r="R94" s="373"/>
      <x:c r="S94" s="373"/>
      <x:c r="T94" s="373"/>
      <x:c r="U94" s="373"/>
      <x:c r="V94" s="373"/>
      <x:c r="W94" s="373"/>
      <x:c r="X94" s="373"/>
      <x:c r="Y94" s="373"/>
      <x:c r="Z94" s="373"/>
    </x:row>
    <x:row r="95">
      <x:c r="A95" s="373"/>
      <x:c r="B95" s="373"/>
      <x:c r="C95" s="373"/>
      <x:c r="D95" s="373"/>
      <x:c r="E95" s="373"/>
      <x:c r="F95" s="373"/>
      <x:c r="G95" s="373"/>
      <x:c r="H95" s="373"/>
      <x:c r="I95" s="373"/>
      <x:c r="J95" s="373"/>
      <x:c r="K95" s="373"/>
      <x:c r="L95" s="373"/>
      <x:c r="M95" s="373"/>
      <x:c r="N95" s="373"/>
      <x:c r="O95" s="373"/>
      <x:c r="P95" s="373"/>
      <x:c r="Q95" s="373"/>
      <x:c r="R95" s="373"/>
      <x:c r="S95" s="373"/>
      <x:c r="T95" s="373"/>
      <x:c r="U95" s="373"/>
      <x:c r="V95" s="373"/>
      <x:c r="W95" s="373"/>
      <x:c r="X95" s="373"/>
      <x:c r="Y95" s="373"/>
      <x:c r="Z95" s="373"/>
    </x:row>
    <x:row r="96">
      <x:c r="A96" s="373"/>
      <x:c r="B96" s="373"/>
      <x:c r="C96" s="373"/>
      <x:c r="D96" s="373"/>
      <x:c r="E96" s="373"/>
      <x:c r="F96" s="373"/>
      <x:c r="G96" s="373"/>
      <x:c r="H96" s="373"/>
      <x:c r="I96" s="373"/>
      <x:c r="J96" s="373"/>
      <x:c r="K96" s="373"/>
      <x:c r="L96" s="373"/>
      <x:c r="M96" s="373"/>
      <x:c r="N96" s="373"/>
      <x:c r="O96" s="373"/>
      <x:c r="P96" s="373"/>
      <x:c r="Q96" s="373"/>
      <x:c r="R96" s="373"/>
      <x:c r="S96" s="373"/>
      <x:c r="T96" s="373"/>
      <x:c r="U96" s="373"/>
      <x:c r="V96" s="373"/>
      <x:c r="W96" s="373"/>
      <x:c r="X96" s="373"/>
      <x:c r="Y96" s="373"/>
      <x:c r="Z96" s="373"/>
    </x:row>
    <x:row r="97">
      <x:c r="A97" s="373"/>
      <x:c r="B97" s="373"/>
      <x:c r="C97" s="373"/>
      <x:c r="D97" s="373"/>
      <x:c r="E97" s="373"/>
      <x:c r="F97" s="373"/>
      <x:c r="G97" s="373"/>
      <x:c r="H97" s="373"/>
      <x:c r="I97" s="373"/>
      <x:c r="J97" s="373"/>
      <x:c r="K97" s="373"/>
      <x:c r="L97" s="373"/>
      <x:c r="M97" s="373"/>
      <x:c r="N97" s="373"/>
      <x:c r="O97" s="373"/>
      <x:c r="P97" s="373"/>
      <x:c r="Q97" s="373"/>
      <x:c r="R97" s="373"/>
      <x:c r="S97" s="373"/>
      <x:c r="T97" s="373"/>
      <x:c r="U97" s="373"/>
      <x:c r="V97" s="373"/>
      <x:c r="W97" s="373"/>
      <x:c r="X97" s="373"/>
      <x:c r="Y97" s="373"/>
      <x:c r="Z97" s="373"/>
    </x:row>
    <x:row r="98">
      <x:c r="A98" s="373"/>
      <x:c r="B98" s="373"/>
      <x:c r="C98" s="373"/>
      <x:c r="D98" s="373"/>
      <x:c r="E98" s="373"/>
      <x:c r="F98" s="373"/>
      <x:c r="G98" s="373"/>
      <x:c r="H98" s="373"/>
      <x:c r="I98" s="373"/>
      <x:c r="J98" s="373"/>
      <x:c r="K98" s="373"/>
      <x:c r="L98" s="373"/>
      <x:c r="M98" s="373"/>
      <x:c r="N98" s="373"/>
      <x:c r="O98" s="373"/>
      <x:c r="P98" s="373"/>
      <x:c r="Q98" s="373"/>
      <x:c r="R98" s="373"/>
      <x:c r="S98" s="373"/>
      <x:c r="T98" s="373"/>
      <x:c r="U98" s="373"/>
      <x:c r="V98" s="373"/>
      <x:c r="W98" s="373"/>
      <x:c r="X98" s="373"/>
      <x:c r="Y98" s="373"/>
      <x:c r="Z98" s="373"/>
    </x:row>
    <x:row r="99">
      <x:c r="A99" s="373"/>
      <x:c r="B99" s="373"/>
      <x:c r="C99" s="373"/>
      <x:c r="D99" s="373"/>
      <x:c r="E99" s="373"/>
      <x:c r="F99" s="373"/>
      <x:c r="G99" s="373"/>
      <x:c r="H99" s="373"/>
      <x:c r="I99" s="373"/>
      <x:c r="J99" s="373"/>
      <x:c r="K99" s="373"/>
      <x:c r="L99" s="373"/>
      <x:c r="M99" s="373"/>
      <x:c r="N99" s="373"/>
      <x:c r="O99" s="373"/>
      <x:c r="P99" s="373"/>
      <x:c r="Q99" s="373"/>
      <x:c r="R99" s="373"/>
      <x:c r="S99" s="373"/>
      <x:c r="T99" s="373"/>
      <x:c r="U99" s="373"/>
      <x:c r="V99" s="373"/>
      <x:c r="W99" s="373"/>
      <x:c r="X99" s="373"/>
      <x:c r="Y99" s="373"/>
      <x:c r="Z99" s="373"/>
    </x:row>
    <x:row r="100">
      <x:c r="A100" s="373"/>
      <x:c r="B100" s="373"/>
      <x:c r="C100" s="373"/>
      <x:c r="D100" s="373"/>
      <x:c r="E100" s="373"/>
      <x:c r="F100" s="373"/>
      <x:c r="G100" s="373"/>
      <x:c r="H100" s="373"/>
      <x:c r="I100" s="373"/>
      <x:c r="J100" s="373"/>
      <x:c r="K100" s="373"/>
      <x:c r="L100" s="373"/>
      <x:c r="M100" s="373"/>
      <x:c r="N100" s="373"/>
      <x:c r="O100" s="373"/>
      <x:c r="P100" s="373"/>
      <x:c r="Q100" s="373"/>
      <x:c r="R100" s="373"/>
      <x:c r="S100" s="373"/>
      <x:c r="T100" s="373"/>
      <x:c r="U100" s="373"/>
      <x:c r="V100" s="373"/>
      <x:c r="W100" s="373"/>
      <x:c r="X100" s="373"/>
      <x:c r="Y100" s="373"/>
      <x:c r="Z100" s="373"/>
    </x:row>
    <x:row r="101">
      <x:c r="A101" s="373"/>
      <x:c r="B101" s="373"/>
      <x:c r="C101" s="373"/>
      <x:c r="D101" s="373"/>
      <x:c r="E101" s="373"/>
      <x:c r="F101" s="373"/>
      <x:c r="G101" s="373"/>
      <x:c r="H101" s="373"/>
      <x:c r="I101" s="373"/>
      <x:c r="J101" s="373"/>
      <x:c r="K101" s="373"/>
      <x:c r="L101" s="373"/>
      <x:c r="M101" s="373"/>
      <x:c r="N101" s="373"/>
      <x:c r="O101" s="373"/>
      <x:c r="P101" s="373"/>
      <x:c r="Q101" s="373"/>
      <x:c r="R101" s="373"/>
      <x:c r="S101" s="373"/>
      <x:c r="T101" s="373"/>
      <x:c r="U101" s="373"/>
      <x:c r="V101" s="373"/>
      <x:c r="W101" s="373"/>
      <x:c r="X101" s="373"/>
      <x:c r="Y101" s="373"/>
      <x:c r="Z101" s="373"/>
    </x:row>
    <x:row r="102">
      <x:c r="A102" s="373"/>
      <x:c r="B102" s="373"/>
      <x:c r="C102" s="373"/>
      <x:c r="D102" s="373"/>
      <x:c r="E102" s="373"/>
      <x:c r="F102" s="373"/>
      <x:c r="G102" s="373"/>
      <x:c r="H102" s="373"/>
      <x:c r="I102" s="373"/>
      <x:c r="J102" s="373"/>
      <x:c r="K102" s="373"/>
      <x:c r="L102" s="373"/>
      <x:c r="M102" s="373"/>
      <x:c r="N102" s="373"/>
      <x:c r="O102" s="373"/>
      <x:c r="P102" s="373"/>
      <x:c r="Q102" s="373"/>
      <x:c r="R102" s="373"/>
      <x:c r="S102" s="373"/>
      <x:c r="T102" s="373"/>
      <x:c r="U102" s="373"/>
      <x:c r="V102" s="373"/>
      <x:c r="W102" s="373"/>
      <x:c r="X102" s="373"/>
      <x:c r="Y102" s="373"/>
      <x:c r="Z102" s="373"/>
    </x:row>
    <x:row r="103">
      <x:c r="A103" s="373"/>
      <x:c r="B103" s="373"/>
      <x:c r="C103" s="373"/>
      <x:c r="D103" s="373"/>
      <x:c r="E103" s="373"/>
      <x:c r="F103" s="373"/>
      <x:c r="G103" s="373"/>
      <x:c r="H103" s="373"/>
      <x:c r="I103" s="373"/>
      <x:c r="J103" s="373"/>
      <x:c r="K103" s="373"/>
      <x:c r="L103" s="373"/>
      <x:c r="M103" s="373"/>
      <x:c r="N103" s="373"/>
      <x:c r="O103" s="373"/>
      <x:c r="P103" s="373"/>
      <x:c r="Q103" s="373"/>
      <x:c r="R103" s="373"/>
      <x:c r="S103" s="373"/>
      <x:c r="T103" s="373"/>
      <x:c r="U103" s="373"/>
      <x:c r="V103" s="373"/>
      <x:c r="W103" s="373"/>
      <x:c r="X103" s="373"/>
      <x:c r="Y103" s="373"/>
      <x:c r="Z103" s="373"/>
    </x:row>
    <x:row r="104">
      <x:c r="A104" s="373"/>
      <x:c r="B104" s="373"/>
      <x:c r="C104" s="373"/>
      <x:c r="D104" s="373"/>
      <x:c r="E104" s="373"/>
      <x:c r="F104" s="373"/>
      <x:c r="G104" s="373"/>
      <x:c r="H104" s="373"/>
      <x:c r="I104" s="373"/>
      <x:c r="J104" s="373"/>
      <x:c r="K104" s="373"/>
      <x:c r="L104" s="373"/>
      <x:c r="M104" s="373"/>
      <x:c r="N104" s="373"/>
      <x:c r="O104" s="373"/>
      <x:c r="P104" s="373"/>
      <x:c r="Q104" s="373"/>
      <x:c r="R104" s="373"/>
      <x:c r="S104" s="373"/>
      <x:c r="T104" s="373"/>
      <x:c r="U104" s="373"/>
      <x:c r="V104" s="373"/>
      <x:c r="W104" s="373"/>
      <x:c r="X104" s="373"/>
      <x:c r="Y104" s="373"/>
      <x:c r="Z104" s="373"/>
    </x:row>
    <x:row r="105">
      <x:c r="A105" s="373"/>
      <x:c r="B105" s="373"/>
      <x:c r="C105" s="373"/>
      <x:c r="D105" s="373"/>
      <x:c r="E105" s="373"/>
      <x:c r="F105" s="373"/>
      <x:c r="G105" s="373"/>
      <x:c r="H105" s="373"/>
      <x:c r="I105" s="373"/>
      <x:c r="J105" s="373"/>
      <x:c r="K105" s="373"/>
      <x:c r="L105" s="373"/>
      <x:c r="M105" s="373"/>
      <x:c r="N105" s="373"/>
      <x:c r="O105" s="373"/>
      <x:c r="P105" s="373"/>
      <x:c r="Q105" s="373"/>
      <x:c r="R105" s="373"/>
      <x:c r="S105" s="373"/>
      <x:c r="T105" s="373"/>
      <x:c r="U105" s="373"/>
      <x:c r="V105" s="373"/>
      <x:c r="W105" s="373"/>
      <x:c r="X105" s="373"/>
      <x:c r="Y105" s="373"/>
      <x:c r="Z105" s="373"/>
    </x:row>
    <x:row r="106">
      <x:c r="A106" s="373"/>
      <x:c r="B106" s="373"/>
      <x:c r="C106" s="373"/>
      <x:c r="D106" s="373"/>
      <x:c r="E106" s="373"/>
      <x:c r="F106" s="373"/>
      <x:c r="G106" s="373"/>
      <x:c r="H106" s="373"/>
      <x:c r="I106" s="373"/>
      <x:c r="J106" s="373"/>
      <x:c r="K106" s="373"/>
      <x:c r="L106" s="373"/>
      <x:c r="M106" s="373"/>
      <x:c r="N106" s="373"/>
      <x:c r="O106" s="373"/>
      <x:c r="P106" s="373"/>
      <x:c r="Q106" s="373"/>
      <x:c r="R106" s="373"/>
      <x:c r="S106" s="373"/>
      <x:c r="T106" s="373"/>
      <x:c r="U106" s="373"/>
      <x:c r="V106" s="373"/>
      <x:c r="W106" s="373"/>
      <x:c r="X106" s="373"/>
      <x:c r="Y106" s="373"/>
      <x:c r="Z106" s="373"/>
    </x:row>
    <x:row r="107">
      <x:c r="A107" s="373"/>
      <x:c r="B107" s="373"/>
      <x:c r="C107" s="373"/>
      <x:c r="D107" s="373"/>
      <x:c r="E107" s="373"/>
      <x:c r="F107" s="373"/>
      <x:c r="G107" s="373"/>
      <x:c r="H107" s="373"/>
      <x:c r="I107" s="373"/>
      <x:c r="J107" s="373"/>
      <x:c r="K107" s="373"/>
      <x:c r="L107" s="373"/>
      <x:c r="M107" s="373"/>
      <x:c r="N107" s="373"/>
      <x:c r="O107" s="373"/>
      <x:c r="P107" s="373"/>
      <x:c r="Q107" s="373"/>
      <x:c r="R107" s="373"/>
      <x:c r="S107" s="373"/>
      <x:c r="T107" s="373"/>
      <x:c r="U107" s="373"/>
      <x:c r="V107" s="373"/>
      <x:c r="W107" s="373"/>
      <x:c r="X107" s="373"/>
      <x:c r="Y107" s="373"/>
      <x:c r="Z107" s="373"/>
    </x:row>
    <x:row r="108">
      <x:c r="A108" s="373"/>
      <x:c r="B108" s="373"/>
      <x:c r="C108" s="373"/>
      <x:c r="D108" s="373"/>
      <x:c r="E108" s="373"/>
      <x:c r="F108" s="373"/>
      <x:c r="G108" s="373"/>
      <x:c r="H108" s="373"/>
      <x:c r="I108" s="373"/>
      <x:c r="J108" s="373"/>
      <x:c r="K108" s="373"/>
      <x:c r="L108" s="373"/>
      <x:c r="M108" s="373"/>
      <x:c r="N108" s="373"/>
      <x:c r="O108" s="373"/>
      <x:c r="P108" s="373"/>
      <x:c r="Q108" s="373"/>
      <x:c r="R108" s="373"/>
      <x:c r="S108" s="373"/>
      <x:c r="T108" s="373"/>
      <x:c r="U108" s="373"/>
      <x:c r="V108" s="373"/>
      <x:c r="W108" s="373"/>
      <x:c r="X108" s="373"/>
      <x:c r="Y108" s="373"/>
      <x:c r="Z108" s="373"/>
    </x:row>
    <x:row r="109">
      <x:c r="A109" s="373"/>
      <x:c r="B109" s="373"/>
      <x:c r="C109" s="373"/>
      <x:c r="D109" s="373"/>
      <x:c r="E109" s="373"/>
      <x:c r="F109" s="373"/>
      <x:c r="G109" s="373"/>
      <x:c r="H109" s="373"/>
      <x:c r="I109" s="373"/>
      <x:c r="J109" s="373"/>
      <x:c r="K109" s="373"/>
      <x:c r="L109" s="373"/>
      <x:c r="M109" s="373"/>
      <x:c r="N109" s="373"/>
      <x:c r="O109" s="373"/>
      <x:c r="P109" s="373"/>
      <x:c r="Q109" s="373"/>
      <x:c r="R109" s="373"/>
      <x:c r="S109" s="373"/>
      <x:c r="T109" s="373"/>
      <x:c r="U109" s="373"/>
      <x:c r="V109" s="373"/>
      <x:c r="W109" s="373"/>
      <x:c r="X109" s="373"/>
      <x:c r="Y109" s="373"/>
      <x:c r="Z109" s="373"/>
    </x:row>
    <x:row r="110">
      <x:c r="A110" s="373"/>
      <x:c r="B110" s="373"/>
      <x:c r="C110" s="373"/>
      <x:c r="D110" s="373"/>
      <x:c r="E110" s="373"/>
      <x:c r="F110" s="373"/>
      <x:c r="G110" s="373"/>
      <x:c r="H110" s="373"/>
      <x:c r="I110" s="373"/>
      <x:c r="J110" s="373"/>
      <x:c r="K110" s="373"/>
      <x:c r="L110" s="373"/>
      <x:c r="M110" s="373"/>
      <x:c r="N110" s="373"/>
      <x:c r="O110" s="373"/>
      <x:c r="P110" s="373"/>
      <x:c r="Q110" s="373"/>
      <x:c r="R110" s="373"/>
      <x:c r="S110" s="373"/>
      <x:c r="T110" s="373"/>
      <x:c r="U110" s="373"/>
      <x:c r="V110" s="373"/>
      <x:c r="W110" s="373"/>
      <x:c r="X110" s="373"/>
      <x:c r="Y110" s="373"/>
      <x:c r="Z110" s="373"/>
    </x:row>
    <x:row r="111">
      <x:c r="A111" s="373"/>
      <x:c r="B111" s="373"/>
      <x:c r="C111" s="373"/>
      <x:c r="D111" s="373"/>
      <x:c r="E111" s="373"/>
      <x:c r="F111" s="373"/>
      <x:c r="G111" s="373"/>
      <x:c r="H111" s="373"/>
      <x:c r="I111" s="373"/>
      <x:c r="J111" s="373"/>
      <x:c r="K111" s="373"/>
      <x:c r="L111" s="373"/>
      <x:c r="M111" s="373"/>
      <x:c r="N111" s="373"/>
      <x:c r="O111" s="373"/>
      <x:c r="P111" s="373"/>
      <x:c r="Q111" s="373"/>
      <x:c r="R111" s="373"/>
      <x:c r="S111" s="373"/>
      <x:c r="T111" s="373"/>
      <x:c r="U111" s="373"/>
      <x:c r="V111" s="373"/>
      <x:c r="W111" s="373"/>
      <x:c r="X111" s="373"/>
      <x:c r="Y111" s="373"/>
      <x:c r="Z111" s="373"/>
    </x:row>
    <x:row r="112">
      <x:c r="A112" s="373"/>
      <x:c r="B112" s="373"/>
      <x:c r="C112" s="373"/>
      <x:c r="D112" s="373"/>
      <x:c r="E112" s="373"/>
      <x:c r="F112" s="373"/>
      <x:c r="G112" s="373"/>
      <x:c r="H112" s="373"/>
      <x:c r="I112" s="373"/>
      <x:c r="J112" s="373"/>
      <x:c r="K112" s="373"/>
      <x:c r="L112" s="373"/>
      <x:c r="M112" s="373"/>
      <x:c r="N112" s="373"/>
      <x:c r="O112" s="373"/>
      <x:c r="P112" s="373"/>
      <x:c r="Q112" s="373"/>
      <x:c r="R112" s="373"/>
      <x:c r="S112" s="373"/>
      <x:c r="T112" s="373"/>
      <x:c r="U112" s="373"/>
      <x:c r="V112" s="373"/>
      <x:c r="W112" s="373"/>
      <x:c r="X112" s="373"/>
      <x:c r="Y112" s="373"/>
      <x:c r="Z112" s="373"/>
    </x:row>
    <x:row r="113">
      <x:c r="A113" s="373"/>
      <x:c r="B113" s="373"/>
      <x:c r="C113" s="373"/>
      <x:c r="D113" s="373"/>
      <x:c r="E113" s="373"/>
      <x:c r="F113" s="373"/>
      <x:c r="G113" s="373"/>
      <x:c r="H113" s="373"/>
      <x:c r="I113" s="373"/>
      <x:c r="J113" s="373"/>
      <x:c r="K113" s="373"/>
      <x:c r="L113" s="373"/>
      <x:c r="M113" s="373"/>
      <x:c r="N113" s="373"/>
      <x:c r="O113" s="373"/>
      <x:c r="P113" s="373"/>
      <x:c r="Q113" s="373"/>
      <x:c r="R113" s="373"/>
      <x:c r="S113" s="373"/>
      <x:c r="T113" s="373"/>
      <x:c r="U113" s="373"/>
      <x:c r="V113" s="373"/>
      <x:c r="W113" s="373"/>
      <x:c r="X113" s="373"/>
      <x:c r="Y113" s="373"/>
      <x:c r="Z113" s="373"/>
    </x:row>
    <x:row r="114">
      <x:c r="A114" s="373"/>
      <x:c r="B114" s="373"/>
      <x:c r="C114" s="373"/>
      <x:c r="D114" s="373"/>
      <x:c r="E114" s="373"/>
      <x:c r="F114" s="373"/>
      <x:c r="G114" s="373"/>
      <x:c r="H114" s="373"/>
      <x:c r="I114" s="373"/>
      <x:c r="J114" s="373"/>
      <x:c r="K114" s="373"/>
      <x:c r="L114" s="373"/>
      <x:c r="M114" s="373"/>
      <x:c r="N114" s="373"/>
      <x:c r="O114" s="373"/>
      <x:c r="P114" s="373"/>
      <x:c r="Q114" s="373"/>
      <x:c r="R114" s="373"/>
      <x:c r="S114" s="373"/>
      <x:c r="T114" s="373"/>
      <x:c r="U114" s="373"/>
      <x:c r="V114" s="373"/>
      <x:c r="W114" s="373"/>
      <x:c r="X114" s="373"/>
      <x:c r="Y114" s="373"/>
      <x:c r="Z114" s="373"/>
    </x:row>
    <x:row r="115">
      <x:c r="A115" s="373"/>
      <x:c r="B115" s="373"/>
      <x:c r="C115" s="373"/>
      <x:c r="D115" s="373"/>
      <x:c r="E115" s="373"/>
      <x:c r="F115" s="373"/>
      <x:c r="G115" s="373"/>
      <x:c r="H115" s="373"/>
      <x:c r="I115" s="373"/>
      <x:c r="J115" s="373"/>
      <x:c r="K115" s="373"/>
      <x:c r="L115" s="373"/>
      <x:c r="M115" s="373"/>
      <x:c r="N115" s="373"/>
      <x:c r="O115" s="373"/>
      <x:c r="P115" s="373"/>
      <x:c r="Q115" s="373"/>
      <x:c r="R115" s="373"/>
      <x:c r="S115" s="373"/>
      <x:c r="T115" s="373"/>
      <x:c r="U115" s="373"/>
      <x:c r="V115" s="373"/>
      <x:c r="W115" s="373"/>
      <x:c r="X115" s="373"/>
      <x:c r="Y115" s="373"/>
      <x:c r="Z115" s="373"/>
    </x:row>
    <x:row r="116">
      <x:c r="A116" s="373"/>
      <x:c r="B116" s="373"/>
      <x:c r="C116" s="373"/>
      <x:c r="D116" s="373"/>
      <x:c r="E116" s="373"/>
      <x:c r="F116" s="373"/>
      <x:c r="G116" s="373"/>
      <x:c r="H116" s="373"/>
      <x:c r="I116" s="373"/>
      <x:c r="J116" s="373"/>
      <x:c r="K116" s="373"/>
      <x:c r="L116" s="373"/>
      <x:c r="M116" s="373"/>
      <x:c r="N116" s="373"/>
      <x:c r="O116" s="373"/>
      <x:c r="P116" s="373"/>
      <x:c r="Q116" s="373"/>
      <x:c r="R116" s="373"/>
      <x:c r="S116" s="373"/>
      <x:c r="T116" s="373"/>
      <x:c r="U116" s="373"/>
      <x:c r="V116" s="373"/>
      <x:c r="W116" s="373"/>
      <x:c r="X116" s="373"/>
      <x:c r="Y116" s="373"/>
      <x:c r="Z116" s="373"/>
    </x:row>
    <x:row r="117">
      <x:c r="A117" s="373"/>
      <x:c r="B117" s="373"/>
      <x:c r="C117" s="373"/>
      <x:c r="D117" s="373"/>
      <x:c r="E117" s="373"/>
      <x:c r="F117" s="373"/>
      <x:c r="G117" s="373"/>
      <x:c r="H117" s="373"/>
      <x:c r="I117" s="373"/>
      <x:c r="J117" s="373"/>
      <x:c r="K117" s="373"/>
      <x:c r="L117" s="373"/>
      <x:c r="M117" s="373"/>
      <x:c r="N117" s="373"/>
      <x:c r="O117" s="373"/>
      <x:c r="P117" s="373"/>
      <x:c r="Q117" s="373"/>
      <x:c r="R117" s="373"/>
      <x:c r="S117" s="373"/>
      <x:c r="T117" s="373"/>
      <x:c r="U117" s="373"/>
      <x:c r="V117" s="373"/>
      <x:c r="W117" s="373"/>
      <x:c r="X117" s="373"/>
      <x:c r="Y117" s="373"/>
      <x:c r="Z117" s="373"/>
    </x:row>
    <x:row r="118">
      <x:c r="A118" s="373"/>
      <x:c r="B118" s="373"/>
      <x:c r="C118" s="373"/>
      <x:c r="D118" s="373"/>
      <x:c r="E118" s="373"/>
      <x:c r="F118" s="373"/>
      <x:c r="G118" s="373"/>
      <x:c r="H118" s="373"/>
      <x:c r="I118" s="373"/>
      <x:c r="J118" s="373"/>
      <x:c r="K118" s="373"/>
      <x:c r="L118" s="373"/>
      <x:c r="M118" s="373"/>
      <x:c r="N118" s="373"/>
      <x:c r="O118" s="373"/>
      <x:c r="P118" s="373"/>
      <x:c r="Q118" s="373"/>
      <x:c r="R118" s="373"/>
      <x:c r="S118" s="373"/>
      <x:c r="T118" s="373"/>
      <x:c r="U118" s="373"/>
      <x:c r="V118" s="373"/>
      <x:c r="W118" s="373"/>
      <x:c r="X118" s="373"/>
      <x:c r="Y118" s="373"/>
      <x:c r="Z118" s="373"/>
    </x:row>
    <x:row r="119">
      <x:c r="A119" s="373"/>
      <x:c r="B119" s="373"/>
      <x:c r="C119" s="373"/>
      <x:c r="D119" s="373"/>
      <x:c r="E119" s="373"/>
      <x:c r="F119" s="373"/>
      <x:c r="G119" s="373"/>
      <x:c r="H119" s="373"/>
      <x:c r="I119" s="373"/>
      <x:c r="J119" s="373"/>
      <x:c r="K119" s="373"/>
      <x:c r="L119" s="373"/>
      <x:c r="M119" s="373"/>
      <x:c r="N119" s="373"/>
      <x:c r="O119" s="373"/>
      <x:c r="P119" s="373"/>
      <x:c r="Q119" s="373"/>
      <x:c r="R119" s="373"/>
      <x:c r="S119" s="373"/>
      <x:c r="T119" s="373"/>
      <x:c r="U119" s="373"/>
      <x:c r="V119" s="373"/>
      <x:c r="W119" s="373"/>
      <x:c r="X119" s="373"/>
      <x:c r="Y119" s="373"/>
      <x:c r="Z119" s="373"/>
    </x:row>
    <x:row r="120">
      <x:c r="A120" s="373"/>
      <x:c r="B120" s="373"/>
      <x:c r="C120" s="373"/>
      <x:c r="D120" s="373"/>
      <x:c r="E120" s="373"/>
      <x:c r="F120" s="373"/>
      <x:c r="G120" s="373"/>
      <x:c r="H120" s="373"/>
      <x:c r="I120" s="373"/>
      <x:c r="J120" s="373"/>
      <x:c r="K120" s="373"/>
      <x:c r="L120" s="373"/>
      <x:c r="M120" s="373"/>
      <x:c r="N120" s="373"/>
      <x:c r="O120" s="373"/>
      <x:c r="P120" s="373"/>
      <x:c r="Q120" s="373"/>
      <x:c r="R120" s="373"/>
      <x:c r="S120" s="373"/>
      <x:c r="T120" s="373"/>
      <x:c r="U120" s="373"/>
      <x:c r="V120" s="373"/>
      <x:c r="W120" s="373"/>
      <x:c r="X120" s="373"/>
      <x:c r="Y120" s="373"/>
      <x:c r="Z120" s="373"/>
    </x:row>
    <x:row r="121">
      <x:c r="A121" s="373"/>
      <x:c r="B121" s="373"/>
      <x:c r="C121" s="373"/>
      <x:c r="D121" s="373"/>
      <x:c r="E121" s="373"/>
      <x:c r="F121" s="373"/>
      <x:c r="G121" s="373"/>
      <x:c r="H121" s="373"/>
      <x:c r="I121" s="373"/>
      <x:c r="J121" s="373"/>
      <x:c r="K121" s="373"/>
      <x:c r="L121" s="373"/>
      <x:c r="M121" s="373"/>
      <x:c r="N121" s="373"/>
      <x:c r="O121" s="373"/>
      <x:c r="P121" s="373"/>
      <x:c r="Q121" s="373"/>
      <x:c r="R121" s="373"/>
      <x:c r="S121" s="373"/>
      <x:c r="T121" s="373"/>
      <x:c r="U121" s="373"/>
      <x:c r="V121" s="373"/>
      <x:c r="W121" s="373"/>
      <x:c r="X121" s="373"/>
      <x:c r="Y121" s="373"/>
      <x:c r="Z121" s="373"/>
    </x:row>
    <x:row r="122">
      <x:c r="A122" s="373"/>
      <x:c r="B122" s="373"/>
      <x:c r="C122" s="373"/>
      <x:c r="D122" s="373"/>
      <x:c r="E122" s="373"/>
      <x:c r="F122" s="373"/>
      <x:c r="G122" s="373"/>
      <x:c r="H122" s="373"/>
      <x:c r="I122" s="373"/>
      <x:c r="J122" s="373"/>
      <x:c r="K122" s="373"/>
      <x:c r="L122" s="373"/>
      <x:c r="M122" s="373"/>
      <x:c r="N122" s="373"/>
      <x:c r="O122" s="373"/>
      <x:c r="P122" s="373"/>
      <x:c r="Q122" s="373"/>
      <x:c r="R122" s="373"/>
      <x:c r="S122" s="373"/>
      <x:c r="T122" s="373"/>
      <x:c r="U122" s="373"/>
      <x:c r="V122" s="373"/>
      <x:c r="W122" s="373"/>
      <x:c r="X122" s="373"/>
      <x:c r="Y122" s="373"/>
      <x:c r="Z122" s="373"/>
    </x:row>
    <x:row r="123">
      <x:c r="A123" s="373"/>
      <x:c r="B123" s="373"/>
      <x:c r="C123" s="373"/>
      <x:c r="D123" s="373"/>
      <x:c r="E123" s="373"/>
      <x:c r="F123" s="373"/>
      <x:c r="G123" s="373"/>
      <x:c r="H123" s="373"/>
      <x:c r="I123" s="373"/>
      <x:c r="J123" s="373"/>
      <x:c r="K123" s="373"/>
      <x:c r="L123" s="373"/>
      <x:c r="M123" s="373"/>
      <x:c r="N123" s="373"/>
      <x:c r="O123" s="373"/>
      <x:c r="P123" s="373"/>
      <x:c r="Q123" s="373"/>
      <x:c r="R123" s="373"/>
      <x:c r="S123" s="373"/>
      <x:c r="T123" s="373"/>
      <x:c r="U123" s="373"/>
      <x:c r="V123" s="373"/>
      <x:c r="W123" s="373"/>
      <x:c r="X123" s="373"/>
      <x:c r="Y123" s="373"/>
      <x:c r="Z123" s="373"/>
    </x:row>
    <x:row r="124">
      <x:c r="A124" s="373"/>
      <x:c r="B124" s="373"/>
      <x:c r="C124" s="373"/>
      <x:c r="D124" s="373"/>
      <x:c r="E124" s="373"/>
      <x:c r="F124" s="373"/>
      <x:c r="G124" s="373"/>
      <x:c r="H124" s="373"/>
      <x:c r="I124" s="373"/>
      <x:c r="J124" s="373"/>
      <x:c r="K124" s="373"/>
      <x:c r="L124" s="373"/>
      <x:c r="M124" s="373"/>
      <x:c r="N124" s="373"/>
      <x:c r="O124" s="373"/>
      <x:c r="P124" s="373"/>
      <x:c r="Q124" s="373"/>
      <x:c r="R124" s="373"/>
      <x:c r="S124" s="373"/>
      <x:c r="T124" s="373"/>
      <x:c r="U124" s="373"/>
      <x:c r="V124" s="373"/>
      <x:c r="W124" s="373"/>
      <x:c r="X124" s="373"/>
      <x:c r="Y124" s="373"/>
      <x:c r="Z124" s="373"/>
    </x:row>
    <x:row r="125">
      <x:c r="A125" s="373"/>
      <x:c r="B125" s="373"/>
      <x:c r="C125" s="373"/>
      <x:c r="D125" s="373"/>
      <x:c r="E125" s="373"/>
      <x:c r="F125" s="373"/>
      <x:c r="G125" s="373"/>
      <x:c r="H125" s="373"/>
      <x:c r="I125" s="373"/>
      <x:c r="J125" s="373"/>
      <x:c r="K125" s="373"/>
      <x:c r="L125" s="373"/>
      <x:c r="M125" s="373"/>
      <x:c r="N125" s="373"/>
      <x:c r="O125" s="373"/>
      <x:c r="P125" s="373"/>
      <x:c r="Q125" s="373"/>
      <x:c r="R125" s="373"/>
      <x:c r="S125" s="373"/>
      <x:c r="T125" s="373"/>
      <x:c r="U125" s="373"/>
      <x:c r="V125" s="373"/>
      <x:c r="W125" s="373"/>
      <x:c r="X125" s="373"/>
      <x:c r="Y125" s="373"/>
      <x:c r="Z125" s="373"/>
    </x:row>
    <x:row r="126">
      <x:c r="A126" s="373"/>
      <x:c r="B126" s="373"/>
      <x:c r="C126" s="373"/>
      <x:c r="D126" s="373"/>
      <x:c r="E126" s="373"/>
      <x:c r="F126" s="373"/>
      <x:c r="G126" s="373"/>
      <x:c r="H126" s="373"/>
      <x:c r="I126" s="373"/>
      <x:c r="J126" s="373"/>
      <x:c r="K126" s="373"/>
      <x:c r="L126" s="373"/>
      <x:c r="M126" s="373"/>
      <x:c r="N126" s="373"/>
      <x:c r="O126" s="373"/>
      <x:c r="P126" s="373"/>
      <x:c r="Q126" s="373"/>
      <x:c r="R126" s="373"/>
      <x:c r="S126" s="373"/>
      <x:c r="T126" s="373"/>
      <x:c r="U126" s="373"/>
      <x:c r="V126" s="373"/>
      <x:c r="W126" s="373"/>
      <x:c r="X126" s="373"/>
      <x:c r="Y126" s="373"/>
      <x:c r="Z126" s="373"/>
    </x:row>
    <x:row r="127">
      <x:c r="A127" s="373"/>
      <x:c r="B127" s="373"/>
      <x:c r="C127" s="373"/>
      <x:c r="D127" s="373"/>
      <x:c r="E127" s="373"/>
      <x:c r="F127" s="373"/>
      <x:c r="G127" s="373"/>
      <x:c r="H127" s="373"/>
      <x:c r="I127" s="373"/>
      <x:c r="J127" s="373"/>
      <x:c r="K127" s="373"/>
      <x:c r="L127" s="373"/>
      <x:c r="M127" s="373"/>
      <x:c r="N127" s="373"/>
      <x:c r="O127" s="373"/>
      <x:c r="P127" s="373"/>
      <x:c r="Q127" s="373"/>
      <x:c r="R127" s="373"/>
      <x:c r="S127" s="373"/>
      <x:c r="T127" s="373"/>
      <x:c r="U127" s="373"/>
      <x:c r="V127" s="373"/>
      <x:c r="W127" s="373"/>
      <x:c r="X127" s="373"/>
      <x:c r="Y127" s="373"/>
      <x:c r="Z127" s="373"/>
    </x:row>
    <x:row r="128">
      <x:c r="A128" s="373"/>
      <x:c r="B128" s="373"/>
      <x:c r="C128" s="373"/>
      <x:c r="D128" s="373"/>
      <x:c r="E128" s="373"/>
      <x:c r="F128" s="373"/>
      <x:c r="G128" s="373"/>
      <x:c r="H128" s="373"/>
      <x:c r="I128" s="373"/>
      <x:c r="J128" s="373"/>
      <x:c r="K128" s="373"/>
      <x:c r="L128" s="373"/>
      <x:c r="M128" s="373"/>
      <x:c r="N128" s="373"/>
      <x:c r="O128" s="373"/>
      <x:c r="P128" s="373"/>
      <x:c r="Q128" s="373"/>
      <x:c r="R128" s="373"/>
      <x:c r="S128" s="373"/>
      <x:c r="T128" s="373"/>
      <x:c r="U128" s="373"/>
      <x:c r="V128" s="373"/>
      <x:c r="W128" s="373"/>
      <x:c r="X128" s="373"/>
      <x:c r="Y128" s="373"/>
      <x:c r="Z128" s="373"/>
    </x:row>
    <x:row r="129">
      <x:c r="A129" s="373"/>
      <x:c r="B129" s="373"/>
      <x:c r="C129" s="373"/>
      <x:c r="D129" s="373"/>
      <x:c r="E129" s="373"/>
      <x:c r="F129" s="373"/>
      <x:c r="G129" s="373"/>
      <x:c r="H129" s="373"/>
      <x:c r="I129" s="373"/>
      <x:c r="J129" s="373"/>
      <x:c r="K129" s="373"/>
      <x:c r="L129" s="373"/>
      <x:c r="M129" s="373"/>
      <x:c r="N129" s="373"/>
      <x:c r="O129" s="373"/>
      <x:c r="P129" s="373"/>
      <x:c r="Q129" s="373"/>
      <x:c r="R129" s="373"/>
      <x:c r="S129" s="373"/>
      <x:c r="T129" s="373"/>
      <x:c r="U129" s="373"/>
      <x:c r="V129" s="373"/>
      <x:c r="W129" s="373"/>
      <x:c r="X129" s="373"/>
      <x:c r="Y129" s="373"/>
      <x:c r="Z129" s="373"/>
    </x:row>
    <x:row r="130">
      <x:c r="A130" s="373"/>
      <x:c r="B130" s="373"/>
      <x:c r="C130" s="373"/>
      <x:c r="D130" s="373"/>
      <x:c r="E130" s="373"/>
      <x:c r="F130" s="373"/>
      <x:c r="G130" s="373"/>
      <x:c r="H130" s="373"/>
      <x:c r="I130" s="373"/>
      <x:c r="J130" s="373"/>
      <x:c r="K130" s="373"/>
      <x:c r="L130" s="373"/>
      <x:c r="M130" s="373"/>
      <x:c r="N130" s="373"/>
      <x:c r="O130" s="373"/>
      <x:c r="P130" s="373"/>
      <x:c r="Q130" s="373"/>
      <x:c r="R130" s="373"/>
      <x:c r="S130" s="373"/>
      <x:c r="T130" s="373"/>
      <x:c r="U130" s="373"/>
      <x:c r="V130" s="373"/>
      <x:c r="W130" s="373"/>
      <x:c r="X130" s="373"/>
      <x:c r="Y130" s="373"/>
      <x:c r="Z130" s="373"/>
    </x:row>
    <x:row r="131">
      <x:c r="A131" s="373"/>
      <x:c r="B131" s="373"/>
      <x:c r="C131" s="373"/>
      <x:c r="D131" s="373"/>
      <x:c r="E131" s="373"/>
      <x:c r="F131" s="373"/>
      <x:c r="G131" s="373"/>
      <x:c r="H131" s="373"/>
      <x:c r="I131" s="373"/>
      <x:c r="J131" s="373"/>
      <x:c r="K131" s="373"/>
      <x:c r="L131" s="373"/>
      <x:c r="M131" s="373"/>
      <x:c r="N131" s="373"/>
      <x:c r="O131" s="373"/>
      <x:c r="P131" s="373"/>
      <x:c r="Q131" s="373"/>
      <x:c r="R131" s="373"/>
      <x:c r="S131" s="373"/>
      <x:c r="T131" s="373"/>
      <x:c r="U131" s="373"/>
      <x:c r="V131" s="373"/>
      <x:c r="W131" s="373"/>
      <x:c r="X131" s="373"/>
      <x:c r="Y131" s="373"/>
      <x:c r="Z131" s="373"/>
    </x:row>
    <x:row r="132">
      <x:c r="A132" s="373"/>
      <x:c r="B132" s="373"/>
      <x:c r="C132" s="373"/>
      <x:c r="D132" s="373"/>
      <x:c r="E132" s="373"/>
      <x:c r="F132" s="373"/>
      <x:c r="G132" s="373"/>
      <x:c r="H132" s="373"/>
      <x:c r="I132" s="373"/>
      <x:c r="J132" s="373"/>
      <x:c r="K132" s="373"/>
      <x:c r="L132" s="373"/>
      <x:c r="M132" s="373"/>
      <x:c r="N132" s="373"/>
      <x:c r="O132" s="373"/>
      <x:c r="P132" s="373"/>
      <x:c r="Q132" s="373"/>
      <x:c r="R132" s="373"/>
      <x:c r="S132" s="373"/>
      <x:c r="T132" s="373"/>
      <x:c r="U132" s="373"/>
      <x:c r="V132" s="373"/>
      <x:c r="W132" s="373"/>
      <x:c r="X132" s="373"/>
      <x:c r="Y132" s="373"/>
      <x:c r="Z132" s="373"/>
    </x:row>
    <x:row r="133">
      <x:c r="A133" s="373"/>
      <x:c r="B133" s="373"/>
      <x:c r="C133" s="373"/>
      <x:c r="D133" s="373"/>
      <x:c r="E133" s="373"/>
      <x:c r="F133" s="373"/>
      <x:c r="G133" s="373"/>
      <x:c r="H133" s="373"/>
      <x:c r="I133" s="373"/>
      <x:c r="J133" s="373"/>
      <x:c r="K133" s="373"/>
      <x:c r="L133" s="373"/>
      <x:c r="M133" s="373"/>
      <x:c r="N133" s="373"/>
      <x:c r="O133" s="373"/>
      <x:c r="P133" s="373"/>
      <x:c r="Q133" s="373"/>
      <x:c r="R133" s="373"/>
      <x:c r="S133" s="373"/>
      <x:c r="T133" s="373"/>
      <x:c r="U133" s="373"/>
      <x:c r="V133" s="373"/>
      <x:c r="W133" s="373"/>
      <x:c r="X133" s="373"/>
      <x:c r="Y133" s="373"/>
      <x:c r="Z133" s="373"/>
    </x:row>
    <x:row r="134">
      <x:c r="A134" s="373"/>
      <x:c r="B134" s="373"/>
      <x:c r="C134" s="373"/>
      <x:c r="D134" s="373"/>
      <x:c r="E134" s="373"/>
      <x:c r="F134" s="373"/>
      <x:c r="G134" s="373"/>
      <x:c r="H134" s="373"/>
      <x:c r="I134" s="373"/>
      <x:c r="J134" s="373"/>
      <x:c r="K134" s="373"/>
      <x:c r="L134" s="373"/>
      <x:c r="M134" s="373"/>
      <x:c r="N134" s="373"/>
      <x:c r="O134" s="373"/>
      <x:c r="P134" s="373"/>
      <x:c r="Q134" s="373"/>
      <x:c r="R134" s="373"/>
      <x:c r="S134" s="373"/>
      <x:c r="T134" s="373"/>
      <x:c r="U134" s="373"/>
      <x:c r="V134" s="373"/>
      <x:c r="W134" s="373"/>
      <x:c r="X134" s="373"/>
      <x:c r="Y134" s="373"/>
      <x:c r="Z134" s="373"/>
    </x:row>
    <x:row r="135">
      <x:c r="A135" s="373"/>
      <x:c r="B135" s="373"/>
      <x:c r="C135" s="373"/>
      <x:c r="D135" s="373"/>
      <x:c r="E135" s="373"/>
      <x:c r="F135" s="373"/>
      <x:c r="G135" s="373"/>
      <x:c r="H135" s="373"/>
      <x:c r="I135" s="373"/>
      <x:c r="J135" s="373"/>
      <x:c r="K135" s="373"/>
      <x:c r="L135" s="373"/>
      <x:c r="M135" s="373"/>
      <x:c r="N135" s="373"/>
      <x:c r="O135" s="373"/>
      <x:c r="P135" s="373"/>
      <x:c r="Q135" s="373"/>
      <x:c r="R135" s="373"/>
      <x:c r="S135" s="373"/>
      <x:c r="T135" s="373"/>
      <x:c r="U135" s="373"/>
      <x:c r="V135" s="373"/>
      <x:c r="W135" s="373"/>
      <x:c r="X135" s="373"/>
      <x:c r="Y135" s="373"/>
      <x:c r="Z135" s="373"/>
    </x:row>
    <x:row r="136">
      <x:c r="A136" s="373"/>
      <x:c r="B136" s="373"/>
      <x:c r="C136" s="373"/>
      <x:c r="D136" s="373"/>
      <x:c r="E136" s="373"/>
      <x:c r="F136" s="373"/>
      <x:c r="G136" s="373"/>
      <x:c r="H136" s="373"/>
      <x:c r="I136" s="373"/>
      <x:c r="J136" s="373"/>
      <x:c r="K136" s="373"/>
      <x:c r="L136" s="373"/>
      <x:c r="M136" s="373"/>
      <x:c r="N136" s="373"/>
      <x:c r="O136" s="373"/>
      <x:c r="P136" s="373"/>
      <x:c r="Q136" s="373"/>
      <x:c r="R136" s="373"/>
      <x:c r="S136" s="373"/>
      <x:c r="T136" s="373"/>
      <x:c r="U136" s="373"/>
      <x:c r="V136" s="373"/>
      <x:c r="W136" s="373"/>
      <x:c r="X136" s="373"/>
      <x:c r="Y136" s="373"/>
      <x:c r="Z136" s="373"/>
    </x:row>
    <x:row r="137">
      <x:c r="A137" s="373"/>
      <x:c r="B137" s="373"/>
      <x:c r="C137" s="373"/>
      <x:c r="D137" s="373"/>
      <x:c r="E137" s="373"/>
      <x:c r="F137" s="373"/>
      <x:c r="G137" s="373"/>
      <x:c r="H137" s="373"/>
      <x:c r="I137" s="373"/>
      <x:c r="J137" s="373"/>
      <x:c r="K137" s="373"/>
      <x:c r="L137" s="373"/>
      <x:c r="M137" s="373"/>
      <x:c r="N137" s="373"/>
      <x:c r="O137" s="373"/>
      <x:c r="P137" s="373"/>
      <x:c r="Q137" s="373"/>
      <x:c r="R137" s="373"/>
      <x:c r="S137" s="373"/>
      <x:c r="T137" s="373"/>
      <x:c r="U137" s="373"/>
      <x:c r="V137" s="373"/>
      <x:c r="W137" s="373"/>
      <x:c r="X137" s="373"/>
      <x:c r="Y137" s="373"/>
      <x:c r="Z137" s="373"/>
    </x:row>
    <x:row r="138">
      <x:c r="A138" s="373"/>
      <x:c r="B138" s="373"/>
      <x:c r="C138" s="373"/>
      <x:c r="D138" s="373"/>
      <x:c r="E138" s="373"/>
      <x:c r="F138" s="373"/>
      <x:c r="G138" s="373"/>
      <x:c r="H138" s="373"/>
      <x:c r="I138" s="373"/>
      <x:c r="J138" s="373"/>
      <x:c r="K138" s="373"/>
      <x:c r="L138" s="373"/>
      <x:c r="M138" s="373"/>
      <x:c r="N138" s="373"/>
      <x:c r="O138" s="373"/>
      <x:c r="P138" s="373"/>
      <x:c r="Q138" s="373"/>
      <x:c r="R138" s="373"/>
      <x:c r="S138" s="373"/>
      <x:c r="T138" s="373"/>
      <x:c r="U138" s="373"/>
      <x:c r="V138" s="373"/>
      <x:c r="W138" s="373"/>
      <x:c r="X138" s="373"/>
      <x:c r="Y138" s="373"/>
      <x:c r="Z138" s="373"/>
    </x:row>
    <x:row r="139">
      <x:c r="A139" s="373"/>
      <x:c r="B139" s="373"/>
      <x:c r="C139" s="373"/>
      <x:c r="D139" s="373"/>
      <x:c r="E139" s="373"/>
      <x:c r="F139" s="373"/>
      <x:c r="G139" s="373"/>
      <x:c r="H139" s="373"/>
      <x:c r="I139" s="373"/>
      <x:c r="J139" s="373"/>
      <x:c r="K139" s="373"/>
      <x:c r="L139" s="373"/>
      <x:c r="M139" s="373"/>
      <x:c r="N139" s="373"/>
      <x:c r="O139" s="373"/>
      <x:c r="P139" s="373"/>
      <x:c r="Q139" s="373"/>
      <x:c r="R139" s="373"/>
      <x:c r="S139" s="373"/>
      <x:c r="T139" s="373"/>
      <x:c r="U139" s="373"/>
      <x:c r="V139" s="373"/>
      <x:c r="W139" s="373"/>
      <x:c r="X139" s="373"/>
      <x:c r="Y139" s="373"/>
      <x:c r="Z139" s="373"/>
    </x:row>
    <x:row r="140">
      <x:c r="A140" s="373"/>
      <x:c r="B140" s="373"/>
      <x:c r="C140" s="373"/>
      <x:c r="D140" s="373"/>
      <x:c r="E140" s="373"/>
      <x:c r="F140" s="373"/>
      <x:c r="G140" s="373"/>
      <x:c r="H140" s="373"/>
      <x:c r="I140" s="373"/>
      <x:c r="J140" s="373"/>
      <x:c r="K140" s="373"/>
      <x:c r="L140" s="373"/>
      <x:c r="M140" s="373"/>
      <x:c r="N140" s="373"/>
      <x:c r="O140" s="373"/>
      <x:c r="P140" s="373"/>
      <x:c r="Q140" s="373"/>
      <x:c r="R140" s="373"/>
      <x:c r="S140" s="373"/>
      <x:c r="T140" s="373"/>
      <x:c r="U140" s="373"/>
      <x:c r="V140" s="373"/>
      <x:c r="W140" s="373"/>
      <x:c r="X140" s="373"/>
      <x:c r="Y140" s="373"/>
      <x:c r="Z140" s="373"/>
    </x:row>
    <x:row r="141">
      <x:c r="A141" s="373"/>
      <x:c r="B141" s="373"/>
      <x:c r="C141" s="373"/>
      <x:c r="D141" s="373"/>
      <x:c r="E141" s="373"/>
      <x:c r="F141" s="373"/>
      <x:c r="G141" s="373"/>
      <x:c r="H141" s="373"/>
      <x:c r="I141" s="373"/>
      <x:c r="J141" s="373"/>
      <x:c r="K141" s="373"/>
      <x:c r="L141" s="373"/>
      <x:c r="M141" s="373"/>
      <x:c r="N141" s="373"/>
      <x:c r="O141" s="373"/>
      <x:c r="P141" s="373"/>
      <x:c r="Q141" s="373"/>
      <x:c r="R141" s="373"/>
      <x:c r="S141" s="373"/>
      <x:c r="T141" s="373"/>
      <x:c r="U141" s="373"/>
      <x:c r="V141" s="373"/>
      <x:c r="W141" s="373"/>
      <x:c r="X141" s="373"/>
      <x:c r="Y141" s="373"/>
      <x:c r="Z141" s="373"/>
    </x:row>
    <x:row r="142">
      <x:c r="A142" s="373"/>
      <x:c r="B142" s="373"/>
      <x:c r="C142" s="373"/>
      <x:c r="D142" s="373"/>
      <x:c r="E142" s="373"/>
      <x:c r="F142" s="373"/>
      <x:c r="G142" s="373"/>
      <x:c r="H142" s="373"/>
      <x:c r="I142" s="373"/>
      <x:c r="J142" s="373"/>
      <x:c r="K142" s="373"/>
      <x:c r="L142" s="373"/>
      <x:c r="M142" s="373"/>
      <x:c r="N142" s="373"/>
      <x:c r="O142" s="373"/>
      <x:c r="P142" s="373"/>
      <x:c r="Q142" s="373"/>
      <x:c r="R142" s="373"/>
      <x:c r="S142" s="373"/>
      <x:c r="T142" s="373"/>
      <x:c r="U142" s="373"/>
      <x:c r="V142" s="373"/>
      <x:c r="W142" s="373"/>
      <x:c r="X142" s="373"/>
      <x:c r="Y142" s="373"/>
      <x:c r="Z142" s="373"/>
    </x:row>
    <x:row r="143">
      <x:c r="A143" s="373"/>
      <x:c r="B143" s="373"/>
      <x:c r="C143" s="373"/>
      <x:c r="D143" s="373"/>
      <x:c r="E143" s="373"/>
      <x:c r="F143" s="373"/>
      <x:c r="G143" s="373"/>
      <x:c r="H143" s="373"/>
      <x:c r="I143" s="373"/>
      <x:c r="J143" s="373"/>
      <x:c r="K143" s="373"/>
      <x:c r="L143" s="373"/>
      <x:c r="M143" s="373"/>
      <x:c r="N143" s="373"/>
      <x:c r="O143" s="373"/>
      <x:c r="P143" s="373"/>
      <x:c r="Q143" s="373"/>
      <x:c r="R143" s="373"/>
      <x:c r="S143" s="373"/>
      <x:c r="T143" s="373"/>
      <x:c r="U143" s="373"/>
      <x:c r="V143" s="373"/>
      <x:c r="W143" s="373"/>
      <x:c r="X143" s="373"/>
      <x:c r="Y143" s="373"/>
      <x:c r="Z143" s="373"/>
    </x:row>
    <x:row r="144">
      <x:c r="A144" s="373"/>
      <x:c r="B144" s="373"/>
      <x:c r="C144" s="373"/>
      <x:c r="D144" s="373"/>
      <x:c r="E144" s="373"/>
      <x:c r="F144" s="373"/>
      <x:c r="G144" s="373"/>
      <x:c r="H144" s="373"/>
      <x:c r="I144" s="373"/>
      <x:c r="J144" s="373"/>
      <x:c r="K144" s="373"/>
      <x:c r="L144" s="373"/>
      <x:c r="M144" s="373"/>
      <x:c r="N144" s="373"/>
      <x:c r="O144" s="373"/>
      <x:c r="P144" s="373"/>
      <x:c r="Q144" s="373"/>
      <x:c r="R144" s="373"/>
      <x:c r="S144" s="373"/>
      <x:c r="T144" s="373"/>
      <x:c r="U144" s="373"/>
      <x:c r="V144" s="373"/>
      <x:c r="W144" s="373"/>
      <x:c r="X144" s="373"/>
      <x:c r="Y144" s="373"/>
      <x:c r="Z144" s="373"/>
    </x:row>
    <x:row r="145">
      <x:c r="A145" s="373"/>
      <x:c r="B145" s="373"/>
      <x:c r="C145" s="373"/>
      <x:c r="D145" s="373"/>
      <x:c r="E145" s="373"/>
      <x:c r="F145" s="373"/>
      <x:c r="G145" s="373"/>
      <x:c r="H145" s="373"/>
      <x:c r="I145" s="373"/>
      <x:c r="J145" s="373"/>
      <x:c r="K145" s="373"/>
      <x:c r="L145" s="373"/>
      <x:c r="M145" s="373"/>
      <x:c r="N145" s="373"/>
      <x:c r="O145" s="373"/>
      <x:c r="P145" s="373"/>
      <x:c r="Q145" s="373"/>
      <x:c r="R145" s="373"/>
      <x:c r="S145" s="373"/>
      <x:c r="T145" s="373"/>
      <x:c r="U145" s="373"/>
      <x:c r="V145" s="373"/>
      <x:c r="W145" s="373"/>
      <x:c r="X145" s="373"/>
      <x:c r="Y145" s="373"/>
      <x:c r="Z145" s="373"/>
    </x:row>
    <x:row r="146">
      <x:c r="A146" s="373"/>
      <x:c r="B146" s="373"/>
      <x:c r="C146" s="373"/>
      <x:c r="D146" s="373"/>
      <x:c r="E146" s="373"/>
      <x:c r="F146" s="373"/>
      <x:c r="G146" s="373"/>
      <x:c r="H146" s="373"/>
      <x:c r="I146" s="373"/>
      <x:c r="J146" s="373"/>
      <x:c r="K146" s="373"/>
      <x:c r="L146" s="373"/>
      <x:c r="M146" s="373"/>
      <x:c r="N146" s="373"/>
      <x:c r="O146" s="373"/>
      <x:c r="P146" s="373"/>
      <x:c r="Q146" s="373"/>
      <x:c r="R146" s="373"/>
      <x:c r="S146" s="373"/>
      <x:c r="T146" s="373"/>
      <x:c r="U146" s="373"/>
      <x:c r="V146" s="373"/>
      <x:c r="W146" s="373"/>
      <x:c r="X146" s="373"/>
      <x:c r="Y146" s="373"/>
      <x:c r="Z146" s="373"/>
    </x:row>
    <x:row r="147">
      <x:c r="A147" s="373"/>
      <x:c r="B147" s="373"/>
      <x:c r="C147" s="373"/>
      <x:c r="D147" s="373"/>
      <x:c r="E147" s="373"/>
      <x:c r="F147" s="373"/>
      <x:c r="G147" s="373"/>
      <x:c r="H147" s="373"/>
      <x:c r="I147" s="373"/>
      <x:c r="J147" s="373"/>
      <x:c r="K147" s="373"/>
      <x:c r="L147" s="373"/>
      <x:c r="M147" s="373"/>
      <x:c r="N147" s="373"/>
      <x:c r="O147" s="373"/>
      <x:c r="P147" s="373"/>
      <x:c r="Q147" s="373"/>
      <x:c r="R147" s="373"/>
      <x:c r="S147" s="373"/>
      <x:c r="T147" s="373"/>
      <x:c r="U147" s="373"/>
      <x:c r="V147" s="373"/>
      <x:c r="W147" s="373"/>
      <x:c r="X147" s="373"/>
      <x:c r="Y147" s="373"/>
      <x:c r="Z147" s="373"/>
    </x:row>
    <x:row r="148">
      <x:c r="A148" s="373"/>
      <x:c r="B148" s="373"/>
      <x:c r="C148" s="373"/>
      <x:c r="D148" s="373"/>
      <x:c r="E148" s="373"/>
      <x:c r="F148" s="373"/>
      <x:c r="G148" s="373"/>
      <x:c r="H148" s="373"/>
      <x:c r="I148" s="373"/>
      <x:c r="J148" s="373"/>
      <x:c r="K148" s="373"/>
      <x:c r="L148" s="373"/>
      <x:c r="M148" s="373"/>
      <x:c r="N148" s="373"/>
      <x:c r="O148" s="373"/>
      <x:c r="P148" s="373"/>
      <x:c r="Q148" s="373"/>
      <x:c r="R148" s="373"/>
      <x:c r="S148" s="373"/>
      <x:c r="T148" s="373"/>
      <x:c r="U148" s="373"/>
      <x:c r="V148" s="373"/>
      <x:c r="W148" s="373"/>
      <x:c r="X148" s="373"/>
      <x:c r="Y148" s="373"/>
      <x:c r="Z148" s="373"/>
    </x:row>
    <x:row r="149">
      <x:c r="A149" s="373"/>
      <x:c r="B149" s="373"/>
      <x:c r="C149" s="373"/>
      <x:c r="D149" s="373"/>
      <x:c r="E149" s="373"/>
      <x:c r="F149" s="373"/>
      <x:c r="G149" s="373"/>
      <x:c r="H149" s="373"/>
      <x:c r="I149" s="373"/>
      <x:c r="J149" s="373"/>
      <x:c r="K149" s="373"/>
      <x:c r="L149" s="373"/>
      <x:c r="M149" s="373"/>
      <x:c r="N149" s="373"/>
      <x:c r="O149" s="373"/>
      <x:c r="P149" s="373"/>
      <x:c r="Q149" s="373"/>
      <x:c r="R149" s="373"/>
      <x:c r="S149" s="373"/>
      <x:c r="T149" s="373"/>
      <x:c r="U149" s="373"/>
      <x:c r="V149" s="373"/>
      <x:c r="W149" s="373"/>
      <x:c r="X149" s="373"/>
      <x:c r="Y149" s="373"/>
      <x:c r="Z149" s="373"/>
    </x:row>
    <x:row r="150">
      <x:c r="A150" s="373"/>
      <x:c r="B150" s="373"/>
      <x:c r="C150" s="373"/>
      <x:c r="D150" s="373"/>
      <x:c r="E150" s="373"/>
      <x:c r="F150" s="373"/>
      <x:c r="G150" s="373"/>
      <x:c r="H150" s="373"/>
      <x:c r="I150" s="373"/>
      <x:c r="J150" s="373"/>
      <x:c r="K150" s="373"/>
      <x:c r="L150" s="373"/>
      <x:c r="M150" s="373"/>
      <x:c r="N150" s="373"/>
      <x:c r="O150" s="373"/>
      <x:c r="P150" s="373"/>
      <x:c r="Q150" s="373"/>
      <x:c r="R150" s="373"/>
      <x:c r="S150" s="373"/>
      <x:c r="T150" s="373"/>
      <x:c r="U150" s="373"/>
      <x:c r="V150" s="373"/>
      <x:c r="W150" s="373"/>
      <x:c r="X150" s="373"/>
      <x:c r="Y150" s="373"/>
      <x:c r="Z150" s="373"/>
    </x:row>
    <x:row r="151">
      <x:c r="A151" s="373"/>
      <x:c r="B151" s="373"/>
      <x:c r="C151" s="373"/>
      <x:c r="D151" s="373"/>
      <x:c r="E151" s="373"/>
      <x:c r="F151" s="373"/>
      <x:c r="G151" s="373"/>
      <x:c r="H151" s="373"/>
      <x:c r="I151" s="373"/>
      <x:c r="J151" s="373"/>
      <x:c r="K151" s="373"/>
      <x:c r="L151" s="373"/>
      <x:c r="M151" s="373"/>
      <x:c r="N151" s="373"/>
      <x:c r="O151" s="373"/>
      <x:c r="P151" s="373"/>
      <x:c r="Q151" s="373"/>
      <x:c r="R151" s="373"/>
      <x:c r="S151" s="373"/>
      <x:c r="T151" s="373"/>
      <x:c r="U151" s="373"/>
      <x:c r="V151" s="373"/>
      <x:c r="W151" s="373"/>
      <x:c r="X151" s="373"/>
      <x:c r="Y151" s="373"/>
      <x:c r="Z151" s="373"/>
    </x:row>
    <x:row r="152">
      <x:c r="A152" s="373"/>
      <x:c r="B152" s="373"/>
      <x:c r="C152" s="373"/>
      <x:c r="D152" s="373"/>
      <x:c r="E152" s="373"/>
      <x:c r="F152" s="373"/>
      <x:c r="G152" s="373"/>
      <x:c r="H152" s="373"/>
      <x:c r="I152" s="373"/>
      <x:c r="J152" s="373"/>
      <x:c r="K152" s="373"/>
      <x:c r="L152" s="373"/>
      <x:c r="M152" s="373"/>
      <x:c r="N152" s="373"/>
      <x:c r="O152" s="373"/>
      <x:c r="P152" s="373"/>
      <x:c r="Q152" s="373"/>
      <x:c r="R152" s="373"/>
      <x:c r="S152" s="373"/>
      <x:c r="T152" s="373"/>
      <x:c r="U152" s="373"/>
      <x:c r="V152" s="373"/>
      <x:c r="W152" s="373"/>
      <x:c r="X152" s="373"/>
      <x:c r="Y152" s="373"/>
      <x:c r="Z152" s="373"/>
    </x:row>
    <x:row r="153">
      <x:c r="A153" s="373"/>
      <x:c r="B153" s="373"/>
      <x:c r="C153" s="373"/>
      <x:c r="D153" s="373"/>
      <x:c r="E153" s="373"/>
      <x:c r="F153" s="373"/>
      <x:c r="G153" s="373"/>
      <x:c r="H153" s="373"/>
      <x:c r="I153" s="373"/>
      <x:c r="J153" s="373"/>
      <x:c r="K153" s="373"/>
      <x:c r="L153" s="373"/>
      <x:c r="M153" s="373"/>
      <x:c r="N153" s="373"/>
      <x:c r="O153" s="373"/>
      <x:c r="P153" s="373"/>
      <x:c r="Q153" s="373"/>
      <x:c r="R153" s="373"/>
      <x:c r="S153" s="373"/>
      <x:c r="T153" s="373"/>
      <x:c r="U153" s="373"/>
      <x:c r="V153" s="373"/>
      <x:c r="W153" s="373"/>
      <x:c r="X153" s="373"/>
      <x:c r="Y153" s="373"/>
      <x:c r="Z153" s="373"/>
    </x:row>
    <x:row r="154">
      <x:c r="A154" s="373"/>
      <x:c r="B154" s="373"/>
      <x:c r="C154" s="373"/>
      <x:c r="D154" s="373"/>
      <x:c r="E154" s="373"/>
      <x:c r="F154" s="373"/>
      <x:c r="G154" s="373"/>
      <x:c r="H154" s="373"/>
      <x:c r="I154" s="373"/>
      <x:c r="J154" s="373"/>
      <x:c r="K154" s="373"/>
      <x:c r="L154" s="373"/>
      <x:c r="M154" s="373"/>
      <x:c r="N154" s="373"/>
      <x:c r="O154" s="373"/>
      <x:c r="P154" s="373"/>
      <x:c r="Q154" s="373"/>
      <x:c r="R154" s="373"/>
      <x:c r="S154" s="373"/>
      <x:c r="T154" s="373"/>
      <x:c r="U154" s="373"/>
      <x:c r="V154" s="373"/>
      <x:c r="W154" s="373"/>
      <x:c r="X154" s="373"/>
      <x:c r="Y154" s="373"/>
      <x:c r="Z154" s="373"/>
    </x:row>
    <x:row r="155">
      <x:c r="A155" s="373"/>
      <x:c r="B155" s="373"/>
      <x:c r="C155" s="373"/>
      <x:c r="D155" s="373"/>
      <x:c r="E155" s="373"/>
      <x:c r="F155" s="373"/>
      <x:c r="G155" s="373"/>
      <x:c r="H155" s="373"/>
      <x:c r="I155" s="373"/>
      <x:c r="J155" s="373"/>
      <x:c r="K155" s="373"/>
      <x:c r="L155" s="373"/>
      <x:c r="M155" s="373"/>
      <x:c r="N155" s="373"/>
      <x:c r="O155" s="373"/>
      <x:c r="P155" s="373"/>
      <x:c r="Q155" s="373"/>
      <x:c r="R155" s="373"/>
      <x:c r="S155" s="373"/>
      <x:c r="T155" s="373"/>
      <x:c r="U155" s="373"/>
      <x:c r="V155" s="373"/>
      <x:c r="W155" s="373"/>
      <x:c r="X155" s="373"/>
      <x:c r="Y155" s="373"/>
      <x:c r="Z155" s="373"/>
    </x:row>
    <x:row r="156">
      <x:c r="A156" s="373"/>
      <x:c r="B156" s="373"/>
      <x:c r="C156" s="373"/>
      <x:c r="D156" s="373"/>
      <x:c r="E156" s="373"/>
      <x:c r="F156" s="373"/>
      <x:c r="G156" s="373"/>
      <x:c r="H156" s="373"/>
      <x:c r="I156" s="373"/>
      <x:c r="J156" s="373"/>
      <x:c r="K156" s="373"/>
      <x:c r="L156" s="373"/>
      <x:c r="M156" s="373"/>
      <x:c r="N156" s="373"/>
      <x:c r="O156" s="373"/>
      <x:c r="P156" s="373"/>
      <x:c r="Q156" s="373"/>
      <x:c r="R156" s="373"/>
      <x:c r="S156" s="373"/>
      <x:c r="T156" s="373"/>
      <x:c r="U156" s="373"/>
      <x:c r="V156" s="373"/>
      <x:c r="W156" s="373"/>
      <x:c r="X156" s="373"/>
      <x:c r="Y156" s="373"/>
      <x:c r="Z156" s="373"/>
    </x:row>
    <x:row r="157">
      <x:c r="A157" s="373"/>
      <x:c r="B157" s="373"/>
      <x:c r="C157" s="373"/>
      <x:c r="D157" s="373"/>
      <x:c r="E157" s="373"/>
      <x:c r="F157" s="373"/>
      <x:c r="G157" s="373"/>
      <x:c r="H157" s="373"/>
      <x:c r="I157" s="373"/>
      <x:c r="J157" s="373"/>
      <x:c r="K157" s="373"/>
      <x:c r="L157" s="373"/>
      <x:c r="M157" s="373"/>
      <x:c r="N157" s="373"/>
      <x:c r="O157" s="373"/>
      <x:c r="P157" s="373"/>
      <x:c r="Q157" s="373"/>
      <x:c r="R157" s="373"/>
      <x:c r="S157" s="373"/>
      <x:c r="T157" s="373"/>
      <x:c r="U157" s="373"/>
      <x:c r="V157" s="373"/>
      <x:c r="W157" s="373"/>
      <x:c r="X157" s="373"/>
      <x:c r="Y157" s="373"/>
      <x:c r="Z157" s="373"/>
    </x:row>
    <x:row r="158">
      <x:c r="A158" s="373"/>
      <x:c r="B158" s="373"/>
      <x:c r="C158" s="373"/>
      <x:c r="D158" s="373"/>
      <x:c r="E158" s="373"/>
      <x:c r="F158" s="373"/>
      <x:c r="G158" s="373"/>
      <x:c r="H158" s="373"/>
      <x:c r="I158" s="373"/>
      <x:c r="J158" s="373"/>
      <x:c r="K158" s="373"/>
      <x:c r="L158" s="373"/>
      <x:c r="M158" s="373"/>
      <x:c r="N158" s="373"/>
      <x:c r="O158" s="373"/>
      <x:c r="P158" s="373"/>
      <x:c r="Q158" s="373"/>
      <x:c r="R158" s="373"/>
      <x:c r="S158" s="373"/>
      <x:c r="T158" s="373"/>
      <x:c r="U158" s="373"/>
      <x:c r="V158" s="373"/>
      <x:c r="W158" s="373"/>
      <x:c r="X158" s="373"/>
      <x:c r="Y158" s="373"/>
      <x:c r="Z158" s="373"/>
    </x:row>
    <x:row r="159">
      <x:c r="A159" s="373"/>
      <x:c r="B159" s="373"/>
      <x:c r="C159" s="373"/>
      <x:c r="D159" s="373"/>
      <x:c r="E159" s="373"/>
      <x:c r="F159" s="373"/>
      <x:c r="G159" s="373"/>
      <x:c r="H159" s="373"/>
      <x:c r="I159" s="373"/>
      <x:c r="J159" s="373"/>
      <x:c r="K159" s="373"/>
      <x:c r="L159" s="373"/>
      <x:c r="M159" s="373"/>
      <x:c r="N159" s="373"/>
      <x:c r="O159" s="373"/>
      <x:c r="P159" s="373"/>
      <x:c r="Q159" s="373"/>
      <x:c r="R159" s="373"/>
      <x:c r="S159" s="373"/>
      <x:c r="T159" s="373"/>
      <x:c r="U159" s="373"/>
      <x:c r="V159" s="373"/>
      <x:c r="W159" s="373"/>
      <x:c r="X159" s="373"/>
      <x:c r="Y159" s="373"/>
      <x:c r="Z159" s="373"/>
    </x:row>
    <x:row r="160">
      <x:c r="A160" s="373"/>
      <x:c r="B160" s="373"/>
      <x:c r="C160" s="373"/>
      <x:c r="D160" s="373"/>
      <x:c r="E160" s="373"/>
      <x:c r="F160" s="373"/>
      <x:c r="G160" s="373"/>
      <x:c r="H160" s="373"/>
      <x:c r="I160" s="373"/>
      <x:c r="J160" s="373"/>
      <x:c r="K160" s="373"/>
      <x:c r="L160" s="373"/>
      <x:c r="M160" s="373"/>
      <x:c r="N160" s="373"/>
      <x:c r="O160" s="373"/>
      <x:c r="P160" s="373"/>
      <x:c r="Q160" s="373"/>
      <x:c r="R160" s="373"/>
      <x:c r="S160" s="373"/>
      <x:c r="T160" s="373"/>
      <x:c r="U160" s="373"/>
      <x:c r="V160" s="373"/>
      <x:c r="W160" s="373"/>
      <x:c r="X160" s="373"/>
      <x:c r="Y160" s="373"/>
      <x:c r="Z160" s="373"/>
    </x:row>
    <x:row r="161">
      <x:c r="A161" s="373"/>
      <x:c r="B161" s="373"/>
      <x:c r="C161" s="373"/>
      <x:c r="D161" s="373"/>
      <x:c r="E161" s="373"/>
      <x:c r="F161" s="373"/>
      <x:c r="G161" s="373"/>
      <x:c r="H161" s="373"/>
      <x:c r="I161" s="373"/>
      <x:c r="J161" s="373"/>
      <x:c r="K161" s="373"/>
      <x:c r="L161" s="373"/>
      <x:c r="M161" s="373"/>
      <x:c r="N161" s="373"/>
      <x:c r="O161" s="373"/>
      <x:c r="P161" s="373"/>
      <x:c r="Q161" s="373"/>
      <x:c r="R161" s="373"/>
      <x:c r="S161" s="373"/>
      <x:c r="T161" s="373"/>
      <x:c r="U161" s="373"/>
      <x:c r="V161" s="373"/>
      <x:c r="W161" s="373"/>
      <x:c r="X161" s="373"/>
      <x:c r="Y161" s="373"/>
      <x:c r="Z161" s="373"/>
    </x:row>
    <x:row r="162">
      <x:c r="A162" s="373"/>
      <x:c r="B162" s="373"/>
      <x:c r="C162" s="373"/>
      <x:c r="D162" s="373"/>
      <x:c r="E162" s="373"/>
      <x:c r="F162" s="373"/>
      <x:c r="G162" s="373"/>
      <x:c r="H162" s="373"/>
      <x:c r="I162" s="373"/>
      <x:c r="J162" s="373"/>
      <x:c r="K162" s="373"/>
      <x:c r="L162" s="373"/>
      <x:c r="M162" s="373"/>
      <x:c r="N162" s="373"/>
      <x:c r="O162" s="373"/>
      <x:c r="P162" s="373"/>
      <x:c r="Q162" s="373"/>
      <x:c r="R162" s="373"/>
      <x:c r="S162" s="373"/>
      <x:c r="T162" s="373"/>
      <x:c r="U162" s="373"/>
      <x:c r="V162" s="373"/>
      <x:c r="W162" s="373"/>
      <x:c r="X162" s="373"/>
      <x:c r="Y162" s="373"/>
      <x:c r="Z162" s="373"/>
    </x:row>
    <x:row r="163">
      <x:c r="A163" s="373"/>
      <x:c r="B163" s="373"/>
      <x:c r="C163" s="373"/>
      <x:c r="D163" s="373"/>
      <x:c r="E163" s="373"/>
      <x:c r="F163" s="373"/>
      <x:c r="G163" s="373"/>
      <x:c r="H163" s="373"/>
      <x:c r="I163" s="373"/>
      <x:c r="J163" s="373"/>
      <x:c r="K163" s="373"/>
      <x:c r="L163" s="373"/>
      <x:c r="M163" s="373"/>
      <x:c r="N163" s="373"/>
      <x:c r="O163" s="373"/>
      <x:c r="P163" s="373"/>
      <x:c r="Q163" s="373"/>
      <x:c r="R163" s="373"/>
      <x:c r="S163" s="373"/>
      <x:c r="T163" s="373"/>
      <x:c r="U163" s="373"/>
      <x:c r="V163" s="373"/>
      <x:c r="W163" s="373"/>
      <x:c r="X163" s="373"/>
      <x:c r="Y163" s="373"/>
      <x:c r="Z163" s="373"/>
    </x:row>
    <x:row r="164">
      <x:c r="A164" s="373"/>
      <x:c r="B164" s="373"/>
      <x:c r="C164" s="373"/>
      <x:c r="D164" s="373"/>
      <x:c r="E164" s="373"/>
      <x:c r="F164" s="373"/>
      <x:c r="G164" s="373"/>
      <x:c r="H164" s="373"/>
      <x:c r="I164" s="373"/>
      <x:c r="J164" s="373"/>
      <x:c r="K164" s="373"/>
      <x:c r="L164" s="373"/>
      <x:c r="M164" s="373"/>
      <x:c r="N164" s="373"/>
      <x:c r="O164" s="373"/>
      <x:c r="P164" s="373"/>
      <x:c r="Q164" s="373"/>
      <x:c r="R164" s="373"/>
      <x:c r="S164" s="373"/>
      <x:c r="T164" s="373"/>
      <x:c r="U164" s="373"/>
      <x:c r="V164" s="373"/>
      <x:c r="W164" s="373"/>
      <x:c r="X164" s="373"/>
      <x:c r="Y164" s="373"/>
      <x:c r="Z164" s="373"/>
    </x:row>
    <x:row r="165">
      <x:c r="A165" s="373"/>
      <x:c r="B165" s="373"/>
      <x:c r="C165" s="373"/>
      <x:c r="D165" s="373"/>
      <x:c r="E165" s="373"/>
      <x:c r="F165" s="373"/>
      <x:c r="G165" s="373"/>
      <x:c r="H165" s="373"/>
      <x:c r="I165" s="373"/>
      <x:c r="J165" s="373"/>
      <x:c r="K165" s="373"/>
      <x:c r="L165" s="373"/>
      <x:c r="M165" s="373"/>
      <x:c r="N165" s="373"/>
      <x:c r="O165" s="373"/>
      <x:c r="P165" s="373"/>
      <x:c r="Q165" s="373"/>
      <x:c r="R165" s="373"/>
      <x:c r="S165" s="373"/>
      <x:c r="T165" s="373"/>
      <x:c r="U165" s="373"/>
      <x:c r="V165" s="373"/>
      <x:c r="W165" s="373"/>
      <x:c r="X165" s="373"/>
      <x:c r="Y165" s="373"/>
      <x:c r="Z165" s="373"/>
    </x:row>
    <x:row r="166">
      <x:c r="A166" s="373"/>
      <x:c r="B166" s="373"/>
      <x:c r="C166" s="373"/>
      <x:c r="D166" s="373"/>
      <x:c r="E166" s="373"/>
      <x:c r="F166" s="373"/>
      <x:c r="G166" s="373"/>
      <x:c r="H166" s="373"/>
      <x:c r="I166" s="373"/>
      <x:c r="J166" s="373"/>
      <x:c r="K166" s="373"/>
      <x:c r="L166" s="373"/>
      <x:c r="M166" s="373"/>
      <x:c r="N166" s="373"/>
      <x:c r="O166" s="373"/>
      <x:c r="P166" s="373"/>
      <x:c r="Q166" s="373"/>
      <x:c r="R166" s="373"/>
      <x:c r="S166" s="373"/>
      <x:c r="T166" s="373"/>
      <x:c r="U166" s="373"/>
      <x:c r="V166" s="373"/>
      <x:c r="W166" s="373"/>
      <x:c r="X166" s="373"/>
      <x:c r="Y166" s="373"/>
      <x:c r="Z166" s="373"/>
    </x:row>
    <x:row r="167">
      <x:c r="A167" s="373"/>
      <x:c r="B167" s="373"/>
      <x:c r="C167" s="373"/>
      <x:c r="D167" s="373"/>
      <x:c r="E167" s="373"/>
      <x:c r="F167" s="373"/>
      <x:c r="G167" s="373"/>
      <x:c r="H167" s="373"/>
      <x:c r="I167" s="373"/>
      <x:c r="J167" s="373"/>
      <x:c r="K167" s="373"/>
      <x:c r="L167" s="373"/>
      <x:c r="M167" s="373"/>
      <x:c r="N167" s="373"/>
      <x:c r="O167" s="373"/>
      <x:c r="P167" s="373"/>
      <x:c r="Q167" s="373"/>
      <x:c r="R167" s="373"/>
      <x:c r="S167" s="373"/>
      <x:c r="T167" s="373"/>
      <x:c r="U167" s="373"/>
      <x:c r="V167" s="373"/>
      <x:c r="W167" s="373"/>
      <x:c r="X167" s="373"/>
      <x:c r="Y167" s="373"/>
      <x:c r="Z167" s="373"/>
    </x:row>
    <x:row r="168">
      <x:c r="A168" s="373"/>
      <x:c r="B168" s="373"/>
      <x:c r="C168" s="373"/>
      <x:c r="D168" s="373"/>
      <x:c r="E168" s="373"/>
      <x:c r="F168" s="373"/>
      <x:c r="G168" s="373"/>
      <x:c r="H168" s="373"/>
      <x:c r="I168" s="373"/>
      <x:c r="J168" s="373"/>
      <x:c r="K168" s="373"/>
      <x:c r="L168" s="373"/>
      <x:c r="M168" s="373"/>
      <x:c r="N168" s="373"/>
      <x:c r="O168" s="373"/>
      <x:c r="P168" s="373"/>
      <x:c r="Q168" s="373"/>
      <x:c r="R168" s="373"/>
      <x:c r="S168" s="373"/>
      <x:c r="T168" s="373"/>
      <x:c r="U168" s="373"/>
      <x:c r="V168" s="373"/>
      <x:c r="W168" s="373"/>
      <x:c r="X168" s="373"/>
      <x:c r="Y168" s="373"/>
      <x:c r="Z168" s="373"/>
    </x:row>
    <x:row r="169">
      <x:c r="A169" s="373"/>
      <x:c r="B169" s="373"/>
      <x:c r="C169" s="373"/>
      <x:c r="D169" s="373"/>
      <x:c r="E169" s="373"/>
      <x:c r="F169" s="373"/>
      <x:c r="G169" s="373"/>
      <x:c r="H169" s="373"/>
      <x:c r="I169" s="373"/>
      <x:c r="J169" s="373"/>
      <x:c r="K169" s="373"/>
      <x:c r="L169" s="373"/>
      <x:c r="M169" s="373"/>
      <x:c r="N169" s="373"/>
      <x:c r="O169" s="373"/>
      <x:c r="P169" s="373"/>
      <x:c r="Q169" s="373"/>
      <x:c r="R169" s="373"/>
      <x:c r="S169" s="373"/>
      <x:c r="T169" s="373"/>
      <x:c r="U169" s="373"/>
      <x:c r="V169" s="373"/>
      <x:c r="W169" s="373"/>
      <x:c r="X169" s="373"/>
      <x:c r="Y169" s="373"/>
      <x:c r="Z169" s="373"/>
    </x:row>
    <x:row r="170">
      <x:c r="A170" s="373"/>
      <x:c r="B170" s="373"/>
      <x:c r="C170" s="373"/>
      <x:c r="D170" s="373"/>
      <x:c r="E170" s="373"/>
      <x:c r="F170" s="373"/>
      <x:c r="G170" s="373"/>
      <x:c r="H170" s="373"/>
      <x:c r="I170" s="373"/>
      <x:c r="J170" s="373"/>
      <x:c r="K170" s="373"/>
      <x:c r="L170" s="373"/>
      <x:c r="M170" s="373"/>
      <x:c r="N170" s="373"/>
      <x:c r="O170" s="373"/>
      <x:c r="P170" s="373"/>
      <x:c r="Q170" s="373"/>
      <x:c r="R170" s="373"/>
      <x:c r="S170" s="373"/>
      <x:c r="T170" s="373"/>
      <x:c r="U170" s="373"/>
      <x:c r="V170" s="373"/>
      <x:c r="W170" s="373"/>
      <x:c r="X170" s="373"/>
      <x:c r="Y170" s="373"/>
      <x:c r="Z170" s="373"/>
    </x:row>
    <x:row r="171">
      <x:c r="A171" s="373"/>
      <x:c r="B171" s="373"/>
      <x:c r="C171" s="373"/>
      <x:c r="D171" s="373"/>
      <x:c r="E171" s="373"/>
      <x:c r="F171" s="373"/>
      <x:c r="G171" s="373"/>
      <x:c r="H171" s="373"/>
      <x:c r="I171" s="373"/>
      <x:c r="J171" s="373"/>
      <x:c r="K171" s="373"/>
      <x:c r="L171" s="373"/>
      <x:c r="M171" s="373"/>
      <x:c r="N171" s="373"/>
      <x:c r="O171" s="373"/>
      <x:c r="P171" s="373"/>
      <x:c r="Q171" s="373"/>
      <x:c r="R171" s="373"/>
      <x:c r="S171" s="373"/>
      <x:c r="T171" s="373"/>
      <x:c r="U171" s="373"/>
      <x:c r="V171" s="373"/>
      <x:c r="W171" s="373"/>
      <x:c r="X171" s="373"/>
      <x:c r="Y171" s="373"/>
      <x:c r="Z171" s="373"/>
    </x:row>
    <x:row r="172">
      <x:c r="A172" s="373"/>
      <x:c r="B172" s="373"/>
      <x:c r="C172" s="373"/>
      <x:c r="D172" s="373"/>
      <x:c r="E172" s="373"/>
      <x:c r="F172" s="373"/>
      <x:c r="G172" s="373"/>
      <x:c r="H172" s="373"/>
      <x:c r="I172" s="373"/>
      <x:c r="J172" s="373"/>
      <x:c r="K172" s="373"/>
      <x:c r="L172" s="373"/>
      <x:c r="M172" s="373"/>
      <x:c r="N172" s="373"/>
      <x:c r="O172" s="373"/>
      <x:c r="P172" s="373"/>
      <x:c r="Q172" s="373"/>
      <x:c r="R172" s="373"/>
      <x:c r="S172" s="373"/>
      <x:c r="T172" s="373"/>
      <x:c r="U172" s="373"/>
      <x:c r="V172" s="373"/>
      <x:c r="W172" s="373"/>
      <x:c r="X172" s="373"/>
      <x:c r="Y172" s="373"/>
      <x:c r="Z172" s="373"/>
    </x:row>
    <x:row r="173">
      <x:c r="A173" s="373"/>
      <x:c r="B173" s="373"/>
      <x:c r="C173" s="373"/>
      <x:c r="D173" s="373"/>
      <x:c r="E173" s="373"/>
      <x:c r="F173" s="373"/>
      <x:c r="G173" s="373"/>
      <x:c r="H173" s="373"/>
      <x:c r="I173" s="373"/>
      <x:c r="J173" s="373"/>
      <x:c r="K173" s="373"/>
      <x:c r="L173" s="373"/>
      <x:c r="M173" s="373"/>
      <x:c r="N173" s="373"/>
      <x:c r="O173" s="373"/>
      <x:c r="P173" s="373"/>
      <x:c r="Q173" s="373"/>
      <x:c r="R173" s="373"/>
      <x:c r="S173" s="373"/>
      <x:c r="T173" s="373"/>
      <x:c r="U173" s="373"/>
      <x:c r="V173" s="373"/>
      <x:c r="W173" s="373"/>
      <x:c r="X173" s="373"/>
      <x:c r="Y173" s="373"/>
      <x:c r="Z173" s="373"/>
    </x:row>
    <x:row r="174">
      <x:c r="A174" s="373"/>
      <x:c r="B174" s="373"/>
      <x:c r="C174" s="373"/>
      <x:c r="D174" s="373"/>
      <x:c r="E174" s="373"/>
      <x:c r="F174" s="373"/>
      <x:c r="G174" s="373"/>
      <x:c r="H174" s="373"/>
      <x:c r="I174" s="373"/>
      <x:c r="J174" s="373"/>
      <x:c r="K174" s="373"/>
      <x:c r="L174" s="373"/>
      <x:c r="M174" s="373"/>
      <x:c r="N174" s="373"/>
      <x:c r="O174" s="373"/>
      <x:c r="P174" s="373"/>
      <x:c r="Q174" s="373"/>
      <x:c r="R174" s="373"/>
      <x:c r="S174" s="373"/>
      <x:c r="T174" s="373"/>
      <x:c r="U174" s="373"/>
      <x:c r="V174" s="373"/>
      <x:c r="W174" s="373"/>
      <x:c r="X174" s="373"/>
      <x:c r="Y174" s="373"/>
      <x:c r="Z174" s="373"/>
    </x:row>
    <x:row r="175">
      <x:c r="A175" s="373"/>
      <x:c r="B175" s="373"/>
      <x:c r="C175" s="373"/>
      <x:c r="D175" s="373"/>
      <x:c r="E175" s="373"/>
      <x:c r="F175" s="373"/>
      <x:c r="G175" s="373"/>
      <x:c r="H175" s="373"/>
      <x:c r="I175" s="373"/>
      <x:c r="J175" s="373"/>
      <x:c r="K175" s="373"/>
      <x:c r="L175" s="373"/>
      <x:c r="M175" s="373"/>
      <x:c r="N175" s="373"/>
      <x:c r="O175" s="373"/>
      <x:c r="P175" s="373"/>
      <x:c r="Q175" s="373"/>
      <x:c r="R175" s="373"/>
      <x:c r="S175" s="373"/>
      <x:c r="T175" s="373"/>
      <x:c r="U175" s="373"/>
      <x:c r="V175" s="373"/>
      <x:c r="W175" s="373"/>
      <x:c r="X175" s="373"/>
      <x:c r="Y175" s="373"/>
      <x:c r="Z175" s="373"/>
    </x:row>
    <x:row r="176">
      <x:c r="A176" s="373"/>
      <x:c r="B176" s="373"/>
      <x:c r="C176" s="373"/>
      <x:c r="D176" s="373"/>
      <x:c r="E176" s="373"/>
      <x:c r="F176" s="373"/>
      <x:c r="G176" s="373"/>
      <x:c r="H176" s="373"/>
      <x:c r="I176" s="373"/>
      <x:c r="J176" s="373"/>
      <x:c r="K176" s="373"/>
      <x:c r="L176" s="373"/>
      <x:c r="M176" s="373"/>
      <x:c r="N176" s="373"/>
      <x:c r="O176" s="373"/>
      <x:c r="P176" s="373"/>
      <x:c r="Q176" s="373"/>
      <x:c r="R176" s="373"/>
      <x:c r="S176" s="373"/>
      <x:c r="T176" s="373"/>
      <x:c r="U176" s="373"/>
      <x:c r="V176" s="373"/>
      <x:c r="W176" s="373"/>
      <x:c r="X176" s="373"/>
      <x:c r="Y176" s="373"/>
      <x:c r="Z176" s="373"/>
    </x:row>
    <x:row r="177">
      <x:c r="A177" s="373"/>
      <x:c r="B177" s="373"/>
      <x:c r="C177" s="373"/>
      <x:c r="D177" s="373"/>
      <x:c r="E177" s="373"/>
      <x:c r="F177" s="373"/>
      <x:c r="G177" s="373"/>
      <x:c r="H177" s="373"/>
      <x:c r="I177" s="373"/>
      <x:c r="J177" s="373"/>
      <x:c r="K177" s="373"/>
      <x:c r="L177" s="373"/>
      <x:c r="M177" s="373"/>
      <x:c r="N177" s="373"/>
      <x:c r="O177" s="373"/>
      <x:c r="P177" s="373"/>
      <x:c r="Q177" s="373"/>
      <x:c r="R177" s="373"/>
      <x:c r="S177" s="373"/>
      <x:c r="T177" s="373"/>
      <x:c r="U177" s="373"/>
      <x:c r="V177" s="373"/>
      <x:c r="W177" s="373"/>
      <x:c r="X177" s="373"/>
      <x:c r="Y177" s="373"/>
      <x:c r="Z177" s="373"/>
    </x:row>
    <x:row r="178">
      <x:c r="A178" s="373"/>
      <x:c r="B178" s="373"/>
      <x:c r="C178" s="373"/>
      <x:c r="D178" s="373"/>
      <x:c r="E178" s="373"/>
      <x:c r="F178" s="373"/>
      <x:c r="G178" s="373"/>
      <x:c r="H178" s="373"/>
      <x:c r="I178" s="373"/>
      <x:c r="J178" s="373"/>
      <x:c r="K178" s="373"/>
      <x:c r="L178" s="373"/>
      <x:c r="M178" s="373"/>
      <x:c r="N178" s="373"/>
      <x:c r="O178" s="373"/>
      <x:c r="P178" s="373"/>
      <x:c r="Q178" s="373"/>
      <x:c r="R178" s="373"/>
      <x:c r="S178" s="373"/>
      <x:c r="T178" s="373"/>
      <x:c r="U178" s="373"/>
      <x:c r="V178" s="373"/>
      <x:c r="W178" s="373"/>
      <x:c r="X178" s="373"/>
      <x:c r="Y178" s="373"/>
      <x:c r="Z178" s="373"/>
    </x:row>
    <x:row r="179">
      <x:c r="A179" s="373"/>
      <x:c r="B179" s="373"/>
      <x:c r="C179" s="373"/>
      <x:c r="D179" s="373"/>
      <x:c r="E179" s="373"/>
      <x:c r="F179" s="373"/>
      <x:c r="G179" s="373"/>
      <x:c r="H179" s="373"/>
      <x:c r="I179" s="373"/>
      <x:c r="J179" s="373"/>
      <x:c r="K179" s="373"/>
      <x:c r="L179" s="373"/>
      <x:c r="M179" s="373"/>
      <x:c r="N179" s="373"/>
      <x:c r="O179" s="373"/>
      <x:c r="P179" s="373"/>
      <x:c r="Q179" s="373"/>
      <x:c r="R179" s="373"/>
      <x:c r="S179" s="373"/>
      <x:c r="T179" s="373"/>
      <x:c r="U179" s="373"/>
      <x:c r="V179" s="373"/>
      <x:c r="W179" s="373"/>
      <x:c r="X179" s="373"/>
      <x:c r="Y179" s="373"/>
      <x:c r="Z179" s="373"/>
    </x:row>
    <x:row r="180">
      <x:c r="A180" s="373"/>
      <x:c r="B180" s="373"/>
      <x:c r="C180" s="373"/>
      <x:c r="D180" s="373"/>
      <x:c r="E180" s="373"/>
      <x:c r="F180" s="373"/>
      <x:c r="G180" s="373"/>
      <x:c r="H180" s="373"/>
      <x:c r="I180" s="373"/>
      <x:c r="J180" s="373"/>
      <x:c r="K180" s="373"/>
      <x:c r="L180" s="373"/>
      <x:c r="M180" s="373"/>
      <x:c r="N180" s="373"/>
      <x:c r="O180" s="373"/>
      <x:c r="P180" s="373"/>
      <x:c r="Q180" s="373"/>
      <x:c r="R180" s="373"/>
      <x:c r="S180" s="373"/>
      <x:c r="T180" s="373"/>
      <x:c r="U180" s="373"/>
      <x:c r="V180" s="373"/>
      <x:c r="W180" s="373"/>
      <x:c r="X180" s="373"/>
      <x:c r="Y180" s="373"/>
      <x:c r="Z180" s="373"/>
    </x:row>
    <x:row r="181">
      <x:c r="A181" s="373"/>
      <x:c r="B181" s="373"/>
      <x:c r="C181" s="373"/>
      <x:c r="D181" s="373"/>
      <x:c r="E181" s="373"/>
      <x:c r="F181" s="373"/>
      <x:c r="G181" s="373"/>
      <x:c r="H181" s="373"/>
      <x:c r="I181" s="373"/>
      <x:c r="J181" s="373"/>
      <x:c r="K181" s="373"/>
      <x:c r="L181" s="373"/>
      <x:c r="M181" s="373"/>
      <x:c r="N181" s="373"/>
      <x:c r="O181" s="373"/>
      <x:c r="P181" s="373"/>
      <x:c r="Q181" s="373"/>
      <x:c r="R181" s="373"/>
      <x:c r="S181" s="373"/>
      <x:c r="T181" s="373"/>
      <x:c r="U181" s="373"/>
      <x:c r="V181" s="373"/>
      <x:c r="W181" s="373"/>
      <x:c r="X181" s="373"/>
      <x:c r="Y181" s="373"/>
      <x:c r="Z181" s="373"/>
    </x:row>
    <x:row r="182">
      <x:c r="A182" s="373"/>
      <x:c r="B182" s="373"/>
      <x:c r="C182" s="373"/>
      <x:c r="D182" s="373"/>
      <x:c r="E182" s="373"/>
      <x:c r="F182" s="373"/>
      <x:c r="G182" s="373"/>
      <x:c r="H182" s="373"/>
      <x:c r="I182" s="373"/>
      <x:c r="J182" s="373"/>
      <x:c r="K182" s="373"/>
      <x:c r="L182" s="373"/>
      <x:c r="M182" s="373"/>
      <x:c r="N182" s="373"/>
      <x:c r="O182" s="373"/>
      <x:c r="P182" s="373"/>
      <x:c r="Q182" s="373"/>
      <x:c r="R182" s="373"/>
      <x:c r="S182" s="373"/>
      <x:c r="T182" s="373"/>
      <x:c r="U182" s="373"/>
      <x:c r="V182" s="373"/>
      <x:c r="W182" s="373"/>
      <x:c r="X182" s="373"/>
      <x:c r="Y182" s="373"/>
      <x:c r="Z182" s="373"/>
    </x:row>
    <x:row r="183">
      <x:c r="A183" s="373"/>
      <x:c r="B183" s="373"/>
      <x:c r="C183" s="373"/>
      <x:c r="D183" s="373"/>
      <x:c r="E183" s="373"/>
      <x:c r="F183" s="373"/>
      <x:c r="G183" s="373"/>
      <x:c r="H183" s="373"/>
      <x:c r="I183" s="373"/>
      <x:c r="J183" s="373"/>
      <x:c r="K183" s="373"/>
      <x:c r="L183" s="373"/>
      <x:c r="M183" s="373"/>
      <x:c r="N183" s="373"/>
      <x:c r="O183" s="373"/>
      <x:c r="P183" s="373"/>
      <x:c r="Q183" s="373"/>
      <x:c r="R183" s="373"/>
      <x:c r="S183" s="373"/>
      <x:c r="T183" s="373"/>
      <x:c r="U183" s="373"/>
      <x:c r="V183" s="373"/>
      <x:c r="W183" s="373"/>
      <x:c r="X183" s="373"/>
      <x:c r="Y183" s="373"/>
      <x:c r="Z183" s="373"/>
    </x:row>
    <x:row r="184">
      <x:c r="A184" s="373"/>
      <x:c r="B184" s="373"/>
      <x:c r="C184" s="373"/>
      <x:c r="D184" s="373"/>
      <x:c r="E184" s="373"/>
      <x:c r="F184" s="373"/>
      <x:c r="G184" s="373"/>
      <x:c r="H184" s="373"/>
      <x:c r="I184" s="373"/>
      <x:c r="J184" s="373"/>
      <x:c r="K184" s="373"/>
      <x:c r="L184" s="373"/>
      <x:c r="M184" s="373"/>
      <x:c r="N184" s="373"/>
      <x:c r="O184" s="373"/>
      <x:c r="P184" s="373"/>
      <x:c r="Q184" s="373"/>
      <x:c r="R184" s="373"/>
      <x:c r="S184" s="373"/>
      <x:c r="T184" s="373"/>
      <x:c r="U184" s="373"/>
      <x:c r="V184" s="373"/>
      <x:c r="W184" s="373"/>
      <x:c r="X184" s="373"/>
      <x:c r="Y184" s="373"/>
      <x:c r="Z184" s="373"/>
    </x:row>
    <x:row r="185">
      <x:c r="A185" s="373"/>
      <x:c r="B185" s="373"/>
      <x:c r="C185" s="373"/>
      <x:c r="D185" s="373"/>
      <x:c r="E185" s="373"/>
      <x:c r="F185" s="373"/>
      <x:c r="G185" s="373"/>
      <x:c r="H185" s="373"/>
      <x:c r="I185" s="373"/>
      <x:c r="J185" s="373"/>
      <x:c r="K185" s="373"/>
      <x:c r="L185" s="373"/>
      <x:c r="M185" s="373"/>
      <x:c r="N185" s="373"/>
      <x:c r="O185" s="373"/>
      <x:c r="P185" s="373"/>
      <x:c r="Q185" s="373"/>
      <x:c r="R185" s="373"/>
      <x:c r="S185" s="373"/>
      <x:c r="T185" s="373"/>
      <x:c r="U185" s="373"/>
      <x:c r="V185" s="373"/>
      <x:c r="W185" s="373"/>
      <x:c r="X185" s="373"/>
      <x:c r="Y185" s="373"/>
      <x:c r="Z185" s="373"/>
    </x:row>
    <x:row r="186">
      <x:c r="A186" s="373"/>
      <x:c r="B186" s="373"/>
      <x:c r="C186" s="373"/>
      <x:c r="D186" s="373"/>
      <x:c r="E186" s="373"/>
      <x:c r="F186" s="373"/>
      <x:c r="G186" s="373"/>
      <x:c r="H186" s="373"/>
      <x:c r="I186" s="373"/>
      <x:c r="J186" s="373"/>
      <x:c r="K186" s="373"/>
      <x:c r="L186" s="373"/>
      <x:c r="M186" s="373"/>
      <x:c r="N186" s="373"/>
      <x:c r="O186" s="373"/>
      <x:c r="P186" s="373"/>
      <x:c r="Q186" s="373"/>
      <x:c r="R186" s="373"/>
      <x:c r="S186" s="373"/>
      <x:c r="T186" s="373"/>
      <x:c r="U186" s="373"/>
      <x:c r="V186" s="373"/>
      <x:c r="W186" s="373"/>
      <x:c r="X186" s="373"/>
      <x:c r="Y186" s="373"/>
      <x:c r="Z186" s="373"/>
    </x:row>
    <x:row r="187">
      <x:c r="A187" s="373"/>
      <x:c r="B187" s="373"/>
      <x:c r="C187" s="373"/>
      <x:c r="D187" s="373"/>
      <x:c r="E187" s="373"/>
      <x:c r="F187" s="373"/>
      <x:c r="G187" s="373"/>
      <x:c r="H187" s="373"/>
      <x:c r="I187" s="373"/>
      <x:c r="J187" s="373"/>
      <x:c r="K187" s="373"/>
      <x:c r="L187" s="373"/>
      <x:c r="M187" s="373"/>
      <x:c r="N187" s="373"/>
      <x:c r="O187" s="373"/>
      <x:c r="P187" s="373"/>
      <x:c r="Q187" s="373"/>
      <x:c r="R187" s="373"/>
      <x:c r="S187" s="373"/>
      <x:c r="T187" s="373"/>
      <x:c r="U187" s="373"/>
      <x:c r="V187" s="373"/>
      <x:c r="W187" s="373"/>
      <x:c r="X187" s="373"/>
      <x:c r="Y187" s="373"/>
      <x:c r="Z187" s="373"/>
    </x:row>
    <x:row r="188">
      <x:c r="A188" s="373"/>
      <x:c r="B188" s="373"/>
      <x:c r="C188" s="373"/>
      <x:c r="D188" s="373"/>
      <x:c r="E188" s="373"/>
      <x:c r="F188" s="373"/>
      <x:c r="G188" s="373"/>
      <x:c r="H188" s="373"/>
      <x:c r="I188" s="373"/>
      <x:c r="J188" s="373"/>
      <x:c r="K188" s="373"/>
      <x:c r="L188" s="373"/>
      <x:c r="M188" s="373"/>
      <x:c r="N188" s="373"/>
      <x:c r="O188" s="373"/>
      <x:c r="P188" s="373"/>
      <x:c r="Q188" s="373"/>
      <x:c r="R188" s="373"/>
      <x:c r="S188" s="373"/>
      <x:c r="T188" s="373"/>
      <x:c r="U188" s="373"/>
      <x:c r="V188" s="373"/>
      <x:c r="W188" s="373"/>
      <x:c r="X188" s="373"/>
      <x:c r="Y188" s="373"/>
      <x:c r="Z188" s="373"/>
    </x:row>
    <x:row r="189">
      <x:c r="A189" s="373"/>
      <x:c r="B189" s="373"/>
      <x:c r="C189" s="373"/>
      <x:c r="D189" s="373"/>
      <x:c r="E189" s="373"/>
      <x:c r="F189" s="373"/>
      <x:c r="G189" s="373"/>
      <x:c r="H189" s="373"/>
      <x:c r="I189" s="373"/>
      <x:c r="J189" s="373"/>
      <x:c r="K189" s="373"/>
      <x:c r="L189" s="373"/>
      <x:c r="M189" s="373"/>
      <x:c r="N189" s="373"/>
      <x:c r="O189" s="373"/>
      <x:c r="P189" s="373"/>
      <x:c r="Q189" s="373"/>
      <x:c r="R189" s="373"/>
      <x:c r="S189" s="373"/>
      <x:c r="T189" s="373"/>
      <x:c r="U189" s="373"/>
      <x:c r="V189" s="373"/>
      <x:c r="W189" s="373"/>
      <x:c r="X189" s="373"/>
      <x:c r="Y189" s="373"/>
      <x:c r="Z189" s="373"/>
    </x:row>
    <x:row r="190">
      <x:c r="A190" s="373"/>
      <x:c r="B190" s="373"/>
      <x:c r="C190" s="373"/>
      <x:c r="D190" s="373"/>
      <x:c r="E190" s="373"/>
      <x:c r="F190" s="373"/>
      <x:c r="G190" s="373"/>
      <x:c r="H190" s="373"/>
      <x:c r="I190" s="373"/>
      <x:c r="J190" s="373"/>
      <x:c r="K190" s="373"/>
      <x:c r="L190" s="373"/>
      <x:c r="M190" s="373"/>
      <x:c r="N190" s="373"/>
      <x:c r="O190" s="373"/>
      <x:c r="P190" s="373"/>
      <x:c r="Q190" s="373"/>
      <x:c r="R190" s="373"/>
      <x:c r="S190" s="373"/>
      <x:c r="T190" s="373"/>
      <x:c r="U190" s="373"/>
      <x:c r="V190" s="373"/>
      <x:c r="W190" s="373"/>
      <x:c r="X190" s="373"/>
      <x:c r="Y190" s="373"/>
      <x:c r="Z190" s="373"/>
    </x:row>
    <x:row r="191">
      <x:c r="A191" s="373"/>
      <x:c r="B191" s="373"/>
      <x:c r="C191" s="373"/>
      <x:c r="D191" s="373"/>
      <x:c r="E191" s="373"/>
      <x:c r="F191" s="373"/>
      <x:c r="G191" s="373"/>
      <x:c r="H191" s="373"/>
      <x:c r="I191" s="373"/>
      <x:c r="J191" s="373"/>
      <x:c r="K191" s="373"/>
      <x:c r="L191" s="373"/>
      <x:c r="M191" s="373"/>
      <x:c r="N191" s="373"/>
      <x:c r="O191" s="373"/>
      <x:c r="P191" s="373"/>
      <x:c r="Q191" s="373"/>
      <x:c r="R191" s="373"/>
      <x:c r="S191" s="373"/>
      <x:c r="T191" s="373"/>
      <x:c r="U191" s="373"/>
      <x:c r="V191" s="373"/>
      <x:c r="W191" s="373"/>
      <x:c r="X191" s="373"/>
      <x:c r="Y191" s="373"/>
      <x:c r="Z191" s="373"/>
    </x:row>
    <x:row r="192">
      <x:c r="A192" s="373"/>
      <x:c r="B192" s="373"/>
      <x:c r="C192" s="373"/>
      <x:c r="D192" s="373"/>
      <x:c r="E192" s="373"/>
      <x:c r="F192" s="373"/>
      <x:c r="G192" s="373"/>
      <x:c r="H192" s="373"/>
      <x:c r="I192" s="373"/>
      <x:c r="J192" s="373"/>
      <x:c r="K192" s="373"/>
      <x:c r="L192" s="373"/>
      <x:c r="M192" s="373"/>
      <x:c r="N192" s="373"/>
      <x:c r="O192" s="373"/>
      <x:c r="P192" s="373"/>
      <x:c r="Q192" s="373"/>
      <x:c r="R192" s="373"/>
      <x:c r="S192" s="373"/>
      <x:c r="T192" s="373"/>
      <x:c r="U192" s="373"/>
      <x:c r="V192" s="373"/>
      <x:c r="W192" s="373"/>
      <x:c r="X192" s="373"/>
      <x:c r="Y192" s="373"/>
      <x:c r="Z192" s="373"/>
    </x:row>
    <x:row r="193">
      <x:c r="A193" s="373"/>
      <x:c r="B193" s="373"/>
      <x:c r="C193" s="373"/>
      <x:c r="D193" s="373"/>
      <x:c r="E193" s="373"/>
      <x:c r="F193" s="373"/>
      <x:c r="G193" s="373"/>
      <x:c r="H193" s="373"/>
      <x:c r="I193" s="373"/>
      <x:c r="J193" s="373"/>
      <x:c r="K193" s="373"/>
      <x:c r="L193" s="373"/>
      <x:c r="M193" s="373"/>
      <x:c r="N193" s="373"/>
      <x:c r="O193" s="373"/>
      <x:c r="P193" s="373"/>
      <x:c r="Q193" s="373"/>
      <x:c r="R193" s="373"/>
      <x:c r="S193" s="373"/>
      <x:c r="T193" s="373"/>
      <x:c r="U193" s="373"/>
      <x:c r="V193" s="373"/>
      <x:c r="W193" s="373"/>
      <x:c r="X193" s="373"/>
      <x:c r="Y193" s="373"/>
      <x:c r="Z193" s="373"/>
    </x:row>
    <x:row r="194">
      <x:c r="A194" s="373"/>
      <x:c r="B194" s="373"/>
      <x:c r="C194" s="373"/>
      <x:c r="D194" s="373"/>
      <x:c r="E194" s="373"/>
      <x:c r="F194" s="373"/>
      <x:c r="G194" s="373"/>
      <x:c r="H194" s="373"/>
      <x:c r="I194" s="373"/>
      <x:c r="J194" s="373"/>
      <x:c r="K194" s="373"/>
      <x:c r="L194" s="373"/>
      <x:c r="M194" s="373"/>
      <x:c r="N194" s="373"/>
      <x:c r="O194" s="373"/>
      <x:c r="P194" s="373"/>
      <x:c r="Q194" s="373"/>
      <x:c r="R194" s="373"/>
      <x:c r="S194" s="373"/>
      <x:c r="T194" s="373"/>
      <x:c r="U194" s="373"/>
      <x:c r="V194" s="373"/>
      <x:c r="W194" s="373"/>
      <x:c r="X194" s="373"/>
      <x:c r="Y194" s="373"/>
      <x:c r="Z194" s="373"/>
    </x:row>
    <x:row r="195">
      <x:c r="A195" s="373"/>
      <x:c r="B195" s="373"/>
      <x:c r="C195" s="373"/>
      <x:c r="D195" s="373"/>
      <x:c r="E195" s="373"/>
      <x:c r="F195" s="373"/>
      <x:c r="G195" s="373"/>
      <x:c r="H195" s="373"/>
      <x:c r="I195" s="373"/>
      <x:c r="J195" s="373"/>
      <x:c r="K195" s="373"/>
      <x:c r="L195" s="373"/>
      <x:c r="M195" s="373"/>
      <x:c r="N195" s="373"/>
      <x:c r="O195" s="373"/>
      <x:c r="P195" s="373"/>
      <x:c r="Q195" s="373"/>
      <x:c r="R195" s="373"/>
      <x:c r="S195" s="373"/>
      <x:c r="T195" s="373"/>
      <x:c r="U195" s="373"/>
      <x:c r="V195" s="373"/>
      <x:c r="W195" s="373"/>
      <x:c r="X195" s="373"/>
      <x:c r="Y195" s="373"/>
      <x:c r="Z195" s="373"/>
    </x:row>
    <x:row r="196">
      <x:c r="A196" s="373"/>
      <x:c r="B196" s="373"/>
      <x:c r="C196" s="373"/>
      <x:c r="D196" s="373"/>
      <x:c r="E196" s="373"/>
      <x:c r="F196" s="373"/>
      <x:c r="G196" s="373"/>
      <x:c r="H196" s="373"/>
      <x:c r="I196" s="373"/>
      <x:c r="J196" s="373"/>
      <x:c r="K196" s="373"/>
      <x:c r="L196" s="373"/>
      <x:c r="M196" s="373"/>
      <x:c r="N196" s="373"/>
      <x:c r="O196" s="373"/>
      <x:c r="P196" s="373"/>
      <x:c r="Q196" s="373"/>
      <x:c r="R196" s="373"/>
      <x:c r="S196" s="373"/>
      <x:c r="T196" s="373"/>
      <x:c r="U196" s="373"/>
      <x:c r="V196" s="373"/>
      <x:c r="W196" s="373"/>
      <x:c r="X196" s="373"/>
      <x:c r="Y196" s="373"/>
      <x:c r="Z196" s="373"/>
    </x:row>
    <x:row r="197">
      <x:c r="A197" s="373"/>
      <x:c r="B197" s="373"/>
      <x:c r="C197" s="373"/>
      <x:c r="D197" s="373"/>
      <x:c r="E197" s="373"/>
      <x:c r="F197" s="373"/>
      <x:c r="G197" s="373"/>
      <x:c r="H197" s="373"/>
      <x:c r="I197" s="373"/>
      <x:c r="J197" s="373"/>
      <x:c r="K197" s="373"/>
      <x:c r="L197" s="373"/>
      <x:c r="M197" s="373"/>
      <x:c r="N197" s="373"/>
      <x:c r="O197" s="373"/>
      <x:c r="P197" s="373"/>
      <x:c r="Q197" s="373"/>
      <x:c r="R197" s="373"/>
      <x:c r="S197" s="373"/>
      <x:c r="T197" s="373"/>
      <x:c r="U197" s="373"/>
      <x:c r="V197" s="373"/>
      <x:c r="W197" s="373"/>
      <x:c r="X197" s="373"/>
      <x:c r="Y197" s="373"/>
      <x:c r="Z197" s="373"/>
    </x:row>
    <x:row r="198">
      <x:c r="A198" s="373"/>
      <x:c r="B198" s="373"/>
      <x:c r="C198" s="373"/>
      <x:c r="D198" s="373"/>
      <x:c r="E198" s="373"/>
      <x:c r="F198" s="373"/>
      <x:c r="G198" s="373"/>
      <x:c r="H198" s="373"/>
      <x:c r="I198" s="373"/>
      <x:c r="J198" s="373"/>
      <x:c r="K198" s="373"/>
      <x:c r="L198" s="373"/>
      <x:c r="M198" s="373"/>
      <x:c r="N198" s="373"/>
      <x:c r="O198" s="373"/>
      <x:c r="P198" s="373"/>
      <x:c r="Q198" s="373"/>
      <x:c r="R198" s="373"/>
      <x:c r="S198" s="373"/>
      <x:c r="T198" s="373"/>
      <x:c r="U198" s="373"/>
      <x:c r="V198" s="373"/>
      <x:c r="W198" s="373"/>
      <x:c r="X198" s="373"/>
      <x:c r="Y198" s="373"/>
      <x:c r="Z198" s="373"/>
    </x:row>
    <x:row r="199">
      <x:c r="A199" s="373"/>
      <x:c r="B199" s="373"/>
      <x:c r="C199" s="373"/>
      <x:c r="D199" s="373"/>
      <x:c r="E199" s="373"/>
      <x:c r="F199" s="373"/>
      <x:c r="G199" s="373"/>
      <x:c r="H199" s="373"/>
      <x:c r="I199" s="373"/>
      <x:c r="J199" s="373"/>
      <x:c r="K199" s="373"/>
      <x:c r="L199" s="373"/>
      <x:c r="M199" s="373"/>
      <x:c r="N199" s="373"/>
      <x:c r="O199" s="373"/>
      <x:c r="P199" s="373"/>
      <x:c r="Q199" s="373"/>
      <x:c r="R199" s="373"/>
      <x:c r="S199" s="373"/>
      <x:c r="T199" s="373"/>
      <x:c r="U199" s="373"/>
      <x:c r="V199" s="373"/>
      <x:c r="W199" s="373"/>
      <x:c r="X199" s="373"/>
      <x:c r="Y199" s="373"/>
      <x:c r="Z199" s="373"/>
    </x:row>
    <x:row r="200">
      <x:c r="A200" s="373"/>
      <x:c r="B200" s="373"/>
      <x:c r="C200" s="373"/>
      <x:c r="D200" s="373"/>
      <x:c r="E200" s="373"/>
      <x:c r="F200" s="373"/>
      <x:c r="G200" s="373"/>
      <x:c r="H200" s="373"/>
      <x:c r="I200" s="373"/>
      <x:c r="J200" s="373"/>
      <x:c r="K200" s="373"/>
      <x:c r="L200" s="373"/>
      <x:c r="M200" s="373"/>
      <x:c r="N200" s="373"/>
      <x:c r="O200" s="373"/>
      <x:c r="P200" s="373"/>
      <x:c r="Q200" s="373"/>
      <x:c r="R200" s="373"/>
      <x:c r="S200" s="373"/>
      <x:c r="T200" s="373"/>
      <x:c r="U200" s="373"/>
      <x:c r="V200" s="373"/>
      <x:c r="W200" s="373"/>
      <x:c r="X200" s="373"/>
      <x:c r="Y200" s="373"/>
      <x:c r="Z200" s="373"/>
    </x:row>
    <x:row r="201">
      <x:c r="A201" s="373"/>
      <x:c r="B201" s="373"/>
      <x:c r="C201" s="373"/>
      <x:c r="D201" s="373"/>
      <x:c r="E201" s="373"/>
      <x:c r="F201" s="373"/>
      <x:c r="G201" s="373"/>
      <x:c r="H201" s="373"/>
      <x:c r="I201" s="373"/>
      <x:c r="J201" s="373"/>
      <x:c r="K201" s="373"/>
      <x:c r="L201" s="373"/>
      <x:c r="M201" s="373"/>
      <x:c r="N201" s="373"/>
      <x:c r="O201" s="373"/>
      <x:c r="P201" s="373"/>
      <x:c r="Q201" s="373"/>
      <x:c r="R201" s="373"/>
      <x:c r="S201" s="373"/>
      <x:c r="T201" s="373"/>
      <x:c r="U201" s="373"/>
      <x:c r="V201" s="373"/>
      <x:c r="W201" s="373"/>
      <x:c r="X201" s="373"/>
      <x:c r="Y201" s="373"/>
      <x:c r="Z201" s="373"/>
    </x:row>
    <x:row r="202">
      <x:c r="A202" s="373"/>
      <x:c r="B202" s="373"/>
      <x:c r="C202" s="373"/>
      <x:c r="D202" s="373"/>
      <x:c r="E202" s="373"/>
      <x:c r="F202" s="373"/>
      <x:c r="G202" s="373"/>
      <x:c r="H202" s="373"/>
      <x:c r="I202" s="373"/>
      <x:c r="J202" s="373"/>
      <x:c r="K202" s="373"/>
      <x:c r="L202" s="373"/>
      <x:c r="M202" s="373"/>
      <x:c r="N202" s="373"/>
      <x:c r="O202" s="373"/>
      <x:c r="P202" s="373"/>
      <x:c r="Q202" s="373"/>
      <x:c r="R202" s="373"/>
      <x:c r="S202" s="373"/>
      <x:c r="T202" s="373"/>
      <x:c r="U202" s="373"/>
      <x:c r="V202" s="373"/>
      <x:c r="W202" s="373"/>
      <x:c r="X202" s="373"/>
      <x:c r="Y202" s="373"/>
      <x:c r="Z202" s="373"/>
    </x:row>
    <x:row r="203">
      <x:c r="A203" s="373"/>
      <x:c r="B203" s="373"/>
      <x:c r="C203" s="373"/>
      <x:c r="D203" s="373"/>
      <x:c r="E203" s="373"/>
      <x:c r="F203" s="373"/>
      <x:c r="G203" s="373"/>
      <x:c r="H203" s="373"/>
      <x:c r="I203" s="373"/>
      <x:c r="J203" s="373"/>
      <x:c r="K203" s="373"/>
      <x:c r="L203" s="373"/>
      <x:c r="M203" s="373"/>
      <x:c r="N203" s="373"/>
      <x:c r="O203" s="373"/>
      <x:c r="P203" s="373"/>
      <x:c r="Q203" s="373"/>
      <x:c r="R203" s="373"/>
      <x:c r="S203" s="373"/>
      <x:c r="T203" s="373"/>
      <x:c r="U203" s="373"/>
      <x:c r="V203" s="373"/>
      <x:c r="W203" s="373"/>
      <x:c r="X203" s="373"/>
      <x:c r="Y203" s="373"/>
      <x:c r="Z203" s="373"/>
    </x:row>
    <x:row r="204">
      <x:c r="A204" s="373"/>
      <x:c r="B204" s="373"/>
      <x:c r="C204" s="373"/>
      <x:c r="D204" s="373"/>
      <x:c r="E204" s="373"/>
      <x:c r="F204" s="373"/>
      <x:c r="G204" s="373"/>
      <x:c r="H204" s="373"/>
      <x:c r="I204" s="373"/>
      <x:c r="J204" s="373"/>
      <x:c r="K204" s="373"/>
      <x:c r="L204" s="373"/>
      <x:c r="M204" s="373"/>
      <x:c r="N204" s="373"/>
      <x:c r="O204" s="373"/>
      <x:c r="P204" s="373"/>
      <x:c r="Q204" s="373"/>
      <x:c r="R204" s="373"/>
      <x:c r="S204" s="373"/>
      <x:c r="T204" s="373"/>
      <x:c r="U204" s="373"/>
      <x:c r="V204" s="373"/>
      <x:c r="W204" s="373"/>
      <x:c r="X204" s="373"/>
      <x:c r="Y204" s="373"/>
      <x:c r="Z204" s="373"/>
    </x:row>
    <x:row r="205">
      <x:c r="A205" s="373"/>
      <x:c r="B205" s="373"/>
      <x:c r="C205" s="373"/>
      <x:c r="D205" s="373"/>
      <x:c r="E205" s="373"/>
      <x:c r="F205" s="373"/>
      <x:c r="G205" s="373"/>
      <x:c r="H205" s="373"/>
      <x:c r="I205" s="373"/>
      <x:c r="J205" s="373"/>
      <x:c r="K205" s="373"/>
      <x:c r="L205" s="373"/>
      <x:c r="M205" s="373"/>
      <x:c r="N205" s="373"/>
      <x:c r="O205" s="373"/>
      <x:c r="P205" s="373"/>
      <x:c r="Q205" s="373"/>
      <x:c r="R205" s="373"/>
      <x:c r="S205" s="373"/>
      <x:c r="T205" s="373"/>
      <x:c r="U205" s="373"/>
      <x:c r="V205" s="373"/>
      <x:c r="W205" s="373"/>
      <x:c r="X205" s="373"/>
      <x:c r="Y205" s="373"/>
      <x:c r="Z205" s="373"/>
    </x:row>
    <x:row r="206">
      <x:c r="A206" s="373"/>
      <x:c r="B206" s="373"/>
      <x:c r="C206" s="373"/>
      <x:c r="D206" s="373"/>
      <x:c r="E206" s="373"/>
      <x:c r="F206" s="373"/>
      <x:c r="G206" s="373"/>
      <x:c r="H206" s="373"/>
      <x:c r="I206" s="373"/>
      <x:c r="J206" s="373"/>
      <x:c r="K206" s="373"/>
      <x:c r="L206" s="373"/>
      <x:c r="M206" s="373"/>
      <x:c r="N206" s="373"/>
      <x:c r="O206" s="373"/>
      <x:c r="P206" s="373"/>
      <x:c r="Q206" s="373"/>
      <x:c r="R206" s="373"/>
      <x:c r="S206" s="373"/>
      <x:c r="T206" s="373"/>
      <x:c r="U206" s="373"/>
      <x:c r="V206" s="373"/>
      <x:c r="W206" s="373"/>
      <x:c r="X206" s="373"/>
      <x:c r="Y206" s="373"/>
      <x:c r="Z206" s="373"/>
    </x:row>
    <x:row r="207">
      <x:c r="A207" s="373"/>
      <x:c r="B207" s="373"/>
      <x:c r="C207" s="373"/>
      <x:c r="D207" s="373"/>
      <x:c r="E207" s="373"/>
      <x:c r="F207" s="373"/>
      <x:c r="G207" s="373"/>
      <x:c r="H207" s="373"/>
      <x:c r="I207" s="373"/>
      <x:c r="J207" s="373"/>
      <x:c r="K207" s="373"/>
      <x:c r="L207" s="373"/>
      <x:c r="M207" s="373"/>
      <x:c r="N207" s="373"/>
      <x:c r="O207" s="373"/>
      <x:c r="P207" s="373"/>
      <x:c r="Q207" s="373"/>
      <x:c r="R207" s="373"/>
      <x:c r="S207" s="373"/>
      <x:c r="T207" s="373"/>
      <x:c r="U207" s="373"/>
      <x:c r="V207" s="373"/>
      <x:c r="W207" s="373"/>
      <x:c r="X207" s="373"/>
      <x:c r="Y207" s="373"/>
      <x:c r="Z207" s="373"/>
    </x:row>
    <x:row r="208">
      <x:c r="A208" s="373"/>
      <x:c r="B208" s="373"/>
      <x:c r="C208" s="373"/>
      <x:c r="D208" s="373"/>
      <x:c r="E208" s="373"/>
      <x:c r="F208" s="373"/>
      <x:c r="G208" s="373"/>
      <x:c r="H208" s="373"/>
      <x:c r="I208" s="373"/>
      <x:c r="J208" s="373"/>
      <x:c r="K208" s="373"/>
      <x:c r="L208" s="373"/>
      <x:c r="M208" s="373"/>
      <x:c r="N208" s="373"/>
      <x:c r="O208" s="373"/>
      <x:c r="P208" s="373"/>
      <x:c r="Q208" s="373"/>
      <x:c r="R208" s="373"/>
      <x:c r="S208" s="373"/>
      <x:c r="T208" s="373"/>
      <x:c r="U208" s="373"/>
      <x:c r="V208" s="373"/>
      <x:c r="W208" s="373"/>
      <x:c r="X208" s="373"/>
      <x:c r="Y208" s="373"/>
      <x:c r="Z208" s="373"/>
    </x:row>
    <x:row r="209">
      <x:c r="A209" s="373"/>
      <x:c r="B209" s="373"/>
      <x:c r="C209" s="373"/>
      <x:c r="D209" s="373"/>
      <x:c r="E209" s="373"/>
      <x:c r="F209" s="373"/>
      <x:c r="G209" s="373"/>
      <x:c r="H209" s="373"/>
      <x:c r="I209" s="373"/>
      <x:c r="J209" s="373"/>
      <x:c r="K209" s="373"/>
      <x:c r="L209" s="373"/>
      <x:c r="M209" s="373"/>
      <x:c r="N209" s="373"/>
      <x:c r="O209" s="373"/>
      <x:c r="P209" s="373"/>
      <x:c r="Q209" s="373"/>
      <x:c r="R209" s="373"/>
      <x:c r="S209" s="373"/>
      <x:c r="T209" s="373"/>
      <x:c r="U209" s="373"/>
      <x:c r="V209" s="373"/>
      <x:c r="W209" s="373"/>
      <x:c r="X209" s="373"/>
      <x:c r="Y209" s="373"/>
      <x:c r="Z209" s="373"/>
    </x:row>
    <x:row r="210">
      <x:c r="A210" s="373"/>
      <x:c r="B210" s="373"/>
      <x:c r="C210" s="373"/>
      <x:c r="D210" s="373"/>
      <x:c r="E210" s="373"/>
      <x:c r="F210" s="373"/>
      <x:c r="G210" s="373"/>
      <x:c r="H210" s="373"/>
      <x:c r="I210" s="373"/>
      <x:c r="J210" s="373"/>
      <x:c r="K210" s="373"/>
      <x:c r="L210" s="373"/>
      <x:c r="M210" s="373"/>
      <x:c r="N210" s="373"/>
      <x:c r="O210" s="373"/>
      <x:c r="P210" s="373"/>
      <x:c r="Q210" s="373"/>
      <x:c r="R210" s="373"/>
      <x:c r="S210" s="373"/>
      <x:c r="T210" s="373"/>
      <x:c r="U210" s="373"/>
      <x:c r="V210" s="373"/>
      <x:c r="W210" s="373"/>
      <x:c r="X210" s="373"/>
      <x:c r="Y210" s="373"/>
      <x:c r="Z210" s="373"/>
    </x:row>
    <x:row r="211">
      <x:c r="A211" s="373"/>
      <x:c r="B211" s="373"/>
      <x:c r="C211" s="373"/>
      <x:c r="D211" s="373"/>
      <x:c r="E211" s="373"/>
      <x:c r="F211" s="373"/>
      <x:c r="G211" s="373"/>
      <x:c r="H211" s="373"/>
      <x:c r="I211" s="373"/>
      <x:c r="J211" s="373"/>
      <x:c r="K211" s="373"/>
      <x:c r="L211" s="373"/>
      <x:c r="M211" s="373"/>
      <x:c r="N211" s="373"/>
      <x:c r="O211" s="373"/>
      <x:c r="P211" s="373"/>
      <x:c r="Q211" s="373"/>
      <x:c r="R211" s="373"/>
      <x:c r="S211" s="373"/>
      <x:c r="T211" s="373"/>
      <x:c r="U211" s="373"/>
      <x:c r="V211" s="373"/>
      <x:c r="W211" s="373"/>
      <x:c r="X211" s="373"/>
      <x:c r="Y211" s="373"/>
      <x:c r="Z211" s="373"/>
    </x:row>
    <x:row r="212">
      <x:c r="A212" s="373"/>
      <x:c r="B212" s="373"/>
      <x:c r="C212" s="373"/>
      <x:c r="D212" s="373"/>
      <x:c r="E212" s="373"/>
      <x:c r="F212" s="373"/>
      <x:c r="G212" s="373"/>
      <x:c r="H212" s="373"/>
      <x:c r="I212" s="373"/>
      <x:c r="J212" s="373"/>
      <x:c r="K212" s="373"/>
      <x:c r="L212" s="373"/>
      <x:c r="M212" s="373"/>
      <x:c r="N212" s="373"/>
      <x:c r="O212" s="373"/>
      <x:c r="P212" s="373"/>
      <x:c r="Q212" s="373"/>
      <x:c r="R212" s="373"/>
      <x:c r="S212" s="373"/>
      <x:c r="T212" s="373"/>
      <x:c r="U212" s="373"/>
      <x:c r="V212" s="373"/>
      <x:c r="W212" s="373"/>
      <x:c r="X212" s="373"/>
      <x:c r="Y212" s="373"/>
      <x:c r="Z212" s="373"/>
    </x:row>
    <x:row r="213">
      <x:c r="A213" s="373"/>
      <x:c r="B213" s="373"/>
      <x:c r="C213" s="373"/>
      <x:c r="D213" s="373"/>
      <x:c r="E213" s="373"/>
      <x:c r="F213" s="373"/>
      <x:c r="G213" s="373"/>
      <x:c r="H213" s="373"/>
      <x:c r="I213" s="373"/>
      <x:c r="J213" s="373"/>
      <x:c r="K213" s="373"/>
      <x:c r="L213" s="373"/>
      <x:c r="M213" s="373"/>
      <x:c r="N213" s="373"/>
      <x:c r="O213" s="373"/>
      <x:c r="P213" s="373"/>
      <x:c r="Q213" s="373"/>
      <x:c r="R213" s="373"/>
      <x:c r="S213" s="373"/>
      <x:c r="T213" s="373"/>
      <x:c r="U213" s="373"/>
      <x:c r="V213" s="373"/>
      <x:c r="W213" s="373"/>
      <x:c r="X213" s="373"/>
      <x:c r="Y213" s="373"/>
      <x:c r="Z213" s="373"/>
    </x:row>
    <x:row r="214">
      <x:c r="A214" s="373"/>
      <x:c r="B214" s="373"/>
      <x:c r="C214" s="373"/>
      <x:c r="D214" s="373"/>
      <x:c r="E214" s="373"/>
      <x:c r="F214" s="373"/>
      <x:c r="G214" s="373"/>
      <x:c r="H214" s="373"/>
      <x:c r="I214" s="373"/>
      <x:c r="J214" s="373"/>
      <x:c r="K214" s="373"/>
      <x:c r="L214" s="373"/>
      <x:c r="M214" s="373"/>
      <x:c r="N214" s="373"/>
      <x:c r="O214" s="373"/>
      <x:c r="P214" s="373"/>
      <x:c r="Q214" s="373"/>
      <x:c r="R214" s="373"/>
      <x:c r="S214" s="373"/>
      <x:c r="T214" s="373"/>
      <x:c r="U214" s="373"/>
      <x:c r="V214" s="373"/>
      <x:c r="W214" s="373"/>
      <x:c r="X214" s="373"/>
      <x:c r="Y214" s="373"/>
      <x:c r="Z214" s="373"/>
    </x:row>
    <x:row r="215">
      <x:c r="A215" s="373"/>
      <x:c r="B215" s="373"/>
      <x:c r="C215" s="373"/>
      <x:c r="D215" s="373"/>
      <x:c r="E215" s="373"/>
      <x:c r="F215" s="373"/>
      <x:c r="G215" s="373"/>
      <x:c r="H215" s="373"/>
      <x:c r="I215" s="373"/>
      <x:c r="J215" s="373"/>
      <x:c r="K215" s="373"/>
      <x:c r="L215" s="373"/>
      <x:c r="M215" s="373"/>
      <x:c r="N215" s="373"/>
      <x:c r="O215" s="373"/>
      <x:c r="P215" s="373"/>
      <x:c r="Q215" s="373"/>
      <x:c r="R215" s="373"/>
      <x:c r="S215" s="373"/>
      <x:c r="T215" s="373"/>
      <x:c r="U215" s="373"/>
      <x:c r="V215" s="373"/>
      <x:c r="W215" s="373"/>
      <x:c r="X215" s="373"/>
      <x:c r="Y215" s="373"/>
      <x:c r="Z215" s="373"/>
    </x:row>
    <x:row r="216">
      <x:c r="A216" s="373"/>
      <x:c r="B216" s="373"/>
      <x:c r="C216" s="373"/>
      <x:c r="D216" s="373"/>
      <x:c r="E216" s="373"/>
      <x:c r="F216" s="373"/>
      <x:c r="G216" s="373"/>
      <x:c r="H216" s="373"/>
      <x:c r="I216" s="373"/>
      <x:c r="J216" s="373"/>
      <x:c r="K216" s="373"/>
      <x:c r="L216" s="373"/>
      <x:c r="M216" s="373"/>
      <x:c r="N216" s="373"/>
      <x:c r="O216" s="373"/>
      <x:c r="P216" s="373"/>
      <x:c r="Q216" s="373"/>
      <x:c r="R216" s="373"/>
      <x:c r="S216" s="373"/>
      <x:c r="T216" s="373"/>
      <x:c r="U216" s="373"/>
      <x:c r="V216" s="373"/>
      <x:c r="W216" s="373"/>
      <x:c r="X216" s="373"/>
      <x:c r="Y216" s="373"/>
      <x:c r="Z216" s="373"/>
    </x:row>
    <x:row r="217">
      <x:c r="A217" s="373"/>
      <x:c r="B217" s="373"/>
      <x:c r="C217" s="373"/>
      <x:c r="D217" s="373"/>
      <x:c r="E217" s="373"/>
      <x:c r="F217" s="373"/>
      <x:c r="G217" s="373"/>
      <x:c r="H217" s="373"/>
      <x:c r="I217" s="373"/>
      <x:c r="J217" s="373"/>
      <x:c r="K217" s="373"/>
      <x:c r="L217" s="373"/>
      <x:c r="M217" s="373"/>
      <x:c r="N217" s="373"/>
      <x:c r="O217" s="373"/>
      <x:c r="P217" s="373"/>
      <x:c r="Q217" s="373"/>
      <x:c r="R217" s="373"/>
      <x:c r="S217" s="373"/>
      <x:c r="T217" s="373"/>
      <x:c r="U217" s="373"/>
      <x:c r="V217" s="373"/>
      <x:c r="W217" s="373"/>
      <x:c r="X217" s="373"/>
      <x:c r="Y217" s="373"/>
      <x:c r="Z217" s="373"/>
    </x:row>
    <x:row r="218">
      <x:c r="A218" s="373"/>
      <x:c r="B218" s="373"/>
      <x:c r="C218" s="373"/>
      <x:c r="D218" s="373"/>
      <x:c r="E218" s="373"/>
      <x:c r="F218" s="373"/>
      <x:c r="G218" s="373"/>
      <x:c r="H218" s="373"/>
      <x:c r="I218" s="373"/>
      <x:c r="J218" s="373"/>
      <x:c r="K218" s="373"/>
      <x:c r="L218" s="373"/>
      <x:c r="M218" s="373"/>
      <x:c r="N218" s="373"/>
      <x:c r="O218" s="373"/>
      <x:c r="P218" s="373"/>
      <x:c r="Q218" s="373"/>
      <x:c r="R218" s="373"/>
      <x:c r="S218" s="373"/>
      <x:c r="T218" s="373"/>
      <x:c r="U218" s="373"/>
      <x:c r="V218" s="373"/>
      <x:c r="W218" s="373"/>
      <x:c r="X218" s="373"/>
      <x:c r="Y218" s="373"/>
      <x:c r="Z218" s="373"/>
    </x:row>
    <x:row r="219">
      <x:c r="A219" s="373"/>
      <x:c r="B219" s="373"/>
      <x:c r="C219" s="373"/>
      <x:c r="D219" s="373"/>
      <x:c r="E219" s="373"/>
      <x:c r="F219" s="373"/>
      <x:c r="G219" s="373"/>
      <x:c r="H219" s="373"/>
      <x:c r="I219" s="373"/>
      <x:c r="J219" s="373"/>
      <x:c r="K219" s="373"/>
      <x:c r="L219" s="373"/>
      <x:c r="M219" s="373"/>
      <x:c r="N219" s="373"/>
      <x:c r="O219" s="373"/>
      <x:c r="P219" s="373"/>
      <x:c r="Q219" s="373"/>
      <x:c r="R219" s="373"/>
      <x:c r="S219" s="373"/>
      <x:c r="T219" s="373"/>
      <x:c r="U219" s="373"/>
      <x:c r="V219" s="373"/>
      <x:c r="W219" s="373"/>
      <x:c r="X219" s="373"/>
      <x:c r="Y219" s="373"/>
      <x:c r="Z219" s="373"/>
    </x:row>
    <x:row r="220">
      <x:c r="A220" s="373"/>
      <x:c r="B220" s="373"/>
      <x:c r="C220" s="373"/>
      <x:c r="D220" s="373"/>
      <x:c r="E220" s="373"/>
      <x:c r="F220" s="373"/>
      <x:c r="G220" s="373"/>
      <x:c r="H220" s="373"/>
      <x:c r="I220" s="373"/>
      <x:c r="J220" s="373"/>
      <x:c r="K220" s="373"/>
      <x:c r="L220" s="373"/>
      <x:c r="M220" s="373"/>
      <x:c r="N220" s="373"/>
      <x:c r="O220" s="373"/>
      <x:c r="P220" s="373"/>
      <x:c r="Q220" s="373"/>
      <x:c r="R220" s="373"/>
      <x:c r="S220" s="373"/>
      <x:c r="T220" s="373"/>
      <x:c r="U220" s="373"/>
      <x:c r="V220" s="373"/>
      <x:c r="W220" s="373"/>
      <x:c r="X220" s="373"/>
      <x:c r="Y220" s="373"/>
      <x:c r="Z220" s="373"/>
    </x:row>
    <x:row r="221">
      <x:c r="A221" s="373"/>
      <x:c r="B221" s="373"/>
      <x:c r="C221" s="373"/>
      <x:c r="D221" s="373"/>
      <x:c r="E221" s="373"/>
      <x:c r="F221" s="373"/>
      <x:c r="G221" s="373"/>
      <x:c r="H221" s="373"/>
      <x:c r="I221" s="373"/>
      <x:c r="J221" s="373"/>
      <x:c r="K221" s="373"/>
      <x:c r="L221" s="373"/>
      <x:c r="M221" s="373"/>
      <x:c r="N221" s="373"/>
      <x:c r="O221" s="373"/>
      <x:c r="P221" s="373"/>
      <x:c r="Q221" s="373"/>
      <x:c r="R221" s="373"/>
      <x:c r="S221" s="373"/>
      <x:c r="T221" s="373"/>
      <x:c r="U221" s="373"/>
      <x:c r="V221" s="373"/>
      <x:c r="W221" s="373"/>
      <x:c r="X221" s="373"/>
      <x:c r="Y221" s="373"/>
      <x:c r="Z221" s="373"/>
    </x:row>
    <x:row r="222">
      <x:c r="A222" s="373"/>
      <x:c r="B222" s="373"/>
      <x:c r="C222" s="373"/>
      <x:c r="D222" s="373"/>
      <x:c r="E222" s="373"/>
      <x:c r="F222" s="373"/>
      <x:c r="G222" s="373"/>
      <x:c r="H222" s="373"/>
      <x:c r="I222" s="373"/>
      <x:c r="J222" s="373"/>
      <x:c r="K222" s="373"/>
      <x:c r="L222" s="373"/>
      <x:c r="M222" s="373"/>
      <x:c r="N222" s="373"/>
      <x:c r="O222" s="373"/>
      <x:c r="P222" s="373"/>
      <x:c r="Q222" s="373"/>
      <x:c r="R222" s="373"/>
      <x:c r="S222" s="373"/>
      <x:c r="T222" s="373"/>
      <x:c r="U222" s="373"/>
      <x:c r="V222" s="373"/>
      <x:c r="W222" s="373"/>
      <x:c r="X222" s="373"/>
      <x:c r="Y222" s="373"/>
      <x:c r="Z222" s="373"/>
    </x:row>
    <x:row r="223">
      <x:c r="A223" s="373"/>
      <x:c r="B223" s="373"/>
      <x:c r="C223" s="373"/>
      <x:c r="D223" s="373"/>
      <x:c r="E223" s="373"/>
      <x:c r="F223" s="373"/>
      <x:c r="G223" s="373"/>
      <x:c r="H223" s="373"/>
      <x:c r="I223" s="373"/>
      <x:c r="J223" s="373"/>
      <x:c r="K223" s="373"/>
      <x:c r="L223" s="373"/>
      <x:c r="M223" s="373"/>
      <x:c r="N223" s="373"/>
      <x:c r="O223" s="373"/>
      <x:c r="P223" s="373"/>
      <x:c r="Q223" s="373"/>
      <x:c r="R223" s="373"/>
      <x:c r="S223" s="373"/>
      <x:c r="T223" s="373"/>
      <x:c r="U223" s="373"/>
      <x:c r="V223" s="373"/>
      <x:c r="W223" s="373"/>
      <x:c r="X223" s="373"/>
      <x:c r="Y223" s="373"/>
      <x:c r="Z223" s="373"/>
    </x:row>
    <x:row r="224">
      <x:c r="A224" s="373"/>
      <x:c r="B224" s="373"/>
      <x:c r="C224" s="373"/>
      <x:c r="D224" s="373"/>
      <x:c r="E224" s="373"/>
      <x:c r="F224" s="373"/>
      <x:c r="G224" s="373"/>
      <x:c r="H224" s="373"/>
      <x:c r="I224" s="373"/>
      <x:c r="J224" s="373"/>
      <x:c r="K224" s="373"/>
      <x:c r="L224" s="373"/>
      <x:c r="M224" s="373"/>
      <x:c r="N224" s="373"/>
      <x:c r="O224" s="373"/>
      <x:c r="P224" s="373"/>
      <x:c r="Q224" s="373"/>
      <x:c r="R224" s="373"/>
      <x:c r="S224" s="373"/>
      <x:c r="T224" s="373"/>
      <x:c r="U224" s="373"/>
      <x:c r="V224" s="373"/>
      <x:c r="W224" s="373"/>
      <x:c r="X224" s="373"/>
      <x:c r="Y224" s="373"/>
      <x:c r="Z224" s="373"/>
    </x:row>
    <x:row r="225">
      <x:c r="A225" s="373"/>
      <x:c r="B225" s="373"/>
      <x:c r="C225" s="373"/>
      <x:c r="D225" s="373"/>
      <x:c r="E225" s="373"/>
      <x:c r="F225" s="373"/>
      <x:c r="G225" s="373"/>
      <x:c r="H225" s="373"/>
      <x:c r="I225" s="373"/>
      <x:c r="J225" s="373"/>
      <x:c r="K225" s="373"/>
      <x:c r="L225" s="373"/>
      <x:c r="M225" s="373"/>
      <x:c r="N225" s="373"/>
      <x:c r="O225" s="373"/>
      <x:c r="P225" s="373"/>
      <x:c r="Q225" s="373"/>
      <x:c r="R225" s="373"/>
      <x:c r="S225" s="373"/>
      <x:c r="T225" s="373"/>
      <x:c r="U225" s="373"/>
      <x:c r="V225" s="373"/>
      <x:c r="W225" s="373"/>
      <x:c r="X225" s="373"/>
      <x:c r="Y225" s="373"/>
      <x:c r="Z225" s="373"/>
    </x:row>
    <x:row r="226">
      <x:c r="A226" s="373"/>
      <x:c r="B226" s="373"/>
      <x:c r="C226" s="373"/>
      <x:c r="D226" s="373"/>
      <x:c r="E226" s="373"/>
      <x:c r="F226" s="373"/>
      <x:c r="G226" s="373"/>
      <x:c r="H226" s="373"/>
      <x:c r="I226" s="373"/>
      <x:c r="J226" s="373"/>
      <x:c r="K226" s="373"/>
      <x:c r="L226" s="373"/>
      <x:c r="M226" s="373"/>
      <x:c r="N226" s="373"/>
      <x:c r="O226" s="373"/>
      <x:c r="P226" s="373"/>
      <x:c r="Q226" s="373"/>
      <x:c r="R226" s="373"/>
      <x:c r="S226" s="373"/>
      <x:c r="T226" s="373"/>
      <x:c r="U226" s="373"/>
      <x:c r="V226" s="373"/>
      <x:c r="W226" s="373"/>
      <x:c r="X226" s="373"/>
      <x:c r="Y226" s="373"/>
      <x:c r="Z226" s="373"/>
    </x:row>
    <x:row r="227">
      <x:c r="A227" s="373"/>
      <x:c r="B227" s="373"/>
      <x:c r="C227" s="373"/>
      <x:c r="D227" s="373"/>
      <x:c r="E227" s="373"/>
      <x:c r="F227" s="373"/>
      <x:c r="G227" s="373"/>
      <x:c r="H227" s="373"/>
      <x:c r="I227" s="373"/>
      <x:c r="J227" s="373"/>
      <x:c r="K227" s="373"/>
      <x:c r="L227" s="373"/>
      <x:c r="M227" s="373"/>
      <x:c r="N227" s="373"/>
      <x:c r="O227" s="373"/>
      <x:c r="P227" s="373"/>
      <x:c r="Q227" s="373"/>
      <x:c r="R227" s="373"/>
      <x:c r="S227" s="373"/>
      <x:c r="T227" s="373"/>
      <x:c r="U227" s="373"/>
      <x:c r="V227" s="373"/>
      <x:c r="W227" s="373"/>
      <x:c r="X227" s="373"/>
      <x:c r="Y227" s="373"/>
      <x:c r="Z227" s="373"/>
    </x:row>
    <x:row r="228">
      <x:c r="A228" s="373"/>
      <x:c r="B228" s="373"/>
      <x:c r="C228" s="373"/>
      <x:c r="D228" s="373"/>
      <x:c r="E228" s="373"/>
      <x:c r="F228" s="373"/>
      <x:c r="G228" s="373"/>
      <x:c r="H228" s="373"/>
      <x:c r="I228" s="373"/>
      <x:c r="J228" s="373"/>
      <x:c r="K228" s="373"/>
      <x:c r="L228" s="373"/>
      <x:c r="M228" s="373"/>
      <x:c r="N228" s="373"/>
      <x:c r="O228" s="373"/>
      <x:c r="P228" s="373"/>
      <x:c r="Q228" s="373"/>
      <x:c r="R228" s="373"/>
      <x:c r="S228" s="373"/>
      <x:c r="T228" s="373"/>
      <x:c r="U228" s="373"/>
      <x:c r="V228" s="373"/>
      <x:c r="W228" s="373"/>
      <x:c r="X228" s="373"/>
      <x:c r="Y228" s="373"/>
      <x:c r="Z228" s="373"/>
    </x:row>
    <x:row r="229">
      <x:c r="A229" s="373"/>
      <x:c r="B229" s="373"/>
      <x:c r="C229" s="373"/>
      <x:c r="D229" s="373"/>
      <x:c r="E229" s="373"/>
      <x:c r="F229" s="373"/>
      <x:c r="G229" s="373"/>
      <x:c r="H229" s="373"/>
      <x:c r="I229" s="373"/>
      <x:c r="J229" s="373"/>
      <x:c r="K229" s="373"/>
      <x:c r="L229" s="373"/>
      <x:c r="M229" s="373"/>
      <x:c r="N229" s="373"/>
      <x:c r="O229" s="373"/>
      <x:c r="P229" s="373"/>
      <x:c r="Q229" s="373"/>
      <x:c r="R229" s="373"/>
      <x:c r="S229" s="373"/>
      <x:c r="T229" s="373"/>
      <x:c r="U229" s="373"/>
      <x:c r="V229" s="373"/>
      <x:c r="W229" s="373"/>
      <x:c r="X229" s="373"/>
      <x:c r="Y229" s="373"/>
      <x:c r="Z229" s="373"/>
    </x:row>
    <x:row r="230">
      <x:c r="A230" s="373"/>
      <x:c r="B230" s="373"/>
      <x:c r="C230" s="373"/>
      <x:c r="D230" s="373"/>
      <x:c r="E230" s="373"/>
      <x:c r="F230" s="373"/>
      <x:c r="G230" s="373"/>
      <x:c r="H230" s="373"/>
      <x:c r="I230" s="373"/>
      <x:c r="J230" s="373"/>
      <x:c r="K230" s="373"/>
      <x:c r="L230" s="373"/>
      <x:c r="M230" s="373"/>
      <x:c r="N230" s="373"/>
      <x:c r="O230" s="373"/>
      <x:c r="P230" s="373"/>
      <x:c r="Q230" s="373"/>
      <x:c r="R230" s="373"/>
      <x:c r="S230" s="373"/>
      <x:c r="T230" s="373"/>
      <x:c r="U230" s="373"/>
      <x:c r="V230" s="373"/>
      <x:c r="W230" s="373"/>
      <x:c r="X230" s="373"/>
      <x:c r="Y230" s="373"/>
      <x:c r="Z230" s="373"/>
    </x:row>
    <x:row r="231">
      <x:c r="A231" s="373"/>
      <x:c r="B231" s="373"/>
      <x:c r="C231" s="373"/>
      <x:c r="D231" s="373"/>
      <x:c r="E231" s="373"/>
      <x:c r="F231" s="373"/>
      <x:c r="G231" s="373"/>
      <x:c r="H231" s="373"/>
      <x:c r="I231" s="373"/>
      <x:c r="J231" s="373"/>
      <x:c r="K231" s="373"/>
      <x:c r="L231" s="373"/>
      <x:c r="M231" s="373"/>
      <x:c r="N231" s="373"/>
      <x:c r="O231" s="373"/>
      <x:c r="P231" s="373"/>
      <x:c r="Q231" s="373"/>
      <x:c r="R231" s="373"/>
      <x:c r="S231" s="373"/>
      <x:c r="T231" s="373"/>
      <x:c r="U231" s="373"/>
      <x:c r="V231" s="373"/>
      <x:c r="W231" s="373"/>
      <x:c r="X231" s="373"/>
      <x:c r="Y231" s="373"/>
      <x:c r="Z231" s="373"/>
    </x:row>
    <x:row r="232">
      <x:c r="A232" s="373"/>
      <x:c r="B232" s="373"/>
      <x:c r="C232" s="373"/>
      <x:c r="D232" s="373"/>
      <x:c r="E232" s="373"/>
      <x:c r="F232" s="373"/>
      <x:c r="G232" s="373"/>
      <x:c r="H232" s="373"/>
      <x:c r="I232" s="373"/>
      <x:c r="J232" s="373"/>
      <x:c r="K232" s="373"/>
      <x:c r="L232" s="373"/>
      <x:c r="M232" s="373"/>
      <x:c r="N232" s="373"/>
      <x:c r="O232" s="373"/>
      <x:c r="P232" s="373"/>
      <x:c r="Q232" s="373"/>
      <x:c r="R232" s="373"/>
      <x:c r="S232" s="373"/>
      <x:c r="T232" s="373"/>
      <x:c r="U232" s="373"/>
      <x:c r="V232" s="373"/>
      <x:c r="W232" s="373"/>
      <x:c r="X232" s="373"/>
      <x:c r="Y232" s="373"/>
      <x:c r="Z232" s="373"/>
    </x:row>
    <x:row r="233">
      <x:c r="A233" s="373"/>
      <x:c r="B233" s="373"/>
      <x:c r="C233" s="373"/>
      <x:c r="D233" s="373"/>
      <x:c r="E233" s="373"/>
      <x:c r="F233" s="373"/>
      <x:c r="G233" s="373"/>
      <x:c r="H233" s="373"/>
      <x:c r="I233" s="373"/>
      <x:c r="J233" s="373"/>
      <x:c r="K233" s="373"/>
      <x:c r="L233" s="373"/>
      <x:c r="M233" s="373"/>
      <x:c r="N233" s="373"/>
      <x:c r="O233" s="373"/>
      <x:c r="P233" s="373"/>
      <x:c r="Q233" s="373"/>
      <x:c r="R233" s="373"/>
      <x:c r="S233" s="373"/>
      <x:c r="T233" s="373"/>
      <x:c r="U233" s="373"/>
      <x:c r="V233" s="373"/>
      <x:c r="W233" s="373"/>
      <x:c r="X233" s="373"/>
      <x:c r="Y233" s="373"/>
      <x:c r="Z233" s="373"/>
    </x:row>
    <x:row r="234">
      <x:c r="A234" s="373"/>
      <x:c r="B234" s="373"/>
      <x:c r="C234" s="373"/>
      <x:c r="D234" s="373"/>
      <x:c r="E234" s="373"/>
      <x:c r="F234" s="373"/>
      <x:c r="G234" s="373"/>
      <x:c r="H234" s="373"/>
      <x:c r="I234" s="373"/>
      <x:c r="J234" s="373"/>
      <x:c r="K234" s="373"/>
      <x:c r="L234" s="373"/>
      <x:c r="M234" s="373"/>
      <x:c r="N234" s="373"/>
      <x:c r="O234" s="373"/>
      <x:c r="P234" s="373"/>
      <x:c r="Q234" s="373"/>
      <x:c r="R234" s="373"/>
      <x:c r="S234" s="373"/>
      <x:c r="T234" s="373"/>
      <x:c r="U234" s="373"/>
      <x:c r="V234" s="373"/>
      <x:c r="W234" s="373"/>
      <x:c r="X234" s="373"/>
      <x:c r="Y234" s="373"/>
      <x:c r="Z234" s="373"/>
    </x:row>
    <x:row r="235">
      <x:c r="A235" s="373"/>
      <x:c r="B235" s="373"/>
      <x:c r="C235" s="373"/>
      <x:c r="D235" s="373"/>
      <x:c r="E235" s="373"/>
      <x:c r="F235" s="373"/>
      <x:c r="G235" s="373"/>
      <x:c r="H235" s="373"/>
      <x:c r="I235" s="373"/>
      <x:c r="J235" s="373"/>
      <x:c r="K235" s="373"/>
      <x:c r="L235" s="373"/>
      <x:c r="M235" s="373"/>
      <x:c r="N235" s="373"/>
      <x:c r="O235" s="373"/>
      <x:c r="P235" s="373"/>
      <x:c r="Q235" s="373"/>
      <x:c r="R235" s="373"/>
      <x:c r="S235" s="373"/>
      <x:c r="T235" s="373"/>
      <x:c r="U235" s="373"/>
      <x:c r="V235" s="373"/>
      <x:c r="W235" s="373"/>
      <x:c r="X235" s="373"/>
      <x:c r="Y235" s="373"/>
      <x:c r="Z235" s="373"/>
    </x:row>
    <x:row r="236">
      <x:c r="A236" s="373"/>
      <x:c r="B236" s="373"/>
      <x:c r="C236" s="373"/>
      <x:c r="D236" s="373"/>
      <x:c r="E236" s="373"/>
      <x:c r="F236" s="373"/>
      <x:c r="G236" s="373"/>
      <x:c r="H236" s="373"/>
      <x:c r="I236" s="373"/>
      <x:c r="J236" s="373"/>
      <x:c r="K236" s="373"/>
      <x:c r="L236" s="373"/>
      <x:c r="M236" s="373"/>
      <x:c r="N236" s="373"/>
      <x:c r="O236" s="373"/>
      <x:c r="P236" s="373"/>
      <x:c r="Q236" s="373"/>
      <x:c r="R236" s="373"/>
      <x:c r="S236" s="373"/>
      <x:c r="T236" s="373"/>
      <x:c r="U236" s="373"/>
      <x:c r="V236" s="373"/>
      <x:c r="W236" s="373"/>
      <x:c r="X236" s="373"/>
      <x:c r="Y236" s="373"/>
      <x:c r="Z236" s="373"/>
    </x:row>
    <x:row r="237">
      <x:c r="A237" s="373"/>
      <x:c r="B237" s="373"/>
      <x:c r="C237" s="373"/>
      <x:c r="D237" s="373"/>
      <x:c r="E237" s="373"/>
      <x:c r="F237" s="373"/>
      <x:c r="G237" s="373"/>
      <x:c r="H237" s="373"/>
      <x:c r="I237" s="373"/>
      <x:c r="J237" s="373"/>
      <x:c r="K237" s="373"/>
      <x:c r="L237" s="373"/>
      <x:c r="M237" s="373"/>
      <x:c r="N237" s="373"/>
      <x:c r="O237" s="373"/>
      <x:c r="P237" s="373"/>
      <x:c r="Q237" s="373"/>
      <x:c r="R237" s="373"/>
      <x:c r="S237" s="373"/>
      <x:c r="T237" s="373"/>
      <x:c r="U237" s="373"/>
      <x:c r="V237" s="373"/>
      <x:c r="W237" s="373"/>
      <x:c r="X237" s="373"/>
      <x:c r="Y237" s="373"/>
      <x:c r="Z237" s="373"/>
    </x:row>
    <x:row r="238">
      <x:c r="A238" s="373"/>
      <x:c r="B238" s="373"/>
      <x:c r="C238" s="373"/>
      <x:c r="D238" s="373"/>
      <x:c r="E238" s="373"/>
      <x:c r="F238" s="373"/>
      <x:c r="G238" s="373"/>
      <x:c r="H238" s="373"/>
      <x:c r="I238" s="373"/>
      <x:c r="J238" s="373"/>
      <x:c r="K238" s="373"/>
      <x:c r="L238" s="373"/>
      <x:c r="M238" s="373"/>
      <x:c r="N238" s="373"/>
      <x:c r="O238" s="373"/>
      <x:c r="P238" s="373"/>
      <x:c r="Q238" s="373"/>
      <x:c r="R238" s="373"/>
      <x:c r="S238" s="373"/>
      <x:c r="T238" s="373"/>
      <x:c r="U238" s="373"/>
      <x:c r="V238" s="373"/>
      <x:c r="W238" s="373"/>
      <x:c r="X238" s="373"/>
      <x:c r="Y238" s="373"/>
      <x:c r="Z238" s="373"/>
    </x:row>
    <x:row r="239">
      <x:c r="A239" s="373"/>
      <x:c r="B239" s="373"/>
      <x:c r="C239" s="373"/>
      <x:c r="D239" s="373"/>
      <x:c r="E239" s="373"/>
      <x:c r="F239" s="373"/>
      <x:c r="G239" s="373"/>
      <x:c r="H239" s="373"/>
      <x:c r="I239" s="373"/>
      <x:c r="J239" s="373"/>
      <x:c r="K239" s="373"/>
      <x:c r="L239" s="373"/>
      <x:c r="M239" s="373"/>
      <x:c r="N239" s="373"/>
      <x:c r="O239" s="373"/>
      <x:c r="P239" s="373"/>
      <x:c r="Q239" s="373"/>
      <x:c r="R239" s="373"/>
      <x:c r="S239" s="373"/>
      <x:c r="T239" s="373"/>
      <x:c r="U239" s="373"/>
      <x:c r="V239" s="373"/>
      <x:c r="W239" s="373"/>
      <x:c r="X239" s="373"/>
      <x:c r="Y239" s="373"/>
      <x:c r="Z239" s="373"/>
    </x:row>
    <x:row r="240">
      <x:c r="A240" s="373"/>
      <x:c r="B240" s="373"/>
      <x:c r="C240" s="373"/>
      <x:c r="D240" s="373"/>
      <x:c r="E240" s="373"/>
      <x:c r="F240" s="373"/>
      <x:c r="G240" s="373"/>
      <x:c r="H240" s="373"/>
      <x:c r="I240" s="373"/>
      <x:c r="J240" s="373"/>
      <x:c r="K240" s="373"/>
      <x:c r="L240" s="373"/>
      <x:c r="M240" s="373"/>
      <x:c r="N240" s="373"/>
      <x:c r="O240" s="373"/>
      <x:c r="P240" s="373"/>
      <x:c r="Q240" s="373"/>
      <x:c r="R240" s="373"/>
      <x:c r="S240" s="373"/>
      <x:c r="T240" s="373"/>
      <x:c r="U240" s="373"/>
      <x:c r="V240" s="373"/>
      <x:c r="W240" s="373"/>
      <x:c r="X240" s="373"/>
      <x:c r="Y240" s="373"/>
      <x:c r="Z240" s="373"/>
    </x:row>
    <x:row r="241">
      <x:c r="A241" s="373"/>
      <x:c r="B241" s="373"/>
      <x:c r="C241" s="373"/>
      <x:c r="D241" s="373"/>
      <x:c r="E241" s="373"/>
      <x:c r="F241" s="373"/>
      <x:c r="G241" s="373"/>
      <x:c r="H241" s="373"/>
      <x:c r="I241" s="373"/>
      <x:c r="J241" s="373"/>
      <x:c r="K241" s="373"/>
      <x:c r="L241" s="373"/>
      <x:c r="M241" s="373"/>
      <x:c r="N241" s="373"/>
      <x:c r="O241" s="373"/>
      <x:c r="P241" s="373"/>
      <x:c r="Q241" s="373"/>
      <x:c r="R241" s="373"/>
      <x:c r="S241" s="373"/>
      <x:c r="T241" s="373"/>
      <x:c r="U241" s="373"/>
      <x:c r="V241" s="373"/>
      <x:c r="W241" s="373"/>
      <x:c r="X241" s="373"/>
      <x:c r="Y241" s="373"/>
      <x:c r="Z241" s="373"/>
    </x:row>
    <x:row r="242">
      <x:c r="A242" s="373"/>
      <x:c r="B242" s="373"/>
      <x:c r="C242" s="373"/>
      <x:c r="D242" s="373"/>
      <x:c r="E242" s="373"/>
      <x:c r="F242" s="373"/>
      <x:c r="G242" s="373"/>
      <x:c r="H242" s="373"/>
      <x:c r="I242" s="373"/>
      <x:c r="J242" s="373"/>
      <x:c r="K242" s="373"/>
      <x:c r="L242" s="373"/>
      <x:c r="M242" s="373"/>
      <x:c r="N242" s="373"/>
      <x:c r="O242" s="373"/>
      <x:c r="P242" s="373"/>
      <x:c r="Q242" s="373"/>
      <x:c r="R242" s="373"/>
      <x:c r="S242" s="373"/>
      <x:c r="T242" s="373"/>
      <x:c r="U242" s="373"/>
      <x:c r="V242" s="373"/>
      <x:c r="W242" s="373"/>
      <x:c r="X242" s="373"/>
      <x:c r="Y242" s="373"/>
      <x:c r="Z242" s="373"/>
    </x:row>
    <x:row r="243">
      <x:c r="A243" s="373"/>
      <x:c r="B243" s="373"/>
      <x:c r="C243" s="373"/>
      <x:c r="D243" s="373"/>
      <x:c r="E243" s="373"/>
      <x:c r="F243" s="373"/>
      <x:c r="G243" s="373"/>
      <x:c r="H243" s="373"/>
      <x:c r="I243" s="373"/>
      <x:c r="J243" s="373"/>
      <x:c r="K243" s="373"/>
      <x:c r="L243" s="373"/>
      <x:c r="M243" s="373"/>
      <x:c r="N243" s="373"/>
      <x:c r="O243" s="373"/>
      <x:c r="P243" s="373"/>
      <x:c r="Q243" s="373"/>
      <x:c r="R243" s="373"/>
      <x:c r="S243" s="373"/>
      <x:c r="T243" s="373"/>
      <x:c r="U243" s="373"/>
      <x:c r="V243" s="373"/>
      <x:c r="W243" s="373"/>
      <x:c r="X243" s="373"/>
      <x:c r="Y243" s="373"/>
      <x:c r="Z243" s="373"/>
    </x:row>
    <x:row r="244">
      <x:c r="A244" s="373"/>
      <x:c r="B244" s="373"/>
      <x:c r="C244" s="373"/>
      <x:c r="D244" s="373"/>
      <x:c r="E244" s="373"/>
      <x:c r="F244" s="373"/>
      <x:c r="G244" s="373"/>
      <x:c r="H244" s="373"/>
      <x:c r="I244" s="373"/>
      <x:c r="J244" s="373"/>
      <x:c r="K244" s="373"/>
      <x:c r="L244" s="373"/>
      <x:c r="M244" s="373"/>
      <x:c r="N244" s="373"/>
      <x:c r="O244" s="373"/>
      <x:c r="P244" s="373"/>
      <x:c r="Q244" s="373"/>
      <x:c r="R244" s="373"/>
      <x:c r="S244" s="373"/>
      <x:c r="T244" s="373"/>
      <x:c r="U244" s="373"/>
      <x:c r="V244" s="373"/>
      <x:c r="W244" s="373"/>
      <x:c r="X244" s="373"/>
      <x:c r="Y244" s="373"/>
      <x:c r="Z244" s="373"/>
    </x:row>
    <x:row r="245">
      <x:c r="A245" s="373"/>
      <x:c r="B245" s="373"/>
      <x:c r="C245" s="373"/>
      <x:c r="D245" s="373"/>
      <x:c r="E245" s="373"/>
      <x:c r="F245" s="373"/>
      <x:c r="G245" s="373"/>
      <x:c r="H245" s="373"/>
      <x:c r="I245" s="373"/>
      <x:c r="J245" s="373"/>
      <x:c r="K245" s="373"/>
      <x:c r="L245" s="373"/>
      <x:c r="M245" s="373"/>
      <x:c r="N245" s="373"/>
      <x:c r="O245" s="373"/>
      <x:c r="P245" s="373"/>
      <x:c r="Q245" s="373"/>
      <x:c r="R245" s="373"/>
      <x:c r="S245" s="373"/>
      <x:c r="T245" s="373"/>
      <x:c r="U245" s="373"/>
      <x:c r="V245" s="373"/>
      <x:c r="W245" s="373"/>
      <x:c r="X245" s="373"/>
      <x:c r="Y245" s="373"/>
      <x:c r="Z245" s="373"/>
    </x:row>
    <x:row r="246">
      <x:c r="A246" s="373"/>
      <x:c r="B246" s="373"/>
      <x:c r="C246" s="373"/>
      <x:c r="D246" s="373"/>
      <x:c r="E246" s="373"/>
      <x:c r="F246" s="373"/>
      <x:c r="G246" s="373"/>
      <x:c r="H246" s="373"/>
      <x:c r="I246" s="373"/>
      <x:c r="J246" s="373"/>
      <x:c r="K246" s="373"/>
      <x:c r="L246" s="373"/>
      <x:c r="M246" s="373"/>
      <x:c r="N246" s="373"/>
      <x:c r="O246" s="373"/>
      <x:c r="P246" s="373"/>
      <x:c r="Q246" s="373"/>
      <x:c r="R246" s="373"/>
      <x:c r="S246" s="373"/>
      <x:c r="T246" s="373"/>
      <x:c r="U246" s="373"/>
      <x:c r="V246" s="373"/>
      <x:c r="W246" s="373"/>
      <x:c r="X246" s="373"/>
      <x:c r="Y246" s="373"/>
      <x:c r="Z246" s="373"/>
    </x:row>
    <x:row r="247">
      <x:c r="A247" s="373"/>
      <x:c r="B247" s="373"/>
      <x:c r="C247" s="373"/>
      <x:c r="D247" s="373"/>
      <x:c r="E247" s="373"/>
      <x:c r="F247" s="373"/>
      <x:c r="G247" s="373"/>
      <x:c r="H247" s="373"/>
      <x:c r="I247" s="373"/>
      <x:c r="J247" s="373"/>
      <x:c r="K247" s="373"/>
      <x:c r="L247" s="373"/>
      <x:c r="M247" s="373"/>
      <x:c r="N247" s="373"/>
      <x:c r="O247" s="373"/>
      <x:c r="P247" s="373"/>
      <x:c r="Q247" s="373"/>
      <x:c r="R247" s="373"/>
      <x:c r="S247" s="373"/>
      <x:c r="T247" s="373"/>
      <x:c r="U247" s="373"/>
      <x:c r="V247" s="373"/>
      <x:c r="W247" s="373"/>
      <x:c r="X247" s="373"/>
      <x:c r="Y247" s="373"/>
      <x:c r="Z247" s="373"/>
    </x:row>
    <x:row r="248">
      <x:c r="A248" s="373"/>
      <x:c r="B248" s="373"/>
      <x:c r="C248" s="373"/>
      <x:c r="D248" s="373"/>
      <x:c r="E248" s="373"/>
      <x:c r="F248" s="373"/>
      <x:c r="G248" s="373"/>
      <x:c r="H248" s="373"/>
      <x:c r="I248" s="373"/>
      <x:c r="J248" s="373"/>
      <x:c r="K248" s="373"/>
      <x:c r="L248" s="373"/>
      <x:c r="M248" s="373"/>
      <x:c r="N248" s="373"/>
      <x:c r="O248" s="373"/>
      <x:c r="P248" s="373"/>
      <x:c r="Q248" s="373"/>
      <x:c r="R248" s="373"/>
      <x:c r="S248" s="373"/>
      <x:c r="T248" s="373"/>
      <x:c r="U248" s="373"/>
      <x:c r="V248" s="373"/>
      <x:c r="W248" s="373"/>
      <x:c r="X248" s="373"/>
      <x:c r="Y248" s="373"/>
      <x:c r="Z248" s="373"/>
    </x:row>
    <x:row r="249">
      <x:c r="A249" s="373"/>
      <x:c r="B249" s="373"/>
      <x:c r="C249" s="373"/>
      <x:c r="D249" s="373"/>
      <x:c r="E249" s="373"/>
      <x:c r="F249" s="373"/>
      <x:c r="G249" s="373"/>
      <x:c r="H249" s="373"/>
      <x:c r="I249" s="373"/>
      <x:c r="J249" s="373"/>
      <x:c r="K249" s="373"/>
      <x:c r="L249" s="373"/>
      <x:c r="M249" s="373"/>
      <x:c r="N249" s="373"/>
      <x:c r="O249" s="373"/>
      <x:c r="P249" s="373"/>
      <x:c r="Q249" s="373"/>
      <x:c r="R249" s="373"/>
      <x:c r="S249" s="373"/>
      <x:c r="T249" s="373"/>
      <x:c r="U249" s="373"/>
      <x:c r="V249" s="373"/>
      <x:c r="W249" s="373"/>
      <x:c r="X249" s="373"/>
      <x:c r="Y249" s="373"/>
      <x:c r="Z249" s="373"/>
    </x:row>
    <x:row r="250">
      <x:c r="A250" s="373"/>
      <x:c r="B250" s="373"/>
      <x:c r="C250" s="373"/>
      <x:c r="D250" s="373"/>
      <x:c r="E250" s="373"/>
      <x:c r="F250" s="373"/>
      <x:c r="G250" s="373"/>
      <x:c r="H250" s="373"/>
      <x:c r="I250" s="373"/>
      <x:c r="J250" s="373"/>
      <x:c r="K250" s="373"/>
      <x:c r="L250" s="373"/>
      <x:c r="M250" s="373"/>
      <x:c r="N250" s="373"/>
      <x:c r="O250" s="373"/>
      <x:c r="P250" s="373"/>
      <x:c r="Q250" s="373"/>
      <x:c r="R250" s="373"/>
      <x:c r="S250" s="373"/>
      <x:c r="T250" s="373"/>
      <x:c r="U250" s="373"/>
      <x:c r="V250" s="373"/>
      <x:c r="W250" s="373"/>
      <x:c r="X250" s="373"/>
      <x:c r="Y250" s="373"/>
      <x:c r="Z250" s="373"/>
    </x:row>
    <x:row r="251">
      <x:c r="A251" s="373"/>
      <x:c r="B251" s="373"/>
      <x:c r="C251" s="373"/>
      <x:c r="D251" s="373"/>
      <x:c r="E251" s="373"/>
      <x:c r="F251" s="373"/>
      <x:c r="G251" s="373"/>
      <x:c r="H251" s="373"/>
      <x:c r="I251" s="373"/>
      <x:c r="J251" s="373"/>
      <x:c r="K251" s="373"/>
      <x:c r="L251" s="373"/>
      <x:c r="M251" s="373"/>
      <x:c r="N251" s="373"/>
      <x:c r="O251" s="373"/>
      <x:c r="P251" s="373"/>
      <x:c r="Q251" s="373"/>
      <x:c r="R251" s="373"/>
      <x:c r="S251" s="373"/>
      <x:c r="T251" s="373"/>
      <x:c r="U251" s="373"/>
      <x:c r="V251" s="373"/>
      <x:c r="W251" s="373"/>
      <x:c r="X251" s="373"/>
      <x:c r="Y251" s="373"/>
      <x:c r="Z251" s="373"/>
    </x:row>
    <x:row r="252">
      <x:c r="A252" s="373"/>
      <x:c r="B252" s="373"/>
      <x:c r="C252" s="373"/>
      <x:c r="D252" s="373"/>
      <x:c r="E252" s="373"/>
      <x:c r="F252" s="373"/>
      <x:c r="G252" s="373"/>
      <x:c r="H252" s="373"/>
      <x:c r="I252" s="373"/>
      <x:c r="J252" s="373"/>
      <x:c r="K252" s="373"/>
      <x:c r="L252" s="373"/>
      <x:c r="M252" s="373"/>
      <x:c r="N252" s="373"/>
      <x:c r="O252" s="373"/>
      <x:c r="P252" s="373"/>
      <x:c r="Q252" s="373"/>
      <x:c r="R252" s="373"/>
      <x:c r="S252" s="373"/>
      <x:c r="T252" s="373"/>
      <x:c r="U252" s="373"/>
      <x:c r="V252" s="373"/>
      <x:c r="W252" s="373"/>
      <x:c r="X252" s="373"/>
      <x:c r="Y252" s="373"/>
      <x:c r="Z252" s="373"/>
    </x:row>
    <x:row r="253">
      <x:c r="A253" s="373"/>
      <x:c r="B253" s="373"/>
      <x:c r="C253" s="373"/>
      <x:c r="D253" s="373"/>
      <x:c r="E253" s="373"/>
      <x:c r="F253" s="373"/>
      <x:c r="G253" s="373"/>
      <x:c r="H253" s="373"/>
      <x:c r="I253" s="373"/>
      <x:c r="J253" s="373"/>
      <x:c r="K253" s="373"/>
      <x:c r="L253" s="373"/>
      <x:c r="M253" s="373"/>
      <x:c r="N253" s="373"/>
      <x:c r="O253" s="373"/>
      <x:c r="P253" s="373"/>
      <x:c r="Q253" s="373"/>
      <x:c r="R253" s="373"/>
      <x:c r="S253" s="373"/>
      <x:c r="T253" s="373"/>
      <x:c r="U253" s="373"/>
      <x:c r="V253" s="373"/>
      <x:c r="W253" s="373"/>
      <x:c r="X253" s="373"/>
      <x:c r="Y253" s="373"/>
      <x:c r="Z253" s="373"/>
    </x:row>
    <x:row r="254">
      <x:c r="A254" s="373"/>
      <x:c r="B254" s="373"/>
      <x:c r="C254" s="373"/>
      <x:c r="D254" s="373"/>
      <x:c r="E254" s="373"/>
      <x:c r="F254" s="373"/>
      <x:c r="G254" s="373"/>
      <x:c r="H254" s="373"/>
      <x:c r="I254" s="373"/>
      <x:c r="J254" s="373"/>
      <x:c r="K254" s="373"/>
      <x:c r="L254" s="373"/>
      <x:c r="M254" s="373"/>
      <x:c r="N254" s="373"/>
      <x:c r="O254" s="373"/>
      <x:c r="P254" s="373"/>
      <x:c r="Q254" s="373"/>
      <x:c r="R254" s="373"/>
      <x:c r="S254" s="373"/>
      <x:c r="T254" s="373"/>
      <x:c r="U254" s="373"/>
      <x:c r="V254" s="373"/>
      <x:c r="W254" s="373"/>
      <x:c r="X254" s="373"/>
      <x:c r="Y254" s="373"/>
      <x:c r="Z254" s="373"/>
    </x:row>
    <x:row r="255">
      <x:c r="A255" s="373"/>
      <x:c r="B255" s="373"/>
      <x:c r="C255" s="373"/>
      <x:c r="D255" s="373"/>
      <x:c r="E255" s="373"/>
      <x:c r="F255" s="373"/>
      <x:c r="G255" s="373"/>
      <x:c r="H255" s="373"/>
      <x:c r="I255" s="373"/>
      <x:c r="J255" s="373"/>
      <x:c r="K255" s="373"/>
      <x:c r="L255" s="373"/>
      <x:c r="M255" s="373"/>
      <x:c r="N255" s="373"/>
      <x:c r="O255" s="373"/>
      <x:c r="P255" s="373"/>
      <x:c r="Q255" s="373"/>
      <x:c r="R255" s="373"/>
      <x:c r="S255" s="373"/>
      <x:c r="T255" s="373"/>
      <x:c r="U255" s="373"/>
      <x:c r="V255" s="373"/>
      <x:c r="W255" s="373"/>
      <x:c r="X255" s="373"/>
      <x:c r="Y255" s="373"/>
      <x:c r="Z255" s="373"/>
    </x:row>
    <x:row r="256">
      <x:c r="A256" s="373"/>
      <x:c r="B256" s="373"/>
      <x:c r="C256" s="373"/>
      <x:c r="D256" s="373"/>
      <x:c r="E256" s="373"/>
      <x:c r="F256" s="373"/>
      <x:c r="G256" s="373"/>
      <x:c r="H256" s="373"/>
      <x:c r="I256" s="373"/>
      <x:c r="J256" s="373"/>
      <x:c r="K256" s="373"/>
      <x:c r="L256" s="373"/>
      <x:c r="M256" s="373"/>
      <x:c r="N256" s="373"/>
      <x:c r="O256" s="373"/>
      <x:c r="P256" s="373"/>
      <x:c r="Q256" s="373"/>
      <x:c r="R256" s="373"/>
      <x:c r="S256" s="373"/>
      <x:c r="T256" s="373"/>
      <x:c r="U256" s="373"/>
      <x:c r="V256" s="373"/>
      <x:c r="W256" s="373"/>
      <x:c r="X256" s="373"/>
      <x:c r="Y256" s="373"/>
      <x:c r="Z256" s="373"/>
    </x:row>
    <x:row r="257">
      <x:c r="A257" s="373"/>
      <x:c r="B257" s="373"/>
      <x:c r="C257" s="373"/>
      <x:c r="D257" s="373"/>
      <x:c r="E257" s="373"/>
      <x:c r="F257" s="373"/>
      <x:c r="G257" s="373"/>
      <x:c r="H257" s="373"/>
      <x:c r="I257" s="373"/>
      <x:c r="J257" s="373"/>
      <x:c r="K257" s="373"/>
      <x:c r="L257" s="373"/>
      <x:c r="M257" s="373"/>
      <x:c r="N257" s="373"/>
      <x:c r="O257" s="373"/>
      <x:c r="P257" s="373"/>
      <x:c r="Q257" s="373"/>
      <x:c r="R257" s="373"/>
      <x:c r="S257" s="373"/>
      <x:c r="T257" s="373"/>
      <x:c r="U257" s="373"/>
      <x:c r="V257" s="373"/>
      <x:c r="W257" s="373"/>
      <x:c r="X257" s="373"/>
      <x:c r="Y257" s="373"/>
      <x:c r="Z257" s="373"/>
    </x:row>
    <x:row r="258">
      <x:c r="A258" s="373"/>
      <x:c r="B258" s="373"/>
      <x:c r="C258" s="373"/>
      <x:c r="D258" s="373"/>
      <x:c r="E258" s="373"/>
      <x:c r="F258" s="373"/>
      <x:c r="G258" s="373"/>
      <x:c r="H258" s="373"/>
      <x:c r="I258" s="373"/>
      <x:c r="J258" s="373"/>
      <x:c r="K258" s="373"/>
      <x:c r="L258" s="373"/>
      <x:c r="M258" s="373"/>
      <x:c r="N258" s="373"/>
      <x:c r="O258" s="373"/>
      <x:c r="P258" s="373"/>
      <x:c r="Q258" s="373"/>
      <x:c r="R258" s="373"/>
      <x:c r="S258" s="373"/>
      <x:c r="T258" s="373"/>
      <x:c r="U258" s="373"/>
      <x:c r="V258" s="373"/>
      <x:c r="W258" s="373"/>
      <x:c r="X258" s="373"/>
      <x:c r="Y258" s="373"/>
      <x:c r="Z258" s="373"/>
    </x:row>
    <x:row r="259">
      <x:c r="A259" s="373"/>
      <x:c r="B259" s="373"/>
      <x:c r="C259" s="373"/>
      <x:c r="D259" s="373"/>
      <x:c r="E259" s="373"/>
      <x:c r="F259" s="373"/>
      <x:c r="G259" s="373"/>
      <x:c r="H259" s="373"/>
      <x:c r="I259" s="373"/>
      <x:c r="J259" s="373"/>
      <x:c r="K259" s="373"/>
      <x:c r="L259" s="373"/>
      <x:c r="M259" s="373"/>
      <x:c r="N259" s="373"/>
      <x:c r="O259" s="373"/>
      <x:c r="P259" s="373"/>
      <x:c r="Q259" s="373"/>
      <x:c r="R259" s="373"/>
      <x:c r="S259" s="373"/>
      <x:c r="T259" s="373"/>
      <x:c r="U259" s="373"/>
      <x:c r="V259" s="373"/>
      <x:c r="W259" s="373"/>
      <x:c r="X259" s="373"/>
      <x:c r="Y259" s="373"/>
      <x:c r="Z259" s="373"/>
    </x:row>
    <x:row r="260">
      <x:c r="A260" s="373"/>
      <x:c r="B260" s="373"/>
      <x:c r="C260" s="373"/>
      <x:c r="D260" s="373"/>
      <x:c r="E260" s="373"/>
      <x:c r="F260" s="373"/>
      <x:c r="G260" s="373"/>
      <x:c r="H260" s="373"/>
      <x:c r="I260" s="373"/>
      <x:c r="J260" s="373"/>
      <x:c r="K260" s="373"/>
      <x:c r="L260" s="373"/>
      <x:c r="M260" s="373"/>
      <x:c r="N260" s="373"/>
      <x:c r="O260" s="373"/>
      <x:c r="P260" s="373"/>
      <x:c r="Q260" s="373"/>
      <x:c r="R260" s="373"/>
      <x:c r="S260" s="373"/>
      <x:c r="T260" s="373"/>
      <x:c r="U260" s="373"/>
      <x:c r="V260" s="373"/>
      <x:c r="W260" s="373"/>
      <x:c r="X260" s="373"/>
      <x:c r="Y260" s="373"/>
      <x:c r="Z260" s="373"/>
    </x:row>
    <x:row r="261">
      <x:c r="A261" s="373"/>
      <x:c r="B261" s="373"/>
      <x:c r="C261" s="373"/>
      <x:c r="D261" s="373"/>
      <x:c r="E261" s="373"/>
      <x:c r="F261" s="373"/>
      <x:c r="G261" s="373"/>
      <x:c r="H261" s="373"/>
      <x:c r="I261" s="373"/>
      <x:c r="J261" s="373"/>
      <x:c r="K261" s="373"/>
      <x:c r="L261" s="373"/>
      <x:c r="M261" s="373"/>
      <x:c r="N261" s="373"/>
      <x:c r="O261" s="373"/>
      <x:c r="P261" s="373"/>
      <x:c r="Q261" s="373"/>
      <x:c r="R261" s="373"/>
      <x:c r="S261" s="373"/>
      <x:c r="T261" s="373"/>
      <x:c r="U261" s="373"/>
      <x:c r="V261" s="373"/>
      <x:c r="W261" s="373"/>
      <x:c r="X261" s="373"/>
      <x:c r="Y261" s="373"/>
      <x:c r="Z261" s="373"/>
    </x:row>
    <x:row r="262">
      <x:c r="A262" s="373"/>
      <x:c r="B262" s="373"/>
      <x:c r="C262" s="373"/>
      <x:c r="D262" s="373"/>
      <x:c r="E262" s="373"/>
      <x:c r="F262" s="373"/>
      <x:c r="G262" s="373"/>
      <x:c r="H262" s="373"/>
      <x:c r="I262" s="373"/>
      <x:c r="J262" s="373"/>
      <x:c r="K262" s="373"/>
      <x:c r="L262" s="373"/>
      <x:c r="M262" s="373"/>
      <x:c r="N262" s="373"/>
      <x:c r="O262" s="373"/>
      <x:c r="P262" s="373"/>
      <x:c r="Q262" s="373"/>
      <x:c r="R262" s="373"/>
      <x:c r="S262" s="373"/>
      <x:c r="T262" s="373"/>
      <x:c r="U262" s="373"/>
      <x:c r="V262" s="373"/>
      <x:c r="W262" s="373"/>
      <x:c r="X262" s="373"/>
      <x:c r="Y262" s="373"/>
      <x:c r="Z262" s="373"/>
    </x:row>
    <x:row r="263">
      <x:c r="A263" s="373"/>
      <x:c r="B263" s="373"/>
      <x:c r="C263" s="373"/>
      <x:c r="D263" s="373"/>
      <x:c r="E263" s="373"/>
      <x:c r="F263" s="373"/>
      <x:c r="G263" s="373"/>
      <x:c r="H263" s="373"/>
      <x:c r="I263" s="373"/>
      <x:c r="J263" s="373"/>
      <x:c r="K263" s="373"/>
      <x:c r="L263" s="373"/>
      <x:c r="M263" s="373"/>
      <x:c r="N263" s="373"/>
      <x:c r="O263" s="373"/>
      <x:c r="P263" s="373"/>
      <x:c r="Q263" s="373"/>
      <x:c r="R263" s="373"/>
      <x:c r="S263" s="373"/>
      <x:c r="T263" s="373"/>
      <x:c r="U263" s="373"/>
      <x:c r="V263" s="373"/>
      <x:c r="W263" s="373"/>
      <x:c r="X263" s="373"/>
      <x:c r="Y263" s="373"/>
      <x:c r="Z263" s="373"/>
    </x:row>
    <x:row r="264">
      <x:c r="A264" s="373"/>
      <x:c r="B264" s="373"/>
      <x:c r="C264" s="373"/>
      <x:c r="D264" s="373"/>
      <x:c r="E264" s="373"/>
      <x:c r="F264" s="373"/>
      <x:c r="G264" s="373"/>
      <x:c r="H264" s="373"/>
      <x:c r="I264" s="373"/>
      <x:c r="J264" s="373"/>
      <x:c r="K264" s="373"/>
      <x:c r="L264" s="373"/>
      <x:c r="M264" s="373"/>
      <x:c r="N264" s="373"/>
      <x:c r="O264" s="373"/>
      <x:c r="P264" s="373"/>
      <x:c r="Q264" s="373"/>
      <x:c r="R264" s="373"/>
      <x:c r="S264" s="373"/>
      <x:c r="T264" s="373"/>
      <x:c r="U264" s="373"/>
      <x:c r="V264" s="373"/>
      <x:c r="W264" s="373"/>
      <x:c r="X264" s="373"/>
      <x:c r="Y264" s="373"/>
      <x:c r="Z264" s="373"/>
    </x:row>
    <x:row r="265">
      <x:c r="A265" s="373"/>
      <x:c r="B265" s="373"/>
      <x:c r="C265" s="373"/>
      <x:c r="D265" s="373"/>
      <x:c r="E265" s="373"/>
      <x:c r="F265" s="373"/>
      <x:c r="G265" s="373"/>
      <x:c r="H265" s="373"/>
      <x:c r="I265" s="373"/>
      <x:c r="J265" s="373"/>
      <x:c r="K265" s="373"/>
      <x:c r="L265" s="373"/>
      <x:c r="M265" s="373"/>
      <x:c r="N265" s="373"/>
      <x:c r="O265" s="373"/>
      <x:c r="P265" s="373"/>
      <x:c r="Q265" s="373"/>
      <x:c r="R265" s="373"/>
      <x:c r="S265" s="373"/>
      <x:c r="T265" s="373"/>
      <x:c r="U265" s="373"/>
      <x:c r="V265" s="373"/>
      <x:c r="W265" s="373"/>
      <x:c r="X265" s="373"/>
      <x:c r="Y265" s="373"/>
      <x:c r="Z265" s="373"/>
    </x:row>
    <x:row r="266">
      <x:c r="A266" s="373"/>
      <x:c r="B266" s="373"/>
      <x:c r="C266" s="373"/>
      <x:c r="D266" s="373"/>
      <x:c r="E266" s="373"/>
      <x:c r="F266" s="373"/>
      <x:c r="G266" s="373"/>
      <x:c r="H266" s="373"/>
      <x:c r="I266" s="373"/>
      <x:c r="J266" s="373"/>
      <x:c r="K266" s="373"/>
      <x:c r="L266" s="373"/>
      <x:c r="M266" s="373"/>
      <x:c r="N266" s="373"/>
      <x:c r="O266" s="373"/>
      <x:c r="P266" s="373"/>
      <x:c r="Q266" s="373"/>
      <x:c r="R266" s="373"/>
      <x:c r="S266" s="373"/>
      <x:c r="T266" s="373"/>
      <x:c r="U266" s="373"/>
      <x:c r="V266" s="373"/>
      <x:c r="W266" s="373"/>
      <x:c r="X266" s="373"/>
      <x:c r="Y266" s="373"/>
      <x:c r="Z266" s="373"/>
    </x:row>
    <x:row r="267">
      <x:c r="A267" s="373"/>
      <x:c r="B267" s="373"/>
      <x:c r="C267" s="373"/>
      <x:c r="D267" s="373"/>
      <x:c r="E267" s="373"/>
      <x:c r="F267" s="373"/>
      <x:c r="G267" s="373"/>
      <x:c r="H267" s="373"/>
      <x:c r="I267" s="373"/>
      <x:c r="J267" s="373"/>
      <x:c r="K267" s="373"/>
      <x:c r="L267" s="373"/>
      <x:c r="M267" s="373"/>
      <x:c r="N267" s="373"/>
      <x:c r="O267" s="373"/>
      <x:c r="P267" s="373"/>
      <x:c r="Q267" s="373"/>
      <x:c r="R267" s="373"/>
      <x:c r="S267" s="373"/>
      <x:c r="T267" s="373"/>
      <x:c r="U267" s="373"/>
      <x:c r="V267" s="373"/>
      <x:c r="W267" s="373"/>
      <x:c r="X267" s="373"/>
      <x:c r="Y267" s="373"/>
      <x:c r="Z267" s="373"/>
    </x:row>
    <x:row r="268">
      <x:c r="A268" s="373"/>
      <x:c r="B268" s="373"/>
      <x:c r="C268" s="373"/>
      <x:c r="D268" s="373"/>
      <x:c r="E268" s="373"/>
      <x:c r="F268" s="373"/>
      <x:c r="G268" s="373"/>
      <x:c r="H268" s="373"/>
      <x:c r="I268" s="373"/>
      <x:c r="J268" s="373"/>
      <x:c r="K268" s="373"/>
      <x:c r="L268" s="373"/>
      <x:c r="M268" s="373"/>
      <x:c r="N268" s="373"/>
      <x:c r="O268" s="373"/>
      <x:c r="P268" s="373"/>
      <x:c r="Q268" s="373"/>
      <x:c r="R268" s="373"/>
      <x:c r="S268" s="373"/>
      <x:c r="T268" s="373"/>
      <x:c r="U268" s="373"/>
      <x:c r="V268" s="373"/>
      <x:c r="W268" s="373"/>
      <x:c r="X268" s="373"/>
      <x:c r="Y268" s="373"/>
      <x:c r="Z268" s="373"/>
    </x:row>
    <x:row r="269">
      <x:c r="A269" s="373"/>
      <x:c r="B269" s="373"/>
      <x:c r="C269" s="373"/>
      <x:c r="D269" s="373"/>
      <x:c r="E269" s="373"/>
      <x:c r="F269" s="373"/>
      <x:c r="G269" s="373"/>
      <x:c r="H269" s="373"/>
      <x:c r="I269" s="373"/>
      <x:c r="J269" s="373"/>
      <x:c r="K269" s="373"/>
      <x:c r="L269" s="373"/>
      <x:c r="M269" s="373"/>
      <x:c r="N269" s="373"/>
      <x:c r="O269" s="373"/>
      <x:c r="P269" s="373"/>
      <x:c r="Q269" s="373"/>
      <x:c r="R269" s="373"/>
      <x:c r="S269" s="373"/>
      <x:c r="T269" s="373"/>
      <x:c r="U269" s="373"/>
      <x:c r="V269" s="373"/>
      <x:c r="W269" s="373"/>
      <x:c r="X269" s="373"/>
      <x:c r="Y269" s="373"/>
      <x:c r="Z269" s="373"/>
    </x:row>
    <x:row r="270">
      <x:c r="A270" s="373"/>
      <x:c r="B270" s="373"/>
      <x:c r="C270" s="373"/>
      <x:c r="D270" s="373"/>
      <x:c r="E270" s="373"/>
      <x:c r="F270" s="373"/>
      <x:c r="G270" s="373"/>
      <x:c r="H270" s="373"/>
      <x:c r="I270" s="373"/>
      <x:c r="J270" s="373"/>
      <x:c r="K270" s="373"/>
      <x:c r="L270" s="373"/>
      <x:c r="M270" s="373"/>
      <x:c r="N270" s="373"/>
      <x:c r="O270" s="373"/>
      <x:c r="P270" s="373"/>
      <x:c r="Q270" s="373"/>
      <x:c r="R270" s="373"/>
      <x:c r="S270" s="373"/>
      <x:c r="T270" s="373"/>
      <x:c r="U270" s="373"/>
      <x:c r="V270" s="373"/>
      <x:c r="W270" s="373"/>
      <x:c r="X270" s="373"/>
      <x:c r="Y270" s="373"/>
      <x:c r="Z270" s="373"/>
    </x:row>
    <x:row r="271">
      <x:c r="A271" s="373"/>
      <x:c r="B271" s="373"/>
      <x:c r="C271" s="373"/>
      <x:c r="D271" s="373"/>
      <x:c r="E271" s="373"/>
      <x:c r="F271" s="373"/>
      <x:c r="G271" s="373"/>
      <x:c r="H271" s="373"/>
      <x:c r="I271" s="373"/>
      <x:c r="J271" s="373"/>
      <x:c r="K271" s="373"/>
      <x:c r="L271" s="373"/>
      <x:c r="M271" s="373"/>
      <x:c r="N271" s="373"/>
      <x:c r="O271" s="373"/>
      <x:c r="P271" s="373"/>
      <x:c r="Q271" s="373"/>
      <x:c r="R271" s="373"/>
      <x:c r="S271" s="373"/>
      <x:c r="T271" s="373"/>
      <x:c r="U271" s="373"/>
      <x:c r="V271" s="373"/>
      <x:c r="W271" s="373"/>
      <x:c r="X271" s="373"/>
      <x:c r="Y271" s="373"/>
      <x:c r="Z271" s="373"/>
    </x:row>
    <x:row r="272">
      <x:c r="A272" s="373"/>
      <x:c r="B272" s="373"/>
      <x:c r="C272" s="373"/>
      <x:c r="D272" s="373"/>
      <x:c r="E272" s="373"/>
      <x:c r="F272" s="373"/>
      <x:c r="G272" s="373"/>
      <x:c r="H272" s="373"/>
      <x:c r="I272" s="373"/>
      <x:c r="J272" s="373"/>
      <x:c r="K272" s="373"/>
      <x:c r="L272" s="373"/>
      <x:c r="M272" s="373"/>
      <x:c r="N272" s="373"/>
      <x:c r="O272" s="373"/>
      <x:c r="P272" s="373"/>
      <x:c r="Q272" s="373"/>
      <x:c r="R272" s="373"/>
      <x:c r="S272" s="373"/>
      <x:c r="T272" s="373"/>
      <x:c r="U272" s="373"/>
      <x:c r="V272" s="373"/>
      <x:c r="W272" s="373"/>
      <x:c r="X272" s="373"/>
      <x:c r="Y272" s="373"/>
      <x:c r="Z272" s="373"/>
    </x:row>
    <x:row r="273">
      <x:c r="A273" s="373"/>
      <x:c r="B273" s="373"/>
      <x:c r="C273" s="373"/>
      <x:c r="D273" s="373"/>
      <x:c r="E273" s="373"/>
      <x:c r="F273" s="373"/>
      <x:c r="G273" s="373"/>
      <x:c r="H273" s="373"/>
      <x:c r="I273" s="373"/>
      <x:c r="J273" s="373"/>
      <x:c r="K273" s="373"/>
      <x:c r="L273" s="373"/>
      <x:c r="M273" s="373"/>
      <x:c r="N273" s="373"/>
      <x:c r="O273" s="373"/>
      <x:c r="P273" s="373"/>
      <x:c r="Q273" s="373"/>
      <x:c r="R273" s="373"/>
      <x:c r="S273" s="373"/>
      <x:c r="T273" s="373"/>
      <x:c r="U273" s="373"/>
      <x:c r="V273" s="373"/>
      <x:c r="W273" s="373"/>
      <x:c r="X273" s="373"/>
      <x:c r="Y273" s="373"/>
      <x:c r="Z273" s="373"/>
    </x:row>
    <x:row r="274">
      <x:c r="A274" s="373"/>
      <x:c r="B274" s="373"/>
      <x:c r="C274" s="373"/>
      <x:c r="D274" s="373"/>
      <x:c r="E274" s="373"/>
      <x:c r="F274" s="373"/>
      <x:c r="G274" s="373"/>
      <x:c r="H274" s="373"/>
      <x:c r="I274" s="373"/>
      <x:c r="J274" s="373"/>
      <x:c r="K274" s="373"/>
      <x:c r="L274" s="373"/>
      <x:c r="M274" s="373"/>
      <x:c r="N274" s="373"/>
      <x:c r="O274" s="373"/>
      <x:c r="P274" s="373"/>
      <x:c r="Q274" s="373"/>
      <x:c r="R274" s="373"/>
      <x:c r="S274" s="373"/>
      <x:c r="T274" s="373"/>
      <x:c r="U274" s="373"/>
      <x:c r="V274" s="373"/>
      <x:c r="W274" s="373"/>
      <x:c r="X274" s="373"/>
      <x:c r="Y274" s="373"/>
      <x:c r="Z274" s="373"/>
    </x:row>
    <x:row r="275">
      <x:c r="A275" s="373"/>
      <x:c r="B275" s="373"/>
      <x:c r="C275" s="373"/>
      <x:c r="D275" s="373"/>
      <x:c r="E275" s="373"/>
      <x:c r="F275" s="373"/>
      <x:c r="G275" s="373"/>
      <x:c r="H275" s="373"/>
      <x:c r="I275" s="373"/>
      <x:c r="J275" s="373"/>
      <x:c r="K275" s="373"/>
      <x:c r="L275" s="373"/>
      <x:c r="M275" s="373"/>
      <x:c r="N275" s="373"/>
      <x:c r="O275" s="373"/>
      <x:c r="P275" s="373"/>
      <x:c r="Q275" s="373"/>
      <x:c r="R275" s="373"/>
      <x:c r="S275" s="373"/>
      <x:c r="T275" s="373"/>
      <x:c r="U275" s="373"/>
      <x:c r="V275" s="373"/>
      <x:c r="W275" s="373"/>
      <x:c r="X275" s="373"/>
      <x:c r="Y275" s="373"/>
      <x:c r="Z275" s="373"/>
    </x:row>
    <x:row r="276">
      <x:c r="A276" s="373"/>
      <x:c r="B276" s="373"/>
      <x:c r="C276" s="373"/>
      <x:c r="D276" s="373"/>
      <x:c r="E276" s="373"/>
      <x:c r="F276" s="373"/>
      <x:c r="G276" s="373"/>
      <x:c r="H276" s="373"/>
      <x:c r="I276" s="373"/>
      <x:c r="J276" s="373"/>
      <x:c r="K276" s="373"/>
      <x:c r="L276" s="373"/>
      <x:c r="M276" s="373"/>
      <x:c r="N276" s="373"/>
      <x:c r="O276" s="373"/>
      <x:c r="P276" s="373"/>
      <x:c r="Q276" s="373"/>
      <x:c r="R276" s="373"/>
      <x:c r="S276" s="373"/>
      <x:c r="T276" s="373"/>
      <x:c r="U276" s="373"/>
      <x:c r="V276" s="373"/>
      <x:c r="W276" s="373"/>
      <x:c r="X276" s="373"/>
      <x:c r="Y276" s="373"/>
      <x:c r="Z276" s="373"/>
    </x:row>
    <x:row r="277">
      <x:c r="A277" s="373"/>
      <x:c r="B277" s="373"/>
      <x:c r="C277" s="373"/>
      <x:c r="D277" s="373"/>
      <x:c r="E277" s="373"/>
      <x:c r="F277" s="373"/>
      <x:c r="G277" s="373"/>
      <x:c r="H277" s="373"/>
      <x:c r="I277" s="373"/>
      <x:c r="J277" s="373"/>
      <x:c r="K277" s="373"/>
      <x:c r="L277" s="373"/>
      <x:c r="M277" s="373"/>
      <x:c r="N277" s="373"/>
      <x:c r="O277" s="373"/>
      <x:c r="P277" s="373"/>
      <x:c r="Q277" s="373"/>
      <x:c r="R277" s="373"/>
      <x:c r="S277" s="373"/>
      <x:c r="T277" s="373"/>
      <x:c r="U277" s="373"/>
      <x:c r="V277" s="373"/>
      <x:c r="W277" s="373"/>
      <x:c r="X277" s="373"/>
      <x:c r="Y277" s="373"/>
      <x:c r="Z277" s="373"/>
    </x:row>
    <x:row r="278">
      <x:c r="A278" s="373"/>
      <x:c r="B278" s="373"/>
      <x:c r="C278" s="373"/>
      <x:c r="D278" s="373"/>
      <x:c r="E278" s="373"/>
      <x:c r="F278" s="373"/>
      <x:c r="G278" s="373"/>
      <x:c r="H278" s="373"/>
      <x:c r="I278" s="373"/>
      <x:c r="J278" s="373"/>
      <x:c r="K278" s="373"/>
      <x:c r="L278" s="373"/>
      <x:c r="M278" s="373"/>
      <x:c r="N278" s="373"/>
      <x:c r="O278" s="373"/>
      <x:c r="P278" s="373"/>
      <x:c r="Q278" s="373"/>
      <x:c r="R278" s="373"/>
      <x:c r="S278" s="373"/>
      <x:c r="T278" s="373"/>
      <x:c r="U278" s="373"/>
      <x:c r="V278" s="373"/>
      <x:c r="W278" s="373"/>
      <x:c r="X278" s="373"/>
      <x:c r="Y278" s="373"/>
      <x:c r="Z278" s="373"/>
    </x:row>
    <x:row r="279">
      <x:c r="A279" s="373"/>
      <x:c r="B279" s="373"/>
      <x:c r="C279" s="373"/>
      <x:c r="D279" s="373"/>
      <x:c r="E279" s="373"/>
      <x:c r="F279" s="373"/>
      <x:c r="G279" s="373"/>
      <x:c r="H279" s="373"/>
      <x:c r="I279" s="373"/>
      <x:c r="J279" s="373"/>
      <x:c r="K279" s="373"/>
      <x:c r="L279" s="373"/>
      <x:c r="M279" s="373"/>
      <x:c r="N279" s="373"/>
      <x:c r="O279" s="373"/>
      <x:c r="P279" s="373"/>
      <x:c r="Q279" s="373"/>
      <x:c r="R279" s="373"/>
      <x:c r="S279" s="373"/>
      <x:c r="T279" s="373"/>
      <x:c r="U279" s="373"/>
      <x:c r="V279" s="373"/>
      <x:c r="W279" s="373"/>
      <x:c r="X279" s="373"/>
      <x:c r="Y279" s="373"/>
      <x:c r="Z279" s="373"/>
    </x:row>
    <x:row r="280">
      <x:c r="A280" s="373"/>
      <x:c r="B280" s="373"/>
      <x:c r="C280" s="373"/>
      <x:c r="D280" s="373"/>
      <x:c r="E280" s="373"/>
      <x:c r="F280" s="373"/>
      <x:c r="G280" s="373"/>
      <x:c r="H280" s="373"/>
      <x:c r="I280" s="373"/>
      <x:c r="J280" s="373"/>
      <x:c r="K280" s="373"/>
      <x:c r="L280" s="373"/>
      <x:c r="M280" s="373"/>
      <x:c r="N280" s="373"/>
      <x:c r="O280" s="373"/>
      <x:c r="P280" s="373"/>
      <x:c r="Q280" s="373"/>
      <x:c r="R280" s="373"/>
      <x:c r="S280" s="373"/>
      <x:c r="T280" s="373"/>
      <x:c r="U280" s="373"/>
      <x:c r="V280" s="373"/>
      <x:c r="W280" s="373"/>
      <x:c r="X280" s="373"/>
      <x:c r="Y280" s="373"/>
      <x:c r="Z280" s="373"/>
    </x:row>
    <x:row r="281">
      <x:c r="A281" s="373"/>
      <x:c r="B281" s="373"/>
      <x:c r="C281" s="373"/>
      <x:c r="D281" s="373"/>
      <x:c r="E281" s="373"/>
      <x:c r="F281" s="373"/>
      <x:c r="G281" s="373"/>
      <x:c r="H281" s="373"/>
      <x:c r="I281" s="373"/>
      <x:c r="J281" s="373"/>
      <x:c r="K281" s="373"/>
      <x:c r="L281" s="373"/>
      <x:c r="M281" s="373"/>
      <x:c r="N281" s="373"/>
      <x:c r="O281" s="373"/>
      <x:c r="P281" s="373"/>
      <x:c r="Q281" s="373"/>
      <x:c r="R281" s="373"/>
      <x:c r="S281" s="373"/>
      <x:c r="T281" s="373"/>
      <x:c r="U281" s="373"/>
      <x:c r="V281" s="373"/>
      <x:c r="W281" s="373"/>
      <x:c r="X281" s="373"/>
      <x:c r="Y281" s="373"/>
      <x:c r="Z281" s="373"/>
    </x:row>
    <x:row r="282">
      <x:c r="A282" s="373"/>
      <x:c r="B282" s="373"/>
      <x:c r="C282" s="373"/>
      <x:c r="D282" s="373"/>
      <x:c r="E282" s="373"/>
      <x:c r="F282" s="373"/>
      <x:c r="G282" s="373"/>
      <x:c r="H282" s="373"/>
      <x:c r="I282" s="373"/>
      <x:c r="J282" s="373"/>
      <x:c r="K282" s="373"/>
      <x:c r="L282" s="373"/>
      <x:c r="M282" s="373"/>
      <x:c r="N282" s="373"/>
      <x:c r="O282" s="373"/>
      <x:c r="P282" s="373"/>
      <x:c r="Q282" s="373"/>
      <x:c r="R282" s="373"/>
      <x:c r="S282" s="373"/>
      <x:c r="T282" s="373"/>
      <x:c r="U282" s="373"/>
      <x:c r="V282" s="373"/>
      <x:c r="W282" s="373"/>
      <x:c r="X282" s="373"/>
      <x:c r="Y282" s="373"/>
      <x:c r="Z282" s="373"/>
    </x:row>
    <x:row r="283">
      <x:c r="A283" s="373"/>
      <x:c r="B283" s="373"/>
      <x:c r="C283" s="373"/>
      <x:c r="D283" s="373"/>
      <x:c r="E283" s="373"/>
      <x:c r="F283" s="373"/>
      <x:c r="G283" s="373"/>
      <x:c r="H283" s="373"/>
      <x:c r="I283" s="373"/>
      <x:c r="J283" s="373"/>
      <x:c r="K283" s="373"/>
      <x:c r="L283" s="373"/>
      <x:c r="M283" s="373"/>
      <x:c r="N283" s="373"/>
      <x:c r="O283" s="373"/>
      <x:c r="P283" s="373"/>
      <x:c r="Q283" s="373"/>
      <x:c r="R283" s="373"/>
      <x:c r="S283" s="373"/>
      <x:c r="T283" s="373"/>
      <x:c r="U283" s="373"/>
      <x:c r="V283" s="373"/>
      <x:c r="W283" s="373"/>
      <x:c r="X283" s="373"/>
      <x:c r="Y283" s="373"/>
      <x:c r="Z283" s="373"/>
    </x:row>
    <x:row r="284">
      <x:c r="A284" s="373"/>
      <x:c r="B284" s="373"/>
      <x:c r="C284" s="373"/>
      <x:c r="D284" s="373"/>
      <x:c r="E284" s="373"/>
      <x:c r="F284" s="373"/>
      <x:c r="G284" s="373"/>
      <x:c r="H284" s="373"/>
      <x:c r="I284" s="373"/>
      <x:c r="J284" s="373"/>
      <x:c r="K284" s="373"/>
      <x:c r="L284" s="373"/>
      <x:c r="M284" s="373"/>
      <x:c r="N284" s="373"/>
      <x:c r="O284" s="373"/>
      <x:c r="P284" s="373"/>
      <x:c r="Q284" s="373"/>
      <x:c r="R284" s="373"/>
      <x:c r="S284" s="373"/>
      <x:c r="T284" s="373"/>
      <x:c r="U284" s="373"/>
      <x:c r="V284" s="373"/>
      <x:c r="W284" s="373"/>
      <x:c r="X284" s="373"/>
      <x:c r="Y284" s="373"/>
      <x:c r="Z284" s="373"/>
    </x:row>
    <x:row r="285">
      <x:c r="A285" s="373"/>
      <x:c r="B285" s="373"/>
      <x:c r="C285" s="373"/>
      <x:c r="D285" s="373"/>
      <x:c r="E285" s="373"/>
      <x:c r="F285" s="373"/>
      <x:c r="G285" s="373"/>
      <x:c r="H285" s="373"/>
      <x:c r="I285" s="373"/>
      <x:c r="J285" s="373"/>
      <x:c r="K285" s="373"/>
      <x:c r="L285" s="373"/>
      <x:c r="M285" s="373"/>
      <x:c r="N285" s="373"/>
      <x:c r="O285" s="373"/>
      <x:c r="P285" s="373"/>
      <x:c r="Q285" s="373"/>
      <x:c r="R285" s="373"/>
      <x:c r="S285" s="373"/>
      <x:c r="T285" s="373"/>
      <x:c r="U285" s="373"/>
      <x:c r="V285" s="373"/>
      <x:c r="W285" s="373"/>
      <x:c r="X285" s="373"/>
      <x:c r="Y285" s="373"/>
      <x:c r="Z285" s="373"/>
    </x:row>
    <x:row r="286">
      <x:c r="A286" s="373"/>
      <x:c r="B286" s="373"/>
      <x:c r="C286" s="373"/>
      <x:c r="D286" s="373"/>
      <x:c r="E286" s="373"/>
      <x:c r="F286" s="373"/>
      <x:c r="G286" s="373"/>
      <x:c r="H286" s="373"/>
      <x:c r="I286" s="373"/>
      <x:c r="J286" s="373"/>
      <x:c r="K286" s="373"/>
      <x:c r="L286" s="373"/>
      <x:c r="M286" s="373"/>
      <x:c r="N286" s="373"/>
      <x:c r="O286" s="373"/>
      <x:c r="P286" s="373"/>
      <x:c r="Q286" s="373"/>
      <x:c r="R286" s="373"/>
      <x:c r="S286" s="373"/>
      <x:c r="T286" s="373"/>
      <x:c r="U286" s="373"/>
      <x:c r="V286" s="373"/>
      <x:c r="W286" s="373"/>
      <x:c r="X286" s="373"/>
      <x:c r="Y286" s="373"/>
      <x:c r="Z286" s="373"/>
    </x:row>
    <x:row r="287">
      <x:c r="A287" s="373"/>
      <x:c r="B287" s="373"/>
      <x:c r="C287" s="373"/>
      <x:c r="D287" s="373"/>
      <x:c r="E287" s="373"/>
      <x:c r="F287" s="373"/>
      <x:c r="G287" s="373"/>
      <x:c r="H287" s="373"/>
      <x:c r="I287" s="373"/>
      <x:c r="J287" s="373"/>
      <x:c r="K287" s="373"/>
      <x:c r="L287" s="373"/>
      <x:c r="M287" s="373"/>
      <x:c r="N287" s="373"/>
      <x:c r="O287" s="373"/>
      <x:c r="P287" s="373"/>
      <x:c r="Q287" s="373"/>
      <x:c r="R287" s="373"/>
      <x:c r="S287" s="373"/>
      <x:c r="T287" s="373"/>
      <x:c r="U287" s="373"/>
      <x:c r="V287" s="373"/>
      <x:c r="W287" s="373"/>
      <x:c r="X287" s="373"/>
      <x:c r="Y287" s="373"/>
      <x:c r="Z287" s="373"/>
    </x:row>
    <x:row r="288">
      <x:c r="A288" s="373"/>
      <x:c r="B288" s="373"/>
      <x:c r="C288" s="373"/>
      <x:c r="D288" s="373"/>
      <x:c r="E288" s="373"/>
      <x:c r="F288" s="373"/>
      <x:c r="G288" s="373"/>
      <x:c r="H288" s="373"/>
      <x:c r="I288" s="373"/>
      <x:c r="J288" s="373"/>
      <x:c r="K288" s="373"/>
      <x:c r="L288" s="373"/>
      <x:c r="M288" s="373"/>
      <x:c r="N288" s="373"/>
      <x:c r="O288" s="373"/>
      <x:c r="P288" s="373"/>
      <x:c r="Q288" s="373"/>
      <x:c r="R288" s="373"/>
      <x:c r="S288" s="373"/>
      <x:c r="T288" s="373"/>
      <x:c r="U288" s="373"/>
      <x:c r="V288" s="373"/>
      <x:c r="W288" s="373"/>
      <x:c r="X288" s="373"/>
      <x:c r="Y288" s="373"/>
      <x:c r="Z288" s="373"/>
    </x:row>
    <x:row r="289">
      <x:c r="A289" s="373"/>
      <x:c r="B289" s="373"/>
      <x:c r="C289" s="373"/>
      <x:c r="D289" s="373"/>
      <x:c r="E289" s="373"/>
      <x:c r="F289" s="373"/>
      <x:c r="G289" s="373"/>
      <x:c r="H289" s="373"/>
      <x:c r="I289" s="373"/>
      <x:c r="J289" s="373"/>
      <x:c r="K289" s="373"/>
      <x:c r="L289" s="373"/>
      <x:c r="M289" s="373"/>
      <x:c r="N289" s="373"/>
      <x:c r="O289" s="373"/>
      <x:c r="P289" s="373"/>
      <x:c r="Q289" s="373"/>
      <x:c r="R289" s="373"/>
      <x:c r="S289" s="373"/>
      <x:c r="T289" s="373"/>
      <x:c r="U289" s="373"/>
      <x:c r="V289" s="373"/>
      <x:c r="W289" s="373"/>
      <x:c r="X289" s="373"/>
      <x:c r="Y289" s="373"/>
      <x:c r="Z289" s="373"/>
    </x:row>
    <x:row r="290">
      <x:c r="A290" s="373"/>
      <x:c r="B290" s="373"/>
      <x:c r="C290" s="373"/>
      <x:c r="D290" s="373"/>
      <x:c r="E290" s="373"/>
      <x:c r="F290" s="373"/>
      <x:c r="G290" s="373"/>
      <x:c r="H290" s="373"/>
      <x:c r="I290" s="373"/>
      <x:c r="J290" s="373"/>
      <x:c r="K290" s="373"/>
      <x:c r="L290" s="373"/>
      <x:c r="M290" s="373"/>
      <x:c r="N290" s="373"/>
      <x:c r="O290" s="373"/>
      <x:c r="P290" s="373"/>
      <x:c r="Q290" s="373"/>
      <x:c r="R290" s="373"/>
      <x:c r="S290" s="373"/>
      <x:c r="T290" s="373"/>
      <x:c r="U290" s="373"/>
      <x:c r="V290" s="373"/>
      <x:c r="W290" s="373"/>
      <x:c r="X290" s="373"/>
      <x:c r="Y290" s="373"/>
      <x:c r="Z290" s="373"/>
    </x:row>
    <x:row r="291">
      <x:c r="A291" s="373"/>
      <x:c r="B291" s="373"/>
      <x:c r="C291" s="373"/>
      <x:c r="D291" s="373"/>
      <x:c r="E291" s="373"/>
      <x:c r="F291" s="373"/>
      <x:c r="G291" s="373"/>
      <x:c r="H291" s="373"/>
      <x:c r="I291" s="373"/>
      <x:c r="J291" s="373"/>
      <x:c r="K291" s="373"/>
      <x:c r="L291" s="373"/>
      <x:c r="M291" s="373"/>
      <x:c r="N291" s="373"/>
      <x:c r="O291" s="373"/>
      <x:c r="P291" s="373"/>
      <x:c r="Q291" s="373"/>
      <x:c r="R291" s="373"/>
      <x:c r="S291" s="373"/>
      <x:c r="T291" s="373"/>
      <x:c r="U291" s="373"/>
      <x:c r="V291" s="373"/>
      <x:c r="W291" s="373"/>
      <x:c r="X291" s="373"/>
      <x:c r="Y291" s="373"/>
      <x:c r="Z291" s="373"/>
    </x:row>
    <x:row r="292">
      <x:c r="A292" s="373"/>
      <x:c r="B292" s="373"/>
      <x:c r="C292" s="373"/>
      <x:c r="D292" s="373"/>
      <x:c r="E292" s="373"/>
      <x:c r="F292" s="373"/>
      <x:c r="G292" s="373"/>
      <x:c r="H292" s="373"/>
      <x:c r="I292" s="373"/>
      <x:c r="J292" s="373"/>
      <x:c r="K292" s="373"/>
      <x:c r="L292" s="373"/>
      <x:c r="M292" s="373"/>
      <x:c r="N292" s="373"/>
      <x:c r="O292" s="373"/>
      <x:c r="P292" s="373"/>
      <x:c r="Q292" s="373"/>
      <x:c r="R292" s="373"/>
      <x:c r="S292" s="373"/>
      <x:c r="T292" s="373"/>
      <x:c r="U292" s="373"/>
      <x:c r="V292" s="373"/>
      <x:c r="W292" s="373"/>
      <x:c r="X292" s="373"/>
      <x:c r="Y292" s="373"/>
      <x:c r="Z292" s="373"/>
    </x:row>
    <x:row r="293">
      <x:c r="A293" s="373"/>
      <x:c r="B293" s="373"/>
      <x:c r="C293" s="373"/>
      <x:c r="D293" s="373"/>
      <x:c r="E293" s="373"/>
      <x:c r="F293" s="373"/>
      <x:c r="G293" s="373"/>
      <x:c r="H293" s="373"/>
      <x:c r="I293" s="373"/>
      <x:c r="J293" s="373"/>
      <x:c r="K293" s="373"/>
      <x:c r="L293" s="373"/>
      <x:c r="M293" s="373"/>
      <x:c r="N293" s="373"/>
      <x:c r="O293" s="373"/>
      <x:c r="P293" s="373"/>
      <x:c r="Q293" s="373"/>
      <x:c r="R293" s="373"/>
      <x:c r="S293" s="373"/>
      <x:c r="T293" s="373"/>
      <x:c r="U293" s="373"/>
      <x:c r="V293" s="373"/>
      <x:c r="W293" s="373"/>
      <x:c r="X293" s="373"/>
      <x:c r="Y293" s="373"/>
      <x:c r="Z293" s="373"/>
    </x:row>
    <x:row r="294">
      <x:c r="A294" s="373"/>
      <x:c r="B294" s="373"/>
      <x:c r="C294" s="373"/>
      <x:c r="D294" s="373"/>
      <x:c r="E294" s="373"/>
      <x:c r="F294" s="373"/>
      <x:c r="G294" s="373"/>
      <x:c r="H294" s="373"/>
      <x:c r="I294" s="373"/>
      <x:c r="J294" s="373"/>
      <x:c r="K294" s="373"/>
      <x:c r="L294" s="373"/>
      <x:c r="M294" s="373"/>
      <x:c r="N294" s="373"/>
      <x:c r="O294" s="373"/>
      <x:c r="P294" s="373"/>
      <x:c r="Q294" s="373"/>
      <x:c r="R294" s="373"/>
      <x:c r="S294" s="373"/>
      <x:c r="T294" s="373"/>
      <x:c r="U294" s="373"/>
      <x:c r="V294" s="373"/>
      <x:c r="W294" s="373"/>
      <x:c r="X294" s="373"/>
      <x:c r="Y294" s="373"/>
      <x:c r="Z294" s="373"/>
    </x:row>
    <x:row r="295">
      <x:c r="A295" s="373"/>
      <x:c r="B295" s="373"/>
      <x:c r="C295" s="373"/>
      <x:c r="D295" s="373"/>
      <x:c r="E295" s="373"/>
      <x:c r="F295" s="373"/>
      <x:c r="G295" s="373"/>
      <x:c r="H295" s="373"/>
      <x:c r="I295" s="373"/>
      <x:c r="J295" s="373"/>
      <x:c r="K295" s="373"/>
      <x:c r="L295" s="373"/>
      <x:c r="M295" s="373"/>
      <x:c r="N295" s="373"/>
      <x:c r="O295" s="373"/>
      <x:c r="P295" s="373"/>
      <x:c r="Q295" s="373"/>
      <x:c r="R295" s="373"/>
      <x:c r="S295" s="373"/>
      <x:c r="T295" s="373"/>
      <x:c r="U295" s="373"/>
      <x:c r="V295" s="373"/>
      <x:c r="W295" s="373"/>
      <x:c r="X295" s="373"/>
      <x:c r="Y295" s="373"/>
      <x:c r="Z295" s="373"/>
    </x:row>
    <x:row r="296">
      <x:c r="A296" s="373"/>
      <x:c r="B296" s="373"/>
      <x:c r="C296" s="373"/>
      <x:c r="D296" s="373"/>
      <x:c r="E296" s="373"/>
      <x:c r="F296" s="373"/>
      <x:c r="G296" s="373"/>
      <x:c r="H296" s="373"/>
      <x:c r="I296" s="373"/>
      <x:c r="J296" s="373"/>
      <x:c r="K296" s="373"/>
      <x:c r="L296" s="373"/>
      <x:c r="M296" s="373"/>
      <x:c r="N296" s="373"/>
      <x:c r="O296" s="373"/>
      <x:c r="P296" s="373"/>
      <x:c r="Q296" s="373"/>
      <x:c r="R296" s="373"/>
      <x:c r="S296" s="373"/>
      <x:c r="T296" s="373"/>
      <x:c r="U296" s="373"/>
      <x:c r="V296" s="373"/>
      <x:c r="W296" s="373"/>
      <x:c r="X296" s="373"/>
      <x:c r="Y296" s="373"/>
      <x:c r="Z296" s="373"/>
    </x:row>
    <x:row r="297">
      <x:c r="A297" s="373"/>
      <x:c r="B297" s="373"/>
      <x:c r="C297" s="373"/>
      <x:c r="D297" s="373"/>
      <x:c r="E297" s="373"/>
      <x:c r="F297" s="373"/>
      <x:c r="G297" s="373"/>
      <x:c r="H297" s="373"/>
      <x:c r="I297" s="373"/>
      <x:c r="J297" s="373"/>
      <x:c r="K297" s="373"/>
      <x:c r="L297" s="373"/>
      <x:c r="M297" s="373"/>
      <x:c r="N297" s="373"/>
      <x:c r="O297" s="373"/>
      <x:c r="P297" s="373"/>
      <x:c r="Q297" s="373"/>
      <x:c r="R297" s="373"/>
      <x:c r="S297" s="373"/>
      <x:c r="T297" s="373"/>
      <x:c r="U297" s="373"/>
      <x:c r="V297" s="373"/>
      <x:c r="W297" s="373"/>
      <x:c r="X297" s="373"/>
      <x:c r="Y297" s="373"/>
      <x:c r="Z297" s="373"/>
    </x:row>
    <x:row r="298">
      <x:c r="A298" s="373"/>
      <x:c r="B298" s="373"/>
      <x:c r="C298" s="373"/>
      <x:c r="D298" s="373"/>
      <x:c r="E298" s="373"/>
      <x:c r="F298" s="373"/>
      <x:c r="G298" s="373"/>
      <x:c r="H298" s="373"/>
      <x:c r="I298" s="373"/>
      <x:c r="J298" s="373"/>
      <x:c r="K298" s="373"/>
      <x:c r="L298" s="373"/>
      <x:c r="M298" s="373"/>
      <x:c r="N298" s="373"/>
      <x:c r="O298" s="373"/>
      <x:c r="P298" s="373"/>
      <x:c r="Q298" s="373"/>
      <x:c r="R298" s="373"/>
      <x:c r="S298" s="373"/>
      <x:c r="T298" s="373"/>
      <x:c r="U298" s="373"/>
      <x:c r="V298" s="373"/>
      <x:c r="W298" s="373"/>
      <x:c r="X298" s="373"/>
      <x:c r="Y298" s="373"/>
      <x:c r="Z298" s="373"/>
    </x:row>
    <x:row r="299">
      <x:c r="A299" s="373"/>
      <x:c r="B299" s="373"/>
      <x:c r="C299" s="373"/>
      <x:c r="D299" s="373"/>
      <x:c r="E299" s="373"/>
      <x:c r="F299" s="373"/>
      <x:c r="G299" s="373"/>
      <x:c r="H299" s="373"/>
      <x:c r="I299" s="373"/>
      <x:c r="J299" s="373"/>
      <x:c r="K299" s="373"/>
      <x:c r="L299" s="373"/>
      <x:c r="M299" s="373"/>
      <x:c r="N299" s="373"/>
      <x:c r="O299" s="373"/>
      <x:c r="P299" s="373"/>
      <x:c r="Q299" s="373"/>
      <x:c r="R299" s="373"/>
      <x:c r="S299" s="373"/>
      <x:c r="T299" s="373"/>
      <x:c r="U299" s="373"/>
      <x:c r="V299" s="373"/>
      <x:c r="W299" s="373"/>
      <x:c r="X299" s="373"/>
      <x:c r="Y299" s="373"/>
      <x:c r="Z299" s="373"/>
    </x:row>
    <x:row r="300">
      <x:c r="A300" s="373"/>
      <x:c r="B300" s="373"/>
      <x:c r="C300" s="373"/>
      <x:c r="D300" s="373"/>
      <x:c r="E300" s="373"/>
      <x:c r="F300" s="373"/>
      <x:c r="G300" s="373"/>
      <x:c r="H300" s="373"/>
      <x:c r="I300" s="373"/>
      <x:c r="J300" s="373"/>
      <x:c r="K300" s="373"/>
      <x:c r="L300" s="373"/>
      <x:c r="M300" s="373"/>
      <x:c r="N300" s="373"/>
      <x:c r="O300" s="373"/>
      <x:c r="P300" s="373"/>
      <x:c r="Q300" s="373"/>
      <x:c r="R300" s="373"/>
      <x:c r="S300" s="373"/>
      <x:c r="T300" s="373"/>
      <x:c r="U300" s="373"/>
      <x:c r="V300" s="373"/>
      <x:c r="W300" s="373"/>
      <x:c r="X300" s="373"/>
      <x:c r="Y300" s="373"/>
      <x:c r="Z300" s="373"/>
    </x:row>
    <x:row r="301">
      <x:c r="A301" s="373"/>
      <x:c r="B301" s="373"/>
      <x:c r="C301" s="373"/>
      <x:c r="D301" s="373"/>
      <x:c r="E301" s="373"/>
      <x:c r="F301" s="373"/>
      <x:c r="G301" s="373"/>
      <x:c r="H301" s="373"/>
      <x:c r="I301" s="373"/>
      <x:c r="J301" s="373"/>
      <x:c r="K301" s="373"/>
      <x:c r="L301" s="373"/>
      <x:c r="M301" s="373"/>
      <x:c r="N301" s="373"/>
      <x:c r="O301" s="373"/>
      <x:c r="P301" s="373"/>
      <x:c r="Q301" s="373"/>
      <x:c r="R301" s="373"/>
      <x:c r="S301" s="373"/>
      <x:c r="T301" s="373"/>
      <x:c r="U301" s="373"/>
      <x:c r="V301" s="373"/>
      <x:c r="W301" s="373"/>
      <x:c r="X301" s="373"/>
      <x:c r="Y301" s="373"/>
      <x:c r="Z301" s="373"/>
    </x:row>
    <x:row r="302">
      <x:c r="A302" s="373"/>
      <x:c r="B302" s="373"/>
      <x:c r="C302" s="373"/>
      <x:c r="D302" s="373"/>
      <x:c r="E302" s="373"/>
      <x:c r="F302" s="373"/>
      <x:c r="G302" s="373"/>
      <x:c r="H302" s="373"/>
      <x:c r="I302" s="373"/>
      <x:c r="J302" s="373"/>
      <x:c r="K302" s="373"/>
      <x:c r="L302" s="373"/>
      <x:c r="M302" s="373"/>
      <x:c r="N302" s="373"/>
      <x:c r="O302" s="373"/>
      <x:c r="P302" s="373"/>
      <x:c r="Q302" s="373"/>
      <x:c r="R302" s="373"/>
      <x:c r="S302" s="373"/>
      <x:c r="T302" s="373"/>
      <x:c r="U302" s="373"/>
      <x:c r="V302" s="373"/>
      <x:c r="W302" s="373"/>
      <x:c r="X302" s="373"/>
      <x:c r="Y302" s="373"/>
      <x:c r="Z302" s="373"/>
    </x:row>
    <x:row r="303">
      <x:c r="A303" s="373"/>
      <x:c r="B303" s="373"/>
      <x:c r="C303" s="373"/>
      <x:c r="D303" s="373"/>
      <x:c r="E303" s="373"/>
      <x:c r="F303" s="373"/>
      <x:c r="G303" s="373"/>
      <x:c r="H303" s="373"/>
      <x:c r="I303" s="373"/>
      <x:c r="J303" s="373"/>
      <x:c r="K303" s="373"/>
      <x:c r="L303" s="373"/>
      <x:c r="M303" s="373"/>
      <x:c r="N303" s="373"/>
      <x:c r="O303" s="373"/>
      <x:c r="P303" s="373"/>
      <x:c r="Q303" s="373"/>
      <x:c r="R303" s="373"/>
      <x:c r="S303" s="373"/>
      <x:c r="T303" s="373"/>
      <x:c r="U303" s="373"/>
      <x:c r="V303" s="373"/>
      <x:c r="W303" s="373"/>
      <x:c r="X303" s="373"/>
      <x:c r="Y303" s="373"/>
      <x:c r="Z303" s="373"/>
    </x:row>
    <x:row r="304">
      <x:c r="A304" s="373"/>
      <x:c r="B304" s="373"/>
      <x:c r="C304" s="373"/>
      <x:c r="D304" s="373"/>
      <x:c r="E304" s="373"/>
      <x:c r="F304" s="373"/>
      <x:c r="G304" s="373"/>
      <x:c r="H304" s="373"/>
      <x:c r="I304" s="373"/>
      <x:c r="J304" s="373"/>
      <x:c r="K304" s="373"/>
      <x:c r="L304" s="373"/>
      <x:c r="M304" s="373"/>
      <x:c r="N304" s="373"/>
      <x:c r="O304" s="373"/>
      <x:c r="P304" s="373"/>
      <x:c r="Q304" s="373"/>
      <x:c r="R304" s="373"/>
      <x:c r="S304" s="373"/>
      <x:c r="T304" s="373"/>
      <x:c r="U304" s="373"/>
      <x:c r="V304" s="373"/>
      <x:c r="W304" s="373"/>
      <x:c r="X304" s="373"/>
      <x:c r="Y304" s="373"/>
      <x:c r="Z304" s="373"/>
    </x:row>
    <x:row r="305">
      <x:c r="A305" s="373"/>
      <x:c r="B305" s="373"/>
      <x:c r="C305" s="373"/>
      <x:c r="D305" s="373"/>
      <x:c r="E305" s="373"/>
      <x:c r="F305" s="373"/>
      <x:c r="G305" s="373"/>
      <x:c r="H305" s="373"/>
      <x:c r="I305" s="373"/>
      <x:c r="J305" s="373"/>
      <x:c r="K305" s="373"/>
      <x:c r="L305" s="373"/>
      <x:c r="M305" s="373"/>
      <x:c r="N305" s="373"/>
      <x:c r="O305" s="373"/>
      <x:c r="P305" s="373"/>
      <x:c r="Q305" s="373"/>
      <x:c r="R305" s="373"/>
      <x:c r="S305" s="373"/>
      <x:c r="T305" s="373"/>
      <x:c r="U305" s="373"/>
      <x:c r="V305" s="373"/>
      <x:c r="W305" s="373"/>
      <x:c r="X305" s="373"/>
      <x:c r="Y305" s="373"/>
      <x:c r="Z305" s="373"/>
    </x:row>
    <x:row r="306">
      <x:c r="A306" s="373"/>
      <x:c r="B306" s="373"/>
      <x:c r="C306" s="373"/>
      <x:c r="D306" s="373"/>
      <x:c r="E306" s="373"/>
      <x:c r="F306" s="373"/>
      <x:c r="G306" s="373"/>
      <x:c r="H306" s="373"/>
      <x:c r="I306" s="373"/>
      <x:c r="J306" s="373"/>
      <x:c r="K306" s="373"/>
      <x:c r="L306" s="373"/>
      <x:c r="M306" s="373"/>
      <x:c r="N306" s="373"/>
      <x:c r="O306" s="373"/>
      <x:c r="P306" s="373"/>
      <x:c r="Q306" s="373"/>
      <x:c r="R306" s="373"/>
      <x:c r="S306" s="373"/>
      <x:c r="T306" s="373"/>
      <x:c r="U306" s="373"/>
      <x:c r="V306" s="373"/>
      <x:c r="W306" s="373"/>
      <x:c r="X306" s="373"/>
      <x:c r="Y306" s="373"/>
      <x:c r="Z306" s="373"/>
    </x:row>
    <x:row r="307">
      <x:c r="A307" s="373"/>
      <x:c r="B307" s="373"/>
      <x:c r="C307" s="373"/>
      <x:c r="D307" s="373"/>
      <x:c r="E307" s="373"/>
      <x:c r="F307" s="373"/>
      <x:c r="G307" s="373"/>
      <x:c r="H307" s="373"/>
      <x:c r="I307" s="373"/>
      <x:c r="J307" s="373"/>
      <x:c r="K307" s="373"/>
      <x:c r="L307" s="373"/>
      <x:c r="M307" s="373"/>
      <x:c r="N307" s="373"/>
      <x:c r="O307" s="373"/>
      <x:c r="P307" s="373"/>
      <x:c r="Q307" s="373"/>
      <x:c r="R307" s="373"/>
      <x:c r="S307" s="373"/>
      <x:c r="T307" s="373"/>
      <x:c r="U307" s="373"/>
      <x:c r="V307" s="373"/>
      <x:c r="W307" s="373"/>
      <x:c r="X307" s="373"/>
      <x:c r="Y307" s="373"/>
      <x:c r="Z307" s="373"/>
    </x:row>
    <x:row r="308">
      <x:c r="A308" s="373"/>
      <x:c r="B308" s="373"/>
      <x:c r="C308" s="373"/>
      <x:c r="D308" s="373"/>
      <x:c r="E308" s="373"/>
      <x:c r="F308" s="373"/>
      <x:c r="G308" s="373"/>
      <x:c r="H308" s="373"/>
      <x:c r="I308" s="373"/>
      <x:c r="J308" s="373"/>
      <x:c r="K308" s="373"/>
      <x:c r="L308" s="373"/>
      <x:c r="M308" s="373"/>
      <x:c r="N308" s="373"/>
      <x:c r="O308" s="373"/>
      <x:c r="P308" s="373"/>
      <x:c r="Q308" s="373"/>
      <x:c r="R308" s="373"/>
      <x:c r="S308" s="373"/>
      <x:c r="T308" s="373"/>
      <x:c r="U308" s="373"/>
      <x:c r="V308" s="373"/>
      <x:c r="W308" s="373"/>
      <x:c r="X308" s="373"/>
      <x:c r="Y308" s="373"/>
      <x:c r="Z308" s="373"/>
    </x:row>
    <x:row r="309">
      <x:c r="A309" s="373"/>
      <x:c r="B309" s="373"/>
      <x:c r="C309" s="373"/>
      <x:c r="D309" s="373"/>
      <x:c r="E309" s="373"/>
      <x:c r="F309" s="373"/>
      <x:c r="G309" s="373"/>
      <x:c r="H309" s="373"/>
      <x:c r="I309" s="373"/>
      <x:c r="J309" s="373"/>
      <x:c r="K309" s="373"/>
      <x:c r="L309" s="373"/>
      <x:c r="M309" s="373"/>
      <x:c r="N309" s="373"/>
      <x:c r="O309" s="373"/>
      <x:c r="P309" s="373"/>
      <x:c r="Q309" s="373"/>
      <x:c r="R309" s="373"/>
      <x:c r="S309" s="373"/>
      <x:c r="T309" s="373"/>
      <x:c r="U309" s="373"/>
      <x:c r="V309" s="373"/>
      <x:c r="W309" s="373"/>
      <x:c r="X309" s="373"/>
      <x:c r="Y309" s="373"/>
      <x:c r="Z309" s="373"/>
    </x:row>
    <x:row r="310">
      <x:c r="A310" s="373"/>
      <x:c r="B310" s="373"/>
      <x:c r="C310" s="373"/>
      <x:c r="D310" s="373"/>
      <x:c r="E310" s="373"/>
      <x:c r="F310" s="373"/>
      <x:c r="G310" s="373"/>
      <x:c r="H310" s="373"/>
      <x:c r="I310" s="373"/>
      <x:c r="J310" s="373"/>
      <x:c r="K310" s="373"/>
      <x:c r="L310" s="373"/>
      <x:c r="M310" s="373"/>
      <x:c r="N310" s="373"/>
      <x:c r="O310" s="373"/>
      <x:c r="P310" s="373"/>
      <x:c r="Q310" s="373"/>
      <x:c r="R310" s="373"/>
      <x:c r="S310" s="373"/>
      <x:c r="T310" s="373"/>
      <x:c r="U310" s="373"/>
      <x:c r="V310" s="373"/>
      <x:c r="W310" s="373"/>
      <x:c r="X310" s="373"/>
      <x:c r="Y310" s="373"/>
      <x:c r="Z310" s="373"/>
    </x:row>
    <x:row r="311">
      <x:c r="A311" s="373"/>
      <x:c r="B311" s="373"/>
      <x:c r="C311" s="373"/>
      <x:c r="D311" s="373"/>
      <x:c r="E311" s="373"/>
      <x:c r="F311" s="373"/>
      <x:c r="G311" s="373"/>
      <x:c r="H311" s="373"/>
      <x:c r="I311" s="373"/>
      <x:c r="J311" s="373"/>
      <x:c r="K311" s="373"/>
      <x:c r="L311" s="373"/>
      <x:c r="M311" s="373"/>
      <x:c r="N311" s="373"/>
      <x:c r="O311" s="373"/>
      <x:c r="P311" s="373"/>
      <x:c r="Q311" s="373"/>
      <x:c r="R311" s="373"/>
      <x:c r="S311" s="373"/>
      <x:c r="T311" s="373"/>
      <x:c r="U311" s="373"/>
      <x:c r="V311" s="373"/>
      <x:c r="W311" s="373"/>
      <x:c r="X311" s="373"/>
      <x:c r="Y311" s="373"/>
      <x:c r="Z311" s="373"/>
    </x:row>
    <x:row r="312">
      <x:c r="A312" s="373"/>
      <x:c r="B312" s="373"/>
      <x:c r="C312" s="373"/>
      <x:c r="D312" s="373"/>
      <x:c r="E312" s="373"/>
      <x:c r="F312" s="373"/>
      <x:c r="G312" s="373"/>
      <x:c r="H312" s="373"/>
      <x:c r="I312" s="373"/>
      <x:c r="J312" s="373"/>
      <x:c r="K312" s="373"/>
      <x:c r="L312" s="373"/>
      <x:c r="M312" s="373"/>
      <x:c r="N312" s="373"/>
      <x:c r="O312" s="373"/>
      <x:c r="P312" s="373"/>
      <x:c r="Q312" s="373"/>
      <x:c r="R312" s="373"/>
      <x:c r="S312" s="373"/>
      <x:c r="T312" s="373"/>
      <x:c r="U312" s="373"/>
      <x:c r="V312" s="373"/>
      <x:c r="W312" s="373"/>
      <x:c r="X312" s="373"/>
      <x:c r="Y312" s="373"/>
      <x:c r="Z312" s="373"/>
    </x:row>
    <x:row r="313">
      <x:c r="A313" s="373"/>
      <x:c r="B313" s="373"/>
      <x:c r="C313" s="373"/>
      <x:c r="D313" s="373"/>
      <x:c r="E313" s="373"/>
      <x:c r="F313" s="373"/>
      <x:c r="G313" s="373"/>
      <x:c r="H313" s="373"/>
      <x:c r="I313" s="373"/>
      <x:c r="J313" s="373"/>
      <x:c r="K313" s="373"/>
      <x:c r="L313" s="373"/>
      <x:c r="M313" s="373"/>
      <x:c r="N313" s="373"/>
      <x:c r="O313" s="373"/>
      <x:c r="P313" s="373"/>
      <x:c r="Q313" s="373"/>
      <x:c r="R313" s="373"/>
      <x:c r="S313" s="373"/>
      <x:c r="T313" s="373"/>
      <x:c r="U313" s="373"/>
      <x:c r="V313" s="373"/>
      <x:c r="W313" s="373"/>
      <x:c r="X313" s="373"/>
      <x:c r="Y313" s="373"/>
      <x:c r="Z313" s="373"/>
    </x:row>
    <x:row r="314">
      <x:c r="A314" s="373"/>
      <x:c r="B314" s="373"/>
      <x:c r="C314" s="373"/>
      <x:c r="D314" s="373"/>
      <x:c r="E314" s="373"/>
      <x:c r="F314" s="373"/>
      <x:c r="G314" s="373"/>
      <x:c r="H314" s="373"/>
      <x:c r="I314" s="373"/>
      <x:c r="J314" s="373"/>
      <x:c r="K314" s="373"/>
      <x:c r="L314" s="373"/>
      <x:c r="M314" s="373"/>
      <x:c r="N314" s="373"/>
      <x:c r="O314" s="373"/>
      <x:c r="P314" s="373"/>
      <x:c r="Q314" s="373"/>
      <x:c r="R314" s="373"/>
      <x:c r="S314" s="373"/>
      <x:c r="T314" s="373"/>
      <x:c r="U314" s="373"/>
      <x:c r="V314" s="373"/>
      <x:c r="W314" s="373"/>
      <x:c r="X314" s="373"/>
      <x:c r="Y314" s="373"/>
      <x:c r="Z314" s="373"/>
    </x:row>
    <x:row r="315">
      <x:c r="A315" s="373"/>
      <x:c r="B315" s="373"/>
      <x:c r="C315" s="373"/>
      <x:c r="D315" s="373"/>
      <x:c r="E315" s="373"/>
      <x:c r="F315" s="373"/>
      <x:c r="G315" s="373"/>
      <x:c r="H315" s="373"/>
      <x:c r="I315" s="373"/>
      <x:c r="J315" s="373"/>
      <x:c r="K315" s="373"/>
      <x:c r="L315" s="373"/>
      <x:c r="M315" s="373"/>
      <x:c r="N315" s="373"/>
      <x:c r="O315" s="373"/>
      <x:c r="P315" s="373"/>
      <x:c r="Q315" s="373"/>
      <x:c r="R315" s="373"/>
      <x:c r="S315" s="373"/>
      <x:c r="T315" s="373"/>
      <x:c r="U315" s="373"/>
      <x:c r="V315" s="373"/>
      <x:c r="W315" s="373"/>
      <x:c r="X315" s="373"/>
      <x:c r="Y315" s="373"/>
      <x:c r="Z315" s="373"/>
    </x:row>
    <x:row r="316">
      <x:c r="A316" s="373"/>
      <x:c r="B316" s="373"/>
      <x:c r="C316" s="373"/>
      <x:c r="D316" s="373"/>
      <x:c r="E316" s="373"/>
      <x:c r="F316" s="373"/>
      <x:c r="G316" s="373"/>
      <x:c r="H316" s="373"/>
      <x:c r="I316" s="373"/>
      <x:c r="J316" s="373"/>
      <x:c r="K316" s="373"/>
      <x:c r="L316" s="373"/>
      <x:c r="M316" s="373"/>
      <x:c r="N316" s="373"/>
      <x:c r="O316" s="373"/>
      <x:c r="P316" s="373"/>
      <x:c r="Q316" s="373"/>
      <x:c r="R316" s="373"/>
      <x:c r="S316" s="373"/>
      <x:c r="T316" s="373"/>
      <x:c r="U316" s="373"/>
      <x:c r="V316" s="373"/>
      <x:c r="W316" s="373"/>
      <x:c r="X316" s="373"/>
      <x:c r="Y316" s="373"/>
      <x:c r="Z316" s="373"/>
    </x:row>
    <x:row r="317">
      <x:c r="A317" s="373"/>
      <x:c r="B317" s="373"/>
      <x:c r="C317" s="373"/>
      <x:c r="D317" s="373"/>
      <x:c r="E317" s="373"/>
      <x:c r="F317" s="373"/>
      <x:c r="G317" s="373"/>
      <x:c r="H317" s="373"/>
      <x:c r="I317" s="373"/>
      <x:c r="J317" s="373"/>
      <x:c r="K317" s="373"/>
      <x:c r="L317" s="373"/>
      <x:c r="M317" s="373"/>
      <x:c r="N317" s="373"/>
      <x:c r="O317" s="373"/>
      <x:c r="P317" s="373"/>
      <x:c r="Q317" s="373"/>
      <x:c r="R317" s="373"/>
      <x:c r="S317" s="373"/>
      <x:c r="T317" s="373"/>
      <x:c r="U317" s="373"/>
      <x:c r="V317" s="373"/>
      <x:c r="W317" s="373"/>
      <x:c r="X317" s="373"/>
      <x:c r="Y317" s="373"/>
      <x:c r="Z317" s="373"/>
    </x:row>
    <x:row r="318">
      <x:c r="A318" s="373"/>
      <x:c r="B318" s="373"/>
      <x:c r="C318" s="373"/>
      <x:c r="D318" s="373"/>
      <x:c r="E318" s="373"/>
      <x:c r="F318" s="373"/>
      <x:c r="G318" s="373"/>
      <x:c r="H318" s="373"/>
      <x:c r="I318" s="373"/>
      <x:c r="J318" s="373"/>
      <x:c r="K318" s="373"/>
      <x:c r="L318" s="373"/>
      <x:c r="M318" s="373"/>
      <x:c r="N318" s="373"/>
      <x:c r="O318" s="373"/>
      <x:c r="P318" s="373"/>
      <x:c r="Q318" s="373"/>
      <x:c r="R318" s="373"/>
      <x:c r="S318" s="373"/>
      <x:c r="T318" s="373"/>
      <x:c r="U318" s="373"/>
      <x:c r="V318" s="373"/>
      <x:c r="W318" s="373"/>
      <x:c r="X318" s="373"/>
      <x:c r="Y318" s="373"/>
      <x:c r="Z318" s="373"/>
    </x:row>
    <x:row r="319">
      <x:c r="A319" s="373"/>
      <x:c r="B319" s="373"/>
      <x:c r="C319" s="373"/>
      <x:c r="D319" s="373"/>
      <x:c r="E319" s="373"/>
      <x:c r="F319" s="373"/>
      <x:c r="G319" s="373"/>
      <x:c r="H319" s="373"/>
      <x:c r="I319" s="373"/>
      <x:c r="J319" s="373"/>
      <x:c r="K319" s="373"/>
      <x:c r="L319" s="373"/>
      <x:c r="M319" s="373"/>
      <x:c r="N319" s="373"/>
      <x:c r="O319" s="373"/>
      <x:c r="P319" s="373"/>
      <x:c r="Q319" s="373"/>
      <x:c r="R319" s="373"/>
      <x:c r="S319" s="373"/>
      <x:c r="T319" s="373"/>
      <x:c r="U319" s="373"/>
      <x:c r="V319" s="373"/>
      <x:c r="W319" s="373"/>
      <x:c r="X319" s="373"/>
      <x:c r="Y319" s="373"/>
      <x:c r="Z319" s="373"/>
    </x:row>
    <x:row r="320">
      <x:c r="A320" s="373"/>
      <x:c r="B320" s="373"/>
      <x:c r="C320" s="373"/>
      <x:c r="D320" s="373"/>
      <x:c r="E320" s="373"/>
      <x:c r="F320" s="373"/>
      <x:c r="G320" s="373"/>
      <x:c r="H320" s="373"/>
      <x:c r="I320" s="373"/>
      <x:c r="J320" s="373"/>
      <x:c r="K320" s="373"/>
      <x:c r="L320" s="373"/>
      <x:c r="M320" s="373"/>
      <x:c r="N320" s="373"/>
      <x:c r="O320" s="373"/>
      <x:c r="P320" s="373"/>
      <x:c r="Q320" s="373"/>
      <x:c r="R320" s="373"/>
      <x:c r="S320" s="373"/>
      <x:c r="T320" s="373"/>
      <x:c r="U320" s="373"/>
      <x:c r="V320" s="373"/>
      <x:c r="W320" s="373"/>
      <x:c r="X320" s="373"/>
      <x:c r="Y320" s="373"/>
      <x:c r="Z320" s="373"/>
    </x:row>
    <x:row r="321">
      <x:c r="A321" s="373"/>
      <x:c r="B321" s="373"/>
      <x:c r="C321" s="373"/>
      <x:c r="D321" s="373"/>
      <x:c r="E321" s="373"/>
      <x:c r="F321" s="373"/>
      <x:c r="G321" s="373"/>
      <x:c r="H321" s="373"/>
      <x:c r="I321" s="373"/>
      <x:c r="J321" s="373"/>
      <x:c r="K321" s="373"/>
      <x:c r="L321" s="373"/>
      <x:c r="M321" s="373"/>
      <x:c r="N321" s="373"/>
      <x:c r="O321" s="373"/>
      <x:c r="P321" s="373"/>
      <x:c r="Q321" s="373"/>
      <x:c r="R321" s="373"/>
      <x:c r="S321" s="373"/>
      <x:c r="T321" s="373"/>
      <x:c r="U321" s="373"/>
      <x:c r="V321" s="373"/>
      <x:c r="W321" s="373"/>
      <x:c r="X321" s="373"/>
      <x:c r="Y321" s="373"/>
      <x:c r="Z321" s="373"/>
    </x:row>
    <x:row r="322">
      <x:c r="A322" s="373"/>
      <x:c r="B322" s="373"/>
      <x:c r="C322" s="373"/>
      <x:c r="D322" s="373"/>
      <x:c r="E322" s="373"/>
      <x:c r="F322" s="373"/>
      <x:c r="G322" s="373"/>
      <x:c r="H322" s="373"/>
      <x:c r="I322" s="373"/>
      <x:c r="J322" s="373"/>
      <x:c r="K322" s="373"/>
      <x:c r="L322" s="373"/>
      <x:c r="M322" s="373"/>
      <x:c r="N322" s="373"/>
      <x:c r="O322" s="373"/>
      <x:c r="P322" s="373"/>
      <x:c r="Q322" s="373"/>
      <x:c r="R322" s="373"/>
      <x:c r="S322" s="373"/>
      <x:c r="T322" s="373"/>
      <x:c r="U322" s="373"/>
      <x:c r="V322" s="373"/>
      <x:c r="W322" s="373"/>
      <x:c r="X322" s="373"/>
      <x:c r="Y322" s="373"/>
      <x:c r="Z322" s="373"/>
    </x:row>
    <x:row r="323">
      <x:c r="A323" s="373"/>
      <x:c r="B323" s="373"/>
      <x:c r="C323" s="373"/>
      <x:c r="D323" s="373"/>
      <x:c r="E323" s="373"/>
      <x:c r="F323" s="373"/>
      <x:c r="G323" s="373"/>
      <x:c r="H323" s="373"/>
      <x:c r="I323" s="373"/>
      <x:c r="J323" s="373"/>
      <x:c r="K323" s="373"/>
      <x:c r="L323" s="373"/>
      <x:c r="M323" s="373"/>
      <x:c r="N323" s="373"/>
      <x:c r="O323" s="373"/>
      <x:c r="P323" s="373"/>
      <x:c r="Q323" s="373"/>
      <x:c r="R323" s="373"/>
      <x:c r="S323" s="373"/>
      <x:c r="T323" s="373"/>
      <x:c r="U323" s="373"/>
      <x:c r="V323" s="373"/>
      <x:c r="W323" s="373"/>
      <x:c r="X323" s="373"/>
      <x:c r="Y323" s="373"/>
      <x:c r="Z323" s="373"/>
    </x:row>
    <x:row r="324">
      <x:c r="A324" s="373"/>
      <x:c r="B324" s="373"/>
      <x:c r="C324" s="373"/>
      <x:c r="D324" s="373"/>
      <x:c r="E324" s="373"/>
      <x:c r="F324" s="373"/>
      <x:c r="G324" s="373"/>
      <x:c r="H324" s="373"/>
      <x:c r="I324" s="373"/>
      <x:c r="J324" s="373"/>
      <x:c r="K324" s="373"/>
      <x:c r="L324" s="373"/>
      <x:c r="M324" s="373"/>
      <x:c r="N324" s="373"/>
      <x:c r="O324" s="373"/>
      <x:c r="P324" s="373"/>
      <x:c r="Q324" s="373"/>
      <x:c r="R324" s="373"/>
      <x:c r="S324" s="373"/>
      <x:c r="T324" s="373"/>
      <x:c r="U324" s="373"/>
      <x:c r="V324" s="373"/>
      <x:c r="W324" s="373"/>
      <x:c r="X324" s="373"/>
      <x:c r="Y324" s="373"/>
      <x:c r="Z324" s="373"/>
    </x:row>
    <x:row r="325">
      <x:c r="A325" s="373"/>
      <x:c r="B325" s="373"/>
      <x:c r="C325" s="373"/>
      <x:c r="D325" s="373"/>
      <x:c r="E325" s="373"/>
      <x:c r="F325" s="373"/>
      <x:c r="G325" s="373"/>
      <x:c r="H325" s="373"/>
      <x:c r="I325" s="373"/>
      <x:c r="J325" s="373"/>
      <x:c r="K325" s="373"/>
      <x:c r="L325" s="373"/>
      <x:c r="M325" s="373"/>
      <x:c r="N325" s="373"/>
      <x:c r="O325" s="373"/>
      <x:c r="P325" s="373"/>
      <x:c r="Q325" s="373"/>
      <x:c r="R325" s="373"/>
      <x:c r="S325" s="373"/>
      <x:c r="T325" s="373"/>
      <x:c r="U325" s="373"/>
      <x:c r="V325" s="373"/>
      <x:c r="W325" s="373"/>
      <x:c r="X325" s="373"/>
      <x:c r="Y325" s="373"/>
      <x:c r="Z325" s="373"/>
    </x:row>
    <x:row r="326">
      <x:c r="A326" s="373"/>
      <x:c r="B326" s="373"/>
      <x:c r="C326" s="373"/>
      <x:c r="D326" s="373"/>
      <x:c r="E326" s="373"/>
      <x:c r="F326" s="373"/>
      <x:c r="G326" s="373"/>
      <x:c r="H326" s="373"/>
      <x:c r="I326" s="373"/>
      <x:c r="J326" s="373"/>
      <x:c r="K326" s="373"/>
      <x:c r="L326" s="373"/>
      <x:c r="M326" s="373"/>
      <x:c r="N326" s="373"/>
      <x:c r="O326" s="373"/>
      <x:c r="P326" s="373"/>
      <x:c r="Q326" s="373"/>
      <x:c r="R326" s="373"/>
      <x:c r="S326" s="373"/>
      <x:c r="T326" s="373"/>
      <x:c r="U326" s="373"/>
      <x:c r="V326" s="373"/>
      <x:c r="W326" s="373"/>
      <x:c r="X326" s="373"/>
      <x:c r="Y326" s="373"/>
      <x:c r="Z326" s="373"/>
    </x:row>
    <x:row r="327">
      <x:c r="A327" s="373"/>
      <x:c r="B327" s="373"/>
      <x:c r="C327" s="373"/>
      <x:c r="D327" s="373"/>
      <x:c r="E327" s="373"/>
      <x:c r="F327" s="373"/>
      <x:c r="G327" s="373"/>
      <x:c r="H327" s="373"/>
      <x:c r="I327" s="373"/>
      <x:c r="J327" s="373"/>
      <x:c r="K327" s="373"/>
      <x:c r="L327" s="373"/>
      <x:c r="M327" s="373"/>
      <x:c r="N327" s="373"/>
      <x:c r="O327" s="373"/>
      <x:c r="P327" s="373"/>
      <x:c r="Q327" s="373"/>
      <x:c r="R327" s="373"/>
      <x:c r="S327" s="373"/>
      <x:c r="T327" s="373"/>
      <x:c r="U327" s="373"/>
      <x:c r="V327" s="373"/>
      <x:c r="W327" s="373"/>
      <x:c r="X327" s="373"/>
      <x:c r="Y327" s="373"/>
      <x:c r="Z327" s="373"/>
    </x:row>
    <x:row r="328">
      <x:c r="A328" s="373"/>
      <x:c r="B328" s="373"/>
      <x:c r="C328" s="373"/>
      <x:c r="D328" s="373"/>
      <x:c r="E328" s="373"/>
      <x:c r="F328" s="373"/>
      <x:c r="G328" s="373"/>
      <x:c r="H328" s="373"/>
      <x:c r="I328" s="373"/>
      <x:c r="J328" s="373"/>
      <x:c r="K328" s="373"/>
      <x:c r="L328" s="373"/>
      <x:c r="M328" s="373"/>
      <x:c r="N328" s="373"/>
      <x:c r="O328" s="373"/>
      <x:c r="P328" s="373"/>
      <x:c r="Q328" s="373"/>
      <x:c r="R328" s="373"/>
      <x:c r="S328" s="373"/>
      <x:c r="T328" s="373"/>
      <x:c r="U328" s="373"/>
      <x:c r="V328" s="373"/>
      <x:c r="W328" s="373"/>
      <x:c r="X328" s="373"/>
      <x:c r="Y328" s="373"/>
      <x:c r="Z328" s="373"/>
    </x:row>
    <x:row r="329">
      <x:c r="A329" s="373"/>
      <x:c r="B329" s="373"/>
      <x:c r="C329" s="373"/>
      <x:c r="D329" s="373"/>
      <x:c r="E329" s="373"/>
      <x:c r="F329" s="373"/>
      <x:c r="G329" s="373"/>
      <x:c r="H329" s="373"/>
      <x:c r="I329" s="373"/>
      <x:c r="J329" s="373"/>
      <x:c r="K329" s="373"/>
      <x:c r="L329" s="373"/>
      <x:c r="M329" s="373"/>
      <x:c r="N329" s="373"/>
      <x:c r="O329" s="373"/>
      <x:c r="P329" s="373"/>
      <x:c r="Q329" s="373"/>
      <x:c r="R329" s="373"/>
      <x:c r="S329" s="373"/>
      <x:c r="T329" s="373"/>
      <x:c r="U329" s="373"/>
      <x:c r="V329" s="373"/>
      <x:c r="W329" s="373"/>
      <x:c r="X329" s="373"/>
      <x:c r="Y329" s="373"/>
      <x:c r="Z329" s="373"/>
    </x:row>
    <x:row r="330">
      <x:c r="A330" s="373"/>
      <x:c r="B330" s="373"/>
      <x:c r="C330" s="373"/>
      <x:c r="D330" s="373"/>
      <x:c r="E330" s="373"/>
      <x:c r="F330" s="373"/>
      <x:c r="G330" s="373"/>
      <x:c r="H330" s="373"/>
      <x:c r="I330" s="373"/>
      <x:c r="J330" s="373"/>
      <x:c r="K330" s="373"/>
      <x:c r="L330" s="373"/>
      <x:c r="M330" s="373"/>
      <x:c r="N330" s="373"/>
      <x:c r="O330" s="373"/>
      <x:c r="P330" s="373"/>
      <x:c r="Q330" s="373"/>
      <x:c r="R330" s="373"/>
      <x:c r="S330" s="373"/>
      <x:c r="T330" s="373"/>
      <x:c r="U330" s="373"/>
      <x:c r="V330" s="373"/>
      <x:c r="W330" s="373"/>
      <x:c r="X330" s="373"/>
      <x:c r="Y330" s="373"/>
      <x:c r="Z330" s="373"/>
    </x:row>
    <x:row r="331">
      <x:c r="A331" s="373"/>
      <x:c r="B331" s="373"/>
      <x:c r="C331" s="373"/>
      <x:c r="D331" s="373"/>
      <x:c r="E331" s="373"/>
      <x:c r="F331" s="373"/>
      <x:c r="G331" s="373"/>
      <x:c r="H331" s="373"/>
      <x:c r="I331" s="373"/>
      <x:c r="J331" s="373"/>
      <x:c r="K331" s="373"/>
      <x:c r="L331" s="373"/>
      <x:c r="M331" s="373"/>
      <x:c r="N331" s="373"/>
      <x:c r="O331" s="373"/>
      <x:c r="P331" s="373"/>
      <x:c r="Q331" s="373"/>
      <x:c r="R331" s="373"/>
      <x:c r="S331" s="373"/>
      <x:c r="T331" s="373"/>
      <x:c r="U331" s="373"/>
      <x:c r="V331" s="373"/>
      <x:c r="W331" s="373"/>
      <x:c r="X331" s="373"/>
      <x:c r="Y331" s="373"/>
      <x:c r="Z331" s="373"/>
    </x:row>
    <x:row r="332">
      <x:c r="A332" s="373"/>
      <x:c r="B332" s="373"/>
      <x:c r="C332" s="373"/>
      <x:c r="D332" s="373"/>
      <x:c r="E332" s="373"/>
      <x:c r="F332" s="373"/>
      <x:c r="G332" s="373"/>
      <x:c r="H332" s="373"/>
      <x:c r="I332" s="373"/>
      <x:c r="J332" s="373"/>
      <x:c r="K332" s="373"/>
      <x:c r="L332" s="373"/>
      <x:c r="M332" s="373"/>
      <x:c r="N332" s="373"/>
      <x:c r="O332" s="373"/>
      <x:c r="P332" s="373"/>
      <x:c r="Q332" s="373"/>
      <x:c r="R332" s="373"/>
      <x:c r="S332" s="373"/>
      <x:c r="T332" s="373"/>
      <x:c r="U332" s="373"/>
      <x:c r="V332" s="373"/>
      <x:c r="W332" s="373"/>
      <x:c r="X332" s="373"/>
      <x:c r="Y332" s="373"/>
      <x:c r="Z332" s="373"/>
    </x:row>
    <x:row r="333">
      <x:c r="A333" s="373"/>
      <x:c r="B333" s="373"/>
      <x:c r="C333" s="373"/>
      <x:c r="D333" s="373"/>
      <x:c r="E333" s="373"/>
      <x:c r="F333" s="373"/>
      <x:c r="G333" s="373"/>
      <x:c r="H333" s="373"/>
      <x:c r="I333" s="373"/>
      <x:c r="J333" s="373"/>
      <x:c r="K333" s="373"/>
      <x:c r="L333" s="373"/>
      <x:c r="M333" s="373"/>
      <x:c r="N333" s="373"/>
      <x:c r="O333" s="373"/>
      <x:c r="P333" s="373"/>
      <x:c r="Q333" s="373"/>
      <x:c r="R333" s="373"/>
      <x:c r="S333" s="373"/>
      <x:c r="T333" s="373"/>
      <x:c r="U333" s="373"/>
      <x:c r="V333" s="373"/>
      <x:c r="W333" s="373"/>
      <x:c r="X333" s="373"/>
      <x:c r="Y333" s="373"/>
      <x:c r="Z333" s="373"/>
    </x:row>
    <x:row r="334">
      <x:c r="A334" s="373"/>
      <x:c r="B334" s="373"/>
      <x:c r="C334" s="373"/>
      <x:c r="D334" s="373"/>
      <x:c r="E334" s="373"/>
      <x:c r="F334" s="373"/>
      <x:c r="G334" s="373"/>
      <x:c r="H334" s="373"/>
      <x:c r="I334" s="373"/>
      <x:c r="J334" s="373"/>
      <x:c r="K334" s="373"/>
      <x:c r="L334" s="373"/>
      <x:c r="M334" s="373"/>
      <x:c r="N334" s="373"/>
      <x:c r="O334" s="373"/>
      <x:c r="P334" s="373"/>
      <x:c r="Q334" s="373"/>
      <x:c r="R334" s="373"/>
      <x:c r="S334" s="373"/>
      <x:c r="T334" s="373"/>
      <x:c r="U334" s="373"/>
      <x:c r="V334" s="373"/>
      <x:c r="W334" s="373"/>
      <x:c r="X334" s="373"/>
      <x:c r="Y334" s="373"/>
      <x:c r="Z334" s="373"/>
    </x:row>
    <x:row r="335">
      <x:c r="A335" s="373"/>
      <x:c r="B335" s="373"/>
      <x:c r="C335" s="373"/>
      <x:c r="D335" s="373"/>
      <x:c r="E335" s="373"/>
      <x:c r="F335" s="373"/>
      <x:c r="G335" s="373"/>
      <x:c r="H335" s="373"/>
      <x:c r="I335" s="373"/>
      <x:c r="J335" s="373"/>
      <x:c r="K335" s="373"/>
      <x:c r="L335" s="373"/>
      <x:c r="M335" s="373"/>
      <x:c r="N335" s="373"/>
      <x:c r="O335" s="373"/>
      <x:c r="P335" s="373"/>
      <x:c r="Q335" s="373"/>
      <x:c r="R335" s="373"/>
      <x:c r="S335" s="373"/>
      <x:c r="T335" s="373"/>
      <x:c r="U335" s="373"/>
      <x:c r="V335" s="373"/>
      <x:c r="W335" s="373"/>
      <x:c r="X335" s="373"/>
      <x:c r="Y335" s="373"/>
      <x:c r="Z335" s="373"/>
    </x:row>
    <x:row r="336">
      <x:c r="A336" s="373"/>
      <x:c r="B336" s="373"/>
      <x:c r="C336" s="373"/>
      <x:c r="D336" s="373"/>
      <x:c r="E336" s="373"/>
      <x:c r="F336" s="373"/>
      <x:c r="G336" s="373"/>
      <x:c r="H336" s="373"/>
      <x:c r="I336" s="373"/>
      <x:c r="J336" s="373"/>
      <x:c r="K336" s="373"/>
      <x:c r="L336" s="373"/>
      <x:c r="M336" s="373"/>
      <x:c r="N336" s="373"/>
      <x:c r="O336" s="373"/>
      <x:c r="P336" s="373"/>
      <x:c r="Q336" s="373"/>
      <x:c r="R336" s="373"/>
      <x:c r="S336" s="373"/>
      <x:c r="T336" s="373"/>
      <x:c r="U336" s="373"/>
      <x:c r="V336" s="373"/>
      <x:c r="W336" s="373"/>
      <x:c r="X336" s="373"/>
      <x:c r="Y336" s="373"/>
      <x:c r="Z336" s="373"/>
    </x:row>
    <x:row r="337">
      <x:c r="A337" s="373"/>
      <x:c r="B337" s="373"/>
      <x:c r="C337" s="373"/>
      <x:c r="D337" s="373"/>
      <x:c r="E337" s="373"/>
      <x:c r="F337" s="373"/>
      <x:c r="G337" s="373"/>
      <x:c r="H337" s="373"/>
      <x:c r="I337" s="373"/>
      <x:c r="J337" s="373"/>
      <x:c r="K337" s="373"/>
      <x:c r="L337" s="373"/>
      <x:c r="M337" s="373"/>
      <x:c r="N337" s="373"/>
      <x:c r="O337" s="373"/>
      <x:c r="P337" s="373"/>
      <x:c r="Q337" s="373"/>
      <x:c r="R337" s="373"/>
      <x:c r="S337" s="373"/>
      <x:c r="T337" s="373"/>
      <x:c r="U337" s="373"/>
      <x:c r="V337" s="373"/>
      <x:c r="W337" s="373"/>
      <x:c r="X337" s="373"/>
      <x:c r="Y337" s="373"/>
      <x:c r="Z337" s="373"/>
    </x:row>
    <x:row r="338">
      <x:c r="A338" s="373"/>
      <x:c r="B338" s="373"/>
      <x:c r="C338" s="373"/>
      <x:c r="D338" s="373"/>
      <x:c r="E338" s="373"/>
      <x:c r="F338" s="373"/>
      <x:c r="G338" s="373"/>
      <x:c r="H338" s="373"/>
      <x:c r="I338" s="373"/>
      <x:c r="J338" s="373"/>
      <x:c r="K338" s="373"/>
      <x:c r="L338" s="373"/>
      <x:c r="M338" s="373"/>
      <x:c r="N338" s="373"/>
      <x:c r="O338" s="373"/>
      <x:c r="P338" s="373"/>
      <x:c r="Q338" s="373"/>
      <x:c r="R338" s="373"/>
      <x:c r="S338" s="373"/>
      <x:c r="T338" s="373"/>
      <x:c r="U338" s="373"/>
      <x:c r="V338" s="373"/>
      <x:c r="W338" s="373"/>
      <x:c r="X338" s="373"/>
      <x:c r="Y338" s="373"/>
      <x:c r="Z338" s="373"/>
    </x:row>
    <x:row r="339">
      <x:c r="A339" s="373"/>
      <x:c r="B339" s="373"/>
      <x:c r="C339" s="373"/>
      <x:c r="D339" s="373"/>
      <x:c r="E339" s="373"/>
      <x:c r="F339" s="373"/>
      <x:c r="G339" s="373"/>
      <x:c r="H339" s="373"/>
      <x:c r="I339" s="373"/>
      <x:c r="J339" s="373"/>
      <x:c r="K339" s="373"/>
      <x:c r="L339" s="373"/>
      <x:c r="M339" s="373"/>
      <x:c r="N339" s="373"/>
      <x:c r="O339" s="373"/>
      <x:c r="P339" s="373"/>
      <x:c r="Q339" s="373"/>
      <x:c r="R339" s="373"/>
      <x:c r="S339" s="373"/>
      <x:c r="T339" s="373"/>
      <x:c r="U339" s="373"/>
      <x:c r="V339" s="373"/>
      <x:c r="W339" s="373"/>
      <x:c r="X339" s="373"/>
      <x:c r="Y339" s="373"/>
      <x:c r="Z339" s="373"/>
    </x:row>
    <x:row r="340">
      <x:c r="A340" s="373"/>
      <x:c r="B340" s="373"/>
      <x:c r="C340" s="373"/>
      <x:c r="D340" s="373"/>
      <x:c r="E340" s="373"/>
      <x:c r="F340" s="373"/>
      <x:c r="G340" s="373"/>
      <x:c r="H340" s="373"/>
      <x:c r="I340" s="373"/>
      <x:c r="J340" s="373"/>
      <x:c r="K340" s="373"/>
      <x:c r="L340" s="373"/>
      <x:c r="M340" s="373"/>
      <x:c r="N340" s="373"/>
      <x:c r="O340" s="373"/>
      <x:c r="P340" s="373"/>
      <x:c r="Q340" s="373"/>
      <x:c r="R340" s="373"/>
      <x:c r="S340" s="373"/>
      <x:c r="T340" s="373"/>
      <x:c r="U340" s="373"/>
      <x:c r="V340" s="373"/>
      <x:c r="W340" s="373"/>
      <x:c r="X340" s="373"/>
      <x:c r="Y340" s="373"/>
      <x:c r="Z340" s="373"/>
    </x:row>
    <x:row r="341">
      <x:c r="A341" s="373"/>
      <x:c r="B341" s="373"/>
      <x:c r="C341" s="373"/>
      <x:c r="D341" s="373"/>
      <x:c r="E341" s="373"/>
      <x:c r="F341" s="373"/>
      <x:c r="G341" s="373"/>
      <x:c r="H341" s="373"/>
      <x:c r="I341" s="373"/>
      <x:c r="J341" s="373"/>
      <x:c r="K341" s="373"/>
      <x:c r="L341" s="373"/>
      <x:c r="M341" s="373"/>
      <x:c r="N341" s="373"/>
      <x:c r="O341" s="373"/>
      <x:c r="P341" s="373"/>
      <x:c r="Q341" s="373"/>
      <x:c r="R341" s="373"/>
      <x:c r="S341" s="373"/>
      <x:c r="T341" s="373"/>
      <x:c r="U341" s="373"/>
      <x:c r="V341" s="373"/>
      <x:c r="W341" s="373"/>
      <x:c r="X341" s="373"/>
      <x:c r="Y341" s="373"/>
      <x:c r="Z341" s="373"/>
    </x:row>
    <x:row r="342">
      <x:c r="A342" s="373"/>
      <x:c r="B342" s="373"/>
      <x:c r="C342" s="373"/>
      <x:c r="D342" s="373"/>
      <x:c r="E342" s="373"/>
      <x:c r="F342" s="373"/>
      <x:c r="G342" s="373"/>
      <x:c r="H342" s="373"/>
      <x:c r="I342" s="373"/>
      <x:c r="J342" s="373"/>
      <x:c r="K342" s="373"/>
      <x:c r="L342" s="373"/>
      <x:c r="M342" s="373"/>
      <x:c r="N342" s="373"/>
      <x:c r="O342" s="373"/>
      <x:c r="P342" s="373"/>
      <x:c r="Q342" s="373"/>
      <x:c r="R342" s="373"/>
      <x:c r="S342" s="373"/>
      <x:c r="T342" s="373"/>
      <x:c r="U342" s="373"/>
      <x:c r="V342" s="373"/>
      <x:c r="W342" s="373"/>
      <x:c r="X342" s="373"/>
      <x:c r="Y342" s="373"/>
      <x:c r="Z342" s="373"/>
    </x:row>
    <x:row r="343">
      <x:c r="A343" s="373"/>
      <x:c r="B343" s="373"/>
      <x:c r="C343" s="373"/>
      <x:c r="D343" s="373"/>
      <x:c r="E343" s="373"/>
      <x:c r="F343" s="373"/>
      <x:c r="G343" s="373"/>
      <x:c r="H343" s="373"/>
      <x:c r="I343" s="373"/>
      <x:c r="J343" s="373"/>
      <x:c r="K343" s="373"/>
      <x:c r="L343" s="373"/>
      <x:c r="M343" s="373"/>
      <x:c r="N343" s="373"/>
      <x:c r="O343" s="373"/>
      <x:c r="P343" s="373"/>
      <x:c r="Q343" s="373"/>
      <x:c r="R343" s="373"/>
      <x:c r="S343" s="373"/>
      <x:c r="T343" s="373"/>
      <x:c r="U343" s="373"/>
      <x:c r="V343" s="373"/>
      <x:c r="W343" s="373"/>
      <x:c r="X343" s="373"/>
      <x:c r="Y343" s="373"/>
      <x:c r="Z343" s="373"/>
    </x:row>
    <x:row r="344">
      <x:c r="A344" s="373"/>
      <x:c r="B344" s="373"/>
      <x:c r="C344" s="373"/>
      <x:c r="D344" s="373"/>
      <x:c r="E344" s="373"/>
      <x:c r="F344" s="373"/>
      <x:c r="G344" s="373"/>
      <x:c r="H344" s="373"/>
      <x:c r="I344" s="373"/>
      <x:c r="J344" s="373"/>
      <x:c r="K344" s="373"/>
      <x:c r="L344" s="373"/>
      <x:c r="M344" s="373"/>
      <x:c r="N344" s="373"/>
      <x:c r="O344" s="373"/>
      <x:c r="P344" s="373"/>
      <x:c r="Q344" s="373"/>
      <x:c r="R344" s="373"/>
      <x:c r="S344" s="373"/>
      <x:c r="T344" s="373"/>
      <x:c r="U344" s="373"/>
      <x:c r="V344" s="373"/>
      <x:c r="W344" s="373"/>
      <x:c r="X344" s="373"/>
      <x:c r="Y344" s="373"/>
      <x:c r="Z344" s="373"/>
    </x:row>
    <x:row r="345">
      <x:c r="A345" s="373"/>
      <x:c r="B345" s="373"/>
      <x:c r="C345" s="373"/>
      <x:c r="D345" s="373"/>
      <x:c r="E345" s="373"/>
      <x:c r="F345" s="373"/>
      <x:c r="G345" s="373"/>
      <x:c r="H345" s="373"/>
      <x:c r="I345" s="373"/>
      <x:c r="J345" s="373"/>
      <x:c r="K345" s="373"/>
      <x:c r="L345" s="373"/>
      <x:c r="M345" s="373"/>
      <x:c r="N345" s="373"/>
      <x:c r="O345" s="373"/>
      <x:c r="P345" s="373"/>
      <x:c r="Q345" s="373"/>
      <x:c r="R345" s="373"/>
      <x:c r="S345" s="373"/>
      <x:c r="T345" s="373"/>
      <x:c r="U345" s="373"/>
      <x:c r="V345" s="373"/>
      <x:c r="W345" s="373"/>
      <x:c r="X345" s="373"/>
      <x:c r="Y345" s="373"/>
      <x:c r="Z345" s="373"/>
    </x:row>
    <x:row r="346">
      <x:c r="A346" s="373"/>
      <x:c r="B346" s="373"/>
      <x:c r="C346" s="373"/>
      <x:c r="D346" s="373"/>
      <x:c r="E346" s="373"/>
      <x:c r="F346" s="373"/>
      <x:c r="G346" s="373"/>
      <x:c r="H346" s="373"/>
      <x:c r="I346" s="373"/>
      <x:c r="J346" s="373"/>
      <x:c r="K346" s="373"/>
      <x:c r="L346" s="373"/>
      <x:c r="M346" s="373"/>
      <x:c r="N346" s="373"/>
      <x:c r="O346" s="373"/>
      <x:c r="P346" s="373"/>
      <x:c r="Q346" s="373"/>
      <x:c r="R346" s="373"/>
      <x:c r="S346" s="373"/>
      <x:c r="T346" s="373"/>
      <x:c r="U346" s="373"/>
      <x:c r="V346" s="373"/>
      <x:c r="W346" s="373"/>
      <x:c r="X346" s="373"/>
      <x:c r="Y346" s="373"/>
      <x:c r="Z346" s="373"/>
    </x:row>
    <x:row r="347">
      <x:c r="A347" s="373"/>
      <x:c r="B347" s="373"/>
      <x:c r="C347" s="373"/>
      <x:c r="D347" s="373"/>
      <x:c r="E347" s="373"/>
      <x:c r="F347" s="373"/>
      <x:c r="G347" s="373"/>
      <x:c r="H347" s="373"/>
      <x:c r="I347" s="373"/>
      <x:c r="J347" s="373"/>
      <x:c r="K347" s="373"/>
      <x:c r="L347" s="373"/>
      <x:c r="M347" s="373"/>
      <x:c r="N347" s="373"/>
      <x:c r="O347" s="373"/>
      <x:c r="P347" s="373"/>
      <x:c r="Q347" s="373"/>
      <x:c r="R347" s="373"/>
      <x:c r="S347" s="373"/>
      <x:c r="T347" s="373"/>
      <x:c r="U347" s="373"/>
      <x:c r="V347" s="373"/>
      <x:c r="W347" s="373"/>
      <x:c r="X347" s="373"/>
      <x:c r="Y347" s="373"/>
      <x:c r="Z347" s="373"/>
    </x:row>
    <x:row r="348">
      <x:c r="A348" s="373"/>
      <x:c r="B348" s="373"/>
      <x:c r="C348" s="373"/>
      <x:c r="D348" s="373"/>
      <x:c r="E348" s="373"/>
      <x:c r="F348" s="373"/>
      <x:c r="G348" s="373"/>
      <x:c r="H348" s="373"/>
      <x:c r="I348" s="373"/>
      <x:c r="J348" s="373"/>
      <x:c r="K348" s="373"/>
      <x:c r="L348" s="373"/>
      <x:c r="M348" s="373"/>
      <x:c r="N348" s="373"/>
      <x:c r="O348" s="373"/>
      <x:c r="P348" s="373"/>
      <x:c r="Q348" s="373"/>
      <x:c r="R348" s="373"/>
      <x:c r="S348" s="373"/>
      <x:c r="T348" s="373"/>
      <x:c r="U348" s="373"/>
      <x:c r="V348" s="373"/>
      <x:c r="W348" s="373"/>
      <x:c r="X348" s="373"/>
      <x:c r="Y348" s="373"/>
      <x:c r="Z348" s="373"/>
    </x:row>
    <x:row r="349">
      <x:c r="A349" s="373"/>
      <x:c r="B349" s="373"/>
      <x:c r="C349" s="373"/>
      <x:c r="D349" s="373"/>
      <x:c r="E349" s="373"/>
      <x:c r="F349" s="373"/>
      <x:c r="G349" s="373"/>
      <x:c r="H349" s="373"/>
      <x:c r="I349" s="373"/>
      <x:c r="J349" s="373"/>
      <x:c r="K349" s="373"/>
      <x:c r="L349" s="373"/>
      <x:c r="M349" s="373"/>
      <x:c r="N349" s="373"/>
      <x:c r="O349" s="373"/>
      <x:c r="P349" s="373"/>
      <x:c r="Q349" s="373"/>
      <x:c r="R349" s="373"/>
      <x:c r="S349" s="373"/>
      <x:c r="T349" s="373"/>
      <x:c r="U349" s="373"/>
      <x:c r="V349" s="373"/>
      <x:c r="W349" s="373"/>
      <x:c r="X349" s="373"/>
      <x:c r="Y349" s="373"/>
      <x:c r="Z349" s="373"/>
    </x:row>
    <x:row r="350">
      <x:c r="A350" s="373"/>
      <x:c r="B350" s="373"/>
      <x:c r="C350" s="373"/>
      <x:c r="D350" s="373"/>
      <x:c r="E350" s="373"/>
      <x:c r="F350" s="373"/>
      <x:c r="G350" s="373"/>
      <x:c r="H350" s="373"/>
      <x:c r="I350" s="373"/>
      <x:c r="J350" s="373"/>
      <x:c r="K350" s="373"/>
      <x:c r="L350" s="373"/>
      <x:c r="M350" s="373"/>
      <x:c r="N350" s="373"/>
      <x:c r="O350" s="373"/>
      <x:c r="P350" s="373"/>
      <x:c r="Q350" s="373"/>
      <x:c r="R350" s="373"/>
      <x:c r="S350" s="373"/>
      <x:c r="T350" s="373"/>
      <x:c r="U350" s="373"/>
      <x:c r="V350" s="373"/>
      <x:c r="W350" s="373"/>
      <x:c r="X350" s="373"/>
      <x:c r="Y350" s="373"/>
      <x:c r="Z350" s="373"/>
    </x:row>
    <x:row r="351">
      <x:c r="A351" s="373"/>
      <x:c r="B351" s="373"/>
      <x:c r="C351" s="373"/>
      <x:c r="D351" s="373"/>
      <x:c r="E351" s="373"/>
      <x:c r="F351" s="373"/>
      <x:c r="G351" s="373"/>
      <x:c r="H351" s="373"/>
      <x:c r="I351" s="373"/>
      <x:c r="J351" s="373"/>
      <x:c r="K351" s="373"/>
      <x:c r="L351" s="373"/>
      <x:c r="M351" s="373"/>
      <x:c r="N351" s="373"/>
      <x:c r="O351" s="373"/>
      <x:c r="P351" s="373"/>
      <x:c r="Q351" s="373"/>
      <x:c r="R351" s="373"/>
      <x:c r="S351" s="373"/>
      <x:c r="T351" s="373"/>
      <x:c r="U351" s="373"/>
      <x:c r="V351" s="373"/>
      <x:c r="W351" s="373"/>
      <x:c r="X351" s="373"/>
      <x:c r="Y351" s="373"/>
      <x:c r="Z351" s="373"/>
    </x:row>
    <x:row r="352">
      <x:c r="A352" s="373"/>
      <x:c r="B352" s="373"/>
      <x:c r="C352" s="373"/>
      <x:c r="D352" s="373"/>
      <x:c r="E352" s="373"/>
      <x:c r="F352" s="373"/>
      <x:c r="G352" s="373"/>
      <x:c r="H352" s="373"/>
      <x:c r="I352" s="373"/>
      <x:c r="J352" s="373"/>
      <x:c r="K352" s="373"/>
      <x:c r="L352" s="373"/>
      <x:c r="M352" s="373"/>
      <x:c r="N352" s="373"/>
      <x:c r="O352" s="373"/>
      <x:c r="P352" s="373"/>
      <x:c r="Q352" s="373"/>
      <x:c r="R352" s="373"/>
      <x:c r="S352" s="373"/>
      <x:c r="T352" s="373"/>
      <x:c r="U352" s="373"/>
      <x:c r="V352" s="373"/>
      <x:c r="W352" s="373"/>
      <x:c r="X352" s="373"/>
      <x:c r="Y352" s="373"/>
      <x:c r="Z352" s="373"/>
    </x:row>
    <x:row r="353">
      <x:c r="A353" s="373"/>
      <x:c r="B353" s="373"/>
      <x:c r="C353" s="373"/>
      <x:c r="D353" s="373"/>
      <x:c r="E353" s="373"/>
      <x:c r="F353" s="373"/>
      <x:c r="G353" s="373"/>
      <x:c r="H353" s="373"/>
      <x:c r="I353" s="373"/>
      <x:c r="J353" s="373"/>
      <x:c r="K353" s="373"/>
      <x:c r="L353" s="373"/>
      <x:c r="M353" s="373"/>
      <x:c r="N353" s="373"/>
      <x:c r="O353" s="373"/>
      <x:c r="P353" s="373"/>
      <x:c r="Q353" s="373"/>
      <x:c r="R353" s="373"/>
      <x:c r="S353" s="373"/>
      <x:c r="T353" s="373"/>
      <x:c r="U353" s="373"/>
      <x:c r="V353" s="373"/>
      <x:c r="W353" s="373"/>
      <x:c r="X353" s="373"/>
      <x:c r="Y353" s="373"/>
      <x:c r="Z353" s="373"/>
    </x:row>
    <x:row r="354">
      <x:c r="A354" s="373"/>
      <x:c r="B354" s="373"/>
      <x:c r="C354" s="373"/>
      <x:c r="D354" s="373"/>
      <x:c r="E354" s="373"/>
      <x:c r="F354" s="373"/>
      <x:c r="G354" s="373"/>
      <x:c r="H354" s="373"/>
      <x:c r="I354" s="373"/>
      <x:c r="J354" s="373"/>
      <x:c r="K354" s="373"/>
      <x:c r="L354" s="373"/>
      <x:c r="M354" s="373"/>
      <x:c r="N354" s="373"/>
      <x:c r="O354" s="373"/>
      <x:c r="P354" s="373"/>
      <x:c r="Q354" s="373"/>
      <x:c r="R354" s="373"/>
      <x:c r="S354" s="373"/>
      <x:c r="T354" s="373"/>
      <x:c r="U354" s="373"/>
      <x:c r="V354" s="373"/>
      <x:c r="W354" s="373"/>
      <x:c r="X354" s="373"/>
      <x:c r="Y354" s="373"/>
      <x:c r="Z354" s="373"/>
    </x:row>
    <x:row r="355">
      <x:c r="A355" s="373"/>
      <x:c r="B355" s="373"/>
      <x:c r="C355" s="373"/>
      <x:c r="D355" s="373"/>
      <x:c r="E355" s="373"/>
      <x:c r="F355" s="373"/>
      <x:c r="G355" s="373"/>
      <x:c r="H355" s="373"/>
      <x:c r="I355" s="373"/>
      <x:c r="J355" s="373"/>
      <x:c r="K355" s="373"/>
      <x:c r="L355" s="373"/>
      <x:c r="M355" s="373"/>
      <x:c r="N355" s="373"/>
      <x:c r="O355" s="373"/>
      <x:c r="P355" s="373"/>
      <x:c r="Q355" s="373"/>
      <x:c r="R355" s="373"/>
      <x:c r="S355" s="373"/>
      <x:c r="T355" s="373"/>
      <x:c r="U355" s="373"/>
      <x:c r="V355" s="373"/>
      <x:c r="W355" s="373"/>
      <x:c r="X355" s="373"/>
      <x:c r="Y355" s="373"/>
      <x:c r="Z355" s="373"/>
    </x:row>
    <x:row r="356">
      <x:c r="A356" s="373"/>
      <x:c r="B356" s="373"/>
      <x:c r="C356" s="373"/>
      <x:c r="D356" s="373"/>
      <x:c r="E356" s="373"/>
      <x:c r="F356" s="373"/>
      <x:c r="G356" s="373"/>
      <x:c r="H356" s="373"/>
      <x:c r="I356" s="373"/>
      <x:c r="J356" s="373"/>
      <x:c r="K356" s="373"/>
      <x:c r="L356" s="373"/>
      <x:c r="M356" s="373"/>
      <x:c r="N356" s="373"/>
      <x:c r="O356" s="373"/>
      <x:c r="P356" s="373"/>
      <x:c r="Q356" s="373"/>
      <x:c r="R356" s="373"/>
      <x:c r="S356" s="373"/>
      <x:c r="T356" s="373"/>
      <x:c r="U356" s="373"/>
      <x:c r="V356" s="373"/>
      <x:c r="W356" s="373"/>
      <x:c r="X356" s="373"/>
      <x:c r="Y356" s="373"/>
      <x:c r="Z356" s="373"/>
    </x:row>
    <x:row r="357">
      <x:c r="A357" s="373"/>
      <x:c r="B357" s="373"/>
      <x:c r="C357" s="373"/>
      <x:c r="D357" s="373"/>
      <x:c r="E357" s="373"/>
      <x:c r="F357" s="373"/>
      <x:c r="G357" s="373"/>
      <x:c r="H357" s="373"/>
      <x:c r="I357" s="373"/>
      <x:c r="J357" s="373"/>
      <x:c r="K357" s="373"/>
      <x:c r="L357" s="373"/>
      <x:c r="M357" s="373"/>
      <x:c r="N357" s="373"/>
      <x:c r="O357" s="373"/>
      <x:c r="P357" s="373"/>
      <x:c r="Q357" s="373"/>
      <x:c r="R357" s="373"/>
      <x:c r="S357" s="373"/>
      <x:c r="T357" s="373"/>
      <x:c r="U357" s="373"/>
      <x:c r="V357" s="373"/>
      <x:c r="W357" s="373"/>
      <x:c r="X357" s="373"/>
      <x:c r="Y357" s="373"/>
      <x:c r="Z357" s="373"/>
    </x:row>
    <x:row r="358">
      <x:c r="A358" s="373"/>
      <x:c r="B358" s="373"/>
      <x:c r="C358" s="373"/>
      <x:c r="D358" s="373"/>
      <x:c r="E358" s="373"/>
      <x:c r="F358" s="373"/>
      <x:c r="G358" s="373"/>
      <x:c r="H358" s="373"/>
      <x:c r="I358" s="373"/>
      <x:c r="J358" s="373"/>
      <x:c r="K358" s="373"/>
      <x:c r="L358" s="373"/>
      <x:c r="M358" s="373"/>
      <x:c r="N358" s="373"/>
      <x:c r="O358" s="373"/>
      <x:c r="P358" s="373"/>
      <x:c r="Q358" s="373"/>
      <x:c r="R358" s="373"/>
      <x:c r="S358" s="373"/>
      <x:c r="T358" s="373"/>
      <x:c r="U358" s="373"/>
      <x:c r="V358" s="373"/>
      <x:c r="W358" s="373"/>
      <x:c r="X358" s="373"/>
      <x:c r="Y358" s="373"/>
      <x:c r="Z358" s="373"/>
    </x:row>
    <x:row r="359">
      <x:c r="A359" s="373"/>
      <x:c r="B359" s="373"/>
      <x:c r="C359" s="373"/>
      <x:c r="D359" s="373"/>
      <x:c r="E359" s="373"/>
      <x:c r="F359" s="373"/>
      <x:c r="G359" s="373"/>
      <x:c r="H359" s="373"/>
      <x:c r="I359" s="373"/>
      <x:c r="J359" s="373"/>
      <x:c r="K359" s="373"/>
      <x:c r="L359" s="373"/>
      <x:c r="M359" s="373"/>
      <x:c r="N359" s="373"/>
      <x:c r="O359" s="373"/>
      <x:c r="P359" s="373"/>
      <x:c r="Q359" s="373"/>
      <x:c r="R359" s="373"/>
      <x:c r="S359" s="373"/>
      <x:c r="T359" s="373"/>
      <x:c r="U359" s="373"/>
      <x:c r="V359" s="373"/>
      <x:c r="W359" s="373"/>
      <x:c r="X359" s="373"/>
      <x:c r="Y359" s="373"/>
      <x:c r="Z359" s="373"/>
    </x:row>
    <x:row r="360">
      <x:c r="A360" s="373"/>
      <x:c r="B360" s="373"/>
      <x:c r="C360" s="373"/>
      <x:c r="D360" s="373"/>
      <x:c r="E360" s="373"/>
      <x:c r="F360" s="373"/>
      <x:c r="G360" s="373"/>
      <x:c r="H360" s="373"/>
      <x:c r="I360" s="373"/>
      <x:c r="J360" s="373"/>
      <x:c r="K360" s="373"/>
      <x:c r="L360" s="373"/>
      <x:c r="M360" s="373"/>
      <x:c r="N360" s="373"/>
      <x:c r="O360" s="373"/>
      <x:c r="P360" s="373"/>
      <x:c r="Q360" s="373"/>
      <x:c r="R360" s="373"/>
      <x:c r="S360" s="373"/>
      <x:c r="T360" s="373"/>
      <x:c r="U360" s="373"/>
      <x:c r="V360" s="373"/>
      <x:c r="W360" s="373"/>
      <x:c r="X360" s="373"/>
      <x:c r="Y360" s="373"/>
      <x:c r="Z360" s="373"/>
    </x:row>
    <x:row r="361">
      <x:c r="A361" s="373"/>
      <x:c r="B361" s="373"/>
      <x:c r="C361" s="373"/>
      <x:c r="D361" s="373"/>
      <x:c r="E361" s="373"/>
      <x:c r="F361" s="373"/>
      <x:c r="G361" s="373"/>
      <x:c r="H361" s="373"/>
      <x:c r="I361" s="373"/>
      <x:c r="J361" s="373"/>
      <x:c r="K361" s="373"/>
      <x:c r="L361" s="373"/>
      <x:c r="M361" s="373"/>
      <x:c r="N361" s="373"/>
      <x:c r="O361" s="373"/>
      <x:c r="P361" s="373"/>
      <x:c r="Q361" s="373"/>
      <x:c r="R361" s="373"/>
      <x:c r="S361" s="373"/>
      <x:c r="T361" s="373"/>
      <x:c r="U361" s="373"/>
      <x:c r="V361" s="373"/>
      <x:c r="W361" s="373"/>
      <x:c r="X361" s="373"/>
      <x:c r="Y361" s="373"/>
      <x:c r="Z361" s="373"/>
    </x:row>
    <x:row r="362">
      <x:c r="A362" s="373"/>
      <x:c r="B362" s="373"/>
      <x:c r="C362" s="373"/>
      <x:c r="D362" s="373"/>
      <x:c r="E362" s="373"/>
      <x:c r="F362" s="373"/>
      <x:c r="G362" s="373"/>
      <x:c r="H362" s="373"/>
      <x:c r="I362" s="373"/>
      <x:c r="J362" s="373"/>
      <x:c r="K362" s="373"/>
      <x:c r="L362" s="373"/>
      <x:c r="M362" s="373"/>
      <x:c r="N362" s="373"/>
      <x:c r="O362" s="373"/>
      <x:c r="P362" s="373"/>
      <x:c r="Q362" s="373"/>
      <x:c r="R362" s="373"/>
      <x:c r="S362" s="373"/>
      <x:c r="T362" s="373"/>
      <x:c r="U362" s="373"/>
      <x:c r="V362" s="373"/>
      <x:c r="W362" s="373"/>
      <x:c r="X362" s="373"/>
      <x:c r="Y362" s="373"/>
      <x:c r="Z362" s="373"/>
    </x:row>
    <x:row r="363">
      <x:c r="A363" s="373"/>
      <x:c r="B363" s="373"/>
      <x:c r="C363" s="373"/>
      <x:c r="D363" s="373"/>
      <x:c r="E363" s="373"/>
      <x:c r="F363" s="373"/>
      <x:c r="G363" s="373"/>
      <x:c r="H363" s="373"/>
      <x:c r="I363" s="373"/>
      <x:c r="J363" s="373"/>
      <x:c r="K363" s="373"/>
      <x:c r="L363" s="373"/>
      <x:c r="M363" s="373"/>
      <x:c r="N363" s="373"/>
      <x:c r="O363" s="373"/>
      <x:c r="P363" s="373"/>
      <x:c r="Q363" s="373"/>
      <x:c r="R363" s="373"/>
      <x:c r="S363" s="373"/>
      <x:c r="T363" s="373"/>
      <x:c r="U363" s="373"/>
      <x:c r="V363" s="373"/>
      <x:c r="W363" s="373"/>
      <x:c r="X363" s="373"/>
      <x:c r="Y363" s="373"/>
      <x:c r="Z363" s="373"/>
    </x:row>
    <x:row r="364">
      <x:c r="A364" s="373"/>
      <x:c r="B364" s="373"/>
      <x:c r="C364" s="373"/>
      <x:c r="D364" s="373"/>
      <x:c r="E364" s="373"/>
      <x:c r="F364" s="373"/>
      <x:c r="G364" s="373"/>
      <x:c r="H364" s="373"/>
      <x:c r="I364" s="373"/>
      <x:c r="J364" s="373"/>
      <x:c r="K364" s="373"/>
      <x:c r="L364" s="373"/>
      <x:c r="M364" s="373"/>
      <x:c r="N364" s="373"/>
      <x:c r="O364" s="373"/>
      <x:c r="P364" s="373"/>
      <x:c r="Q364" s="373"/>
      <x:c r="R364" s="373"/>
      <x:c r="S364" s="373"/>
      <x:c r="T364" s="373"/>
      <x:c r="U364" s="373"/>
      <x:c r="V364" s="373"/>
      <x:c r="W364" s="373"/>
      <x:c r="X364" s="373"/>
      <x:c r="Y364" s="373"/>
      <x:c r="Z364" s="373"/>
    </x:row>
    <x:row r="365">
      <x:c r="A365" s="373"/>
      <x:c r="B365" s="373"/>
      <x:c r="C365" s="373"/>
      <x:c r="D365" s="373"/>
      <x:c r="E365" s="373"/>
      <x:c r="F365" s="373"/>
      <x:c r="G365" s="373"/>
      <x:c r="H365" s="373"/>
      <x:c r="I365" s="373"/>
      <x:c r="J365" s="373"/>
      <x:c r="K365" s="373"/>
      <x:c r="L365" s="373"/>
      <x:c r="M365" s="373"/>
      <x:c r="N365" s="373"/>
      <x:c r="O365" s="373"/>
      <x:c r="P365" s="373"/>
      <x:c r="Q365" s="373"/>
      <x:c r="R365" s="373"/>
      <x:c r="S365" s="373"/>
      <x:c r="T365" s="373"/>
      <x:c r="U365" s="373"/>
      <x:c r="V365" s="373"/>
      <x:c r="W365" s="373"/>
      <x:c r="X365" s="373"/>
      <x:c r="Y365" s="373"/>
      <x:c r="Z365" s="373"/>
    </x:row>
    <x:row r="366">
      <x:c r="A366" s="373"/>
      <x:c r="B366" s="373"/>
      <x:c r="C366" s="373"/>
      <x:c r="D366" s="373"/>
      <x:c r="E366" s="373"/>
      <x:c r="F366" s="373"/>
      <x:c r="G366" s="373"/>
      <x:c r="H366" s="373"/>
      <x:c r="I366" s="373"/>
      <x:c r="J366" s="373"/>
      <x:c r="K366" s="373"/>
      <x:c r="L366" s="373"/>
      <x:c r="M366" s="373"/>
      <x:c r="N366" s="373"/>
      <x:c r="O366" s="373"/>
      <x:c r="P366" s="373"/>
      <x:c r="Q366" s="373"/>
      <x:c r="R366" s="373"/>
      <x:c r="S366" s="373"/>
      <x:c r="T366" s="373"/>
      <x:c r="U366" s="373"/>
      <x:c r="V366" s="373"/>
      <x:c r="W366" s="373"/>
      <x:c r="X366" s="373"/>
      <x:c r="Y366" s="373"/>
      <x:c r="Z366" s="373"/>
    </x:row>
    <x:row r="367">
      <x:c r="A367" s="373"/>
      <x:c r="B367" s="373"/>
      <x:c r="C367" s="373"/>
      <x:c r="D367" s="373"/>
      <x:c r="E367" s="373"/>
      <x:c r="F367" s="373"/>
      <x:c r="G367" s="373"/>
      <x:c r="H367" s="373"/>
      <x:c r="I367" s="373"/>
      <x:c r="J367" s="373"/>
      <x:c r="K367" s="373"/>
      <x:c r="L367" s="373"/>
      <x:c r="M367" s="373"/>
      <x:c r="N367" s="373"/>
      <x:c r="O367" s="373"/>
      <x:c r="P367" s="373"/>
      <x:c r="Q367" s="373"/>
      <x:c r="R367" s="373"/>
      <x:c r="S367" s="373"/>
      <x:c r="T367" s="373"/>
      <x:c r="U367" s="373"/>
      <x:c r="V367" s="373"/>
      <x:c r="W367" s="373"/>
      <x:c r="X367" s="373"/>
      <x:c r="Y367" s="373"/>
      <x:c r="Z367" s="373"/>
    </x:row>
    <x:row r="368">
      <x:c r="A368" s="373"/>
      <x:c r="B368" s="373"/>
      <x:c r="C368" s="373"/>
      <x:c r="D368" s="373"/>
      <x:c r="E368" s="373"/>
      <x:c r="F368" s="373"/>
      <x:c r="G368" s="373"/>
      <x:c r="H368" s="373"/>
      <x:c r="I368" s="373"/>
      <x:c r="J368" s="373"/>
      <x:c r="K368" s="373"/>
      <x:c r="L368" s="373"/>
      <x:c r="M368" s="373"/>
      <x:c r="N368" s="373"/>
      <x:c r="O368" s="373"/>
      <x:c r="P368" s="373"/>
      <x:c r="Q368" s="373"/>
      <x:c r="R368" s="373"/>
      <x:c r="S368" s="373"/>
      <x:c r="T368" s="373"/>
      <x:c r="U368" s="373"/>
      <x:c r="V368" s="373"/>
      <x:c r="W368" s="373"/>
      <x:c r="X368" s="373"/>
      <x:c r="Y368" s="373"/>
      <x:c r="Z368" s="373"/>
    </x:row>
    <x:row r="369">
      <x:c r="A369" s="373"/>
      <x:c r="B369" s="373"/>
      <x:c r="C369" s="373"/>
      <x:c r="D369" s="373"/>
      <x:c r="E369" s="373"/>
      <x:c r="F369" s="373"/>
      <x:c r="G369" s="373"/>
      <x:c r="H369" s="373"/>
      <x:c r="I369" s="373"/>
      <x:c r="J369" s="373"/>
      <x:c r="K369" s="373"/>
      <x:c r="L369" s="373"/>
      <x:c r="M369" s="373"/>
      <x:c r="N369" s="373"/>
      <x:c r="O369" s="373"/>
      <x:c r="P369" s="373"/>
      <x:c r="Q369" s="373"/>
      <x:c r="R369" s="373"/>
      <x:c r="S369" s="373"/>
      <x:c r="T369" s="373"/>
      <x:c r="U369" s="373"/>
      <x:c r="V369" s="373"/>
      <x:c r="W369" s="373"/>
      <x:c r="X369" s="373"/>
      <x:c r="Y369" s="373"/>
      <x:c r="Z369" s="373"/>
    </x:row>
    <x:row r="370">
      <x:c r="A370" s="373"/>
      <x:c r="B370" s="373"/>
      <x:c r="C370" s="373"/>
      <x:c r="D370" s="373"/>
      <x:c r="E370" s="373"/>
      <x:c r="F370" s="373"/>
      <x:c r="G370" s="373"/>
      <x:c r="H370" s="373"/>
      <x:c r="I370" s="373"/>
      <x:c r="J370" s="373"/>
      <x:c r="K370" s="373"/>
      <x:c r="L370" s="373"/>
      <x:c r="M370" s="373"/>
      <x:c r="N370" s="373"/>
      <x:c r="O370" s="373"/>
      <x:c r="P370" s="373"/>
      <x:c r="Q370" s="373"/>
      <x:c r="R370" s="373"/>
      <x:c r="S370" s="373"/>
      <x:c r="T370" s="373"/>
      <x:c r="U370" s="373"/>
      <x:c r="V370" s="373"/>
      <x:c r="W370" s="373"/>
      <x:c r="X370" s="373"/>
      <x:c r="Y370" s="373"/>
      <x:c r="Z370" s="373"/>
    </x:row>
    <x:row r="371">
      <x:c r="A371" s="373"/>
      <x:c r="B371" s="373"/>
      <x:c r="C371" s="373"/>
      <x:c r="D371" s="373"/>
      <x:c r="E371" s="373"/>
      <x:c r="F371" s="373"/>
      <x:c r="G371" s="373"/>
      <x:c r="H371" s="373"/>
      <x:c r="I371" s="373"/>
      <x:c r="J371" s="373"/>
      <x:c r="K371" s="373"/>
      <x:c r="L371" s="373"/>
      <x:c r="M371" s="373"/>
      <x:c r="N371" s="373"/>
      <x:c r="O371" s="373"/>
      <x:c r="P371" s="373"/>
      <x:c r="Q371" s="373"/>
      <x:c r="R371" s="373"/>
      <x:c r="S371" s="373"/>
      <x:c r="T371" s="373"/>
      <x:c r="U371" s="373"/>
      <x:c r="V371" s="373"/>
      <x:c r="W371" s="373"/>
      <x:c r="X371" s="373"/>
      <x:c r="Y371" s="373"/>
      <x:c r="Z371" s="373"/>
    </x:row>
    <x:row r="372">
      <x:c r="A372" s="373"/>
      <x:c r="B372" s="373"/>
      <x:c r="C372" s="373"/>
      <x:c r="D372" s="373"/>
      <x:c r="E372" s="373"/>
      <x:c r="F372" s="373"/>
      <x:c r="G372" s="373"/>
      <x:c r="H372" s="373"/>
      <x:c r="I372" s="373"/>
      <x:c r="J372" s="373"/>
      <x:c r="K372" s="373"/>
      <x:c r="L372" s="373"/>
      <x:c r="M372" s="373"/>
      <x:c r="N372" s="373"/>
      <x:c r="O372" s="373"/>
      <x:c r="P372" s="373"/>
      <x:c r="Q372" s="373"/>
      <x:c r="R372" s="373"/>
      <x:c r="S372" s="373"/>
      <x:c r="T372" s="373"/>
      <x:c r="U372" s="373"/>
      <x:c r="V372" s="373"/>
      <x:c r="W372" s="373"/>
      <x:c r="X372" s="373"/>
      <x:c r="Y372" s="373"/>
      <x:c r="Z372" s="373"/>
    </x:row>
    <x:row r="373">
      <x:c r="A373" s="373"/>
      <x:c r="B373" s="373"/>
      <x:c r="C373" s="373"/>
      <x:c r="D373" s="373"/>
      <x:c r="E373" s="373"/>
      <x:c r="F373" s="373"/>
      <x:c r="G373" s="373"/>
      <x:c r="H373" s="373"/>
      <x:c r="I373" s="373"/>
      <x:c r="J373" s="373"/>
      <x:c r="K373" s="373"/>
      <x:c r="L373" s="373"/>
      <x:c r="M373" s="373"/>
      <x:c r="N373" s="373"/>
      <x:c r="O373" s="373"/>
      <x:c r="P373" s="373"/>
      <x:c r="Q373" s="373"/>
      <x:c r="R373" s="373"/>
      <x:c r="S373" s="373"/>
      <x:c r="T373" s="373"/>
      <x:c r="U373" s="373"/>
      <x:c r="V373" s="373"/>
      <x:c r="W373" s="373"/>
      <x:c r="X373" s="373"/>
      <x:c r="Y373" s="373"/>
      <x:c r="Z373" s="373"/>
    </x:row>
    <x:row r="374">
      <x:c r="A374" s="373"/>
      <x:c r="B374" s="373"/>
      <x:c r="C374" s="373"/>
      <x:c r="D374" s="373"/>
      <x:c r="E374" s="373"/>
      <x:c r="F374" s="373"/>
      <x:c r="G374" s="373"/>
      <x:c r="H374" s="373"/>
      <x:c r="I374" s="373"/>
      <x:c r="J374" s="373"/>
      <x:c r="K374" s="373"/>
      <x:c r="L374" s="373"/>
      <x:c r="M374" s="373"/>
      <x:c r="N374" s="373"/>
      <x:c r="O374" s="373"/>
      <x:c r="P374" s="373"/>
      <x:c r="Q374" s="373"/>
      <x:c r="R374" s="373"/>
      <x:c r="S374" s="373"/>
      <x:c r="T374" s="373"/>
      <x:c r="U374" s="373"/>
      <x:c r="V374" s="373"/>
      <x:c r="W374" s="373"/>
      <x:c r="X374" s="373"/>
      <x:c r="Y374" s="373"/>
      <x:c r="Z374" s="373"/>
    </x:row>
    <x:row r="375">
      <x:c r="A375" s="373"/>
      <x:c r="B375" s="373"/>
      <x:c r="C375" s="373"/>
      <x:c r="D375" s="373"/>
      <x:c r="E375" s="373"/>
      <x:c r="F375" s="373"/>
      <x:c r="G375" s="373"/>
      <x:c r="H375" s="373"/>
      <x:c r="I375" s="373"/>
      <x:c r="J375" s="373"/>
      <x:c r="K375" s="373"/>
      <x:c r="L375" s="373"/>
      <x:c r="M375" s="373"/>
      <x:c r="N375" s="373"/>
      <x:c r="O375" s="373"/>
      <x:c r="P375" s="373"/>
      <x:c r="Q375" s="373"/>
      <x:c r="R375" s="373"/>
      <x:c r="S375" s="373"/>
      <x:c r="T375" s="373"/>
      <x:c r="U375" s="373"/>
      <x:c r="V375" s="373"/>
      <x:c r="W375" s="373"/>
      <x:c r="X375" s="373"/>
      <x:c r="Y375" s="373"/>
      <x:c r="Z375" s="373"/>
    </x:row>
    <x:row r="376">
      <x:c r="A376" s="373"/>
      <x:c r="B376" s="373"/>
      <x:c r="C376" s="373"/>
      <x:c r="D376" s="373"/>
      <x:c r="E376" s="373"/>
      <x:c r="F376" s="373"/>
      <x:c r="G376" s="373"/>
      <x:c r="H376" s="373"/>
      <x:c r="I376" s="373"/>
      <x:c r="J376" s="373"/>
      <x:c r="K376" s="373"/>
      <x:c r="L376" s="373"/>
      <x:c r="M376" s="373"/>
      <x:c r="N376" s="373"/>
      <x:c r="O376" s="373"/>
      <x:c r="P376" s="373"/>
      <x:c r="Q376" s="373"/>
      <x:c r="R376" s="373"/>
      <x:c r="S376" s="373"/>
      <x:c r="T376" s="373"/>
      <x:c r="U376" s="373"/>
      <x:c r="V376" s="373"/>
      <x:c r="W376" s="373"/>
      <x:c r="X376" s="373"/>
      <x:c r="Y376" s="373"/>
      <x:c r="Z376" s="373"/>
    </x:row>
    <x:row r="377">
      <x:c r="A377" s="373"/>
      <x:c r="B377" s="373"/>
      <x:c r="C377" s="373"/>
      <x:c r="D377" s="373"/>
      <x:c r="E377" s="373"/>
      <x:c r="F377" s="373"/>
      <x:c r="G377" s="373"/>
      <x:c r="H377" s="373"/>
      <x:c r="I377" s="373"/>
      <x:c r="J377" s="373"/>
      <x:c r="K377" s="373"/>
      <x:c r="L377" s="373"/>
      <x:c r="M377" s="373"/>
      <x:c r="N377" s="373"/>
      <x:c r="O377" s="373"/>
      <x:c r="P377" s="373"/>
      <x:c r="Q377" s="373"/>
      <x:c r="R377" s="373"/>
      <x:c r="S377" s="373"/>
      <x:c r="T377" s="373"/>
      <x:c r="U377" s="373"/>
      <x:c r="V377" s="373"/>
      <x:c r="W377" s="373"/>
      <x:c r="X377" s="373"/>
      <x:c r="Y377" s="373"/>
      <x:c r="Z377" s="373"/>
    </x:row>
    <x:row r="378">
      <x:c r="A378" s="373"/>
      <x:c r="B378" s="373"/>
      <x:c r="C378" s="373"/>
      <x:c r="D378" s="373"/>
      <x:c r="E378" s="373"/>
      <x:c r="F378" s="373"/>
      <x:c r="G378" s="373"/>
      <x:c r="H378" s="373"/>
      <x:c r="I378" s="373"/>
      <x:c r="J378" s="373"/>
      <x:c r="K378" s="373"/>
      <x:c r="L378" s="373"/>
      <x:c r="M378" s="373"/>
      <x:c r="N378" s="373"/>
      <x:c r="O378" s="373"/>
      <x:c r="P378" s="373"/>
      <x:c r="Q378" s="373"/>
      <x:c r="R378" s="373"/>
      <x:c r="S378" s="373"/>
      <x:c r="T378" s="373"/>
      <x:c r="U378" s="373"/>
      <x:c r="V378" s="373"/>
      <x:c r="W378" s="373"/>
      <x:c r="X378" s="373"/>
      <x:c r="Y378" s="373"/>
      <x:c r="Z378" s="373"/>
    </x:row>
    <x:row r="379">
      <x:c r="A379" s="373"/>
      <x:c r="B379" s="373"/>
      <x:c r="C379" s="373"/>
      <x:c r="D379" s="373"/>
      <x:c r="E379" s="373"/>
      <x:c r="F379" s="373"/>
      <x:c r="G379" s="373"/>
      <x:c r="H379" s="373"/>
      <x:c r="I379" s="373"/>
      <x:c r="J379" s="373"/>
      <x:c r="K379" s="373"/>
      <x:c r="L379" s="373"/>
      <x:c r="M379" s="373"/>
      <x:c r="N379" s="373"/>
      <x:c r="O379" s="373"/>
      <x:c r="P379" s="373"/>
      <x:c r="Q379" s="373"/>
      <x:c r="R379" s="373"/>
      <x:c r="S379" s="373"/>
      <x:c r="T379" s="373"/>
      <x:c r="U379" s="373"/>
      <x:c r="V379" s="373"/>
      <x:c r="W379" s="373"/>
      <x:c r="X379" s="373"/>
      <x:c r="Y379" s="373"/>
      <x:c r="Z379" s="373"/>
    </x:row>
    <x:row r="380">
      <x:c r="A380" s="373"/>
      <x:c r="B380" s="373"/>
      <x:c r="C380" s="373"/>
      <x:c r="D380" s="373"/>
      <x:c r="E380" s="373"/>
      <x:c r="F380" s="373"/>
      <x:c r="G380" s="373"/>
      <x:c r="H380" s="373"/>
      <x:c r="I380" s="373"/>
      <x:c r="J380" s="373"/>
      <x:c r="K380" s="373"/>
      <x:c r="L380" s="373"/>
      <x:c r="M380" s="373"/>
      <x:c r="N380" s="373"/>
      <x:c r="O380" s="373"/>
      <x:c r="P380" s="373"/>
      <x:c r="Q380" s="373"/>
      <x:c r="R380" s="373"/>
      <x:c r="S380" s="373"/>
      <x:c r="T380" s="373"/>
      <x:c r="U380" s="373"/>
      <x:c r="V380" s="373"/>
      <x:c r="W380" s="373"/>
      <x:c r="X380" s="373"/>
      <x:c r="Y380" s="373"/>
      <x:c r="Z380" s="373"/>
    </x:row>
    <x:row r="381">
      <x:c r="A381" s="373"/>
      <x:c r="B381" s="373"/>
      <x:c r="C381" s="373"/>
      <x:c r="D381" s="373"/>
      <x:c r="E381" s="373"/>
      <x:c r="F381" s="373"/>
      <x:c r="G381" s="373"/>
      <x:c r="H381" s="373"/>
      <x:c r="I381" s="373"/>
      <x:c r="J381" s="373"/>
      <x:c r="K381" s="373"/>
      <x:c r="L381" s="373"/>
      <x:c r="M381" s="373"/>
      <x:c r="N381" s="373"/>
      <x:c r="O381" s="373"/>
      <x:c r="P381" s="373"/>
      <x:c r="Q381" s="373"/>
      <x:c r="R381" s="373"/>
      <x:c r="S381" s="373"/>
      <x:c r="T381" s="373"/>
      <x:c r="U381" s="373"/>
      <x:c r="V381" s="373"/>
      <x:c r="W381" s="373"/>
      <x:c r="X381" s="373"/>
      <x:c r="Y381" s="373"/>
      <x:c r="Z381" s="373"/>
    </x:row>
    <x:row r="382">
      <x:c r="A382" s="373"/>
      <x:c r="B382" s="373"/>
      <x:c r="C382" s="373"/>
      <x:c r="D382" s="373"/>
      <x:c r="E382" s="373"/>
      <x:c r="F382" s="373"/>
      <x:c r="G382" s="373"/>
      <x:c r="H382" s="373"/>
      <x:c r="I382" s="373"/>
      <x:c r="J382" s="373"/>
      <x:c r="K382" s="373"/>
      <x:c r="L382" s="373"/>
      <x:c r="M382" s="373"/>
      <x:c r="N382" s="373"/>
      <x:c r="O382" s="373"/>
      <x:c r="P382" s="373"/>
      <x:c r="Q382" s="373"/>
      <x:c r="R382" s="373"/>
      <x:c r="S382" s="373"/>
      <x:c r="T382" s="373"/>
      <x:c r="U382" s="373"/>
      <x:c r="V382" s="373"/>
      <x:c r="W382" s="373"/>
      <x:c r="X382" s="373"/>
      <x:c r="Y382" s="373"/>
      <x:c r="Z382" s="373"/>
    </x:row>
    <x:row r="383">
      <x:c r="A383" s="373"/>
      <x:c r="B383" s="373"/>
      <x:c r="C383" s="373"/>
      <x:c r="D383" s="373"/>
      <x:c r="E383" s="373"/>
      <x:c r="F383" s="373"/>
      <x:c r="G383" s="373"/>
      <x:c r="H383" s="373"/>
      <x:c r="I383" s="373"/>
      <x:c r="J383" s="373"/>
      <x:c r="K383" s="373"/>
      <x:c r="L383" s="373"/>
      <x:c r="M383" s="373"/>
      <x:c r="N383" s="373"/>
      <x:c r="O383" s="373"/>
      <x:c r="P383" s="373"/>
      <x:c r="Q383" s="373"/>
      <x:c r="R383" s="373"/>
      <x:c r="S383" s="373"/>
      <x:c r="T383" s="373"/>
      <x:c r="U383" s="373"/>
      <x:c r="V383" s="373"/>
      <x:c r="W383" s="373"/>
      <x:c r="X383" s="373"/>
      <x:c r="Y383" s="373"/>
      <x:c r="Z383" s="373"/>
    </x:row>
    <x:row r="384">
      <x:c r="A384" s="373"/>
      <x:c r="B384" s="373"/>
      <x:c r="C384" s="373"/>
      <x:c r="D384" s="373"/>
      <x:c r="E384" s="373"/>
      <x:c r="F384" s="373"/>
      <x:c r="G384" s="373"/>
      <x:c r="H384" s="373"/>
      <x:c r="I384" s="373"/>
      <x:c r="J384" s="373"/>
      <x:c r="K384" s="373"/>
      <x:c r="L384" s="373"/>
      <x:c r="M384" s="373"/>
      <x:c r="N384" s="373"/>
      <x:c r="O384" s="373"/>
      <x:c r="P384" s="373"/>
      <x:c r="Q384" s="373"/>
      <x:c r="R384" s="373"/>
      <x:c r="S384" s="373"/>
      <x:c r="T384" s="373"/>
      <x:c r="U384" s="373"/>
      <x:c r="V384" s="373"/>
      <x:c r="W384" s="373"/>
      <x:c r="X384" s="373"/>
      <x:c r="Y384" s="373"/>
      <x:c r="Z384" s="373"/>
    </x:row>
    <x:row r="385">
      <x:c r="A385" s="373"/>
      <x:c r="B385" s="373"/>
      <x:c r="C385" s="373"/>
      <x:c r="D385" s="373"/>
      <x:c r="E385" s="373"/>
      <x:c r="F385" s="373"/>
      <x:c r="G385" s="373"/>
      <x:c r="H385" s="373"/>
      <x:c r="I385" s="373"/>
      <x:c r="J385" s="373"/>
      <x:c r="K385" s="373"/>
      <x:c r="L385" s="373"/>
      <x:c r="M385" s="373"/>
      <x:c r="N385" s="373"/>
      <x:c r="O385" s="373"/>
      <x:c r="P385" s="373"/>
      <x:c r="Q385" s="373"/>
      <x:c r="R385" s="373"/>
      <x:c r="S385" s="373"/>
      <x:c r="T385" s="373"/>
      <x:c r="U385" s="373"/>
      <x:c r="V385" s="373"/>
      <x:c r="W385" s="373"/>
      <x:c r="X385" s="373"/>
      <x:c r="Y385" s="373"/>
      <x:c r="Z385" s="373"/>
    </x:row>
    <x:row r="386">
      <x:c r="A386" s="373"/>
      <x:c r="B386" s="373"/>
      <x:c r="C386" s="373"/>
      <x:c r="D386" s="373"/>
      <x:c r="E386" s="373"/>
      <x:c r="F386" s="373"/>
      <x:c r="G386" s="373"/>
      <x:c r="H386" s="373"/>
      <x:c r="I386" s="373"/>
      <x:c r="J386" s="373"/>
      <x:c r="K386" s="373"/>
      <x:c r="L386" s="373"/>
      <x:c r="M386" s="373"/>
      <x:c r="N386" s="373"/>
      <x:c r="O386" s="373"/>
      <x:c r="P386" s="373"/>
      <x:c r="Q386" s="373"/>
      <x:c r="R386" s="373"/>
      <x:c r="S386" s="373"/>
      <x:c r="T386" s="373"/>
      <x:c r="U386" s="373"/>
      <x:c r="V386" s="373"/>
      <x:c r="W386" s="373"/>
      <x:c r="X386" s="373"/>
      <x:c r="Y386" s="373"/>
      <x:c r="Z386" s="373"/>
    </x:row>
    <x:row r="387">
      <x:c r="A387" s="373"/>
      <x:c r="B387" s="373"/>
      <x:c r="C387" s="373"/>
      <x:c r="D387" s="373"/>
      <x:c r="E387" s="373"/>
      <x:c r="F387" s="373"/>
      <x:c r="G387" s="373"/>
      <x:c r="H387" s="373"/>
      <x:c r="I387" s="373"/>
      <x:c r="J387" s="373"/>
      <x:c r="K387" s="373"/>
      <x:c r="L387" s="373"/>
      <x:c r="M387" s="373"/>
      <x:c r="N387" s="373"/>
      <x:c r="O387" s="373"/>
      <x:c r="P387" s="373"/>
      <x:c r="Q387" s="373"/>
      <x:c r="R387" s="373"/>
      <x:c r="S387" s="373"/>
      <x:c r="T387" s="373"/>
      <x:c r="U387" s="373"/>
      <x:c r="V387" s="373"/>
      <x:c r="W387" s="373"/>
      <x:c r="X387" s="373"/>
      <x:c r="Y387" s="373"/>
      <x:c r="Z387" s="373"/>
    </x:row>
    <x:row r="388">
      <x:c r="A388" s="373"/>
      <x:c r="B388" s="373"/>
      <x:c r="C388" s="373"/>
      <x:c r="D388" s="373"/>
      <x:c r="E388" s="373"/>
      <x:c r="F388" s="373"/>
      <x:c r="G388" s="373"/>
      <x:c r="H388" s="373"/>
      <x:c r="I388" s="373"/>
      <x:c r="J388" s="373"/>
      <x:c r="K388" s="373"/>
      <x:c r="L388" s="373"/>
      <x:c r="M388" s="373"/>
      <x:c r="N388" s="373"/>
      <x:c r="O388" s="373"/>
      <x:c r="P388" s="373"/>
      <x:c r="Q388" s="373"/>
      <x:c r="R388" s="373"/>
      <x:c r="S388" s="373"/>
      <x:c r="T388" s="373"/>
      <x:c r="U388" s="373"/>
      <x:c r="V388" s="373"/>
      <x:c r="W388" s="373"/>
      <x:c r="X388" s="373"/>
      <x:c r="Y388" s="373"/>
      <x:c r="Z388" s="373"/>
    </x:row>
    <x:row r="389">
      <x:c r="A389" s="373"/>
      <x:c r="B389" s="373"/>
      <x:c r="C389" s="373"/>
      <x:c r="D389" s="373"/>
      <x:c r="E389" s="373"/>
      <x:c r="F389" s="373"/>
      <x:c r="G389" s="373"/>
      <x:c r="H389" s="373"/>
      <x:c r="I389" s="373"/>
      <x:c r="J389" s="373"/>
      <x:c r="K389" s="373"/>
      <x:c r="L389" s="373"/>
      <x:c r="M389" s="373"/>
      <x:c r="N389" s="373"/>
      <x:c r="O389" s="373"/>
      <x:c r="P389" s="373"/>
      <x:c r="Q389" s="373"/>
      <x:c r="R389" s="373"/>
      <x:c r="S389" s="373"/>
      <x:c r="T389" s="373"/>
      <x:c r="U389" s="373"/>
      <x:c r="V389" s="373"/>
      <x:c r="W389" s="373"/>
      <x:c r="X389" s="373"/>
      <x:c r="Y389" s="373"/>
      <x:c r="Z389" s="373"/>
    </x:row>
    <x:row r="390">
      <x:c r="A390" s="373"/>
      <x:c r="B390" s="373"/>
      <x:c r="C390" s="373"/>
      <x:c r="D390" s="373"/>
      <x:c r="E390" s="373"/>
      <x:c r="F390" s="373"/>
      <x:c r="G390" s="373"/>
      <x:c r="H390" s="373"/>
      <x:c r="I390" s="373"/>
      <x:c r="J390" s="373"/>
      <x:c r="K390" s="373"/>
      <x:c r="L390" s="373"/>
      <x:c r="M390" s="373"/>
      <x:c r="N390" s="373"/>
      <x:c r="O390" s="373"/>
      <x:c r="P390" s="373"/>
      <x:c r="Q390" s="373"/>
      <x:c r="R390" s="373"/>
      <x:c r="S390" s="373"/>
      <x:c r="T390" s="373"/>
      <x:c r="U390" s="373"/>
      <x:c r="V390" s="373"/>
      <x:c r="W390" s="373"/>
      <x:c r="X390" s="373"/>
      <x:c r="Y390" s="373"/>
      <x:c r="Z390" s="373"/>
    </x:row>
    <x:row r="391">
      <x:c r="A391" s="373"/>
      <x:c r="B391" s="373"/>
      <x:c r="C391" s="373"/>
      <x:c r="D391" s="373"/>
      <x:c r="E391" s="373"/>
      <x:c r="F391" s="373"/>
      <x:c r="G391" s="373"/>
      <x:c r="H391" s="373"/>
      <x:c r="I391" s="373"/>
      <x:c r="J391" s="373"/>
      <x:c r="K391" s="373"/>
      <x:c r="L391" s="373"/>
      <x:c r="M391" s="373"/>
      <x:c r="N391" s="373"/>
      <x:c r="O391" s="373"/>
      <x:c r="P391" s="373"/>
      <x:c r="Q391" s="373"/>
      <x:c r="R391" s="373"/>
      <x:c r="S391" s="373"/>
      <x:c r="T391" s="373"/>
      <x:c r="U391" s="373"/>
      <x:c r="V391" s="373"/>
      <x:c r="W391" s="373"/>
      <x:c r="X391" s="373"/>
      <x:c r="Y391" s="373"/>
      <x:c r="Z391" s="373"/>
    </x:row>
    <x:row r="392">
      <x:c r="A392" s="373"/>
      <x:c r="B392" s="373"/>
      <x:c r="C392" s="373"/>
      <x:c r="D392" s="373"/>
      <x:c r="E392" s="373"/>
      <x:c r="F392" s="373"/>
      <x:c r="G392" s="373"/>
      <x:c r="H392" s="373"/>
      <x:c r="I392" s="373"/>
      <x:c r="J392" s="373"/>
      <x:c r="K392" s="373"/>
      <x:c r="L392" s="373"/>
      <x:c r="M392" s="373"/>
      <x:c r="N392" s="373"/>
      <x:c r="O392" s="373"/>
      <x:c r="P392" s="373"/>
      <x:c r="Q392" s="373"/>
      <x:c r="R392" s="373"/>
      <x:c r="S392" s="373"/>
      <x:c r="T392" s="373"/>
      <x:c r="U392" s="373"/>
      <x:c r="V392" s="373"/>
      <x:c r="W392" s="373"/>
      <x:c r="X392" s="373"/>
      <x:c r="Y392" s="373"/>
      <x:c r="Z392" s="373"/>
    </x:row>
    <x:row r="393">
      <x:c r="A393" s="373"/>
      <x:c r="B393" s="373"/>
      <x:c r="C393" s="373"/>
      <x:c r="D393" s="373"/>
      <x:c r="E393" s="373"/>
      <x:c r="F393" s="373"/>
      <x:c r="G393" s="373"/>
      <x:c r="H393" s="373"/>
      <x:c r="I393" s="373"/>
      <x:c r="J393" s="373"/>
      <x:c r="K393" s="373"/>
      <x:c r="L393" s="373"/>
      <x:c r="M393" s="373"/>
      <x:c r="N393" s="373"/>
      <x:c r="O393" s="373"/>
      <x:c r="P393" s="373"/>
      <x:c r="Q393" s="373"/>
      <x:c r="R393" s="373"/>
      <x:c r="S393" s="373"/>
      <x:c r="T393" s="373"/>
      <x:c r="U393" s="373"/>
      <x:c r="V393" s="373"/>
      <x:c r="W393" s="373"/>
      <x:c r="X393" s="373"/>
      <x:c r="Y393" s="373"/>
      <x:c r="Z393" s="373"/>
    </x:row>
    <x:row r="394">
      <x:c r="A394" s="373"/>
      <x:c r="B394" s="373"/>
      <x:c r="C394" s="373"/>
      <x:c r="D394" s="373"/>
      <x:c r="E394" s="373"/>
      <x:c r="F394" s="373"/>
      <x:c r="G394" s="373"/>
      <x:c r="H394" s="373"/>
      <x:c r="I394" s="373"/>
      <x:c r="J394" s="373"/>
      <x:c r="K394" s="373"/>
      <x:c r="L394" s="373"/>
      <x:c r="M394" s="373"/>
      <x:c r="N394" s="373"/>
      <x:c r="O394" s="373"/>
      <x:c r="P394" s="373"/>
      <x:c r="Q394" s="373"/>
      <x:c r="R394" s="373"/>
      <x:c r="S394" s="373"/>
      <x:c r="T394" s="373"/>
      <x:c r="U394" s="373"/>
      <x:c r="V394" s="373"/>
      <x:c r="W394" s="373"/>
      <x:c r="X394" s="373"/>
      <x:c r="Y394" s="373"/>
      <x:c r="Z394" s="373"/>
    </x:row>
    <x:row r="395">
      <x:c r="A395" s="373"/>
      <x:c r="B395" s="373"/>
      <x:c r="C395" s="373"/>
      <x:c r="D395" s="373"/>
      <x:c r="E395" s="373"/>
      <x:c r="F395" s="373"/>
      <x:c r="G395" s="373"/>
      <x:c r="H395" s="373"/>
      <x:c r="I395" s="373"/>
      <x:c r="J395" s="373"/>
      <x:c r="K395" s="373"/>
      <x:c r="L395" s="373"/>
      <x:c r="M395" s="373"/>
      <x:c r="N395" s="373"/>
      <x:c r="O395" s="373"/>
      <x:c r="P395" s="373"/>
      <x:c r="Q395" s="373"/>
      <x:c r="R395" s="373"/>
      <x:c r="S395" s="373"/>
      <x:c r="T395" s="373"/>
      <x:c r="U395" s="373"/>
      <x:c r="V395" s="373"/>
      <x:c r="W395" s="373"/>
      <x:c r="X395" s="373"/>
      <x:c r="Y395" s="373"/>
      <x:c r="Z395" s="373"/>
    </x:row>
    <x:row r="396">
      <x:c r="A396" s="373"/>
      <x:c r="B396" s="373"/>
      <x:c r="C396" s="373"/>
      <x:c r="D396" s="373"/>
      <x:c r="E396" s="373"/>
      <x:c r="F396" s="373"/>
      <x:c r="G396" s="373"/>
      <x:c r="H396" s="373"/>
      <x:c r="I396" s="373"/>
      <x:c r="J396" s="373"/>
      <x:c r="K396" s="373"/>
      <x:c r="L396" s="373"/>
      <x:c r="M396" s="373"/>
      <x:c r="N396" s="373"/>
      <x:c r="O396" s="373"/>
      <x:c r="P396" s="373"/>
      <x:c r="Q396" s="373"/>
      <x:c r="R396" s="373"/>
      <x:c r="S396" s="373"/>
      <x:c r="T396" s="373"/>
      <x:c r="U396" s="373"/>
      <x:c r="V396" s="373"/>
      <x:c r="W396" s="373"/>
      <x:c r="X396" s="373"/>
      <x:c r="Y396" s="373"/>
      <x:c r="Z396" s="373"/>
    </x:row>
    <x:row r="397">
      <x:c r="A397" s="373"/>
      <x:c r="B397" s="373"/>
      <x:c r="C397" s="373"/>
      <x:c r="D397" s="373"/>
      <x:c r="E397" s="373"/>
      <x:c r="F397" s="373"/>
      <x:c r="G397" s="373"/>
      <x:c r="H397" s="373"/>
      <x:c r="I397" s="373"/>
      <x:c r="J397" s="373"/>
      <x:c r="K397" s="373"/>
      <x:c r="L397" s="373"/>
      <x:c r="M397" s="373"/>
      <x:c r="N397" s="373"/>
      <x:c r="O397" s="373"/>
      <x:c r="P397" s="373"/>
      <x:c r="Q397" s="373"/>
      <x:c r="R397" s="373"/>
      <x:c r="S397" s="373"/>
      <x:c r="T397" s="373"/>
      <x:c r="U397" s="373"/>
      <x:c r="V397" s="373"/>
      <x:c r="W397" s="373"/>
      <x:c r="X397" s="373"/>
      <x:c r="Y397" s="373"/>
      <x:c r="Z397" s="373"/>
    </x:row>
    <x:row r="398">
      <x:c r="A398" s="373"/>
      <x:c r="B398" s="373"/>
      <x:c r="C398" s="373"/>
      <x:c r="D398" s="373"/>
      <x:c r="E398" s="373"/>
      <x:c r="F398" s="373"/>
      <x:c r="G398" s="373"/>
      <x:c r="H398" s="373"/>
      <x:c r="I398" s="373"/>
      <x:c r="J398" s="373"/>
      <x:c r="K398" s="373"/>
      <x:c r="L398" s="373"/>
      <x:c r="M398" s="373"/>
      <x:c r="N398" s="373"/>
      <x:c r="O398" s="373"/>
      <x:c r="P398" s="373"/>
      <x:c r="Q398" s="373"/>
      <x:c r="R398" s="373"/>
      <x:c r="S398" s="373"/>
      <x:c r="T398" s="373"/>
      <x:c r="U398" s="373"/>
      <x:c r="V398" s="373"/>
      <x:c r="W398" s="373"/>
      <x:c r="X398" s="373"/>
      <x:c r="Y398" s="373"/>
      <x:c r="Z398" s="373"/>
    </x:row>
    <x:row r="399">
      <x:c r="A399" s="373"/>
      <x:c r="B399" s="373"/>
      <x:c r="C399" s="373"/>
      <x:c r="D399" s="373"/>
      <x:c r="E399" s="373"/>
      <x:c r="F399" s="373"/>
      <x:c r="G399" s="373"/>
      <x:c r="H399" s="373"/>
      <x:c r="I399" s="373"/>
      <x:c r="J399" s="373"/>
      <x:c r="K399" s="373"/>
      <x:c r="L399" s="373"/>
      <x:c r="M399" s="373"/>
      <x:c r="N399" s="373"/>
      <x:c r="O399" s="373"/>
      <x:c r="P399" s="373"/>
      <x:c r="Q399" s="373"/>
      <x:c r="R399" s="373"/>
      <x:c r="S399" s="373"/>
      <x:c r="T399" s="373"/>
      <x:c r="U399" s="373"/>
      <x:c r="V399" s="373"/>
      <x:c r="W399" s="373"/>
      <x:c r="X399" s="373"/>
      <x:c r="Y399" s="373"/>
      <x:c r="Z399" s="373"/>
    </x:row>
    <x:row r="400">
      <x:c r="A400" s="373"/>
      <x:c r="B400" s="373"/>
      <x:c r="C400" s="373"/>
      <x:c r="D400" s="373"/>
      <x:c r="E400" s="373"/>
      <x:c r="F400" s="373"/>
      <x:c r="G400" s="373"/>
      <x:c r="H400" s="373"/>
      <x:c r="I400" s="373"/>
      <x:c r="J400" s="373"/>
      <x:c r="K400" s="373"/>
      <x:c r="L400" s="373"/>
      <x:c r="M400" s="373"/>
      <x:c r="N400" s="373"/>
      <x:c r="O400" s="373"/>
      <x:c r="P400" s="373"/>
      <x:c r="Q400" s="373"/>
      <x:c r="R400" s="373"/>
      <x:c r="S400" s="373"/>
      <x:c r="T400" s="373"/>
      <x:c r="U400" s="373"/>
      <x:c r="V400" s="373"/>
      <x:c r="W400" s="373"/>
      <x:c r="X400" s="373"/>
      <x:c r="Y400" s="373"/>
      <x:c r="Z400" s="373"/>
    </x:row>
    <x:row r="401">
      <x:c r="A401" s="373"/>
      <x:c r="B401" s="373"/>
      <x:c r="C401" s="373"/>
      <x:c r="D401" s="373"/>
      <x:c r="E401" s="373"/>
      <x:c r="F401" s="373"/>
      <x:c r="G401" s="373"/>
      <x:c r="H401" s="373"/>
      <x:c r="I401" s="373"/>
      <x:c r="J401" s="373"/>
      <x:c r="K401" s="373"/>
      <x:c r="L401" s="373"/>
      <x:c r="M401" s="373"/>
      <x:c r="N401" s="373"/>
      <x:c r="O401" s="373"/>
      <x:c r="P401" s="373"/>
      <x:c r="Q401" s="373"/>
      <x:c r="R401" s="373"/>
      <x:c r="S401" s="373"/>
      <x:c r="T401" s="373"/>
      <x:c r="U401" s="373"/>
      <x:c r="V401" s="373"/>
      <x:c r="W401" s="373"/>
      <x:c r="X401" s="373"/>
      <x:c r="Y401" s="373"/>
      <x:c r="Z401" s="373"/>
    </x:row>
    <x:row r="402">
      <x:c r="A402" s="373"/>
      <x:c r="B402" s="373"/>
      <x:c r="C402" s="373"/>
      <x:c r="D402" s="373"/>
      <x:c r="E402" s="373"/>
      <x:c r="F402" s="373"/>
      <x:c r="G402" s="373"/>
      <x:c r="H402" s="373"/>
      <x:c r="I402" s="373"/>
      <x:c r="J402" s="373"/>
      <x:c r="K402" s="373"/>
      <x:c r="L402" s="373"/>
      <x:c r="M402" s="373"/>
      <x:c r="N402" s="373"/>
      <x:c r="O402" s="373"/>
      <x:c r="P402" s="373"/>
      <x:c r="Q402" s="373"/>
      <x:c r="R402" s="373"/>
      <x:c r="S402" s="373"/>
      <x:c r="T402" s="373"/>
      <x:c r="U402" s="373"/>
      <x:c r="V402" s="373"/>
      <x:c r="W402" s="373"/>
      <x:c r="X402" s="373"/>
      <x:c r="Y402" s="373"/>
      <x:c r="Z402" s="373"/>
    </x:row>
    <x:row r="403">
      <x:c r="A403" s="373"/>
      <x:c r="B403" s="373"/>
      <x:c r="C403" s="373"/>
      <x:c r="D403" s="373"/>
      <x:c r="E403" s="373"/>
      <x:c r="F403" s="373"/>
      <x:c r="G403" s="373"/>
      <x:c r="H403" s="373"/>
      <x:c r="I403" s="373"/>
      <x:c r="J403" s="373"/>
      <x:c r="K403" s="373"/>
      <x:c r="L403" s="373"/>
      <x:c r="M403" s="373"/>
      <x:c r="N403" s="373"/>
      <x:c r="O403" s="373"/>
      <x:c r="P403" s="373"/>
      <x:c r="Q403" s="373"/>
      <x:c r="R403" s="373"/>
      <x:c r="S403" s="373"/>
      <x:c r="T403" s="373"/>
      <x:c r="U403" s="373"/>
      <x:c r="V403" s="373"/>
      <x:c r="W403" s="373"/>
      <x:c r="X403" s="373"/>
      <x:c r="Y403" s="373"/>
      <x:c r="Z403" s="373"/>
    </x:row>
    <x:row r="404">
      <x:c r="A404" s="373"/>
      <x:c r="B404" s="373"/>
      <x:c r="C404" s="373"/>
      <x:c r="D404" s="373"/>
      <x:c r="E404" s="373"/>
      <x:c r="F404" s="373"/>
      <x:c r="G404" s="373"/>
      <x:c r="H404" s="373"/>
      <x:c r="I404" s="373"/>
      <x:c r="J404" s="373"/>
      <x:c r="K404" s="373"/>
      <x:c r="L404" s="373"/>
      <x:c r="M404" s="373"/>
      <x:c r="N404" s="373"/>
      <x:c r="O404" s="373"/>
      <x:c r="P404" s="373"/>
      <x:c r="Q404" s="373"/>
      <x:c r="R404" s="373"/>
      <x:c r="S404" s="373"/>
      <x:c r="T404" s="373"/>
      <x:c r="U404" s="373"/>
      <x:c r="V404" s="373"/>
      <x:c r="W404" s="373"/>
      <x:c r="X404" s="373"/>
      <x:c r="Y404" s="373"/>
      <x:c r="Z404" s="373"/>
    </x:row>
    <x:row r="405">
      <x:c r="A405" s="373"/>
      <x:c r="B405" s="373"/>
      <x:c r="C405" s="373"/>
      <x:c r="D405" s="373"/>
      <x:c r="E405" s="373"/>
      <x:c r="F405" s="373"/>
      <x:c r="G405" s="373"/>
      <x:c r="H405" s="373"/>
      <x:c r="I405" s="373"/>
      <x:c r="J405" s="373"/>
      <x:c r="K405" s="373"/>
      <x:c r="L405" s="373"/>
      <x:c r="M405" s="373"/>
      <x:c r="N405" s="373"/>
      <x:c r="O405" s="373"/>
      <x:c r="P405" s="373"/>
      <x:c r="Q405" s="373"/>
      <x:c r="R405" s="373"/>
      <x:c r="S405" s="373"/>
      <x:c r="T405" s="373"/>
      <x:c r="U405" s="373"/>
      <x:c r="V405" s="373"/>
      <x:c r="W405" s="373"/>
      <x:c r="X405" s="373"/>
      <x:c r="Y405" s="373"/>
      <x:c r="Z405" s="373"/>
    </x:row>
    <x:row r="406">
      <x:c r="A406" s="373"/>
      <x:c r="B406" s="373"/>
      <x:c r="C406" s="373"/>
      <x:c r="D406" s="373"/>
      <x:c r="E406" s="373"/>
      <x:c r="F406" s="373"/>
      <x:c r="G406" s="373"/>
      <x:c r="H406" s="373"/>
      <x:c r="I406" s="373"/>
      <x:c r="J406" s="373"/>
      <x:c r="K406" s="373"/>
      <x:c r="L406" s="373"/>
      <x:c r="M406" s="373"/>
      <x:c r="N406" s="373"/>
      <x:c r="O406" s="373"/>
      <x:c r="P406" s="373"/>
      <x:c r="Q406" s="373"/>
      <x:c r="R406" s="373"/>
      <x:c r="S406" s="373"/>
      <x:c r="T406" s="373"/>
      <x:c r="U406" s="373"/>
      <x:c r="V406" s="373"/>
      <x:c r="W406" s="373"/>
      <x:c r="X406" s="373"/>
      <x:c r="Y406" s="373"/>
      <x:c r="Z406" s="373"/>
    </x:row>
    <x:row r="407">
      <x:c r="A407" s="373"/>
      <x:c r="B407" s="373"/>
      <x:c r="C407" s="373"/>
      <x:c r="D407" s="373"/>
      <x:c r="E407" s="373"/>
      <x:c r="F407" s="373"/>
      <x:c r="G407" s="373"/>
      <x:c r="H407" s="373"/>
      <x:c r="I407" s="373"/>
      <x:c r="J407" s="373"/>
      <x:c r="K407" s="373"/>
      <x:c r="L407" s="373"/>
      <x:c r="M407" s="373"/>
      <x:c r="N407" s="373"/>
      <x:c r="O407" s="373"/>
      <x:c r="P407" s="373"/>
      <x:c r="Q407" s="373"/>
      <x:c r="R407" s="373"/>
      <x:c r="S407" s="373"/>
      <x:c r="T407" s="373"/>
      <x:c r="U407" s="373"/>
      <x:c r="V407" s="373"/>
      <x:c r="W407" s="373"/>
      <x:c r="X407" s="373"/>
      <x:c r="Y407" s="373"/>
      <x:c r="Z407" s="373"/>
    </x:row>
    <x:row r="408">
      <x:c r="A408" s="373"/>
      <x:c r="B408" s="373"/>
      <x:c r="C408" s="373"/>
      <x:c r="D408" s="373"/>
      <x:c r="E408" s="373"/>
      <x:c r="F408" s="373"/>
      <x:c r="G408" s="373"/>
      <x:c r="H408" s="373"/>
      <x:c r="I408" s="373"/>
      <x:c r="J408" s="373"/>
      <x:c r="K408" s="373"/>
      <x:c r="L408" s="373"/>
      <x:c r="M408" s="373"/>
      <x:c r="N408" s="373"/>
      <x:c r="O408" s="373"/>
      <x:c r="P408" s="373"/>
      <x:c r="Q408" s="373"/>
      <x:c r="R408" s="373"/>
      <x:c r="S408" s="373"/>
      <x:c r="T408" s="373"/>
      <x:c r="U408" s="373"/>
      <x:c r="V408" s="373"/>
      <x:c r="W408" s="373"/>
      <x:c r="X408" s="373"/>
      <x:c r="Y408" s="373"/>
      <x:c r="Z408" s="373"/>
    </x:row>
    <x:row r="409">
      <x:c r="A409" s="373"/>
      <x:c r="B409" s="373"/>
      <x:c r="C409" s="373"/>
      <x:c r="D409" s="373"/>
      <x:c r="E409" s="373"/>
      <x:c r="F409" s="373"/>
      <x:c r="G409" s="373"/>
      <x:c r="H409" s="373"/>
      <x:c r="I409" s="373"/>
      <x:c r="J409" s="373"/>
      <x:c r="K409" s="373"/>
      <x:c r="L409" s="373"/>
      <x:c r="M409" s="373"/>
      <x:c r="N409" s="373"/>
      <x:c r="O409" s="373"/>
      <x:c r="P409" s="373"/>
      <x:c r="Q409" s="373"/>
      <x:c r="R409" s="373"/>
      <x:c r="S409" s="373"/>
      <x:c r="T409" s="373"/>
      <x:c r="U409" s="373"/>
      <x:c r="V409" s="373"/>
      <x:c r="W409" s="373"/>
      <x:c r="X409" s="373"/>
      <x:c r="Y409" s="373"/>
      <x:c r="Z409" s="373"/>
    </x:row>
    <x:row r="410">
      <x:c r="A410" s="373"/>
      <x:c r="B410" s="373"/>
      <x:c r="C410" s="373"/>
      <x:c r="D410" s="373"/>
      <x:c r="E410" s="373"/>
      <x:c r="F410" s="373"/>
      <x:c r="G410" s="373"/>
      <x:c r="H410" s="373"/>
      <x:c r="I410" s="373"/>
      <x:c r="J410" s="373"/>
      <x:c r="K410" s="373"/>
      <x:c r="L410" s="373"/>
      <x:c r="M410" s="373"/>
      <x:c r="N410" s="373"/>
      <x:c r="O410" s="373"/>
      <x:c r="P410" s="373"/>
      <x:c r="Q410" s="373"/>
      <x:c r="R410" s="373"/>
      <x:c r="S410" s="373"/>
      <x:c r="T410" s="373"/>
      <x:c r="U410" s="373"/>
      <x:c r="V410" s="373"/>
      <x:c r="W410" s="373"/>
      <x:c r="X410" s="373"/>
      <x:c r="Y410" s="373"/>
      <x:c r="Z410" s="373"/>
    </x:row>
    <x:row r="411">
      <x:c r="A411" s="373"/>
      <x:c r="B411" s="373"/>
      <x:c r="C411" s="373"/>
      <x:c r="D411" s="373"/>
      <x:c r="E411" s="373"/>
      <x:c r="F411" s="373"/>
      <x:c r="G411" s="373"/>
      <x:c r="H411" s="373"/>
      <x:c r="I411" s="373"/>
      <x:c r="J411" s="373"/>
      <x:c r="K411" s="373"/>
      <x:c r="L411" s="373"/>
      <x:c r="M411" s="373"/>
      <x:c r="N411" s="373"/>
      <x:c r="O411" s="373"/>
      <x:c r="P411" s="373"/>
      <x:c r="Q411" s="373"/>
      <x:c r="R411" s="373"/>
      <x:c r="S411" s="373"/>
      <x:c r="T411" s="373"/>
      <x:c r="U411" s="373"/>
      <x:c r="V411" s="373"/>
      <x:c r="W411" s="373"/>
      <x:c r="X411" s="373"/>
      <x:c r="Y411" s="373"/>
      <x:c r="Z411" s="373"/>
    </x:row>
    <x:row r="412">
      <x:c r="A412" s="373"/>
      <x:c r="B412" s="373"/>
      <x:c r="C412" s="373"/>
      <x:c r="D412" s="373"/>
      <x:c r="E412" s="373"/>
      <x:c r="F412" s="373"/>
      <x:c r="G412" s="373"/>
      <x:c r="H412" s="373"/>
      <x:c r="I412" s="373"/>
      <x:c r="J412" s="373"/>
      <x:c r="K412" s="373"/>
      <x:c r="L412" s="373"/>
      <x:c r="M412" s="373"/>
      <x:c r="N412" s="373"/>
      <x:c r="O412" s="373"/>
      <x:c r="P412" s="373"/>
      <x:c r="Q412" s="373"/>
      <x:c r="R412" s="373"/>
      <x:c r="S412" s="373"/>
      <x:c r="T412" s="373"/>
      <x:c r="U412" s="373"/>
      <x:c r="V412" s="373"/>
      <x:c r="W412" s="373"/>
      <x:c r="X412" s="373"/>
      <x:c r="Y412" s="373"/>
      <x:c r="Z412" s="373"/>
    </x:row>
    <x:row r="413">
      <x:c r="A413" s="373"/>
      <x:c r="B413" s="373"/>
      <x:c r="C413" s="373"/>
      <x:c r="D413" s="373"/>
      <x:c r="E413" s="373"/>
      <x:c r="F413" s="373"/>
      <x:c r="G413" s="373"/>
      <x:c r="H413" s="373"/>
      <x:c r="I413" s="373"/>
      <x:c r="J413" s="373"/>
      <x:c r="K413" s="373"/>
      <x:c r="L413" s="373"/>
      <x:c r="M413" s="373"/>
      <x:c r="N413" s="373"/>
      <x:c r="O413" s="373"/>
      <x:c r="P413" s="373"/>
      <x:c r="Q413" s="373"/>
      <x:c r="R413" s="373"/>
      <x:c r="S413" s="373"/>
      <x:c r="T413" s="373"/>
      <x:c r="U413" s="373"/>
      <x:c r="V413" s="373"/>
      <x:c r="W413" s="373"/>
      <x:c r="X413" s="373"/>
      <x:c r="Y413" s="373"/>
      <x:c r="Z413" s="373"/>
    </x:row>
    <x:row r="414">
      <x:c r="A414" s="373"/>
      <x:c r="B414" s="373"/>
      <x:c r="C414" s="373"/>
      <x:c r="D414" s="373"/>
      <x:c r="E414" s="373"/>
      <x:c r="F414" s="373"/>
      <x:c r="G414" s="373"/>
      <x:c r="H414" s="373"/>
      <x:c r="I414" s="373"/>
      <x:c r="J414" s="373"/>
      <x:c r="K414" s="373"/>
      <x:c r="L414" s="373"/>
      <x:c r="M414" s="373"/>
      <x:c r="N414" s="373"/>
      <x:c r="O414" s="373"/>
      <x:c r="P414" s="373"/>
      <x:c r="Q414" s="373"/>
      <x:c r="R414" s="373"/>
      <x:c r="S414" s="373"/>
      <x:c r="T414" s="373"/>
      <x:c r="U414" s="373"/>
      <x:c r="V414" s="373"/>
      <x:c r="W414" s="373"/>
      <x:c r="X414" s="373"/>
      <x:c r="Y414" s="373"/>
      <x:c r="Z414" s="373"/>
    </x:row>
    <x:row r="415">
      <x:c r="A415" s="373"/>
      <x:c r="B415" s="373"/>
      <x:c r="C415" s="373"/>
      <x:c r="D415" s="373"/>
      <x:c r="E415" s="373"/>
      <x:c r="F415" s="373"/>
      <x:c r="G415" s="373"/>
      <x:c r="H415" s="373"/>
      <x:c r="I415" s="373"/>
      <x:c r="J415" s="373"/>
      <x:c r="K415" s="373"/>
      <x:c r="L415" s="373"/>
      <x:c r="M415" s="373"/>
      <x:c r="N415" s="373"/>
      <x:c r="O415" s="373"/>
      <x:c r="P415" s="373"/>
      <x:c r="Q415" s="373"/>
      <x:c r="R415" s="373"/>
      <x:c r="S415" s="373"/>
      <x:c r="T415" s="373"/>
      <x:c r="U415" s="373"/>
      <x:c r="V415" s="373"/>
      <x:c r="W415" s="373"/>
      <x:c r="X415" s="373"/>
      <x:c r="Y415" s="373"/>
      <x:c r="Z415" s="373"/>
    </x:row>
    <x:row r="416">
      <x:c r="A416" s="373"/>
      <x:c r="B416" s="373"/>
      <x:c r="C416" s="373"/>
      <x:c r="D416" s="373"/>
      <x:c r="E416" s="373"/>
      <x:c r="F416" s="373"/>
      <x:c r="G416" s="373"/>
      <x:c r="H416" s="373"/>
      <x:c r="I416" s="373"/>
      <x:c r="J416" s="373"/>
      <x:c r="K416" s="373"/>
      <x:c r="L416" s="373"/>
      <x:c r="M416" s="373"/>
      <x:c r="N416" s="373"/>
      <x:c r="O416" s="373"/>
      <x:c r="P416" s="373"/>
      <x:c r="Q416" s="373"/>
      <x:c r="R416" s="373"/>
      <x:c r="S416" s="373"/>
      <x:c r="T416" s="373"/>
      <x:c r="U416" s="373"/>
      <x:c r="V416" s="373"/>
      <x:c r="W416" s="373"/>
      <x:c r="X416" s="373"/>
      <x:c r="Y416" s="373"/>
      <x:c r="Z416" s="373"/>
    </x:row>
    <x:row r="417">
      <x:c r="A417" s="373"/>
      <x:c r="B417" s="373"/>
      <x:c r="C417" s="373"/>
      <x:c r="D417" s="373"/>
      <x:c r="E417" s="373"/>
      <x:c r="F417" s="373"/>
      <x:c r="G417" s="373"/>
      <x:c r="H417" s="373"/>
      <x:c r="I417" s="373"/>
      <x:c r="J417" s="373"/>
      <x:c r="K417" s="373"/>
      <x:c r="L417" s="373"/>
      <x:c r="M417" s="373"/>
      <x:c r="N417" s="373"/>
      <x:c r="O417" s="373"/>
      <x:c r="P417" s="373"/>
      <x:c r="Q417" s="373"/>
      <x:c r="R417" s="373"/>
      <x:c r="S417" s="373"/>
      <x:c r="T417" s="373"/>
      <x:c r="U417" s="373"/>
      <x:c r="V417" s="373"/>
      <x:c r="W417" s="373"/>
      <x:c r="X417" s="373"/>
      <x:c r="Y417" s="373"/>
      <x:c r="Z417" s="373"/>
    </x:row>
    <x:row r="418">
      <x:c r="A418" s="373"/>
      <x:c r="B418" s="373"/>
      <x:c r="C418" s="373"/>
      <x:c r="D418" s="373"/>
      <x:c r="E418" s="373"/>
      <x:c r="F418" s="373"/>
      <x:c r="G418" s="373"/>
      <x:c r="H418" s="373"/>
      <x:c r="I418" s="373"/>
      <x:c r="J418" s="373"/>
      <x:c r="K418" s="373"/>
      <x:c r="L418" s="373"/>
      <x:c r="M418" s="373"/>
      <x:c r="N418" s="373"/>
      <x:c r="O418" s="373"/>
      <x:c r="P418" s="373"/>
      <x:c r="Q418" s="373"/>
      <x:c r="R418" s="373"/>
      <x:c r="S418" s="373"/>
      <x:c r="T418" s="373"/>
      <x:c r="U418" s="373"/>
      <x:c r="V418" s="373"/>
      <x:c r="W418" s="373"/>
      <x:c r="X418" s="373"/>
      <x:c r="Y418" s="373"/>
      <x:c r="Z418" s="373"/>
    </x:row>
    <x:row r="419">
      <x:c r="A419" s="373"/>
      <x:c r="B419" s="373"/>
      <x:c r="C419" s="373"/>
      <x:c r="D419" s="373"/>
      <x:c r="E419" s="373"/>
      <x:c r="F419" s="373"/>
      <x:c r="G419" s="373"/>
      <x:c r="H419" s="373"/>
      <x:c r="I419" s="373"/>
      <x:c r="J419" s="373"/>
      <x:c r="K419" s="373"/>
      <x:c r="L419" s="373"/>
      <x:c r="M419" s="373"/>
      <x:c r="N419" s="373"/>
      <x:c r="O419" s="373"/>
      <x:c r="P419" s="373"/>
      <x:c r="Q419" s="373"/>
      <x:c r="R419" s="373"/>
      <x:c r="S419" s="373"/>
      <x:c r="T419" s="373"/>
      <x:c r="U419" s="373"/>
      <x:c r="V419" s="373"/>
      <x:c r="W419" s="373"/>
      <x:c r="X419" s="373"/>
      <x:c r="Y419" s="373"/>
      <x:c r="Z419" s="373"/>
    </x:row>
    <x:row r="420">
      <x:c r="A420" s="373"/>
      <x:c r="B420" s="373"/>
      <x:c r="C420" s="373"/>
      <x:c r="D420" s="373"/>
      <x:c r="E420" s="373"/>
      <x:c r="F420" s="373"/>
      <x:c r="G420" s="373"/>
      <x:c r="H420" s="373"/>
      <x:c r="I420" s="373"/>
      <x:c r="J420" s="373"/>
      <x:c r="K420" s="373"/>
      <x:c r="L420" s="373"/>
      <x:c r="M420" s="373"/>
      <x:c r="N420" s="373"/>
      <x:c r="O420" s="373"/>
      <x:c r="P420" s="373"/>
      <x:c r="Q420" s="373"/>
      <x:c r="R420" s="373"/>
      <x:c r="S420" s="373"/>
      <x:c r="T420" s="373"/>
      <x:c r="U420" s="373"/>
      <x:c r="V420" s="373"/>
      <x:c r="W420" s="373"/>
      <x:c r="X420" s="373"/>
      <x:c r="Y420" s="373"/>
      <x:c r="Z420" s="373"/>
    </x:row>
    <x:row r="421">
      <x:c r="A421" s="373"/>
      <x:c r="B421" s="373"/>
      <x:c r="C421" s="373"/>
      <x:c r="D421" s="373"/>
      <x:c r="E421" s="373"/>
      <x:c r="F421" s="373"/>
      <x:c r="G421" s="373"/>
      <x:c r="H421" s="373"/>
      <x:c r="I421" s="373"/>
      <x:c r="J421" s="373"/>
      <x:c r="K421" s="373"/>
      <x:c r="L421" s="373"/>
      <x:c r="M421" s="373"/>
      <x:c r="N421" s="373"/>
      <x:c r="O421" s="373"/>
      <x:c r="P421" s="373"/>
      <x:c r="Q421" s="373"/>
      <x:c r="R421" s="373"/>
      <x:c r="S421" s="373"/>
      <x:c r="T421" s="373"/>
      <x:c r="U421" s="373"/>
      <x:c r="V421" s="373"/>
      <x:c r="W421" s="373"/>
      <x:c r="X421" s="373"/>
      <x:c r="Y421" s="373"/>
      <x:c r="Z421" s="373"/>
    </x:row>
    <x:row r="422">
      <x:c r="A422" s="373"/>
      <x:c r="B422" s="373"/>
      <x:c r="C422" s="373"/>
      <x:c r="D422" s="373"/>
      <x:c r="E422" s="373"/>
      <x:c r="F422" s="373"/>
      <x:c r="G422" s="373"/>
      <x:c r="H422" s="373"/>
      <x:c r="I422" s="373"/>
      <x:c r="J422" s="373"/>
      <x:c r="K422" s="373"/>
      <x:c r="L422" s="373"/>
      <x:c r="M422" s="373"/>
      <x:c r="N422" s="373"/>
      <x:c r="O422" s="373"/>
      <x:c r="P422" s="373"/>
      <x:c r="Q422" s="373"/>
      <x:c r="R422" s="373"/>
      <x:c r="S422" s="373"/>
      <x:c r="T422" s="373"/>
      <x:c r="U422" s="373"/>
      <x:c r="V422" s="373"/>
      <x:c r="W422" s="373"/>
      <x:c r="X422" s="373"/>
      <x:c r="Y422" s="373"/>
      <x:c r="Z422" s="373"/>
    </x:row>
    <x:row r="423">
      <x:c r="A423" s="373"/>
      <x:c r="B423" s="373"/>
      <x:c r="C423" s="373"/>
      <x:c r="D423" s="373"/>
      <x:c r="E423" s="373"/>
      <x:c r="F423" s="373"/>
      <x:c r="G423" s="373"/>
      <x:c r="H423" s="373"/>
      <x:c r="I423" s="373"/>
      <x:c r="J423" s="373"/>
      <x:c r="K423" s="373"/>
      <x:c r="L423" s="373"/>
      <x:c r="M423" s="373"/>
      <x:c r="N423" s="373"/>
      <x:c r="O423" s="373"/>
      <x:c r="P423" s="373"/>
      <x:c r="Q423" s="373"/>
      <x:c r="R423" s="373"/>
      <x:c r="S423" s="373"/>
      <x:c r="T423" s="373"/>
      <x:c r="U423" s="373"/>
      <x:c r="V423" s="373"/>
      <x:c r="W423" s="373"/>
      <x:c r="X423" s="373"/>
      <x:c r="Y423" s="373"/>
      <x:c r="Z423" s="373"/>
    </x:row>
    <x:row r="424">
      <x:c r="A424" s="373"/>
      <x:c r="B424" s="373"/>
      <x:c r="C424" s="373"/>
      <x:c r="D424" s="373"/>
      <x:c r="E424" s="373"/>
      <x:c r="F424" s="373"/>
      <x:c r="G424" s="373"/>
      <x:c r="H424" s="373"/>
      <x:c r="I424" s="373"/>
      <x:c r="J424" s="373"/>
      <x:c r="K424" s="373"/>
      <x:c r="L424" s="373"/>
      <x:c r="M424" s="373"/>
      <x:c r="N424" s="373"/>
      <x:c r="O424" s="373"/>
      <x:c r="P424" s="373"/>
      <x:c r="Q424" s="373"/>
      <x:c r="R424" s="373"/>
      <x:c r="S424" s="373"/>
      <x:c r="T424" s="373"/>
      <x:c r="U424" s="373"/>
      <x:c r="V424" s="373"/>
      <x:c r="W424" s="373"/>
      <x:c r="X424" s="373"/>
      <x:c r="Y424" s="373"/>
      <x:c r="Z424" s="373"/>
    </x:row>
    <x:row r="425">
      <x:c r="A425" s="373"/>
      <x:c r="B425" s="373"/>
      <x:c r="C425" s="373"/>
      <x:c r="D425" s="373"/>
      <x:c r="E425" s="373"/>
      <x:c r="F425" s="373"/>
      <x:c r="G425" s="373"/>
      <x:c r="H425" s="373"/>
      <x:c r="I425" s="373"/>
      <x:c r="J425" s="373"/>
      <x:c r="K425" s="373"/>
      <x:c r="L425" s="373"/>
      <x:c r="M425" s="373"/>
      <x:c r="N425" s="373"/>
      <x:c r="O425" s="373"/>
      <x:c r="P425" s="373"/>
      <x:c r="Q425" s="373"/>
      <x:c r="R425" s="373"/>
      <x:c r="S425" s="373"/>
      <x:c r="T425" s="373"/>
      <x:c r="U425" s="373"/>
      <x:c r="V425" s="373"/>
      <x:c r="W425" s="373"/>
      <x:c r="X425" s="373"/>
      <x:c r="Y425" s="373"/>
      <x:c r="Z425" s="373"/>
    </x:row>
    <x:row r="426">
      <x:c r="A426" s="373"/>
      <x:c r="B426" s="373"/>
      <x:c r="C426" s="373"/>
      <x:c r="D426" s="373"/>
      <x:c r="E426" s="373"/>
      <x:c r="F426" s="373"/>
      <x:c r="G426" s="373"/>
      <x:c r="H426" s="373"/>
      <x:c r="I426" s="373"/>
      <x:c r="J426" s="373"/>
      <x:c r="K426" s="373"/>
      <x:c r="L426" s="373"/>
      <x:c r="M426" s="373"/>
      <x:c r="N426" s="373"/>
      <x:c r="O426" s="373"/>
      <x:c r="P426" s="373"/>
      <x:c r="Q426" s="373"/>
      <x:c r="R426" s="373"/>
      <x:c r="S426" s="373"/>
      <x:c r="T426" s="373"/>
      <x:c r="U426" s="373"/>
      <x:c r="V426" s="373"/>
      <x:c r="W426" s="373"/>
      <x:c r="X426" s="373"/>
      <x:c r="Y426" s="373"/>
      <x:c r="Z426" s="373"/>
    </x:row>
    <x:row r="427">
      <x:c r="A427" s="373"/>
      <x:c r="B427" s="373"/>
      <x:c r="C427" s="373"/>
      <x:c r="D427" s="373"/>
      <x:c r="E427" s="373"/>
      <x:c r="F427" s="373"/>
      <x:c r="G427" s="373"/>
      <x:c r="H427" s="373"/>
      <x:c r="I427" s="373"/>
      <x:c r="J427" s="373"/>
      <x:c r="K427" s="373"/>
      <x:c r="L427" s="373"/>
      <x:c r="M427" s="373"/>
      <x:c r="N427" s="373"/>
      <x:c r="O427" s="373"/>
      <x:c r="P427" s="373"/>
      <x:c r="Q427" s="373"/>
      <x:c r="R427" s="373"/>
      <x:c r="S427" s="373"/>
      <x:c r="T427" s="373"/>
      <x:c r="U427" s="373"/>
      <x:c r="V427" s="373"/>
      <x:c r="W427" s="373"/>
      <x:c r="X427" s="373"/>
      <x:c r="Y427" s="373"/>
      <x:c r="Z427" s="373"/>
    </x:row>
    <x:row r="428">
      <x:c r="A428" s="373"/>
      <x:c r="B428" s="373"/>
      <x:c r="C428" s="373"/>
      <x:c r="D428" s="373"/>
      <x:c r="E428" s="373"/>
      <x:c r="F428" s="373"/>
      <x:c r="G428" s="373"/>
      <x:c r="H428" s="373"/>
      <x:c r="I428" s="373"/>
      <x:c r="J428" s="373"/>
      <x:c r="K428" s="373"/>
      <x:c r="L428" s="373"/>
      <x:c r="M428" s="373"/>
      <x:c r="N428" s="373"/>
      <x:c r="O428" s="373"/>
      <x:c r="P428" s="373"/>
      <x:c r="Q428" s="373"/>
      <x:c r="R428" s="373"/>
      <x:c r="S428" s="373"/>
      <x:c r="T428" s="373"/>
      <x:c r="U428" s="373"/>
      <x:c r="V428" s="373"/>
      <x:c r="W428" s="373"/>
      <x:c r="X428" s="373"/>
      <x:c r="Y428" s="373"/>
      <x:c r="Z428" s="373"/>
    </x:row>
    <x:row r="429">
      <x:c r="A429" s="373"/>
      <x:c r="B429" s="373"/>
      <x:c r="C429" s="373"/>
      <x:c r="D429" s="373"/>
      <x:c r="E429" s="373"/>
      <x:c r="F429" s="373"/>
      <x:c r="G429" s="373"/>
      <x:c r="H429" s="373"/>
      <x:c r="I429" s="373"/>
      <x:c r="J429" s="373"/>
      <x:c r="K429" s="373"/>
      <x:c r="L429" s="373"/>
      <x:c r="M429" s="373"/>
      <x:c r="N429" s="373"/>
      <x:c r="O429" s="373"/>
      <x:c r="P429" s="373"/>
      <x:c r="Q429" s="373"/>
      <x:c r="R429" s="373"/>
      <x:c r="S429" s="373"/>
      <x:c r="T429" s="373"/>
      <x:c r="U429" s="373"/>
      <x:c r="V429" s="373"/>
      <x:c r="W429" s="373"/>
      <x:c r="X429" s="373"/>
      <x:c r="Y429" s="373"/>
      <x:c r="Z429" s="373"/>
    </x:row>
    <x:row r="430">
      <x:c r="A430" s="373"/>
      <x:c r="B430" s="373"/>
      <x:c r="C430" s="373"/>
      <x:c r="D430" s="373"/>
      <x:c r="E430" s="373"/>
      <x:c r="F430" s="373"/>
      <x:c r="G430" s="373"/>
      <x:c r="H430" s="373"/>
      <x:c r="I430" s="373"/>
      <x:c r="J430" s="373"/>
      <x:c r="K430" s="373"/>
      <x:c r="L430" s="373"/>
      <x:c r="M430" s="373"/>
      <x:c r="N430" s="373"/>
      <x:c r="O430" s="373"/>
      <x:c r="P430" s="373"/>
      <x:c r="Q430" s="373"/>
      <x:c r="R430" s="373"/>
      <x:c r="S430" s="373"/>
      <x:c r="T430" s="373"/>
      <x:c r="U430" s="373"/>
      <x:c r="V430" s="373"/>
      <x:c r="W430" s="373"/>
      <x:c r="X430" s="373"/>
      <x:c r="Y430" s="373"/>
      <x:c r="Z430" s="373"/>
    </x:row>
    <x:row r="431">
      <x:c r="A431" s="373"/>
      <x:c r="B431" s="373"/>
      <x:c r="C431" s="373"/>
      <x:c r="D431" s="373"/>
      <x:c r="E431" s="373"/>
      <x:c r="F431" s="373"/>
      <x:c r="G431" s="373"/>
      <x:c r="H431" s="373"/>
      <x:c r="I431" s="373"/>
      <x:c r="J431" s="373"/>
      <x:c r="K431" s="373"/>
      <x:c r="L431" s="373"/>
      <x:c r="M431" s="373"/>
      <x:c r="N431" s="373"/>
      <x:c r="O431" s="373"/>
      <x:c r="P431" s="373"/>
      <x:c r="Q431" s="373"/>
      <x:c r="R431" s="373"/>
      <x:c r="S431" s="373"/>
      <x:c r="T431" s="373"/>
      <x:c r="U431" s="373"/>
      <x:c r="V431" s="373"/>
      <x:c r="W431" s="373"/>
      <x:c r="X431" s="373"/>
      <x:c r="Y431" s="373"/>
      <x:c r="Z431" s="373"/>
    </x:row>
    <x:row r="432">
      <x:c r="A432" s="373"/>
      <x:c r="B432" s="373"/>
      <x:c r="C432" s="373"/>
      <x:c r="D432" s="373"/>
      <x:c r="E432" s="373"/>
      <x:c r="F432" s="373"/>
      <x:c r="G432" s="373"/>
      <x:c r="H432" s="373"/>
      <x:c r="I432" s="373"/>
      <x:c r="J432" s="373"/>
      <x:c r="K432" s="373"/>
      <x:c r="L432" s="373"/>
      <x:c r="M432" s="373"/>
      <x:c r="N432" s="373"/>
      <x:c r="O432" s="373"/>
      <x:c r="P432" s="373"/>
      <x:c r="Q432" s="373"/>
      <x:c r="R432" s="373"/>
      <x:c r="S432" s="373"/>
      <x:c r="T432" s="373"/>
      <x:c r="U432" s="373"/>
      <x:c r="V432" s="373"/>
      <x:c r="W432" s="373"/>
      <x:c r="X432" s="373"/>
      <x:c r="Y432" s="373"/>
      <x:c r="Z432" s="373"/>
    </x:row>
    <x:row r="433">
      <x:c r="A433" s="373"/>
      <x:c r="B433" s="373"/>
      <x:c r="C433" s="373"/>
      <x:c r="D433" s="373"/>
      <x:c r="E433" s="373"/>
      <x:c r="F433" s="373"/>
      <x:c r="G433" s="373"/>
      <x:c r="H433" s="373"/>
      <x:c r="I433" s="373"/>
      <x:c r="J433" s="373"/>
      <x:c r="K433" s="373"/>
      <x:c r="L433" s="373"/>
      <x:c r="M433" s="373"/>
      <x:c r="N433" s="373"/>
      <x:c r="O433" s="373"/>
      <x:c r="P433" s="373"/>
      <x:c r="Q433" s="373"/>
      <x:c r="R433" s="373"/>
      <x:c r="S433" s="373"/>
      <x:c r="T433" s="373"/>
      <x:c r="U433" s="373"/>
      <x:c r="V433" s="373"/>
      <x:c r="W433" s="373"/>
      <x:c r="X433" s="373"/>
      <x:c r="Y433" s="373"/>
      <x:c r="Z433" s="373"/>
    </x:row>
    <x:row r="434">
      <x:c r="A434" s="373"/>
      <x:c r="B434" s="373"/>
      <x:c r="C434" s="373"/>
      <x:c r="D434" s="373"/>
      <x:c r="E434" s="373"/>
      <x:c r="F434" s="373"/>
      <x:c r="G434" s="373"/>
      <x:c r="H434" s="373"/>
      <x:c r="I434" s="373"/>
      <x:c r="J434" s="373"/>
      <x:c r="K434" s="373"/>
      <x:c r="L434" s="373"/>
      <x:c r="M434" s="373"/>
      <x:c r="N434" s="373"/>
      <x:c r="O434" s="373"/>
      <x:c r="P434" s="373"/>
      <x:c r="Q434" s="373"/>
      <x:c r="R434" s="373"/>
      <x:c r="S434" s="373"/>
      <x:c r="T434" s="373"/>
      <x:c r="U434" s="373"/>
      <x:c r="V434" s="373"/>
      <x:c r="W434" s="373"/>
      <x:c r="X434" s="373"/>
      <x:c r="Y434" s="373"/>
      <x:c r="Z434" s="373"/>
    </x:row>
    <x:row r="435">
      <x:c r="A435" s="373"/>
      <x:c r="B435" s="373"/>
      <x:c r="C435" s="373"/>
      <x:c r="D435" s="373"/>
      <x:c r="E435" s="373"/>
      <x:c r="F435" s="373"/>
      <x:c r="G435" s="373"/>
      <x:c r="H435" s="373"/>
      <x:c r="I435" s="373"/>
      <x:c r="J435" s="373"/>
      <x:c r="K435" s="373"/>
      <x:c r="L435" s="373"/>
      <x:c r="M435" s="373"/>
      <x:c r="N435" s="373"/>
      <x:c r="O435" s="373"/>
      <x:c r="P435" s="373"/>
      <x:c r="Q435" s="373"/>
      <x:c r="R435" s="373"/>
      <x:c r="S435" s="373"/>
      <x:c r="T435" s="373"/>
      <x:c r="U435" s="373"/>
      <x:c r="V435" s="373"/>
      <x:c r="W435" s="373"/>
      <x:c r="X435" s="373"/>
      <x:c r="Y435" s="373"/>
      <x:c r="Z435" s="373"/>
    </x:row>
    <x:row r="436">
      <x:c r="A436" s="373"/>
      <x:c r="B436" s="373"/>
      <x:c r="C436" s="373"/>
      <x:c r="D436" s="373"/>
      <x:c r="E436" s="373"/>
      <x:c r="F436" s="373"/>
      <x:c r="G436" s="373"/>
      <x:c r="H436" s="373"/>
      <x:c r="I436" s="373"/>
      <x:c r="J436" s="373"/>
      <x:c r="K436" s="373"/>
      <x:c r="L436" s="373"/>
      <x:c r="M436" s="373"/>
      <x:c r="N436" s="373"/>
      <x:c r="O436" s="373"/>
      <x:c r="P436" s="373"/>
      <x:c r="Q436" s="373"/>
      <x:c r="R436" s="373"/>
      <x:c r="S436" s="373"/>
      <x:c r="T436" s="373"/>
      <x:c r="U436" s="373"/>
      <x:c r="V436" s="373"/>
      <x:c r="W436" s="373"/>
      <x:c r="X436" s="373"/>
      <x:c r="Y436" s="373"/>
      <x:c r="Z436" s="373"/>
    </x:row>
    <x:row r="437">
      <x:c r="A437" s="373"/>
      <x:c r="B437" s="373"/>
      <x:c r="C437" s="373"/>
      <x:c r="D437" s="373"/>
      <x:c r="E437" s="373"/>
      <x:c r="F437" s="373"/>
      <x:c r="G437" s="373"/>
      <x:c r="H437" s="373"/>
      <x:c r="I437" s="373"/>
      <x:c r="J437" s="373"/>
      <x:c r="K437" s="373"/>
      <x:c r="L437" s="373"/>
      <x:c r="M437" s="373"/>
      <x:c r="N437" s="373"/>
      <x:c r="O437" s="373"/>
      <x:c r="P437" s="373"/>
      <x:c r="Q437" s="373"/>
      <x:c r="R437" s="373"/>
      <x:c r="S437" s="373"/>
      <x:c r="T437" s="373"/>
      <x:c r="U437" s="373"/>
      <x:c r="V437" s="373"/>
      <x:c r="W437" s="373"/>
      <x:c r="X437" s="373"/>
      <x:c r="Y437" s="373"/>
      <x:c r="Z437" s="373"/>
    </x:row>
    <x:row r="438">
      <x:c r="A438" s="373"/>
      <x:c r="B438" s="373"/>
      <x:c r="C438" s="373"/>
      <x:c r="D438" s="373"/>
      <x:c r="E438" s="373"/>
      <x:c r="F438" s="373"/>
      <x:c r="G438" s="373"/>
      <x:c r="H438" s="373"/>
      <x:c r="I438" s="373"/>
      <x:c r="J438" s="373"/>
      <x:c r="K438" s="373"/>
      <x:c r="L438" s="373"/>
      <x:c r="M438" s="373"/>
      <x:c r="N438" s="373"/>
      <x:c r="O438" s="373"/>
      <x:c r="P438" s="373"/>
      <x:c r="Q438" s="373"/>
      <x:c r="R438" s="373"/>
      <x:c r="S438" s="373"/>
      <x:c r="T438" s="373"/>
      <x:c r="U438" s="373"/>
      <x:c r="V438" s="373"/>
      <x:c r="W438" s="373"/>
      <x:c r="X438" s="373"/>
      <x:c r="Y438" s="373"/>
      <x:c r="Z438" s="373"/>
    </x:row>
    <x:row r="439">
      <x:c r="A439" s="373"/>
      <x:c r="B439" s="373"/>
      <x:c r="C439" s="373"/>
      <x:c r="D439" s="373"/>
      <x:c r="E439" s="373"/>
      <x:c r="F439" s="373"/>
      <x:c r="G439" s="373"/>
      <x:c r="H439" s="373"/>
      <x:c r="I439" s="373"/>
      <x:c r="J439" s="373"/>
      <x:c r="K439" s="373"/>
      <x:c r="L439" s="373"/>
      <x:c r="M439" s="373"/>
      <x:c r="N439" s="373"/>
      <x:c r="O439" s="373"/>
      <x:c r="P439" s="373"/>
      <x:c r="Q439" s="373"/>
      <x:c r="R439" s="373"/>
      <x:c r="S439" s="373"/>
      <x:c r="T439" s="373"/>
      <x:c r="U439" s="373"/>
      <x:c r="V439" s="373"/>
      <x:c r="W439" s="373"/>
      <x:c r="X439" s="373"/>
      <x:c r="Y439" s="373"/>
      <x:c r="Z439" s="373"/>
    </x:row>
    <x:row r="440">
      <x:c r="A440" s="373"/>
      <x:c r="B440" s="373"/>
      <x:c r="C440" s="373"/>
      <x:c r="D440" s="373"/>
      <x:c r="E440" s="373"/>
      <x:c r="F440" s="373"/>
      <x:c r="G440" s="373"/>
      <x:c r="H440" s="373"/>
      <x:c r="I440" s="373"/>
      <x:c r="J440" s="373"/>
      <x:c r="K440" s="373"/>
      <x:c r="L440" s="373"/>
      <x:c r="M440" s="373"/>
      <x:c r="N440" s="373"/>
      <x:c r="O440" s="373"/>
      <x:c r="P440" s="373"/>
      <x:c r="Q440" s="373"/>
      <x:c r="R440" s="373"/>
      <x:c r="S440" s="373"/>
      <x:c r="T440" s="373"/>
      <x:c r="U440" s="373"/>
      <x:c r="V440" s="373"/>
      <x:c r="W440" s="373"/>
      <x:c r="X440" s="373"/>
      <x:c r="Y440" s="373"/>
      <x:c r="Z440" s="373"/>
    </x:row>
    <x:row r="441">
      <x:c r="A441" s="373"/>
      <x:c r="B441" s="373"/>
      <x:c r="C441" s="373"/>
      <x:c r="D441" s="373"/>
      <x:c r="E441" s="373"/>
      <x:c r="F441" s="373"/>
      <x:c r="G441" s="373"/>
      <x:c r="H441" s="373"/>
      <x:c r="I441" s="373"/>
      <x:c r="J441" s="373"/>
      <x:c r="K441" s="373"/>
      <x:c r="L441" s="373"/>
      <x:c r="M441" s="373"/>
      <x:c r="N441" s="373"/>
      <x:c r="O441" s="373"/>
      <x:c r="P441" s="373"/>
      <x:c r="Q441" s="373"/>
      <x:c r="R441" s="373"/>
      <x:c r="S441" s="373"/>
      <x:c r="T441" s="373"/>
      <x:c r="U441" s="373"/>
      <x:c r="V441" s="373"/>
      <x:c r="W441" s="373"/>
      <x:c r="X441" s="373"/>
      <x:c r="Y441" s="373"/>
      <x:c r="Z441" s="373"/>
    </x:row>
    <x:row r="442">
      <x:c r="A442" s="373"/>
      <x:c r="B442" s="373"/>
      <x:c r="C442" s="373"/>
      <x:c r="D442" s="373"/>
      <x:c r="E442" s="373"/>
      <x:c r="F442" s="373"/>
      <x:c r="G442" s="373"/>
      <x:c r="H442" s="373"/>
      <x:c r="I442" s="373"/>
      <x:c r="J442" s="373"/>
      <x:c r="K442" s="373"/>
      <x:c r="L442" s="373"/>
      <x:c r="M442" s="373"/>
      <x:c r="N442" s="373"/>
      <x:c r="O442" s="373"/>
      <x:c r="P442" s="373"/>
      <x:c r="Q442" s="373"/>
      <x:c r="R442" s="373"/>
      <x:c r="S442" s="373"/>
      <x:c r="T442" s="373"/>
      <x:c r="U442" s="373"/>
      <x:c r="V442" s="373"/>
      <x:c r="W442" s="373"/>
      <x:c r="X442" s="373"/>
      <x:c r="Y442" s="373"/>
      <x:c r="Z442" s="373"/>
    </x:row>
    <x:row r="443">
      <x:c r="A443" s="373"/>
      <x:c r="B443" s="373"/>
      <x:c r="C443" s="373"/>
      <x:c r="D443" s="373"/>
      <x:c r="E443" s="373"/>
      <x:c r="F443" s="373"/>
      <x:c r="G443" s="373"/>
      <x:c r="H443" s="373"/>
      <x:c r="I443" s="373"/>
      <x:c r="J443" s="373"/>
      <x:c r="K443" s="373"/>
      <x:c r="L443" s="373"/>
      <x:c r="M443" s="373"/>
      <x:c r="N443" s="373"/>
      <x:c r="O443" s="373"/>
      <x:c r="P443" s="373"/>
      <x:c r="Q443" s="373"/>
      <x:c r="R443" s="373"/>
      <x:c r="S443" s="373"/>
      <x:c r="T443" s="373"/>
      <x:c r="U443" s="373"/>
      <x:c r="V443" s="373"/>
      <x:c r="W443" s="373"/>
      <x:c r="X443" s="373"/>
      <x:c r="Y443" s="373"/>
      <x:c r="Z443" s="373"/>
    </x:row>
    <x:row r="444">
      <x:c r="A444" s="373"/>
      <x:c r="B444" s="373"/>
      <x:c r="C444" s="373"/>
      <x:c r="D444" s="373"/>
      <x:c r="E444" s="373"/>
      <x:c r="F444" s="373"/>
      <x:c r="G444" s="373"/>
      <x:c r="H444" s="373"/>
      <x:c r="I444" s="373"/>
      <x:c r="J444" s="373"/>
      <x:c r="K444" s="373"/>
      <x:c r="L444" s="373"/>
      <x:c r="M444" s="373"/>
      <x:c r="N444" s="373"/>
      <x:c r="O444" s="373"/>
      <x:c r="P444" s="373"/>
      <x:c r="Q444" s="373"/>
      <x:c r="R444" s="373"/>
      <x:c r="S444" s="373"/>
      <x:c r="T444" s="373"/>
      <x:c r="U444" s="373"/>
      <x:c r="V444" s="373"/>
      <x:c r="W444" s="373"/>
      <x:c r="X444" s="373"/>
      <x:c r="Y444" s="373"/>
      <x:c r="Z444" s="373"/>
    </x:row>
    <x:row r="445">
      <x:c r="A445" s="373"/>
      <x:c r="B445" s="373"/>
      <x:c r="C445" s="373"/>
      <x:c r="D445" s="373"/>
      <x:c r="E445" s="373"/>
      <x:c r="F445" s="373"/>
      <x:c r="G445" s="373"/>
      <x:c r="H445" s="373"/>
      <x:c r="I445" s="373"/>
      <x:c r="J445" s="373"/>
      <x:c r="K445" s="373"/>
      <x:c r="L445" s="373"/>
      <x:c r="M445" s="373"/>
      <x:c r="N445" s="373"/>
      <x:c r="O445" s="373"/>
      <x:c r="P445" s="373"/>
      <x:c r="Q445" s="373"/>
      <x:c r="R445" s="373"/>
      <x:c r="S445" s="373"/>
      <x:c r="T445" s="373"/>
      <x:c r="U445" s="373"/>
      <x:c r="V445" s="373"/>
      <x:c r="W445" s="373"/>
      <x:c r="X445" s="373"/>
      <x:c r="Y445" s="373"/>
      <x:c r="Z445" s="373"/>
    </x:row>
    <x:row r="446">
      <x:c r="A446" s="373"/>
      <x:c r="B446" s="373"/>
      <x:c r="C446" s="373"/>
      <x:c r="D446" s="373"/>
      <x:c r="E446" s="373"/>
      <x:c r="F446" s="373"/>
      <x:c r="G446" s="373"/>
      <x:c r="H446" s="373"/>
      <x:c r="I446" s="373"/>
      <x:c r="J446" s="373"/>
      <x:c r="K446" s="373"/>
      <x:c r="L446" s="373"/>
      <x:c r="M446" s="373"/>
      <x:c r="N446" s="373"/>
      <x:c r="O446" s="373"/>
      <x:c r="P446" s="373"/>
      <x:c r="Q446" s="373"/>
      <x:c r="R446" s="373"/>
      <x:c r="S446" s="373"/>
      <x:c r="T446" s="373"/>
      <x:c r="U446" s="373"/>
      <x:c r="V446" s="373"/>
      <x:c r="W446" s="373"/>
      <x:c r="X446" s="373"/>
      <x:c r="Y446" s="373"/>
      <x:c r="Z446" s="373"/>
    </x:row>
    <x:row r="447">
      <x:c r="A447" s="373"/>
      <x:c r="B447" s="373"/>
      <x:c r="C447" s="373"/>
      <x:c r="D447" s="373"/>
      <x:c r="E447" s="373"/>
      <x:c r="F447" s="373"/>
      <x:c r="G447" s="373"/>
      <x:c r="H447" s="373"/>
      <x:c r="I447" s="373"/>
      <x:c r="J447" s="373"/>
      <x:c r="K447" s="373"/>
      <x:c r="L447" s="373"/>
      <x:c r="M447" s="373"/>
      <x:c r="N447" s="373"/>
      <x:c r="O447" s="373"/>
      <x:c r="P447" s="373"/>
      <x:c r="Q447" s="373"/>
      <x:c r="R447" s="373"/>
      <x:c r="S447" s="373"/>
      <x:c r="T447" s="373"/>
      <x:c r="U447" s="373"/>
      <x:c r="V447" s="373"/>
      <x:c r="W447" s="373"/>
      <x:c r="X447" s="373"/>
      <x:c r="Y447" s="373"/>
      <x:c r="Z447" s="373"/>
    </x:row>
    <x:row r="448">
      <x:c r="A448" s="373"/>
      <x:c r="B448" s="373"/>
      <x:c r="C448" s="373"/>
      <x:c r="D448" s="373"/>
      <x:c r="E448" s="373"/>
      <x:c r="F448" s="373"/>
      <x:c r="G448" s="373"/>
      <x:c r="H448" s="373"/>
      <x:c r="I448" s="373"/>
      <x:c r="J448" s="373"/>
      <x:c r="K448" s="373"/>
      <x:c r="L448" s="373"/>
      <x:c r="M448" s="373"/>
      <x:c r="N448" s="373"/>
      <x:c r="O448" s="373"/>
      <x:c r="P448" s="373"/>
      <x:c r="Q448" s="373"/>
      <x:c r="R448" s="373"/>
      <x:c r="S448" s="373"/>
      <x:c r="T448" s="373"/>
      <x:c r="U448" s="373"/>
      <x:c r="V448" s="373"/>
      <x:c r="W448" s="373"/>
      <x:c r="X448" s="373"/>
      <x:c r="Y448" s="373"/>
      <x:c r="Z448" s="373"/>
    </x:row>
    <x:row r="449">
      <x:c r="A449" s="373"/>
      <x:c r="B449" s="373"/>
      <x:c r="C449" s="373"/>
      <x:c r="D449" s="373"/>
      <x:c r="E449" s="373"/>
      <x:c r="F449" s="373"/>
      <x:c r="G449" s="373"/>
      <x:c r="H449" s="373"/>
      <x:c r="I449" s="373"/>
      <x:c r="J449" s="373"/>
      <x:c r="K449" s="373"/>
      <x:c r="L449" s="373"/>
      <x:c r="M449" s="373"/>
      <x:c r="N449" s="373"/>
      <x:c r="O449" s="373"/>
      <x:c r="P449" s="373"/>
      <x:c r="Q449" s="373"/>
      <x:c r="R449" s="373"/>
      <x:c r="S449" s="373"/>
      <x:c r="T449" s="373"/>
      <x:c r="U449" s="373"/>
      <x:c r="V449" s="373"/>
      <x:c r="W449" s="373"/>
      <x:c r="X449" s="373"/>
      <x:c r="Y449" s="373"/>
      <x:c r="Z449" s="373"/>
    </x:row>
    <x:row r="450">
      <x:c r="A450" s="373"/>
      <x:c r="B450" s="373"/>
      <x:c r="C450" s="373"/>
      <x:c r="D450" s="373"/>
      <x:c r="E450" s="373"/>
      <x:c r="F450" s="373"/>
      <x:c r="G450" s="373"/>
      <x:c r="H450" s="373"/>
      <x:c r="I450" s="373"/>
      <x:c r="J450" s="373"/>
      <x:c r="K450" s="373"/>
      <x:c r="L450" s="373"/>
      <x:c r="M450" s="373"/>
      <x:c r="N450" s="373"/>
      <x:c r="O450" s="373"/>
      <x:c r="P450" s="373"/>
      <x:c r="Q450" s="373"/>
      <x:c r="R450" s="373"/>
      <x:c r="S450" s="373"/>
      <x:c r="T450" s="373"/>
      <x:c r="U450" s="373"/>
      <x:c r="V450" s="373"/>
      <x:c r="W450" s="373"/>
      <x:c r="X450" s="373"/>
      <x:c r="Y450" s="373"/>
      <x:c r="Z450" s="373"/>
    </x:row>
    <x:row r="451">
      <x:c r="A451" s="373"/>
      <x:c r="B451" s="373"/>
      <x:c r="C451" s="373"/>
      <x:c r="D451" s="373"/>
      <x:c r="E451" s="373"/>
      <x:c r="F451" s="373"/>
      <x:c r="G451" s="373"/>
      <x:c r="H451" s="373"/>
      <x:c r="I451" s="373"/>
      <x:c r="J451" s="373"/>
      <x:c r="K451" s="373"/>
      <x:c r="L451" s="373"/>
      <x:c r="M451" s="373"/>
      <x:c r="N451" s="373"/>
      <x:c r="O451" s="373"/>
      <x:c r="P451" s="373"/>
      <x:c r="Q451" s="373"/>
      <x:c r="R451" s="373"/>
      <x:c r="S451" s="373"/>
      <x:c r="T451" s="373"/>
      <x:c r="U451" s="373"/>
      <x:c r="V451" s="373"/>
      <x:c r="W451" s="373"/>
      <x:c r="X451" s="373"/>
      <x:c r="Y451" s="373"/>
      <x:c r="Z451" s="373"/>
    </x:row>
    <x:row r="452">
      <x:c r="A452" s="373"/>
      <x:c r="B452" s="373"/>
      <x:c r="C452" s="373"/>
      <x:c r="D452" s="373"/>
      <x:c r="E452" s="373"/>
      <x:c r="F452" s="373"/>
      <x:c r="G452" s="373"/>
      <x:c r="H452" s="373"/>
      <x:c r="I452" s="373"/>
      <x:c r="J452" s="373"/>
      <x:c r="K452" s="373"/>
      <x:c r="L452" s="373"/>
      <x:c r="M452" s="373"/>
      <x:c r="N452" s="373"/>
      <x:c r="O452" s="373"/>
      <x:c r="P452" s="373"/>
      <x:c r="Q452" s="373"/>
      <x:c r="R452" s="373"/>
      <x:c r="S452" s="373"/>
      <x:c r="T452" s="373"/>
      <x:c r="U452" s="373"/>
      <x:c r="V452" s="373"/>
      <x:c r="W452" s="373"/>
      <x:c r="X452" s="373"/>
      <x:c r="Y452" s="373"/>
      <x:c r="Z452" s="373"/>
    </x:row>
    <x:row r="453">
      <x:c r="A453" s="373"/>
      <x:c r="B453" s="373"/>
      <x:c r="C453" s="373"/>
      <x:c r="D453" s="373"/>
      <x:c r="E453" s="373"/>
      <x:c r="F453" s="373"/>
      <x:c r="G453" s="373"/>
      <x:c r="H453" s="373"/>
      <x:c r="I453" s="373"/>
      <x:c r="J453" s="373"/>
      <x:c r="K453" s="373"/>
      <x:c r="L453" s="373"/>
      <x:c r="M453" s="373"/>
      <x:c r="N453" s="373"/>
      <x:c r="O453" s="373"/>
      <x:c r="P453" s="373"/>
      <x:c r="Q453" s="373"/>
      <x:c r="R453" s="373"/>
      <x:c r="S453" s="373"/>
      <x:c r="T453" s="373"/>
      <x:c r="U453" s="373"/>
      <x:c r="V453" s="373"/>
      <x:c r="W453" s="373"/>
      <x:c r="X453" s="373"/>
      <x:c r="Y453" s="373"/>
      <x:c r="Z453" s="373"/>
    </x:row>
    <x:row r="454">
      <x:c r="A454" s="373"/>
      <x:c r="B454" s="373"/>
      <x:c r="C454" s="373"/>
      <x:c r="D454" s="373"/>
      <x:c r="E454" s="373"/>
      <x:c r="F454" s="373"/>
      <x:c r="G454" s="373"/>
      <x:c r="H454" s="373"/>
      <x:c r="I454" s="373"/>
      <x:c r="J454" s="373"/>
      <x:c r="K454" s="373"/>
      <x:c r="L454" s="373"/>
      <x:c r="M454" s="373"/>
      <x:c r="N454" s="373"/>
      <x:c r="O454" s="373"/>
      <x:c r="P454" s="373"/>
      <x:c r="Q454" s="373"/>
      <x:c r="R454" s="373"/>
      <x:c r="S454" s="373"/>
      <x:c r="T454" s="373"/>
      <x:c r="U454" s="373"/>
      <x:c r="V454" s="373"/>
      <x:c r="W454" s="373"/>
      <x:c r="X454" s="373"/>
      <x:c r="Y454" s="373"/>
      <x:c r="Z454" s="373"/>
    </x:row>
    <x:row r="455">
      <x:c r="A455" s="373"/>
      <x:c r="B455" s="373"/>
      <x:c r="C455" s="373"/>
      <x:c r="D455" s="373"/>
      <x:c r="E455" s="373"/>
      <x:c r="F455" s="373"/>
      <x:c r="G455" s="373"/>
      <x:c r="H455" s="373"/>
      <x:c r="I455" s="373"/>
      <x:c r="J455" s="373"/>
      <x:c r="K455" s="373"/>
      <x:c r="L455" s="373"/>
      <x:c r="M455" s="373"/>
      <x:c r="N455" s="373"/>
      <x:c r="O455" s="373"/>
      <x:c r="P455" s="373"/>
      <x:c r="Q455" s="373"/>
      <x:c r="R455" s="373"/>
      <x:c r="S455" s="373"/>
      <x:c r="T455" s="373"/>
      <x:c r="U455" s="373"/>
      <x:c r="V455" s="373"/>
      <x:c r="W455" s="373"/>
      <x:c r="X455" s="373"/>
      <x:c r="Y455" s="373"/>
      <x:c r="Z455" s="373"/>
    </x:row>
    <x:row r="456">
      <x:c r="A456" s="373"/>
      <x:c r="B456" s="373"/>
      <x:c r="C456" s="373"/>
      <x:c r="D456" s="373"/>
      <x:c r="E456" s="373"/>
      <x:c r="F456" s="373"/>
      <x:c r="G456" s="373"/>
      <x:c r="H456" s="373"/>
      <x:c r="I456" s="373"/>
      <x:c r="J456" s="373"/>
      <x:c r="K456" s="373"/>
      <x:c r="L456" s="373"/>
      <x:c r="M456" s="373"/>
      <x:c r="N456" s="373"/>
      <x:c r="O456" s="373"/>
      <x:c r="P456" s="373"/>
      <x:c r="Q456" s="373"/>
      <x:c r="R456" s="373"/>
      <x:c r="S456" s="373"/>
      <x:c r="T456" s="373"/>
      <x:c r="U456" s="373"/>
      <x:c r="V456" s="373"/>
      <x:c r="W456" s="373"/>
      <x:c r="X456" s="373"/>
      <x:c r="Y456" s="373"/>
      <x:c r="Z456" s="373"/>
    </x:row>
    <x:row r="457">
      <x:c r="A457" s="373"/>
      <x:c r="B457" s="373"/>
      <x:c r="C457" s="373"/>
      <x:c r="D457" s="373"/>
      <x:c r="E457" s="373"/>
      <x:c r="F457" s="373"/>
      <x:c r="G457" s="373"/>
      <x:c r="H457" s="373"/>
      <x:c r="I457" s="373"/>
      <x:c r="J457" s="373"/>
      <x:c r="K457" s="373"/>
      <x:c r="L457" s="373"/>
      <x:c r="M457" s="373"/>
      <x:c r="N457" s="373"/>
      <x:c r="O457" s="373"/>
      <x:c r="P457" s="373"/>
      <x:c r="Q457" s="373"/>
      <x:c r="R457" s="373"/>
      <x:c r="S457" s="373"/>
      <x:c r="T457" s="373"/>
      <x:c r="U457" s="373"/>
      <x:c r="V457" s="373"/>
      <x:c r="W457" s="373"/>
      <x:c r="X457" s="373"/>
      <x:c r="Y457" s="373"/>
      <x:c r="Z457" s="373"/>
    </x:row>
    <x:row r="458">
      <x:c r="A458" s="373"/>
      <x:c r="B458" s="373"/>
      <x:c r="C458" s="373"/>
      <x:c r="D458" s="373"/>
      <x:c r="E458" s="373"/>
      <x:c r="F458" s="373"/>
      <x:c r="G458" s="373"/>
      <x:c r="H458" s="373"/>
      <x:c r="I458" s="373"/>
      <x:c r="J458" s="373"/>
      <x:c r="K458" s="373"/>
      <x:c r="L458" s="373"/>
      <x:c r="M458" s="373"/>
      <x:c r="N458" s="373"/>
      <x:c r="O458" s="373"/>
      <x:c r="P458" s="373"/>
      <x:c r="Q458" s="373"/>
      <x:c r="R458" s="373"/>
      <x:c r="S458" s="373"/>
      <x:c r="T458" s="373"/>
      <x:c r="U458" s="373"/>
      <x:c r="V458" s="373"/>
      <x:c r="W458" s="373"/>
      <x:c r="X458" s="373"/>
      <x:c r="Y458" s="373"/>
      <x:c r="Z458" s="373"/>
    </x:row>
    <x:row r="459">
      <x:c r="A459" s="373"/>
      <x:c r="B459" s="373"/>
      <x:c r="C459" s="373"/>
      <x:c r="D459" s="373"/>
      <x:c r="E459" s="373"/>
      <x:c r="F459" s="373"/>
      <x:c r="G459" s="373"/>
      <x:c r="H459" s="373"/>
      <x:c r="I459" s="373"/>
      <x:c r="J459" s="373"/>
      <x:c r="K459" s="373"/>
      <x:c r="L459" s="373"/>
      <x:c r="M459" s="373"/>
      <x:c r="N459" s="373"/>
      <x:c r="O459" s="373"/>
      <x:c r="P459" s="373"/>
      <x:c r="Q459" s="373"/>
      <x:c r="R459" s="373"/>
      <x:c r="S459" s="373"/>
      <x:c r="T459" s="373"/>
      <x:c r="U459" s="373"/>
      <x:c r="V459" s="373"/>
      <x:c r="W459" s="373"/>
      <x:c r="X459" s="373"/>
      <x:c r="Y459" s="373"/>
      <x:c r="Z459" s="373"/>
    </x:row>
    <x:row r="460">
      <x:c r="A460" s="373"/>
      <x:c r="B460" s="373"/>
      <x:c r="C460" s="373"/>
      <x:c r="D460" s="373"/>
      <x:c r="E460" s="373"/>
      <x:c r="F460" s="373"/>
      <x:c r="G460" s="373"/>
      <x:c r="H460" s="373"/>
      <x:c r="I460" s="373"/>
      <x:c r="J460" s="373"/>
      <x:c r="K460" s="373"/>
      <x:c r="L460" s="373"/>
      <x:c r="M460" s="373"/>
      <x:c r="N460" s="373"/>
      <x:c r="O460" s="373"/>
      <x:c r="P460" s="373"/>
      <x:c r="Q460" s="373"/>
      <x:c r="R460" s="373"/>
      <x:c r="S460" s="373"/>
      <x:c r="T460" s="373"/>
      <x:c r="U460" s="373"/>
      <x:c r="V460" s="373"/>
      <x:c r="W460" s="373"/>
      <x:c r="X460" s="373"/>
      <x:c r="Y460" s="373"/>
      <x:c r="Z460" s="373"/>
    </x:row>
    <x:row r="461">
      <x:c r="A461" s="373"/>
      <x:c r="B461" s="373"/>
      <x:c r="C461" s="373"/>
      <x:c r="D461" s="373"/>
      <x:c r="E461" s="373"/>
      <x:c r="F461" s="373"/>
      <x:c r="G461" s="373"/>
      <x:c r="H461" s="373"/>
      <x:c r="I461" s="373"/>
      <x:c r="J461" s="373"/>
      <x:c r="K461" s="373"/>
      <x:c r="L461" s="373"/>
      <x:c r="M461" s="373"/>
      <x:c r="N461" s="373"/>
      <x:c r="O461" s="373"/>
      <x:c r="P461" s="373"/>
      <x:c r="Q461" s="373"/>
      <x:c r="R461" s="373"/>
      <x:c r="S461" s="373"/>
      <x:c r="T461" s="373"/>
      <x:c r="U461" s="373"/>
      <x:c r="V461" s="373"/>
      <x:c r="W461" s="373"/>
      <x:c r="X461" s="373"/>
      <x:c r="Y461" s="373"/>
      <x:c r="Z461" s="373"/>
    </x:row>
    <x:row r="462">
      <x:c r="A462" s="373"/>
      <x:c r="B462" s="373"/>
      <x:c r="C462" s="373"/>
      <x:c r="D462" s="373"/>
      <x:c r="E462" s="373"/>
      <x:c r="F462" s="373"/>
      <x:c r="G462" s="373"/>
      <x:c r="H462" s="373"/>
      <x:c r="I462" s="373"/>
      <x:c r="J462" s="373"/>
      <x:c r="K462" s="373"/>
      <x:c r="L462" s="373"/>
      <x:c r="M462" s="373"/>
      <x:c r="N462" s="373"/>
      <x:c r="O462" s="373"/>
      <x:c r="P462" s="373"/>
      <x:c r="Q462" s="373"/>
      <x:c r="R462" s="373"/>
      <x:c r="S462" s="373"/>
      <x:c r="T462" s="373"/>
      <x:c r="U462" s="373"/>
      <x:c r="V462" s="373"/>
      <x:c r="W462" s="373"/>
      <x:c r="X462" s="373"/>
      <x:c r="Y462" s="373"/>
      <x:c r="Z462" s="373"/>
    </x:row>
    <x:row r="463">
      <x:c r="A463" s="373"/>
      <x:c r="B463" s="373"/>
      <x:c r="C463" s="373"/>
      <x:c r="D463" s="373"/>
      <x:c r="E463" s="373"/>
      <x:c r="F463" s="373"/>
      <x:c r="G463" s="373"/>
      <x:c r="H463" s="373"/>
      <x:c r="I463" s="373"/>
      <x:c r="J463" s="373"/>
      <x:c r="K463" s="373"/>
      <x:c r="L463" s="373"/>
      <x:c r="M463" s="373"/>
      <x:c r="N463" s="373"/>
      <x:c r="O463" s="373"/>
      <x:c r="P463" s="373"/>
      <x:c r="Q463" s="373"/>
      <x:c r="R463" s="373"/>
      <x:c r="S463" s="373"/>
      <x:c r="T463" s="373"/>
      <x:c r="U463" s="373"/>
      <x:c r="V463" s="373"/>
      <x:c r="W463" s="373"/>
      <x:c r="X463" s="373"/>
      <x:c r="Y463" s="373"/>
      <x:c r="Z463" s="373"/>
    </x:row>
    <x:row r="464">
      <x:c r="A464" s="373"/>
      <x:c r="B464" s="373"/>
      <x:c r="C464" s="373"/>
      <x:c r="D464" s="373"/>
      <x:c r="E464" s="373"/>
      <x:c r="F464" s="373"/>
      <x:c r="G464" s="373"/>
      <x:c r="H464" s="373"/>
      <x:c r="I464" s="373"/>
      <x:c r="J464" s="373"/>
      <x:c r="K464" s="373"/>
      <x:c r="L464" s="373"/>
      <x:c r="M464" s="373"/>
      <x:c r="N464" s="373"/>
      <x:c r="O464" s="373"/>
      <x:c r="P464" s="373"/>
      <x:c r="Q464" s="373"/>
      <x:c r="R464" s="373"/>
      <x:c r="S464" s="373"/>
      <x:c r="T464" s="373"/>
      <x:c r="U464" s="373"/>
      <x:c r="V464" s="373"/>
      <x:c r="W464" s="373"/>
      <x:c r="X464" s="373"/>
      <x:c r="Y464" s="373"/>
      <x:c r="Z464" s="373"/>
    </x:row>
    <x:row r="465">
      <x:c r="A465" s="373"/>
      <x:c r="B465" s="373"/>
      <x:c r="C465" s="373"/>
      <x:c r="D465" s="373"/>
      <x:c r="E465" s="373"/>
      <x:c r="F465" s="373"/>
      <x:c r="G465" s="373"/>
      <x:c r="H465" s="373"/>
      <x:c r="I465" s="373"/>
      <x:c r="J465" s="373"/>
      <x:c r="K465" s="373"/>
      <x:c r="L465" s="373"/>
      <x:c r="M465" s="373"/>
      <x:c r="N465" s="373"/>
      <x:c r="O465" s="373"/>
      <x:c r="P465" s="373"/>
      <x:c r="Q465" s="373"/>
      <x:c r="R465" s="373"/>
      <x:c r="S465" s="373"/>
      <x:c r="T465" s="373"/>
      <x:c r="U465" s="373"/>
      <x:c r="V465" s="373"/>
      <x:c r="W465" s="373"/>
      <x:c r="X465" s="373"/>
      <x:c r="Y465" s="373"/>
      <x:c r="Z465" s="373"/>
    </x:row>
    <x:row r="466">
      <x:c r="A466" s="373"/>
      <x:c r="B466" s="373"/>
      <x:c r="C466" s="373"/>
      <x:c r="D466" s="373"/>
      <x:c r="E466" s="373"/>
      <x:c r="F466" s="373"/>
      <x:c r="G466" s="373"/>
      <x:c r="H466" s="373"/>
      <x:c r="I466" s="373"/>
      <x:c r="J466" s="373"/>
      <x:c r="K466" s="373"/>
      <x:c r="L466" s="373"/>
      <x:c r="M466" s="373"/>
      <x:c r="N466" s="373"/>
      <x:c r="O466" s="373"/>
      <x:c r="P466" s="373"/>
      <x:c r="Q466" s="373"/>
      <x:c r="R466" s="373"/>
      <x:c r="S466" s="373"/>
      <x:c r="T466" s="373"/>
      <x:c r="U466" s="373"/>
      <x:c r="V466" s="373"/>
      <x:c r="W466" s="373"/>
      <x:c r="X466" s="373"/>
      <x:c r="Y466" s="373"/>
      <x:c r="Z466" s="373"/>
    </x:row>
    <x:row r="467">
      <x:c r="A467" s="373"/>
      <x:c r="B467" s="373"/>
      <x:c r="C467" s="373"/>
      <x:c r="D467" s="373"/>
      <x:c r="E467" s="373"/>
      <x:c r="F467" s="373"/>
      <x:c r="G467" s="373"/>
      <x:c r="H467" s="373"/>
      <x:c r="I467" s="373"/>
      <x:c r="J467" s="373"/>
      <x:c r="K467" s="373"/>
      <x:c r="L467" s="373"/>
      <x:c r="M467" s="373"/>
      <x:c r="N467" s="373"/>
      <x:c r="O467" s="373"/>
      <x:c r="P467" s="373"/>
      <x:c r="Q467" s="373"/>
      <x:c r="R467" s="373"/>
      <x:c r="S467" s="373"/>
      <x:c r="T467" s="373"/>
      <x:c r="U467" s="373"/>
      <x:c r="V467" s="373"/>
      <x:c r="W467" s="373"/>
      <x:c r="X467" s="373"/>
      <x:c r="Y467" s="373"/>
      <x:c r="Z467" s="373"/>
    </x:row>
    <x:row r="468">
      <x:c r="A468" s="373"/>
      <x:c r="B468" s="373"/>
      <x:c r="C468" s="373"/>
      <x:c r="D468" s="373"/>
      <x:c r="E468" s="373"/>
      <x:c r="F468" s="373"/>
      <x:c r="G468" s="373"/>
      <x:c r="H468" s="373"/>
      <x:c r="I468" s="373"/>
      <x:c r="J468" s="373"/>
      <x:c r="K468" s="373"/>
      <x:c r="L468" s="373"/>
      <x:c r="M468" s="373"/>
      <x:c r="N468" s="373"/>
      <x:c r="O468" s="373"/>
      <x:c r="P468" s="373"/>
      <x:c r="Q468" s="373"/>
      <x:c r="R468" s="373"/>
      <x:c r="S468" s="373"/>
      <x:c r="T468" s="373"/>
      <x:c r="U468" s="373"/>
      <x:c r="V468" s="373"/>
      <x:c r="W468" s="373"/>
      <x:c r="X468" s="373"/>
      <x:c r="Y468" s="373"/>
      <x:c r="Z468" s="373"/>
    </x:row>
    <x:row r="469">
      <x:c r="A469" s="373"/>
      <x:c r="B469" s="373"/>
      <x:c r="C469" s="373"/>
      <x:c r="D469" s="373"/>
      <x:c r="E469" s="373"/>
      <x:c r="F469" s="373"/>
      <x:c r="G469" s="373"/>
      <x:c r="H469" s="373"/>
      <x:c r="I469" s="373"/>
      <x:c r="J469" s="373"/>
      <x:c r="K469" s="373"/>
      <x:c r="L469" s="373"/>
      <x:c r="M469" s="373"/>
      <x:c r="N469" s="373"/>
      <x:c r="O469" s="373"/>
      <x:c r="P469" s="373"/>
      <x:c r="Q469" s="373"/>
      <x:c r="R469" s="373"/>
      <x:c r="S469" s="373"/>
      <x:c r="T469" s="373"/>
      <x:c r="U469" s="373"/>
      <x:c r="V469" s="373"/>
      <x:c r="W469" s="373"/>
      <x:c r="X469" s="373"/>
      <x:c r="Y469" s="373"/>
      <x:c r="Z469" s="373"/>
    </x:row>
    <x:row r="470">
      <x:c r="A470" s="373"/>
      <x:c r="B470" s="373"/>
      <x:c r="C470" s="373"/>
      <x:c r="D470" s="373"/>
      <x:c r="E470" s="373"/>
      <x:c r="F470" s="373"/>
      <x:c r="G470" s="373"/>
      <x:c r="H470" s="373"/>
      <x:c r="I470" s="373"/>
      <x:c r="J470" s="373"/>
      <x:c r="K470" s="373"/>
      <x:c r="L470" s="373"/>
      <x:c r="M470" s="373"/>
      <x:c r="N470" s="373"/>
      <x:c r="O470" s="373"/>
      <x:c r="P470" s="373"/>
      <x:c r="Q470" s="373"/>
      <x:c r="R470" s="373"/>
      <x:c r="S470" s="373"/>
      <x:c r="T470" s="373"/>
      <x:c r="U470" s="373"/>
      <x:c r="V470" s="373"/>
      <x:c r="W470" s="373"/>
      <x:c r="X470" s="373"/>
      <x:c r="Y470" s="373"/>
      <x:c r="Z470" s="373"/>
    </x:row>
    <x:row r="471">
      <x:c r="A471" s="373"/>
      <x:c r="B471" s="373"/>
      <x:c r="C471" s="373"/>
      <x:c r="D471" s="373"/>
      <x:c r="E471" s="373"/>
      <x:c r="F471" s="373"/>
      <x:c r="G471" s="373"/>
      <x:c r="H471" s="373"/>
      <x:c r="I471" s="373"/>
      <x:c r="J471" s="373"/>
      <x:c r="K471" s="373"/>
      <x:c r="L471" s="373"/>
      <x:c r="M471" s="373"/>
      <x:c r="N471" s="373"/>
      <x:c r="O471" s="373"/>
      <x:c r="P471" s="373"/>
      <x:c r="Q471" s="373"/>
      <x:c r="R471" s="373"/>
      <x:c r="S471" s="373"/>
      <x:c r="T471" s="373"/>
      <x:c r="U471" s="373"/>
      <x:c r="V471" s="373"/>
      <x:c r="W471" s="373"/>
      <x:c r="X471" s="373"/>
      <x:c r="Y471" s="373"/>
      <x:c r="Z471" s="373"/>
    </x:row>
    <x:row r="472">
      <x:c r="A472" s="373"/>
      <x:c r="B472" s="373"/>
      <x:c r="C472" s="373"/>
      <x:c r="D472" s="373"/>
      <x:c r="E472" s="373"/>
      <x:c r="F472" s="373"/>
      <x:c r="G472" s="373"/>
      <x:c r="H472" s="373"/>
      <x:c r="I472" s="373"/>
      <x:c r="J472" s="373"/>
      <x:c r="K472" s="373"/>
      <x:c r="L472" s="373"/>
      <x:c r="M472" s="373"/>
      <x:c r="N472" s="373"/>
      <x:c r="O472" s="373"/>
      <x:c r="P472" s="373"/>
      <x:c r="Q472" s="373"/>
      <x:c r="R472" s="373"/>
      <x:c r="S472" s="373"/>
      <x:c r="T472" s="373"/>
      <x:c r="U472" s="373"/>
      <x:c r="V472" s="373"/>
      <x:c r="W472" s="373"/>
      <x:c r="X472" s="373"/>
      <x:c r="Y472" s="373"/>
      <x:c r="Z472" s="373"/>
    </x:row>
    <x:row r="473">
      <x:c r="A473" s="373"/>
      <x:c r="B473" s="373"/>
      <x:c r="C473" s="373"/>
      <x:c r="D473" s="373"/>
      <x:c r="E473" s="373"/>
      <x:c r="F473" s="373"/>
      <x:c r="G473" s="373"/>
      <x:c r="H473" s="373"/>
      <x:c r="I473" s="373"/>
      <x:c r="J473" s="373"/>
      <x:c r="K473" s="373"/>
      <x:c r="L473" s="373"/>
      <x:c r="M473" s="373"/>
      <x:c r="N473" s="373"/>
      <x:c r="O473" s="373"/>
      <x:c r="P473" s="373"/>
      <x:c r="Q473" s="373"/>
      <x:c r="R473" s="373"/>
      <x:c r="S473" s="373"/>
      <x:c r="T473" s="373"/>
      <x:c r="U473" s="373"/>
      <x:c r="V473" s="373"/>
      <x:c r="W473" s="373"/>
      <x:c r="X473" s="373"/>
      <x:c r="Y473" s="373"/>
      <x:c r="Z473" s="373"/>
    </x:row>
    <x:row r="474">
      <x:c r="A474" s="373"/>
      <x:c r="B474" s="373"/>
      <x:c r="C474" s="373"/>
      <x:c r="D474" s="373"/>
      <x:c r="E474" s="373"/>
      <x:c r="F474" s="373"/>
      <x:c r="G474" s="373"/>
      <x:c r="H474" s="373"/>
      <x:c r="I474" s="373"/>
      <x:c r="J474" s="373"/>
      <x:c r="K474" s="373"/>
      <x:c r="L474" s="373"/>
      <x:c r="M474" s="373"/>
      <x:c r="N474" s="373"/>
      <x:c r="O474" s="373"/>
      <x:c r="P474" s="373"/>
      <x:c r="Q474" s="373"/>
      <x:c r="R474" s="373"/>
      <x:c r="S474" s="373"/>
      <x:c r="T474" s="373"/>
      <x:c r="U474" s="373"/>
      <x:c r="V474" s="373"/>
      <x:c r="W474" s="373"/>
      <x:c r="X474" s="373"/>
      <x:c r="Y474" s="373"/>
      <x:c r="Z474" s="373"/>
    </x:row>
    <x:row r="475">
      <x:c r="A475" s="373"/>
      <x:c r="B475" s="373"/>
      <x:c r="C475" s="373"/>
      <x:c r="D475" s="373"/>
      <x:c r="E475" s="373"/>
      <x:c r="F475" s="373"/>
      <x:c r="G475" s="373"/>
      <x:c r="H475" s="373"/>
      <x:c r="I475" s="373"/>
      <x:c r="J475" s="373"/>
      <x:c r="K475" s="373"/>
      <x:c r="L475" s="373"/>
      <x:c r="M475" s="373"/>
      <x:c r="N475" s="373"/>
      <x:c r="O475" s="373"/>
      <x:c r="P475" s="373"/>
      <x:c r="Q475" s="373"/>
      <x:c r="R475" s="373"/>
      <x:c r="S475" s="373"/>
      <x:c r="T475" s="373"/>
      <x:c r="U475" s="373"/>
      <x:c r="V475" s="373"/>
      <x:c r="W475" s="373"/>
      <x:c r="X475" s="373"/>
      <x:c r="Y475" s="373"/>
      <x:c r="Z475" s="373"/>
    </x:row>
    <x:row r="476">
      <x:c r="A476" s="373"/>
      <x:c r="B476" s="373"/>
      <x:c r="C476" s="373"/>
      <x:c r="D476" s="373"/>
      <x:c r="E476" s="373"/>
      <x:c r="F476" s="373"/>
      <x:c r="G476" s="373"/>
      <x:c r="H476" s="373"/>
      <x:c r="I476" s="373"/>
      <x:c r="J476" s="373"/>
      <x:c r="K476" s="373"/>
      <x:c r="L476" s="373"/>
      <x:c r="M476" s="373"/>
      <x:c r="N476" s="373"/>
      <x:c r="O476" s="373"/>
      <x:c r="P476" s="373"/>
      <x:c r="Q476" s="373"/>
      <x:c r="R476" s="373"/>
      <x:c r="S476" s="373"/>
      <x:c r="T476" s="373"/>
      <x:c r="U476" s="373"/>
      <x:c r="V476" s="373"/>
      <x:c r="W476" s="373"/>
      <x:c r="X476" s="373"/>
      <x:c r="Y476" s="373"/>
      <x:c r="Z476" s="373"/>
    </x:row>
    <x:row r="477">
      <x:c r="A477" s="373"/>
      <x:c r="B477" s="373"/>
      <x:c r="C477" s="373"/>
      <x:c r="D477" s="373"/>
      <x:c r="E477" s="373"/>
      <x:c r="F477" s="373"/>
      <x:c r="G477" s="373"/>
      <x:c r="H477" s="373"/>
      <x:c r="I477" s="373"/>
      <x:c r="J477" s="373"/>
      <x:c r="K477" s="373"/>
      <x:c r="L477" s="373"/>
      <x:c r="M477" s="373"/>
      <x:c r="N477" s="373"/>
      <x:c r="O477" s="373"/>
      <x:c r="P477" s="373"/>
      <x:c r="Q477" s="373"/>
      <x:c r="R477" s="373"/>
      <x:c r="S477" s="373"/>
      <x:c r="T477" s="373"/>
      <x:c r="U477" s="373"/>
      <x:c r="V477" s="373"/>
      <x:c r="W477" s="373"/>
      <x:c r="X477" s="373"/>
      <x:c r="Y477" s="373"/>
      <x:c r="Z477" s="373"/>
    </x:row>
    <x:row r="478">
      <x:c r="A478" s="373"/>
      <x:c r="B478" s="373"/>
      <x:c r="C478" s="373"/>
      <x:c r="D478" s="373"/>
      <x:c r="E478" s="373"/>
      <x:c r="F478" s="373"/>
      <x:c r="G478" s="373"/>
      <x:c r="H478" s="373"/>
      <x:c r="I478" s="373"/>
      <x:c r="J478" s="373"/>
      <x:c r="K478" s="373"/>
      <x:c r="L478" s="373"/>
      <x:c r="M478" s="373"/>
      <x:c r="N478" s="373"/>
      <x:c r="O478" s="373"/>
      <x:c r="P478" s="373"/>
      <x:c r="Q478" s="373"/>
      <x:c r="R478" s="373"/>
      <x:c r="S478" s="373"/>
      <x:c r="T478" s="373"/>
      <x:c r="U478" s="373"/>
      <x:c r="V478" s="373"/>
      <x:c r="W478" s="373"/>
      <x:c r="X478" s="373"/>
      <x:c r="Y478" s="373"/>
      <x:c r="Z478" s="373"/>
    </x:row>
    <x:row r="479">
      <x:c r="A479" s="373"/>
      <x:c r="B479" s="373"/>
      <x:c r="C479" s="373"/>
      <x:c r="D479" s="373"/>
      <x:c r="E479" s="373"/>
      <x:c r="F479" s="373"/>
      <x:c r="G479" s="373"/>
      <x:c r="H479" s="373"/>
      <x:c r="I479" s="373"/>
      <x:c r="J479" s="373"/>
      <x:c r="K479" s="373"/>
      <x:c r="L479" s="373"/>
      <x:c r="M479" s="373"/>
      <x:c r="N479" s="373"/>
      <x:c r="O479" s="373"/>
      <x:c r="P479" s="373"/>
      <x:c r="Q479" s="373"/>
      <x:c r="R479" s="373"/>
      <x:c r="S479" s="373"/>
      <x:c r="T479" s="373"/>
      <x:c r="U479" s="373"/>
      <x:c r="V479" s="373"/>
      <x:c r="W479" s="373"/>
      <x:c r="X479" s="373"/>
      <x:c r="Y479" s="373"/>
      <x:c r="Z479" s="373"/>
    </x:row>
    <x:row r="480">
      <x:c r="A480" s="373"/>
      <x:c r="B480" s="373"/>
      <x:c r="C480" s="373"/>
      <x:c r="D480" s="373"/>
      <x:c r="E480" s="373"/>
      <x:c r="F480" s="373"/>
      <x:c r="G480" s="373"/>
      <x:c r="H480" s="373"/>
      <x:c r="I480" s="373"/>
      <x:c r="J480" s="373"/>
      <x:c r="K480" s="373"/>
      <x:c r="L480" s="373"/>
      <x:c r="M480" s="373"/>
      <x:c r="N480" s="373"/>
      <x:c r="O480" s="373"/>
      <x:c r="P480" s="373"/>
      <x:c r="Q480" s="373"/>
      <x:c r="R480" s="373"/>
      <x:c r="S480" s="373"/>
      <x:c r="T480" s="373"/>
      <x:c r="U480" s="373"/>
      <x:c r="V480" s="373"/>
      <x:c r="W480" s="373"/>
      <x:c r="X480" s="373"/>
      <x:c r="Y480" s="373"/>
      <x:c r="Z480" s="373"/>
    </x:row>
    <x:row r="481">
      <x:c r="A481" s="373"/>
      <x:c r="B481" s="373"/>
      <x:c r="C481" s="373"/>
      <x:c r="D481" s="373"/>
      <x:c r="E481" s="373"/>
      <x:c r="F481" s="373"/>
      <x:c r="G481" s="373"/>
      <x:c r="H481" s="373"/>
      <x:c r="I481" s="373"/>
      <x:c r="J481" s="373"/>
      <x:c r="K481" s="373"/>
      <x:c r="L481" s="373"/>
      <x:c r="M481" s="373"/>
      <x:c r="N481" s="373"/>
      <x:c r="O481" s="373"/>
      <x:c r="P481" s="373"/>
      <x:c r="Q481" s="373"/>
      <x:c r="R481" s="373"/>
      <x:c r="S481" s="373"/>
      <x:c r="T481" s="373"/>
      <x:c r="U481" s="373"/>
      <x:c r="V481" s="373"/>
      <x:c r="W481" s="373"/>
      <x:c r="X481" s="373"/>
      <x:c r="Y481" s="373"/>
      <x:c r="Z481" s="373"/>
    </x:row>
    <x:row r="482">
      <x:c r="A482" s="373"/>
      <x:c r="B482" s="373"/>
      <x:c r="C482" s="373"/>
      <x:c r="D482" s="373"/>
      <x:c r="E482" s="373"/>
      <x:c r="F482" s="373"/>
      <x:c r="G482" s="373"/>
      <x:c r="H482" s="373"/>
      <x:c r="I482" s="373"/>
      <x:c r="J482" s="373"/>
      <x:c r="K482" s="373"/>
      <x:c r="L482" s="373"/>
      <x:c r="M482" s="373"/>
      <x:c r="N482" s="373"/>
      <x:c r="O482" s="373"/>
      <x:c r="P482" s="373"/>
      <x:c r="Q482" s="373"/>
      <x:c r="R482" s="373"/>
      <x:c r="S482" s="373"/>
      <x:c r="T482" s="373"/>
      <x:c r="U482" s="373"/>
      <x:c r="V482" s="373"/>
      <x:c r="W482" s="373"/>
      <x:c r="X482" s="373"/>
      <x:c r="Y482" s="373"/>
      <x:c r="Z482" s="373"/>
    </x:row>
    <x:row r="483">
      <x:c r="A483" s="373"/>
      <x:c r="B483" s="373"/>
      <x:c r="C483" s="373"/>
      <x:c r="D483" s="373"/>
      <x:c r="E483" s="373"/>
      <x:c r="F483" s="373"/>
      <x:c r="G483" s="373"/>
      <x:c r="H483" s="373"/>
      <x:c r="I483" s="373"/>
      <x:c r="J483" s="373"/>
      <x:c r="K483" s="373"/>
      <x:c r="L483" s="373"/>
      <x:c r="M483" s="373"/>
      <x:c r="N483" s="373"/>
      <x:c r="O483" s="373"/>
      <x:c r="P483" s="373"/>
      <x:c r="Q483" s="373"/>
      <x:c r="R483" s="373"/>
      <x:c r="S483" s="373"/>
      <x:c r="T483" s="373"/>
      <x:c r="U483" s="373"/>
      <x:c r="V483" s="373"/>
      <x:c r="W483" s="373"/>
      <x:c r="X483" s="373"/>
      <x:c r="Y483" s="373"/>
      <x:c r="Z483" s="373"/>
    </x:row>
    <x:row r="484">
      <x:c r="A484" s="373"/>
      <x:c r="B484" s="373"/>
      <x:c r="C484" s="373"/>
      <x:c r="D484" s="373"/>
      <x:c r="E484" s="373"/>
      <x:c r="F484" s="373"/>
      <x:c r="G484" s="373"/>
      <x:c r="H484" s="373"/>
      <x:c r="I484" s="373"/>
      <x:c r="J484" s="373"/>
      <x:c r="K484" s="373"/>
      <x:c r="L484" s="373"/>
      <x:c r="M484" s="373"/>
      <x:c r="N484" s="373"/>
      <x:c r="O484" s="373"/>
      <x:c r="P484" s="373"/>
      <x:c r="Q484" s="373"/>
      <x:c r="R484" s="373"/>
      <x:c r="S484" s="373"/>
      <x:c r="T484" s="373"/>
      <x:c r="U484" s="373"/>
      <x:c r="V484" s="373"/>
      <x:c r="W484" s="373"/>
      <x:c r="X484" s="373"/>
      <x:c r="Y484" s="373"/>
      <x:c r="Z484" s="373"/>
    </x:row>
    <x:row r="485">
      <x:c r="A485" s="373"/>
      <x:c r="B485" s="373"/>
      <x:c r="C485" s="373"/>
      <x:c r="D485" s="373"/>
      <x:c r="E485" s="373"/>
      <x:c r="F485" s="373"/>
      <x:c r="G485" s="373"/>
      <x:c r="H485" s="373"/>
      <x:c r="I485" s="373"/>
      <x:c r="J485" s="373"/>
      <x:c r="K485" s="373"/>
      <x:c r="L485" s="373"/>
      <x:c r="M485" s="373"/>
      <x:c r="N485" s="373"/>
      <x:c r="O485" s="373"/>
      <x:c r="P485" s="373"/>
      <x:c r="Q485" s="373"/>
      <x:c r="R485" s="373"/>
      <x:c r="S485" s="373"/>
      <x:c r="T485" s="373"/>
      <x:c r="U485" s="373"/>
      <x:c r="V485" s="373"/>
      <x:c r="W485" s="373"/>
      <x:c r="X485" s="373"/>
      <x:c r="Y485" s="373"/>
      <x:c r="Z485" s="373"/>
    </x:row>
    <x:row r="486">
      <x:c r="A486" s="373"/>
      <x:c r="B486" s="373"/>
      <x:c r="C486" s="373"/>
      <x:c r="D486" s="373"/>
      <x:c r="E486" s="373"/>
      <x:c r="F486" s="373"/>
      <x:c r="G486" s="373"/>
      <x:c r="H486" s="373"/>
      <x:c r="I486" s="373"/>
      <x:c r="J486" s="373"/>
      <x:c r="K486" s="373"/>
      <x:c r="L486" s="373"/>
      <x:c r="M486" s="373"/>
      <x:c r="N486" s="373"/>
      <x:c r="O486" s="373"/>
      <x:c r="P486" s="373"/>
      <x:c r="Q486" s="373"/>
      <x:c r="R486" s="373"/>
      <x:c r="S486" s="373"/>
      <x:c r="T486" s="373"/>
      <x:c r="U486" s="373"/>
      <x:c r="V486" s="373"/>
      <x:c r="W486" s="373"/>
      <x:c r="X486" s="373"/>
      <x:c r="Y486" s="373"/>
      <x:c r="Z486" s="373"/>
    </x:row>
    <x:row r="487">
      <x:c r="A487" s="373"/>
      <x:c r="B487" s="373"/>
      <x:c r="C487" s="373"/>
      <x:c r="D487" s="373"/>
      <x:c r="E487" s="373"/>
      <x:c r="F487" s="373"/>
      <x:c r="G487" s="373"/>
      <x:c r="H487" s="373"/>
      <x:c r="I487" s="373"/>
      <x:c r="J487" s="373"/>
      <x:c r="K487" s="373"/>
      <x:c r="L487" s="373"/>
      <x:c r="M487" s="373"/>
      <x:c r="N487" s="373"/>
      <x:c r="O487" s="373"/>
      <x:c r="P487" s="373"/>
      <x:c r="Q487" s="373"/>
      <x:c r="R487" s="373"/>
      <x:c r="S487" s="373"/>
      <x:c r="T487" s="373"/>
      <x:c r="U487" s="373"/>
      <x:c r="V487" s="373"/>
      <x:c r="W487" s="373"/>
      <x:c r="X487" s="373"/>
      <x:c r="Y487" s="373"/>
      <x:c r="Z487" s="373"/>
    </x:row>
    <x:row r="488">
      <x:c r="A488" s="373"/>
      <x:c r="B488" s="373"/>
      <x:c r="C488" s="373"/>
      <x:c r="D488" s="373"/>
      <x:c r="E488" s="373"/>
      <x:c r="F488" s="373"/>
      <x:c r="G488" s="373"/>
      <x:c r="H488" s="373"/>
      <x:c r="I488" s="373"/>
      <x:c r="J488" s="373"/>
      <x:c r="K488" s="373"/>
      <x:c r="L488" s="373"/>
      <x:c r="M488" s="373"/>
      <x:c r="N488" s="373"/>
      <x:c r="O488" s="373"/>
      <x:c r="P488" s="373"/>
      <x:c r="Q488" s="373"/>
      <x:c r="R488" s="373"/>
      <x:c r="S488" s="373"/>
      <x:c r="T488" s="373"/>
      <x:c r="U488" s="373"/>
      <x:c r="V488" s="373"/>
      <x:c r="W488" s="373"/>
      <x:c r="X488" s="373"/>
      <x:c r="Y488" s="373"/>
      <x:c r="Z488" s="373"/>
    </x:row>
    <x:row r="489">
      <x:c r="A489" s="373"/>
      <x:c r="B489" s="373"/>
      <x:c r="C489" s="373"/>
      <x:c r="D489" s="373"/>
      <x:c r="E489" s="373"/>
      <x:c r="F489" s="373"/>
      <x:c r="G489" s="373"/>
      <x:c r="H489" s="373"/>
      <x:c r="I489" s="373"/>
      <x:c r="J489" s="373"/>
      <x:c r="K489" s="373"/>
      <x:c r="L489" s="373"/>
      <x:c r="M489" s="373"/>
      <x:c r="N489" s="373"/>
      <x:c r="O489" s="373"/>
      <x:c r="P489" s="373"/>
      <x:c r="Q489" s="373"/>
      <x:c r="R489" s="373"/>
      <x:c r="S489" s="373"/>
      <x:c r="T489" s="373"/>
      <x:c r="U489" s="373"/>
      <x:c r="V489" s="373"/>
      <x:c r="W489" s="373"/>
      <x:c r="X489" s="373"/>
      <x:c r="Y489" s="373"/>
      <x:c r="Z489" s="373"/>
    </x:row>
    <x:row r="490">
      <x:c r="A490" s="373"/>
      <x:c r="B490" s="373"/>
      <x:c r="C490" s="373"/>
      <x:c r="D490" s="373"/>
      <x:c r="E490" s="373"/>
      <x:c r="F490" s="373"/>
      <x:c r="G490" s="373"/>
      <x:c r="H490" s="373"/>
      <x:c r="I490" s="373"/>
      <x:c r="J490" s="373"/>
      <x:c r="K490" s="373"/>
      <x:c r="L490" s="373"/>
      <x:c r="M490" s="373"/>
      <x:c r="N490" s="373"/>
      <x:c r="O490" s="373"/>
      <x:c r="P490" s="373"/>
      <x:c r="Q490" s="373"/>
      <x:c r="R490" s="373"/>
      <x:c r="S490" s="373"/>
      <x:c r="T490" s="373"/>
      <x:c r="U490" s="373"/>
      <x:c r="V490" s="373"/>
      <x:c r="W490" s="373"/>
      <x:c r="X490" s="373"/>
      <x:c r="Y490" s="373"/>
      <x:c r="Z490" s="373"/>
    </x:row>
    <x:row r="491">
      <x:c r="A491" s="373"/>
      <x:c r="B491" s="373"/>
      <x:c r="C491" s="373"/>
      <x:c r="D491" s="373"/>
      <x:c r="E491" s="373"/>
      <x:c r="F491" s="373"/>
      <x:c r="G491" s="373"/>
      <x:c r="H491" s="373"/>
      <x:c r="I491" s="373"/>
      <x:c r="J491" s="373"/>
      <x:c r="K491" s="373"/>
      <x:c r="L491" s="373"/>
      <x:c r="M491" s="373"/>
      <x:c r="N491" s="373"/>
      <x:c r="O491" s="373"/>
      <x:c r="P491" s="373"/>
      <x:c r="Q491" s="373"/>
      <x:c r="R491" s="373"/>
      <x:c r="S491" s="373"/>
      <x:c r="T491" s="373"/>
      <x:c r="U491" s="373"/>
      <x:c r="V491" s="373"/>
      <x:c r="W491" s="373"/>
      <x:c r="X491" s="373"/>
      <x:c r="Y491" s="373"/>
      <x:c r="Z491" s="373"/>
    </x:row>
    <x:row r="492">
      <x:c r="A492" s="373"/>
      <x:c r="B492" s="373"/>
      <x:c r="C492" s="373"/>
      <x:c r="D492" s="373"/>
      <x:c r="E492" s="373"/>
      <x:c r="F492" s="373"/>
      <x:c r="G492" s="373"/>
      <x:c r="H492" s="373"/>
      <x:c r="I492" s="373"/>
      <x:c r="J492" s="373"/>
      <x:c r="K492" s="373"/>
      <x:c r="L492" s="373"/>
      <x:c r="M492" s="373"/>
      <x:c r="N492" s="373"/>
      <x:c r="O492" s="373"/>
      <x:c r="P492" s="373"/>
      <x:c r="Q492" s="373"/>
      <x:c r="R492" s="373"/>
      <x:c r="S492" s="373"/>
      <x:c r="T492" s="373"/>
      <x:c r="U492" s="373"/>
      <x:c r="V492" s="373"/>
      <x:c r="W492" s="373"/>
      <x:c r="X492" s="373"/>
      <x:c r="Y492" s="373"/>
      <x:c r="Z492" s="373"/>
    </x:row>
    <x:row r="493">
      <x:c r="A493" s="373"/>
      <x:c r="B493" s="373"/>
      <x:c r="C493" s="373"/>
      <x:c r="D493" s="373"/>
      <x:c r="E493" s="373"/>
      <x:c r="F493" s="373"/>
      <x:c r="G493" s="373"/>
      <x:c r="H493" s="373"/>
      <x:c r="I493" s="373"/>
      <x:c r="J493" s="373"/>
      <x:c r="K493" s="373"/>
      <x:c r="L493" s="373"/>
      <x:c r="M493" s="373"/>
      <x:c r="N493" s="373"/>
      <x:c r="O493" s="373"/>
      <x:c r="P493" s="373"/>
      <x:c r="Q493" s="373"/>
      <x:c r="R493" s="373"/>
      <x:c r="S493" s="373"/>
      <x:c r="T493" s="373"/>
      <x:c r="U493" s="373"/>
      <x:c r="V493" s="373"/>
      <x:c r="W493" s="373"/>
      <x:c r="X493" s="373"/>
      <x:c r="Y493" s="373"/>
      <x:c r="Z493" s="373"/>
    </x:row>
    <x:row r="494">
      <x:c r="A494" s="373"/>
      <x:c r="B494" s="373"/>
      <x:c r="C494" s="373"/>
      <x:c r="D494" s="373"/>
      <x:c r="E494" s="373"/>
      <x:c r="F494" s="373"/>
      <x:c r="G494" s="373"/>
      <x:c r="H494" s="373"/>
      <x:c r="I494" s="373"/>
      <x:c r="J494" s="373"/>
      <x:c r="K494" s="373"/>
      <x:c r="L494" s="373"/>
      <x:c r="M494" s="373"/>
      <x:c r="N494" s="373"/>
      <x:c r="O494" s="373"/>
      <x:c r="P494" s="373"/>
      <x:c r="Q494" s="373"/>
      <x:c r="R494" s="373"/>
      <x:c r="S494" s="373"/>
      <x:c r="T494" s="373"/>
      <x:c r="U494" s="373"/>
      <x:c r="V494" s="373"/>
      <x:c r="W494" s="373"/>
      <x:c r="X494" s="373"/>
      <x:c r="Y494" s="373"/>
      <x:c r="Z494" s="373"/>
    </x:row>
    <x:row r="495">
      <x:c r="A495" s="373"/>
      <x:c r="B495" s="373"/>
      <x:c r="C495" s="373"/>
      <x:c r="D495" s="373"/>
      <x:c r="E495" s="373"/>
      <x:c r="F495" s="373"/>
      <x:c r="G495" s="373"/>
      <x:c r="H495" s="373"/>
      <x:c r="I495" s="373"/>
      <x:c r="J495" s="373"/>
      <x:c r="K495" s="373"/>
      <x:c r="L495" s="373"/>
      <x:c r="M495" s="373"/>
      <x:c r="N495" s="373"/>
      <x:c r="O495" s="373"/>
      <x:c r="P495" s="373"/>
      <x:c r="Q495" s="373"/>
      <x:c r="R495" s="373"/>
      <x:c r="S495" s="373"/>
      <x:c r="T495" s="373"/>
      <x:c r="U495" s="373"/>
      <x:c r="V495" s="373"/>
      <x:c r="W495" s="373"/>
      <x:c r="X495" s="373"/>
      <x:c r="Y495" s="373"/>
      <x:c r="Z495" s="373"/>
    </x:row>
    <x:row r="496">
      <x:c r="A496" s="373"/>
      <x:c r="B496" s="373"/>
      <x:c r="C496" s="373"/>
      <x:c r="D496" s="373"/>
      <x:c r="E496" s="373"/>
      <x:c r="F496" s="373"/>
      <x:c r="G496" s="373"/>
      <x:c r="H496" s="373"/>
      <x:c r="I496" s="373"/>
      <x:c r="J496" s="373"/>
      <x:c r="K496" s="373"/>
      <x:c r="L496" s="373"/>
      <x:c r="M496" s="373"/>
      <x:c r="N496" s="373"/>
      <x:c r="O496" s="373"/>
      <x:c r="P496" s="373"/>
      <x:c r="Q496" s="373"/>
      <x:c r="R496" s="373"/>
      <x:c r="S496" s="373"/>
      <x:c r="T496" s="373"/>
      <x:c r="U496" s="373"/>
      <x:c r="V496" s="373"/>
      <x:c r="W496" s="373"/>
      <x:c r="X496" s="373"/>
      <x:c r="Y496" s="373"/>
      <x:c r="Z496" s="373"/>
    </x:row>
    <x:row r="497">
      <x:c r="A497" s="373"/>
      <x:c r="B497" s="373"/>
      <x:c r="C497" s="373"/>
      <x:c r="D497" s="373"/>
      <x:c r="E497" s="373"/>
      <x:c r="F497" s="373"/>
      <x:c r="G497" s="373"/>
      <x:c r="H497" s="373"/>
      <x:c r="I497" s="373"/>
      <x:c r="J497" s="373"/>
      <x:c r="K497" s="373"/>
      <x:c r="L497" s="373"/>
      <x:c r="M497" s="373"/>
      <x:c r="N497" s="373"/>
      <x:c r="O497" s="373"/>
      <x:c r="P497" s="373"/>
      <x:c r="Q497" s="373"/>
      <x:c r="R497" s="373"/>
      <x:c r="S497" s="373"/>
      <x:c r="T497" s="373"/>
      <x:c r="U497" s="373"/>
      <x:c r="V497" s="373"/>
      <x:c r="W497" s="373"/>
      <x:c r="X497" s="373"/>
      <x:c r="Y497" s="373"/>
      <x:c r="Z497" s="373"/>
    </x:row>
    <x:row r="498">
      <x:c r="A498" s="373"/>
      <x:c r="B498" s="373"/>
      <x:c r="C498" s="373"/>
      <x:c r="D498" s="373"/>
      <x:c r="E498" s="373"/>
      <x:c r="F498" s="373"/>
      <x:c r="G498" s="373"/>
      <x:c r="H498" s="373"/>
      <x:c r="I498" s="373"/>
      <x:c r="J498" s="373"/>
      <x:c r="K498" s="373"/>
      <x:c r="L498" s="373"/>
      <x:c r="M498" s="373"/>
      <x:c r="N498" s="373"/>
      <x:c r="O498" s="373"/>
      <x:c r="P498" s="373"/>
      <x:c r="Q498" s="373"/>
      <x:c r="R498" s="373"/>
      <x:c r="S498" s="373"/>
      <x:c r="T498" s="373"/>
      <x:c r="U498" s="373"/>
      <x:c r="V498" s="373"/>
      <x:c r="W498" s="373"/>
      <x:c r="X498" s="373"/>
      <x:c r="Y498" s="373"/>
      <x:c r="Z498" s="373"/>
    </x:row>
    <x:row r="499">
      <x:c r="A499" s="373"/>
      <x:c r="B499" s="373"/>
      <x:c r="C499" s="373"/>
      <x:c r="D499" s="373"/>
      <x:c r="E499" s="373"/>
      <x:c r="F499" s="373"/>
      <x:c r="G499" s="373"/>
      <x:c r="H499" s="373"/>
      <x:c r="I499" s="373"/>
      <x:c r="J499" s="373"/>
      <x:c r="K499" s="373"/>
      <x:c r="L499" s="373"/>
      <x:c r="M499" s="373"/>
      <x:c r="N499" s="373"/>
      <x:c r="O499" s="373"/>
      <x:c r="P499" s="373"/>
      <x:c r="Q499" s="373"/>
      <x:c r="R499" s="373"/>
      <x:c r="S499" s="373"/>
      <x:c r="T499" s="373"/>
      <x:c r="U499" s="373"/>
      <x:c r="V499" s="373"/>
      <x:c r="W499" s="373"/>
      <x:c r="X499" s="373"/>
      <x:c r="Y499" s="373"/>
      <x:c r="Z499" s="373"/>
    </x:row>
    <x:row r="500">
      <x:c r="A500" s="373"/>
      <x:c r="B500" s="373"/>
      <x:c r="C500" s="373"/>
      <x:c r="D500" s="373"/>
      <x:c r="E500" s="373"/>
      <x:c r="F500" s="373"/>
      <x:c r="G500" s="373"/>
      <x:c r="H500" s="373"/>
      <x:c r="I500" s="373"/>
      <x:c r="J500" s="373"/>
      <x:c r="K500" s="373"/>
      <x:c r="L500" s="373"/>
      <x:c r="M500" s="373"/>
      <x:c r="N500" s="373"/>
      <x:c r="O500" s="373"/>
      <x:c r="P500" s="373"/>
      <x:c r="Q500" s="373"/>
      <x:c r="R500" s="373"/>
      <x:c r="S500" s="373"/>
      <x:c r="T500" s="373"/>
      <x:c r="U500" s="373"/>
      <x:c r="V500" s="373"/>
      <x:c r="W500" s="373"/>
      <x:c r="X500" s="373"/>
      <x:c r="Y500" s="373"/>
      <x:c r="Z500" s="373"/>
    </x:row>
  </x:sheetData>
  <x:mergeCells>
    <x:mergeCell ref="A1:M1"/>
    <x:mergeCell ref="A2:M2"/>
  </x:mergeCells>
  <x:conditionalFormatting sqref="G5:G12">
    <x:cfRule type="colorScale" priority="1">
      <x:colorScale>
        <x:cfvo type="min"/>
        <x:cfvo type="percentile" val="50"/>
        <x:cfvo type="max"/>
        <x:color rgb="FFDCFCE7"/>
        <x:color rgb="FFFEF3C7"/>
        <x:color rgb="FFFEE2E2"/>
      </x:colorScale>
    </x:cfRule>
  </x:conditionalFormatting>
  <x:dataValidations count="2">
    <x:dataValidation type="list" sqref="E5:F12">
      <x:formula1>"Low,Medium,High"</x:formula1>
    </x:dataValidation>
    <x:dataValidation type="list" sqref="K5:K12">
      <x:formula1>"Open,Monitoring,Mitigated,Closed"</x:formula1>
    </x:dataValidation>
  </x:dataValidations>
  <x:pageMargins left="0.7" right="0.7" top="0.75" bottom="0.75" header="0.3" footer="0.3"/>
  <x:tableParts count="1">
    <x:tablePart xmlns:r="http://schemas.openxmlformats.org/officeDocument/2006/relationships" r:id="R29a16f71d4ee437c"/>
  </x:tableParts>
</x:worksheet>
</file>

<file path=xl/worksheets/sheet9.xml><?xml version="1.0" encoding="utf-8"?>
<x:worksheet xmlns:x="http://schemas.openxmlformats.org/spreadsheetml/2006/main">
  <x:sheetFormatPr defaultRowHeight="15"/>
  <x:cols>
    <x:col min="1" max="1" width="12" hidden="0" customWidth="1"/>
    <x:col min="2" max="2" width="10" hidden="0" customWidth="1"/>
    <x:col min="3" max="3" width="18" hidden="0" customWidth="1"/>
    <x:col min="4" max="4" width="32" hidden="0" customWidth="1"/>
    <x:col min="5" max="5" width="48" hidden="0" customWidth="1"/>
    <x:col min="6" max="6" width="10" hidden="0" customWidth="1"/>
    <x:col min="7" max="7" width="11" hidden="0" customWidth="1"/>
    <x:col min="8" max="8" width="12" hidden="0" customWidth="1"/>
    <x:col min="9" max="9" width="12" hidden="0" customWidth="1"/>
    <x:col min="10" max="10" width="12" hidden="0" customWidth="1"/>
    <x:col min="11" max="11" width="12" hidden="0" customWidth="1"/>
    <x:col min="12" max="12" width="14" hidden="0" customWidth="1"/>
    <x:col min="13" max="13" width="28" hidden="0" customWidth="1"/>
    <x:col min="14" max="14" width="14" hidden="0" customWidth="1"/>
    <x:col min="15" max="15" width="13" hidden="0" customWidth="1"/>
    <x:col min="16" max="16" width="30" hidden="0" customWidth="1"/>
    <x:col min="17" max="17" width="28" hidden="0" customWidth="1"/>
  </x:cols>
  <x:sheetData>
    <x:row r="1" ht="32" customHeight="1">
      <x:c r="A1" s="486" t="str">
        <x:v>Engineering Metrics &amp; Acceptance Thresholds</x:v>
      </x:c>
      <x:c r="B1" s="486"/>
      <x:c r="C1" s="486"/>
      <x:c r="D1" s="486"/>
      <x:c r="E1" s="486"/>
      <x:c r="F1" s="486"/>
      <x:c r="G1" s="486"/>
      <x:c r="H1" s="486"/>
      <x:c r="I1" s="486"/>
      <x:c r="J1" s="486"/>
      <x:c r="K1" s="486"/>
      <x:c r="L1" s="486"/>
      <x:c r="M1" s="486"/>
      <x:c r="N1" s="486"/>
      <x:c r="O1" s="486"/>
      <x:c r="P1" s="486"/>
      <x:c r="Q1" s="486"/>
      <x:c r="R1" s="373"/>
      <x:c r="S1" s="373"/>
      <x:c r="T1" s="373"/>
      <x:c r="U1" s="373"/>
      <x:c r="V1" s="373"/>
      <x:c r="W1" s="373"/>
      <x:c r="X1" s="373"/>
      <x:c r="Y1" s="373"/>
      <x:c r="Z1" s="373"/>
    </x:row>
    <x:row r="2" ht="22" customHeight="1">
      <x:c r="A2" s="374" t="str">
        <x:v>Store baseline and latest measured values. Status is calculated from target direction.</x:v>
      </x:c>
      <x:c r="B2" s="374"/>
      <x:c r="C2" s="374"/>
      <x:c r="D2" s="374"/>
      <x:c r="E2" s="374"/>
      <x:c r="F2" s="374"/>
      <x:c r="G2" s="374"/>
      <x:c r="H2" s="374"/>
      <x:c r="I2" s="374"/>
      <x:c r="J2" s="374"/>
      <x:c r="K2" s="374"/>
      <x:c r="L2" s="374"/>
      <x:c r="M2" s="374"/>
      <x:c r="N2" s="374"/>
      <x:c r="O2" s="374"/>
      <x:c r="P2" s="374"/>
      <x:c r="Q2" s="374"/>
      <x:c r="R2" s="373"/>
      <x:c r="S2" s="373"/>
      <x:c r="T2" s="373"/>
      <x:c r="U2" s="373"/>
      <x:c r="V2" s="373"/>
      <x:c r="W2" s="373"/>
      <x:c r="X2" s="373"/>
      <x:c r="Y2" s="373"/>
      <x:c r="Z2" s="373"/>
    </x:row>
    <x:row r="3">
      <x:c r="A3" s="373"/>
      <x:c r="B3" s="373"/>
      <x:c r="C3" s="373"/>
      <x:c r="D3" s="373"/>
      <x:c r="E3" s="373"/>
      <x:c r="F3" s="373"/>
      <x:c r="G3" s="373"/>
      <x:c r="H3" s="373"/>
      <x:c r="I3" s="373"/>
      <x:c r="J3" s="373"/>
      <x:c r="K3" s="373"/>
      <x:c r="L3" s="373"/>
      <x:c r="M3" s="373"/>
      <x:c r="N3" s="373"/>
      <x:c r="O3" s="373"/>
      <x:c r="P3" s="373"/>
      <x:c r="Q3" s="373"/>
      <x:c r="R3" s="373"/>
      <x:c r="S3" s="373"/>
      <x:c r="T3" s="373"/>
      <x:c r="U3" s="373"/>
      <x:c r="V3" s="373"/>
      <x:c r="W3" s="373"/>
      <x:c r="X3" s="373"/>
      <x:c r="Y3" s="373"/>
      <x:c r="Z3" s="373"/>
    </x:row>
    <x:row r="4">
      <x:c r="A4" s="409" t="str">
        <x:v>Metric ID</x:v>
      </x:c>
      <x:c r="B4" s="413" t="str">
        <x:v>Release</x:v>
      </x:c>
      <x:c r="C4" s="413" t="str">
        <x:v>Category</x:v>
      </x:c>
      <x:c r="D4" s="413" t="str">
        <x:v>Metric</x:v>
      </x:c>
      <x:c r="E4" s="413" t="str">
        <x:v>Description</x:v>
      </x:c>
      <x:c r="F4" s="413" t="str">
        <x:v>Unit</x:v>
      </x:c>
      <x:c r="G4" s="413" t="str">
        <x:v>Direction</x:v>
      </x:c>
      <x:c r="H4" s="413" t="str">
        <x:v>Target</x:v>
      </x:c>
      <x:c r="I4" s="413" t="str">
        <x:v>Baseline</x:v>
      </x:c>
      <x:c r="J4" s="413" t="str">
        <x:v>Latest</x:v>
      </x:c>
      <x:c r="K4" s="413" t="str">
        <x:v>Delta</x:v>
      </x:c>
      <x:c r="L4" s="413" t="str">
        <x:v>Status</x:v>
      </x:c>
      <x:c r="M4" s="413" t="str">
        <x:v>Source</x:v>
      </x:c>
      <x:c r="N4" s="413" t="str">
        <x:v>Feature ID</x:v>
      </x:c>
      <x:c r="O4" s="413" t="str">
        <x:v>Last Updated</x:v>
      </x:c>
      <x:c r="P4" s="413" t="str">
        <x:v>Notes</x:v>
      </x:c>
      <x:c r="Q4" s="410" t="str">
        <x:v>JS Key</x:v>
      </x:c>
      <x:c r="R4" s="373"/>
      <x:c r="S4" s="373"/>
      <x:c r="T4" s="373"/>
      <x:c r="U4" s="373"/>
      <x:c r="V4" s="373"/>
      <x:c r="W4" s="373"/>
      <x:c r="X4" s="373"/>
      <x:c r="Y4" s="373"/>
      <x:c r="Z4" s="373"/>
    </x:row>
    <x:row r="5">
      <x:c r="A5" s="411" t="str">
        <x:v>MET-001</x:v>
      </x:c>
      <x:c r="B5" s="411" t="str">
        <x:v>v0.1.1</x:v>
      </x:c>
      <x:c r="C5" s="411" t="str">
        <x:v>Runtime</x:v>
      </x:c>
      <x:c r="D5" s="411" t="str">
        <x:v>Clean startup/shutdown success rate</x:v>
      </x:c>
      <x:c r="E5" s="411" t="str">
        <x:v>Successful clean cycles divided by attempted cycles.</x:v>
      </x:c>
      <x:c r="F5" s="411" t="str">
        <x:v>%</x:v>
      </x:c>
      <x:c r="G5" s="411" t="str">
        <x:v>Higher</x:v>
      </x:c>
      <x:c r="H5" s="411" t="n">
        <x:v>100</x:v>
      </x:c>
      <x:c r="I5" s="488"/>
      <x:c r="J5" s="488"/>
      <x:c r="K5" s="464" t="str">
        <x:f>IF(OR(I5="",J5=""),"",J5-I5)</x:f>
      </x:c>
      <x:c r="L5" s="464" t="str">
        <x:f>IF(J5="","Not Measured",IF(G5="Higher",IF(J5&gt;=H5,"Passed","Failed"),IF(G5="Lower",IF(J5&lt;=H5,"Passed","Failed"),"Review")))</x:f>
        <x:v>Not Measured</x:v>
      </x:c>
      <x:c r="M5" s="411" t="str">
        <x:v>Repeated start/stop harness</x:v>
      </x:c>
      <x:c r="N5" s="411" t="str">
        <x:v>F-RUN-009</x:v>
      </x:c>
      <x:c r="O5" s="460"/>
      <x:c r="P5" s="411" t="str">
        <x:v>Release gate metric.</x:v>
      </x:c>
      <x:c r="Q5" s="411" t="str">
        <x:v>clean_cycle_success_rate</x:v>
      </x:c>
      <x:c r="R5" s="373"/>
      <x:c r="S5" s="373"/>
      <x:c r="T5" s="373"/>
      <x:c r="U5" s="373"/>
      <x:c r="V5" s="373"/>
      <x:c r="W5" s="373"/>
      <x:c r="X5" s="373"/>
      <x:c r="Y5" s="373"/>
      <x:c r="Z5" s="373"/>
    </x:row>
    <x:row r="6">
      <x:c r="A6" s="411" t="str">
        <x:v>MET-002</x:v>
      </x:c>
      <x:c r="B6" s="411" t="str">
        <x:v>v0.1.1</x:v>
      </x:c>
      <x:c r="C6" s="411" t="str">
        <x:v>Runtime</x:v>
      </x:c>
      <x:c r="D6" s="411" t="str">
        <x:v>Orphaned owned processes after shutdown</x:v>
      </x:c>
      <x:c r="E6" s="411" t="str">
        <x:v>Count of owned processes remaining after shutdown.</x:v>
      </x:c>
      <x:c r="F6" s="411" t="str">
        <x:v>count</x:v>
      </x:c>
      <x:c r="G6" s="411" t="str">
        <x:v>Lower</x:v>
      </x:c>
      <x:c r="H6" s="411" t="n">
        <x:v>0</x:v>
      </x:c>
      <x:c r="I6" s="488"/>
      <x:c r="J6" s="488"/>
      <x:c r="K6" s="464" t="str">
        <x:f>IF(OR(I6="",J6=""),"",J6-I6)</x:f>
      </x:c>
      <x:c r="L6" s="464" t="str">
        <x:f>IF(J6="","Not Measured",IF(G6="Higher",IF(J6&gt;=H6,"Passed","Failed"),IF(G6="Lower",IF(J6&lt;=H6,"Passed","Failed"),"Review")))</x:f>
        <x:v>Not Measured</x:v>
      </x:c>
      <x:c r="M6" s="411" t="str">
        <x:v>OS process inspection</x:v>
      </x:c>
      <x:c r="N6" s="411" t="str">
        <x:v>F-RUN-004</x:v>
      </x:c>
      <x:c r="O6" s="460"/>
      <x:c r="P6" s="411" t="str">
        <x:v>Must be zero.</x:v>
      </x:c>
      <x:c r="Q6" s="411" t="str">
        <x:v>orphan_process_count</x:v>
      </x:c>
      <x:c r="R6" s="373"/>
      <x:c r="S6" s="373"/>
      <x:c r="T6" s="373"/>
      <x:c r="U6" s="373"/>
      <x:c r="V6" s="373"/>
      <x:c r="W6" s="373"/>
      <x:c r="X6" s="373"/>
      <x:c r="Y6" s="373"/>
      <x:c r="Z6" s="373"/>
    </x:row>
    <x:row r="7">
      <x:c r="A7" s="411" t="str">
        <x:v>MET-003</x:v>
      </x:c>
      <x:c r="B7" s="411" t="str">
        <x:v>v0.1.1</x:v>
      </x:c>
      <x:c r="C7" s="411" t="str">
        <x:v>Runtime</x:v>
      </x:c>
      <x:c r="D7" s="411" t="str">
        <x:v>Duplicate critical nodes</x:v>
      </x:c>
      <x:c r="E7" s="411" t="str">
        <x:v>Duplicate critical ROS nodes/processes detected.</x:v>
      </x:c>
      <x:c r="F7" s="411" t="str">
        <x:v>count</x:v>
      </x:c>
      <x:c r="G7" s="411" t="str">
        <x:v>Lower</x:v>
      </x:c>
      <x:c r="H7" s="411" t="n">
        <x:v>0</x:v>
      </x:c>
      <x:c r="I7" s="488"/>
      <x:c r="J7" s="488"/>
      <x:c r="K7" s="464" t="str">
        <x:f>IF(OR(I7="",J7=""),"",J7-I7)</x:f>
      </x:c>
      <x:c r="L7" s="464" t="str">
        <x:f>IF(J7="","Not Measured",IF(G7="Higher",IF(J7&gt;=H7,"Passed","Failed"),IF(G7="Lower",IF(J7&lt;=H7,"Passed","Failed"),"Review")))</x:f>
        <x:v>Not Measured</x:v>
      </x:c>
      <x:c r="M7" s="411" t="str">
        <x:v>Duplicate detector</x:v>
      </x:c>
      <x:c r="N7" s="411" t="str">
        <x:v>F-RUN-007</x:v>
      </x:c>
      <x:c r="O7" s="460"/>
      <x:c r="P7" s="411" t="str">
        <x:v>Must be zero.</x:v>
      </x:c>
      <x:c r="Q7" s="411" t="str">
        <x:v>duplicate_node_count</x:v>
      </x:c>
      <x:c r="R7" s="373"/>
      <x:c r="S7" s="373"/>
      <x:c r="T7" s="373"/>
      <x:c r="U7" s="373"/>
      <x:c r="V7" s="373"/>
      <x:c r="W7" s="373"/>
      <x:c r="X7" s="373"/>
      <x:c r="Y7" s="373"/>
      <x:c r="Z7" s="373"/>
    </x:row>
    <x:row r="8">
      <x:c r="A8" s="411" t="str">
        <x:v>MET-004</x:v>
      </x:c>
      <x:c r="B8" s="411" t="str">
        <x:v>v0.1.1</x:v>
      </x:c>
      <x:c r="C8" s="411" t="str">
        <x:v>Performance</x:v>
      </x:c>
      <x:c r="D8" s="411" t="str">
        <x:v>Shutdown duration</x:v>
      </x:c>
      <x:c r="E8" s="411" t="str">
        <x:v>Time from shutdown request to verified process cleanup.</x:v>
      </x:c>
      <x:c r="F8" s="411" t="str">
        <x:v>s</x:v>
      </x:c>
      <x:c r="G8" s="411" t="str">
        <x:v>Lower</x:v>
      </x:c>
      <x:c r="H8" s="411" t="n">
        <x:v>15</x:v>
      </x:c>
      <x:c r="I8" s="488"/>
      <x:c r="J8" s="488"/>
      <x:c r="K8" s="464" t="str">
        <x:f>IF(OR(I8="",J8=""),"",J8-I8)</x:f>
      </x:c>
      <x:c r="L8" s="464" t="str">
        <x:f>IF(J8="","Not Measured",IF(G8="Higher",IF(J8&gt;=H8,"Passed","Failed"),IF(G8="Lower",IF(J8&lt;=H8,"Passed","Failed"),"Review")))</x:f>
        <x:v>Not Measured</x:v>
      </x:c>
      <x:c r="M8" s="411" t="str">
        <x:v>Shutdown logs</x:v>
      </x:c>
      <x:c r="N8" s="411" t="str">
        <x:v>F-RUN-004</x:v>
      </x:c>
      <x:c r="O8" s="460"/>
      <x:c r="P8" s="411" t="str">
        <x:v>Initial target; revise from baseline.</x:v>
      </x:c>
      <x:c r="Q8" s="411" t="str">
        <x:v>shutdown_duration_s</x:v>
      </x:c>
      <x:c r="R8" s="373"/>
      <x:c r="S8" s="373"/>
      <x:c r="T8" s="373"/>
      <x:c r="U8" s="373"/>
      <x:c r="V8" s="373"/>
      <x:c r="W8" s="373"/>
      <x:c r="X8" s="373"/>
      <x:c r="Y8" s="373"/>
      <x:c r="Z8" s="373"/>
    </x:row>
    <x:row r="9">
      <x:c r="A9" s="411" t="str">
        <x:v>MET-005</x:v>
      </x:c>
      <x:c r="B9" s="411" t="str">
        <x:v>v0.1.3</x:v>
      </x:c>
      <x:c r="C9" s="411" t="str">
        <x:v>Readiness</x:v>
      </x:c>
      <x:c r="D9" s="411" t="str">
        <x:v>Blind-delay activations</x:v>
      </x:c>
      <x:c r="E9" s="411" t="str">
        <x:v>Mode activations caused only by elapsed fixed delay.</x:v>
      </x:c>
      <x:c r="F9" s="411" t="str">
        <x:v>count</x:v>
      </x:c>
      <x:c r="G9" s="411" t="str">
        <x:v>Lower</x:v>
      </x:c>
      <x:c r="H9" s="411" t="n">
        <x:v>0</x:v>
      </x:c>
      <x:c r="I9" s="488"/>
      <x:c r="J9" s="488"/>
      <x:c r="K9" s="464" t="str">
        <x:f>IF(OR(I9="",J9=""),"",J9-I9)</x:f>
      </x:c>
      <x:c r="L9" s="464" t="str">
        <x:f>IF(J9="","Not Measured",IF(G9="Higher",IF(J9&gt;=H9,"Passed","Failed"),IF(G9="Lower",IF(J9&lt;=H9,"Passed","Failed"),"Review")))</x:f>
        <x:v>Not Measured</x:v>
      </x:c>
      <x:c r="M9" s="411" t="str">
        <x:v>Static scan + integration tests</x:v>
      </x:c>
      <x:c r="N9" s="411" t="str">
        <x:v>F-READY-010</x:v>
      </x:c>
      <x:c r="O9" s="460"/>
      <x:c r="P9" s="411" t="str">
        <x:v>Must be zero.</x:v>
      </x:c>
      <x:c r="Q9" s="411" t="str">
        <x:v>blind_delay_activation_count</x:v>
      </x:c>
      <x:c r="R9" s="373"/>
      <x:c r="S9" s="373"/>
      <x:c r="T9" s="373"/>
      <x:c r="U9" s="373"/>
      <x:c r="V9" s="373"/>
      <x:c r="W9" s="373"/>
      <x:c r="X9" s="373"/>
      <x:c r="Y9" s="373"/>
      <x:c r="Z9" s="373"/>
    </x:row>
    <x:row r="10">
      <x:c r="A10" s="411" t="str">
        <x:v>MET-006</x:v>
      </x:c>
      <x:c r="B10" s="411" t="str">
        <x:v>v0.1.5</x:v>
      </x:c>
      <x:c r="C10" s="411" t="str">
        <x:v>TF</x:v>
      </x:c>
      <x:c r="D10" s="411" t="str">
        <x:v>Duplicate dynamic TF authorities</x:v>
      </x:c>
      <x:c r="E10" s="411" t="str">
        <x:v>Dynamic TF edges with more than one publisher.</x:v>
      </x:c>
      <x:c r="F10" s="411" t="str">
        <x:v>count</x:v>
      </x:c>
      <x:c r="G10" s="411" t="str">
        <x:v>Lower</x:v>
      </x:c>
      <x:c r="H10" s="411" t="n">
        <x:v>0</x:v>
      </x:c>
      <x:c r="I10" s="488"/>
      <x:c r="J10" s="488"/>
      <x:c r="K10" s="464" t="str">
        <x:f>IF(OR(I10="",J10=""),"",J10-I10)</x:f>
      </x:c>
      <x:c r="L10" s="464" t="str">
        <x:f>IF(J10="","Not Measured",IF(G10="Higher",IF(J10&gt;=H10,"Passed","Failed"),IF(G10="Lower",IF(J10&lt;=H10,"Passed","Failed"),"Review")))</x:f>
        <x:v>Not Measured</x:v>
      </x:c>
      <x:c r="M10" s="411" t="str">
        <x:v>TF authority test</x:v>
      </x:c>
      <x:c r="N10" s="411" t="str">
        <x:v>F-TF-002</x:v>
      </x:c>
      <x:c r="O10" s="460"/>
      <x:c r="P10" s="411" t="str">
        <x:v>Must be zero.</x:v>
      </x:c>
      <x:c r="Q10" s="411" t="str">
        <x:v>duplicate_tf_authority_count</x:v>
      </x:c>
      <x:c r="R10" s="373"/>
      <x:c r="S10" s="373"/>
      <x:c r="T10" s="373"/>
      <x:c r="U10" s="373"/>
      <x:c r="V10" s="373"/>
      <x:c r="W10" s="373"/>
      <x:c r="X10" s="373"/>
      <x:c r="Y10" s="373"/>
      <x:c r="Z10" s="373"/>
    </x:row>
    <x:row r="11">
      <x:c r="A11" s="411" t="str">
        <x:v>MET-007</x:v>
      </x:c>
      <x:c r="B11" s="411" t="str">
        <x:v>v0.1.6</x:v>
      </x:c>
      <x:c r="C11" s="411" t="str">
        <x:v>Estimation</x:v>
      </x:c>
      <x:c r="D11" s="411" t="str">
        <x:v>Fused yaw RMSE</x:v>
      </x:c>
      <x:c r="E11" s="411" t="str">
        <x:v>Yaw RMSE of EKF estimate against ground truth.</x:v>
      </x:c>
      <x:c r="F11" s="411" t="str">
        <x:v>deg</x:v>
      </x:c>
      <x:c r="G11" s="411" t="str">
        <x:v>Lower</x:v>
      </x:c>
      <x:c r="H11" s="411" t="n">
        <x:v>5</x:v>
      </x:c>
      <x:c r="I11" s="488"/>
      <x:c r="J11" s="488"/>
      <x:c r="K11" s="464" t="str">
        <x:f>IF(OR(I11="",J11=""),"",J11-I11)</x:f>
      </x:c>
      <x:c r="L11" s="464" t="str">
        <x:f>IF(J11="","Not Measured",IF(G11="Higher",IF(J11&gt;=H11,"Passed","Failed"),IF(G11="Lower",IF(J11&lt;=H11,"Passed","Failed"),"Review")))</x:f>
        <x:v>Not Measured</x:v>
      </x:c>
      <x:c r="M11" s="411" t="str">
        <x:v>EKF benchmark</x:v>
      </x:c>
      <x:c r="N11" s="411" t="str">
        <x:v>F-EKF-006</x:v>
      </x:c>
      <x:c r="O11" s="460"/>
      <x:c r="P11" s="411" t="str">
        <x:v>Candidate target.</x:v>
      </x:c>
      <x:c r="Q11" s="411" t="str">
        <x:v>ekf_yaw_rmse_deg</x:v>
      </x:c>
      <x:c r="R11" s="373"/>
      <x:c r="S11" s="373"/>
      <x:c r="T11" s="373"/>
      <x:c r="U11" s="373"/>
      <x:c r="V11" s="373"/>
      <x:c r="W11" s="373"/>
      <x:c r="X11" s="373"/>
      <x:c r="Y11" s="373"/>
      <x:c r="Z11" s="373"/>
    </x:row>
    <x:row r="12">
      <x:c r="A12" s="411" t="str">
        <x:v>MET-008</x:v>
      </x:c>
      <x:c r="B12" s="411" t="str">
        <x:v>v0.1.6</x:v>
      </x:c>
      <x:c r="C12" s="411" t="str">
        <x:v>Estimation</x:v>
      </x:c>
      <x:c r="D12" s="411" t="str">
        <x:v>Fused position RMSE</x:v>
      </x:c>
      <x:c r="E12" s="411" t="str">
        <x:v>Position RMSE of EKF estimate against ground truth.</x:v>
      </x:c>
      <x:c r="F12" s="411" t="str">
        <x:v>m</x:v>
      </x:c>
      <x:c r="G12" s="411" t="str">
        <x:v>Lower</x:v>
      </x:c>
      <x:c r="H12" s="411" t="n">
        <x:v>0.15</x:v>
      </x:c>
      <x:c r="I12" s="488"/>
      <x:c r="J12" s="488"/>
      <x:c r="K12" s="464" t="str">
        <x:f>IF(OR(I12="",J12=""),"",J12-I12)</x:f>
      </x:c>
      <x:c r="L12" s="464" t="str">
        <x:f>IF(J12="","Not Measured",IF(G12="Higher",IF(J12&gt;=H12,"Passed","Failed"),IF(G12="Lower",IF(J12&lt;=H12,"Passed","Failed"),"Review")))</x:f>
        <x:v>Not Measured</x:v>
      </x:c>
      <x:c r="M12" s="411" t="str">
        <x:v>EKF benchmark</x:v>
      </x:c>
      <x:c r="N12" s="411" t="str">
        <x:v>F-EKF-006</x:v>
      </x:c>
      <x:c r="O12" s="460"/>
      <x:c r="P12" s="411" t="str">
        <x:v>Candidate target.</x:v>
      </x:c>
      <x:c r="Q12" s="411" t="str">
        <x:v>ekf_position_rmse_m</x:v>
      </x:c>
      <x:c r="R12" s="373"/>
      <x:c r="S12" s="373"/>
      <x:c r="T12" s="373"/>
      <x:c r="U12" s="373"/>
      <x:c r="V12" s="373"/>
      <x:c r="W12" s="373"/>
      <x:c r="X12" s="373"/>
      <x:c r="Y12" s="373"/>
      <x:c r="Z12" s="373"/>
    </x:row>
    <x:row r="13">
      <x:c r="A13" s="411" t="str">
        <x:v>MET-009</x:v>
      </x:c>
      <x:c r="B13" s="411" t="str">
        <x:v>v0.1.8</x:v>
      </x:c>
      <x:c r="C13" s="411" t="str">
        <x:v>SLAM</x:v>
      </x:c>
      <x:c r="D13" s="411" t="str">
        <x:v>Loop-closure discontinuity</x:v>
      </x:c>
      <x:c r="E13" s="411" t="str">
        <x:v>Maximum position jump associated with loop closure.</x:v>
      </x:c>
      <x:c r="F13" s="411" t="str">
        <x:v>m</x:v>
      </x:c>
      <x:c r="G13" s="411" t="str">
        <x:v>Lower</x:v>
      </x:c>
      <x:c r="H13" s="411" t="n">
        <x:v>0.2</x:v>
      </x:c>
      <x:c r="I13" s="488"/>
      <x:c r="J13" s="488"/>
      <x:c r="K13" s="464" t="str">
        <x:f>IF(OR(I13="",J13=""),"",J13-I13)</x:f>
      </x:c>
      <x:c r="L13" s="464" t="str">
        <x:f>IF(J13="","Not Measured",IF(G13="Higher",IF(J13&gt;=H13,"Passed","Failed"),IF(G13="Lower",IF(J13&lt;=H13,"Passed","Failed"),"Review")))</x:f>
        <x:v>Not Measured</x:v>
      </x:c>
      <x:c r="M13" s="411" t="str">
        <x:v>SLAM benchmark</x:v>
      </x:c>
      <x:c r="N13" s="411" t="str">
        <x:v>F-SLAM-003</x:v>
      </x:c>
      <x:c r="O13" s="460"/>
      <x:c r="P13" s="411" t="str">
        <x:v>Refine after baseline.</x:v>
      </x:c>
      <x:c r="Q13" s="411" t="str">
        <x:v>loop_closure_jump_m</x:v>
      </x:c>
      <x:c r="R13" s="373"/>
      <x:c r="S13" s="373"/>
      <x:c r="T13" s="373"/>
      <x:c r="U13" s="373"/>
      <x:c r="V13" s="373"/>
      <x:c r="W13" s="373"/>
      <x:c r="X13" s="373"/>
      <x:c r="Y13" s="373"/>
      <x:c r="Z13" s="373"/>
    </x:row>
    <x:row r="14">
      <x:c r="A14" s="411" t="str">
        <x:v>MET-010</x:v>
      </x:c>
      <x:c r="B14" s="411" t="str">
        <x:v>v0.1.8</x:v>
      </x:c>
      <x:c r="C14" s="411" t="str">
        <x:v>SLAM</x:v>
      </x:c>
      <x:c r="D14" s="411" t="str">
        <x:v>Known-area map completeness</x:v>
      </x:c>
      <x:c r="E14" s="411" t="str">
        <x:v>Observed expected cells divided by expected visible area.</x:v>
      </x:c>
      <x:c r="F14" s="411" t="str">
        <x:v>%</x:v>
      </x:c>
      <x:c r="G14" s="411" t="str">
        <x:v>Higher</x:v>
      </x:c>
      <x:c r="H14" s="411" t="n">
        <x:v>95</x:v>
      </x:c>
      <x:c r="I14" s="488"/>
      <x:c r="J14" s="488"/>
      <x:c r="K14" s="464" t="str">
        <x:f>IF(OR(I14="",J14=""),"",J14-I14)</x:f>
      </x:c>
      <x:c r="L14" s="464" t="str">
        <x:f>IF(J14="","Not Measured",IF(G14="Higher",IF(J14&gt;=H14,"Passed","Failed"),IF(G14="Lower",IF(J14&lt;=H14,"Passed","Failed"),"Review")))</x:f>
        <x:v>Not Measured</x:v>
      </x:c>
      <x:c r="M14" s="411" t="str">
        <x:v>Map metrics</x:v>
      </x:c>
      <x:c r="N14" s="411" t="str">
        <x:v>F-SLAM-003</x:v>
      </x:c>
      <x:c r="O14" s="460"/>
      <x:c r="P14" s="411" t="str">
        <x:v>Candidate target.</x:v>
      </x:c>
      <x:c r="Q14" s="411" t="str">
        <x:v>map_completeness_pct</x:v>
      </x:c>
      <x:c r="R14" s="373"/>
      <x:c r="S14" s="373"/>
      <x:c r="T14" s="373"/>
      <x:c r="U14" s="373"/>
      <x:c r="V14" s="373"/>
      <x:c r="W14" s="373"/>
      <x:c r="X14" s="373"/>
      <x:c r="Y14" s="373"/>
      <x:c r="Z14" s="373"/>
    </x:row>
    <x:row r="15">
      <x:c r="A15" s="411" t="str">
        <x:v>MET-011</x:v>
      </x:c>
      <x:c r="B15" s="411" t="str">
        <x:v>v0.1.9</x:v>
      </x:c>
      <x:c r="C15" s="411" t="str">
        <x:v>Localization</x:v>
      </x:c>
      <x:c r="D15" s="411" t="str">
        <x:v>AMCL position RMSE</x:v>
      </x:c>
      <x:c r="E15" s="411" t="str">
        <x:v>AMCL position RMSE against simulator ground truth.</x:v>
      </x:c>
      <x:c r="F15" s="411" t="str">
        <x:v>m</x:v>
      </x:c>
      <x:c r="G15" s="411" t="str">
        <x:v>Lower</x:v>
      </x:c>
      <x:c r="H15" s="411" t="n">
        <x:v>0.15</x:v>
      </x:c>
      <x:c r="I15" s="488"/>
      <x:c r="J15" s="488"/>
      <x:c r="K15" s="464" t="str">
        <x:f>IF(OR(I15="",J15=""),"",J15-I15)</x:f>
      </x:c>
      <x:c r="L15" s="464" t="str">
        <x:f>IF(J15="","Not Measured",IF(G15="Higher",IF(J15&gt;=H15,"Passed","Failed"),IF(G15="Lower",IF(J15&lt;=H15,"Passed","Failed"),"Review")))</x:f>
        <x:v>Not Measured</x:v>
      </x:c>
      <x:c r="M15" s="411" t="str">
        <x:v>AMCL benchmark</x:v>
      </x:c>
      <x:c r="N15" s="411" t="str">
        <x:v>F-AMCL-003</x:v>
      </x:c>
      <x:c r="O15" s="460"/>
      <x:c r="P15" s="411" t="str">
        <x:v>Candidate target.</x:v>
      </x:c>
      <x:c r="Q15" s="411" t="str">
        <x:v>amcl_position_rmse_m</x:v>
      </x:c>
      <x:c r="R15" s="373"/>
      <x:c r="S15" s="373"/>
      <x:c r="T15" s="373"/>
      <x:c r="U15" s="373"/>
      <x:c r="V15" s="373"/>
      <x:c r="W15" s="373"/>
      <x:c r="X15" s="373"/>
      <x:c r="Y15" s="373"/>
      <x:c r="Z15" s="373"/>
    </x:row>
    <x:row r="16">
      <x:c r="A16" s="411" t="str">
        <x:v>MET-012</x:v>
      </x:c>
      <x:c r="B16" s="411" t="str">
        <x:v>v0.1.9</x:v>
      </x:c>
      <x:c r="C16" s="411" t="str">
        <x:v>Localization</x:v>
      </x:c>
      <x:c r="D16" s="411" t="str">
        <x:v>AMCL yaw RMSE</x:v>
      </x:c>
      <x:c r="E16" s="411" t="str">
        <x:v>AMCL yaw RMSE against simulator ground truth.</x:v>
      </x:c>
      <x:c r="F16" s="411" t="str">
        <x:v>deg</x:v>
      </x:c>
      <x:c r="G16" s="411" t="str">
        <x:v>Lower</x:v>
      </x:c>
      <x:c r="H16" s="411" t="n">
        <x:v>5</x:v>
      </x:c>
      <x:c r="I16" s="488"/>
      <x:c r="J16" s="488"/>
      <x:c r="K16" s="464" t="str">
        <x:f>IF(OR(I16="",J16=""),"",J16-I16)</x:f>
      </x:c>
      <x:c r="L16" s="464" t="str">
        <x:f>IF(J16="","Not Measured",IF(G16="Higher",IF(J16&gt;=H16,"Passed","Failed"),IF(G16="Lower",IF(J16&lt;=H16,"Passed","Failed"),"Review")))</x:f>
        <x:v>Not Measured</x:v>
      </x:c>
      <x:c r="M16" s="411" t="str">
        <x:v>AMCL benchmark</x:v>
      </x:c>
      <x:c r="N16" s="411" t="str">
        <x:v>F-AMCL-003</x:v>
      </x:c>
      <x:c r="O16" s="460"/>
      <x:c r="P16" s="411" t="str">
        <x:v>Candidate target.</x:v>
      </x:c>
      <x:c r="Q16" s="411" t="str">
        <x:v>amcl_yaw_rmse_deg</x:v>
      </x:c>
      <x:c r="R16" s="373"/>
      <x:c r="S16" s="373"/>
      <x:c r="T16" s="373"/>
      <x:c r="U16" s="373"/>
      <x:c r="V16" s="373"/>
      <x:c r="W16" s="373"/>
      <x:c r="X16" s="373"/>
      <x:c r="Y16" s="373"/>
      <x:c r="Z16" s="373"/>
    </x:row>
    <x:row r="17">
      <x:c r="A17" s="411" t="str">
        <x:v>MET-013</x:v>
      </x:c>
      <x:c r="B17" s="411" t="str">
        <x:v>v0.1.9</x:v>
      </x:c>
      <x:c r="C17" s="411" t="str">
        <x:v>Localization</x:v>
      </x:c>
      <x:c r="D17" s="411" t="str">
        <x:v>Localization convergence time</x:v>
      </x:c>
      <x:c r="E17" s="411" t="str">
        <x:v>Time until position, yaw, covariance, and freshness thresholds pass.</x:v>
      </x:c>
      <x:c r="F17" s="411" t="str">
        <x:v>s</x:v>
      </x:c>
      <x:c r="G17" s="411" t="str">
        <x:v>Lower</x:v>
      </x:c>
      <x:c r="H17" s="411" t="n">
        <x:v>10</x:v>
      </x:c>
      <x:c r="I17" s="488"/>
      <x:c r="J17" s="488"/>
      <x:c r="K17" s="464" t="str">
        <x:f>IF(OR(I17="",J17=""),"",J17-I17)</x:f>
      </x:c>
      <x:c r="L17" s="464" t="str">
        <x:f>IF(J17="","Not Measured",IF(G17="Higher",IF(J17&gt;=H17,"Passed","Failed"),IF(G17="Lower",IF(J17&lt;=H17,"Passed","Failed"),"Review")))</x:f>
        <x:v>Not Measured</x:v>
      </x:c>
      <x:c r="M17" s="411" t="str">
        <x:v>AMCL benchmark</x:v>
      </x:c>
      <x:c r="N17" s="411" t="str">
        <x:v>F-AMCL-003</x:v>
      </x:c>
      <x:c r="O17" s="460"/>
      <x:c r="P17" s="411" t="str">
        <x:v>Candidate target.</x:v>
      </x:c>
      <x:c r="Q17" s="411" t="str">
        <x:v>localization_convergence_s</x:v>
      </x:c>
      <x:c r="R17" s="373"/>
      <x:c r="S17" s="373"/>
      <x:c r="T17" s="373"/>
      <x:c r="U17" s="373"/>
      <x:c r="V17" s="373"/>
      <x:c r="W17" s="373"/>
      <x:c r="X17" s="373"/>
      <x:c r="Y17" s="373"/>
      <x:c r="Z17" s="373"/>
    </x:row>
    <x:row r="18">
      <x:c r="A18" s="411" t="str">
        <x:v>MET-014</x:v>
      </x:c>
      <x:c r="B18" s="411" t="str">
        <x:v>v0.1.10</x:v>
      </x:c>
      <x:c r="C18" s="411" t="str">
        <x:v>Navigation</x:v>
      </x:c>
      <x:c r="D18" s="411" t="str">
        <x:v>Nominal navigation success rate</x:v>
      </x:c>
      <x:c r="E18" s="411" t="str">
        <x:v>Successful nominal goals divided by attempted goals.</x:v>
      </x:c>
      <x:c r="F18" s="411" t="str">
        <x:v>%</x:v>
      </x:c>
      <x:c r="G18" s="411" t="str">
        <x:v>Higher</x:v>
      </x:c>
      <x:c r="H18" s="411" t="n">
        <x:v>90</x:v>
      </x:c>
      <x:c r="I18" s="488"/>
      <x:c r="J18" s="488"/>
      <x:c r="K18" s="464" t="str">
        <x:f>IF(OR(I18="",J18=""),"",J18-I18)</x:f>
      </x:c>
      <x:c r="L18" s="464" t="str">
        <x:f>IF(J18="","Not Measured",IF(G18="Higher",IF(J18&gt;=H18,"Passed","Failed"),IF(G18="Lower",IF(J18&lt;=H18,"Passed","Failed"),"Review")))</x:f>
        <x:v>Not Measured</x:v>
      </x:c>
      <x:c r="M18" s="411" t="str">
        <x:v>Navigation scenario suite</x:v>
      </x:c>
      <x:c r="N18" s="411" t="str">
        <x:v>F-NAV-006</x:v>
      </x:c>
      <x:c r="O18" s="460"/>
      <x:c r="P18" s="411" t="str">
        <x:v>Minimum 9/10.</x:v>
      </x:c>
      <x:c r="Q18" s="411" t="str">
        <x:v>nav_success_rate_pct</x:v>
      </x:c>
      <x:c r="R18" s="373"/>
      <x:c r="S18" s="373"/>
      <x:c r="T18" s="373"/>
      <x:c r="U18" s="373"/>
      <x:c r="V18" s="373"/>
      <x:c r="W18" s="373"/>
      <x:c r="X18" s="373"/>
      <x:c r="Y18" s="373"/>
      <x:c r="Z18" s="373"/>
    </x:row>
    <x:row r="19">
      <x:c r="A19" s="411" t="str">
        <x:v>MET-015</x:v>
      </x:c>
      <x:c r="B19" s="411" t="str">
        <x:v>v0.1.10</x:v>
      </x:c>
      <x:c r="C19" s="411" t="str">
        <x:v>Safety</x:v>
      </x:c>
      <x:c r="D19" s="411" t="str">
        <x:v>Collision count</x:v>
      </x:c>
      <x:c r="E19" s="411" t="str">
        <x:v>Detected collisions during nominal navigation suite.</x:v>
      </x:c>
      <x:c r="F19" s="411" t="str">
        <x:v>count</x:v>
      </x:c>
      <x:c r="G19" s="411" t="str">
        <x:v>Lower</x:v>
      </x:c>
      <x:c r="H19" s="411" t="n">
        <x:v>0</x:v>
      </x:c>
      <x:c r="I19" s="488"/>
      <x:c r="J19" s="488"/>
      <x:c r="K19" s="464" t="str">
        <x:f>IF(OR(I19="",J19=""),"",J19-I19)</x:f>
      </x:c>
      <x:c r="L19" s="464" t="str">
        <x:f>IF(J19="","Not Measured",IF(G19="Higher",IF(J19&gt;=H19,"Passed","Failed"),IF(G19="Lower",IF(J19&lt;=H19,"Passed","Failed"),"Review")))</x:f>
        <x:v>Not Measured</x:v>
      </x:c>
      <x:c r="M19" s="411" t="str">
        <x:v>Simulation contacts</x:v>
      </x:c>
      <x:c r="N19" s="411" t="str">
        <x:v>F-NAV-007</x:v>
      </x:c>
      <x:c r="O19" s="460"/>
      <x:c r="P19" s="411" t="str">
        <x:v>Must be zero.</x:v>
      </x:c>
      <x:c r="Q19" s="411" t="str">
        <x:v>collision_count</x:v>
      </x:c>
      <x:c r="R19" s="373"/>
      <x:c r="S19" s="373"/>
      <x:c r="T19" s="373"/>
      <x:c r="U19" s="373"/>
      <x:c r="V19" s="373"/>
      <x:c r="W19" s="373"/>
      <x:c r="X19" s="373"/>
      <x:c r="Y19" s="373"/>
      <x:c r="Z19" s="373"/>
    </x:row>
    <x:row r="20">
      <x:c r="A20" s="411" t="str">
        <x:v>MET-016</x:v>
      </x:c>
      <x:c r="B20" s="411" t="str">
        <x:v>v0.1.11</x:v>
      </x:c>
      <x:c r="C20" s="411" t="str">
        <x:v>Safety</x:v>
      </x:c>
      <x:c r="D20" s="411" t="str">
        <x:v>Safety stop response latency</x:v>
      </x:c>
      <x:c r="E20" s="411" t="str">
        <x:v>Time from unsafe/stale command condition to stop response.</x:v>
      </x:c>
      <x:c r="F20" s="411" t="str">
        <x:v>s</x:v>
      </x:c>
      <x:c r="G20" s="411" t="str">
        <x:v>Lower</x:v>
      </x:c>
      <x:c r="H20" s="411" t="n">
        <x:v>0.5</x:v>
      </x:c>
      <x:c r="I20" s="488"/>
      <x:c r="J20" s="488"/>
      <x:c r="K20" s="464" t="str">
        <x:f>IF(OR(I20="",J20=""),"",J20-I20)</x:f>
      </x:c>
      <x:c r="L20" s="464" t="str">
        <x:f>IF(J20="","Not Measured",IF(G20="Higher",IF(J20&gt;=H20,"Passed","Failed"),IF(G20="Lower",IF(J20&lt;=H20,"Passed","Failed"),"Review")))</x:f>
        <x:v>Not Measured</x:v>
      </x:c>
      <x:c r="M20" s="411" t="str">
        <x:v>Safety regression</x:v>
      </x:c>
      <x:c r="N20" s="411" t="str">
        <x:v>F-SAFE-001</x:v>
      </x:c>
      <x:c r="O20" s="460"/>
      <x:c r="P20" s="411" t="str">
        <x:v>Preserve current contract.</x:v>
      </x:c>
      <x:c r="Q20" s="411" t="str">
        <x:v>safety_stop_latency_s</x:v>
      </x:c>
      <x:c r="R20" s="373"/>
      <x:c r="S20" s="373"/>
      <x:c r="T20" s="373"/>
      <x:c r="U20" s="373"/>
      <x:c r="V20" s="373"/>
      <x:c r="W20" s="373"/>
      <x:c r="X20" s="373"/>
      <x:c r="Y20" s="373"/>
      <x:c r="Z20" s="373"/>
    </x:row>
    <x:row r="21">
      <x:c r="A21" s="411" t="str">
        <x:v>MET-017</x:v>
      </x:c>
      <x:c r="B21" s="411" t="str">
        <x:v>v0.1.12</x:v>
      </x:c>
      <x:c r="C21" s="411" t="str">
        <x:v>Performance</x:v>
      </x:c>
      <x:c r="D21" s="411" t="str">
        <x:v>Real-time factor</x:v>
      </x:c>
      <x:c r="E21" s="411" t="str">
        <x:v>Simulation time divided by wall time during baseline suite.</x:v>
      </x:c>
      <x:c r="F21" s="411" t="str">
        <x:v>ratio</x:v>
      </x:c>
      <x:c r="G21" s="411" t="str">
        <x:v>Higher</x:v>
      </x:c>
      <x:c r="H21" s="411" t="n">
        <x:v>0.9</x:v>
      </x:c>
      <x:c r="I21" s="488"/>
      <x:c r="J21" s="488"/>
      <x:c r="K21" s="464" t="str">
        <x:f>IF(OR(I21="",J21=""),"",J21-I21)</x:f>
      </x:c>
      <x:c r="L21" s="464" t="str">
        <x:f>IF(J21="","Not Measured",IF(G21="Higher",IF(J21&gt;=H21,"Passed","Failed"),IF(G21="Lower",IF(J21&lt;=H21,"Passed","Failed"),"Review")))</x:f>
        <x:v>Not Measured</x:v>
      </x:c>
      <x:c r="M21" s="411" t="str">
        <x:v>Performance baseline</x:v>
      </x:c>
      <x:c r="N21" s="411" t="str">
        <x:v>F-PERF-001</x:v>
      </x:c>
      <x:c r="O21" s="460"/>
      <x:c r="P21" s="411" t="str">
        <x:v>Candidate minimum.</x:v>
      </x:c>
      <x:c r="Q21" s="411" t="str">
        <x:v>real_time_factor</x:v>
      </x:c>
      <x:c r="R21" s="373"/>
      <x:c r="S21" s="373"/>
      <x:c r="T21" s="373"/>
      <x:c r="U21" s="373"/>
      <x:c r="V21" s="373"/>
      <x:c r="W21" s="373"/>
      <x:c r="X21" s="373"/>
      <x:c r="Y21" s="373"/>
      <x:c r="Z21" s="373"/>
    </x:row>
    <x:row r="22">
      <x:c r="A22" s="411" t="str">
        <x:v>MET-018</x:v>
      </x:c>
      <x:c r="B22" s="411" t="str">
        <x:v>v0.2.0</x:v>
      </x:c>
      <x:c r="C22" s="411" t="str">
        <x:v>Traceability</x:v>
      </x:c>
      <x:c r="D22" s="411" t="str">
        <x:v>Requirement test coverage</x:v>
      </x:c>
      <x:c r="E22" s="411" t="str">
        <x:v>Release requirements with at least one linked test.</x:v>
      </x:c>
      <x:c r="F22" s="411" t="str">
        <x:v>%</x:v>
      </x:c>
      <x:c r="G22" s="411" t="str">
        <x:v>Higher</x:v>
      </x:c>
      <x:c r="H22" s="411" t="n">
        <x:v>100</x:v>
      </x:c>
      <x:c r="I22" s="488"/>
      <x:c r="J22" s="488"/>
      <x:c r="K22" s="464" t="str">
        <x:f>IF(OR(I22="",J22=""),"",J22-I22)</x:f>
      </x:c>
      <x:c r="L22" s="464" t="str">
        <x:f>IF(J22="","Not Measured",IF(G22="Higher",IF(J22&gt;=H22,"Passed","Failed"),IF(G22="Lower",IF(J22&lt;=H22,"Passed","Failed"),"Review")))</x:f>
        <x:v>Not Measured</x:v>
      </x:c>
      <x:c r="M22" s="411" t="str">
        <x:v>Requirements/Test_Cases</x:v>
      </x:c>
      <x:c r="N22" s="411" t="str">
        <x:v>F-TRACE-001</x:v>
      </x:c>
      <x:c r="O22" s="460"/>
      <x:c r="P22" s="411" t="str">
        <x:v>Must be 100%.</x:v>
      </x:c>
      <x:c r="Q22" s="411" t="str">
        <x:v>requirement_test_coverage_pct</x:v>
      </x:c>
      <x:c r="R22" s="373"/>
      <x:c r="S22" s="373"/>
      <x:c r="T22" s="373"/>
      <x:c r="U22" s="373"/>
      <x:c r="V22" s="373"/>
      <x:c r="W22" s="373"/>
      <x:c r="X22" s="373"/>
      <x:c r="Y22" s="373"/>
      <x:c r="Z22" s="373"/>
    </x:row>
    <x:row r="23">
      <x:c r="A23" s="411" t="str">
        <x:v>MET-019</x:v>
      </x:c>
      <x:c r="B23" s="411" t="str">
        <x:v>v0.2.0</x:v>
      </x:c>
      <x:c r="C23" s="411" t="str">
        <x:v>Quality</x:v>
      </x:c>
      <x:c r="D23" s="411" t="str">
        <x:v>Critical test pass rate</x:v>
      </x:c>
      <x:c r="E23" s="411" t="str">
        <x:v>Passed critical tests divided by executed critical tests.</x:v>
      </x:c>
      <x:c r="F23" s="411" t="str">
        <x:v>%</x:v>
      </x:c>
      <x:c r="G23" s="411" t="str">
        <x:v>Higher</x:v>
      </x:c>
      <x:c r="H23" s="411" t="n">
        <x:v>100</x:v>
      </x:c>
      <x:c r="I23" s="488"/>
      <x:c r="J23" s="488"/>
      <x:c r="K23" s="464" t="str">
        <x:f>IF(OR(I23="",J23=""),"",J23-I23)</x:f>
      </x:c>
      <x:c r="L23" s="464" t="str">
        <x:f>IF(J23="","Not Measured",IF(G23="Higher",IF(J23&gt;=H23,"Passed","Failed"),IF(G23="Lower",IF(J23&lt;=H23,"Passed","Failed"),"Review")))</x:f>
        <x:v>Not Measured</x:v>
      </x:c>
      <x:c r="M23" s="411" t="str">
        <x:v>Test_Cases</x:v>
      </x:c>
      <x:c r="N23" s="411" t="str">
        <x:v>F-REL-200</x:v>
      </x:c>
      <x:c r="O23" s="460"/>
      <x:c r="P23" s="411" t="str">
        <x:v>Must be 100% for release.</x:v>
      </x:c>
      <x:c r="Q23" s="411" t="str">
        <x:v>critical_test_pass_rate_pct</x:v>
      </x:c>
      <x:c r="R23" s="373"/>
      <x:c r="S23" s="373"/>
      <x:c r="T23" s="373"/>
      <x:c r="U23" s="373"/>
      <x:c r="V23" s="373"/>
      <x:c r="W23" s="373"/>
      <x:c r="X23" s="373"/>
      <x:c r="Y23" s="373"/>
      <x:c r="Z23" s="373"/>
    </x:row>
    <x:row r="24">
      <x:c r="A24" s="412" t="str">
        <x:v>MET-020</x:v>
      </x:c>
      <x:c r="B24" s="412" t="str">
        <x:v>v0.3.0</x:v>
      </x:c>
      <x:c r="C24" s="412" t="str">
        <x:v>Analytics</x:v>
      </x:c>
      <x:c r="D24" s="412" t="str">
        <x:v>Dashboard data-contract coverage</x:v>
      </x:c>
      <x:c r="E24" s="412" t="str">
        <x:v>Dashboard fields documented with source, key, type, and enum rules.</x:v>
      </x:c>
      <x:c r="F24" s="412" t="str">
        <x:v>%</x:v>
      </x:c>
      <x:c r="G24" s="412" t="str">
        <x:v>Higher</x:v>
      </x:c>
      <x:c r="H24" s="412" t="n">
        <x:v>100</x:v>
      </x:c>
      <x:c r="I24" s="489"/>
      <x:c r="J24" s="489"/>
      <x:c r="K24" s="465" t="str">
        <x:f>IF(OR(I24="",J24=""),"",J24-I24)</x:f>
      </x:c>
      <x:c r="L24" s="465" t="str">
        <x:f>IF(J24="","Not Measured",IF(G24="Higher",IF(J24&gt;=H24,"Passed","Failed"),IF(G24="Lower",IF(J24&lt;=H24,"Passed","Failed"),"Review")))</x:f>
        <x:v>Not Measured</x:v>
      </x:c>
      <x:c r="M24" s="412" t="str">
        <x:v>JS_Data_Map</x:v>
      </x:c>
      <x:c r="N24" s="412" t="str">
        <x:v>F-REL-300</x:v>
      </x:c>
      <x:c r="O24" s="461"/>
      <x:c r="P24" s="412" t="str">
        <x:v>Must be 100%.</x:v>
      </x:c>
      <x:c r="Q24" s="412" t="str">
        <x:v>dashboard_contract_coverage_pct</x:v>
      </x:c>
      <x:c r="R24" s="373"/>
      <x:c r="S24" s="373"/>
      <x:c r="T24" s="373"/>
      <x:c r="U24" s="373"/>
      <x:c r="V24" s="373"/>
      <x:c r="W24" s="373"/>
      <x:c r="X24" s="373"/>
      <x:c r="Y24" s="373"/>
      <x:c r="Z24" s="373"/>
    </x:row>
    <x:row r="25">
      <x:c r="A25" s="373"/>
      <x:c r="B25" s="373"/>
      <x:c r="C25" s="373"/>
      <x:c r="D25" s="373"/>
      <x:c r="E25" s="373"/>
      <x:c r="F25" s="373"/>
      <x:c r="G25" s="373"/>
      <x:c r="H25" s="373"/>
      <x:c r="I25" s="373"/>
      <x:c r="J25" s="373"/>
      <x:c r="K25" s="373"/>
      <x:c r="L25" s="373"/>
      <x:c r="M25" s="373"/>
      <x:c r="N25" s="373"/>
      <x:c r="O25" s="373"/>
      <x:c r="P25" s="373"/>
      <x:c r="Q25" s="373"/>
      <x:c r="R25" s="373"/>
      <x:c r="S25" s="373"/>
      <x:c r="T25" s="373"/>
      <x:c r="U25" s="373"/>
      <x:c r="V25" s="373"/>
      <x:c r="W25" s="373"/>
      <x:c r="X25" s="373"/>
      <x:c r="Y25" s="373"/>
      <x:c r="Z25" s="373"/>
    </x:row>
    <x:row r="26">
      <x:c r="A26" s="373"/>
      <x:c r="B26" s="373"/>
      <x:c r="C26" s="373"/>
      <x:c r="D26" s="373"/>
      <x:c r="E26" s="373"/>
      <x:c r="F26" s="373"/>
      <x:c r="G26" s="373"/>
      <x:c r="H26" s="373"/>
      <x:c r="I26" s="373"/>
      <x:c r="J26" s="373"/>
      <x:c r="K26" s="373"/>
      <x:c r="L26" s="373"/>
      <x:c r="M26" s="373"/>
      <x:c r="N26" s="373"/>
      <x:c r="O26" s="373"/>
      <x:c r="P26" s="373"/>
      <x:c r="Q26" s="373"/>
      <x:c r="R26" s="373"/>
      <x:c r="S26" s="373"/>
      <x:c r="T26" s="373"/>
      <x:c r="U26" s="373"/>
      <x:c r="V26" s="373"/>
      <x:c r="W26" s="373"/>
      <x:c r="X26" s="373"/>
      <x:c r="Y26" s="373"/>
      <x:c r="Z26" s="373"/>
    </x:row>
    <x:row r="27">
      <x:c r="A27" s="373"/>
      <x:c r="B27" s="373"/>
      <x:c r="C27" s="373"/>
      <x:c r="D27" s="373"/>
      <x:c r="E27" s="373"/>
      <x:c r="F27" s="373"/>
      <x:c r="G27" s="373"/>
      <x:c r="H27" s="373"/>
      <x:c r="I27" s="373"/>
      <x:c r="J27" s="373"/>
      <x:c r="K27" s="373"/>
      <x:c r="L27" s="373"/>
      <x:c r="M27" s="373"/>
      <x:c r="N27" s="373"/>
      <x:c r="O27" s="373"/>
      <x:c r="P27" s="373"/>
      <x:c r="Q27" s="373"/>
      <x:c r="R27" s="373"/>
      <x:c r="S27" s="373"/>
      <x:c r="T27" s="373"/>
      <x:c r="U27" s="373"/>
      <x:c r="V27" s="373"/>
      <x:c r="W27" s="373"/>
      <x:c r="X27" s="373"/>
      <x:c r="Y27" s="373"/>
      <x:c r="Z27" s="373"/>
    </x:row>
    <x:row r="28">
      <x:c r="A28" s="373"/>
      <x:c r="B28" s="373"/>
      <x:c r="C28" s="373"/>
      <x:c r="D28" s="373"/>
      <x:c r="E28" s="373"/>
      <x:c r="F28" s="373"/>
      <x:c r="G28" s="373"/>
      <x:c r="H28" s="373"/>
      <x:c r="I28" s="373"/>
      <x:c r="J28" s="373"/>
      <x:c r="K28" s="373"/>
      <x:c r="L28" s="373"/>
      <x:c r="M28" s="373"/>
      <x:c r="N28" s="373"/>
      <x:c r="O28" s="373"/>
      <x:c r="P28" s="373"/>
      <x:c r="Q28" s="373"/>
      <x:c r="R28" s="373"/>
      <x:c r="S28" s="373"/>
      <x:c r="T28" s="373"/>
      <x:c r="U28" s="373"/>
      <x:c r="V28" s="373"/>
      <x:c r="W28" s="373"/>
      <x:c r="X28" s="373"/>
      <x:c r="Y28" s="373"/>
      <x:c r="Z28" s="373"/>
    </x:row>
    <x:row r="29">
      <x:c r="A29" s="373"/>
      <x:c r="B29" s="373"/>
      <x:c r="C29" s="373"/>
      <x:c r="D29" s="373"/>
      <x:c r="E29" s="373"/>
      <x:c r="F29" s="373"/>
      <x:c r="G29" s="373"/>
      <x:c r="H29" s="373"/>
      <x:c r="I29" s="373"/>
      <x:c r="J29" s="373"/>
      <x:c r="K29" s="373"/>
      <x:c r="L29" s="373"/>
      <x:c r="M29" s="373"/>
      <x:c r="N29" s="373"/>
      <x:c r="O29" s="373"/>
      <x:c r="P29" s="373"/>
      <x:c r="Q29" s="373"/>
      <x:c r="R29" s="373"/>
      <x:c r="S29" s="373"/>
      <x:c r="T29" s="373"/>
      <x:c r="U29" s="373"/>
      <x:c r="V29" s="373"/>
      <x:c r="W29" s="373"/>
      <x:c r="X29" s="373"/>
      <x:c r="Y29" s="373"/>
      <x:c r="Z29" s="373"/>
    </x:row>
    <x:row r="30">
      <x:c r="A30" s="373"/>
      <x:c r="B30" s="373"/>
      <x:c r="C30" s="373"/>
      <x:c r="D30" s="373"/>
      <x:c r="E30" s="373"/>
      <x:c r="F30" s="373"/>
      <x:c r="G30" s="373"/>
      <x:c r="H30" s="373"/>
      <x:c r="I30" s="373"/>
      <x:c r="J30" s="373"/>
      <x:c r="K30" s="373"/>
      <x:c r="L30" s="373"/>
      <x:c r="M30" s="373"/>
      <x:c r="N30" s="373"/>
      <x:c r="O30" s="373"/>
      <x:c r="P30" s="373"/>
      <x:c r="Q30" s="373"/>
      <x:c r="R30" s="373"/>
      <x:c r="S30" s="373"/>
      <x:c r="T30" s="373"/>
      <x:c r="U30" s="373"/>
      <x:c r="V30" s="373"/>
      <x:c r="W30" s="373"/>
      <x:c r="X30" s="373"/>
      <x:c r="Y30" s="373"/>
      <x:c r="Z30" s="373"/>
    </x:row>
    <x:row r="31">
      <x:c r="A31" s="373"/>
      <x:c r="B31" s="373"/>
      <x:c r="C31" s="373"/>
      <x:c r="D31" s="373"/>
      <x:c r="E31" s="373"/>
      <x:c r="F31" s="373"/>
      <x:c r="G31" s="373"/>
      <x:c r="H31" s="373"/>
      <x:c r="I31" s="373"/>
      <x:c r="J31" s="373"/>
      <x:c r="K31" s="373"/>
      <x:c r="L31" s="373"/>
      <x:c r="M31" s="373"/>
      <x:c r="N31" s="373"/>
      <x:c r="O31" s="373"/>
      <x:c r="P31" s="373"/>
      <x:c r="Q31" s="373"/>
      <x:c r="R31" s="373"/>
      <x:c r="S31" s="373"/>
      <x:c r="T31" s="373"/>
      <x:c r="U31" s="373"/>
      <x:c r="V31" s="373"/>
      <x:c r="W31" s="373"/>
      <x:c r="X31" s="373"/>
      <x:c r="Y31" s="373"/>
      <x:c r="Z31" s="373"/>
    </x:row>
    <x:row r="32">
      <x:c r="A32" s="373"/>
      <x:c r="B32" s="373"/>
      <x:c r="C32" s="373"/>
      <x:c r="D32" s="373"/>
      <x:c r="E32" s="373"/>
      <x:c r="F32" s="373"/>
      <x:c r="G32" s="373"/>
      <x:c r="H32" s="373"/>
      <x:c r="I32" s="373"/>
      <x:c r="J32" s="373"/>
      <x:c r="K32" s="373"/>
      <x:c r="L32" s="373"/>
      <x:c r="M32" s="373"/>
      <x:c r="N32" s="373"/>
      <x:c r="O32" s="373"/>
      <x:c r="P32" s="373"/>
      <x:c r="Q32" s="373"/>
      <x:c r="R32" s="373"/>
      <x:c r="S32" s="373"/>
      <x:c r="T32" s="373"/>
      <x:c r="U32" s="373"/>
      <x:c r="V32" s="373"/>
      <x:c r="W32" s="373"/>
      <x:c r="X32" s="373"/>
      <x:c r="Y32" s="373"/>
      <x:c r="Z32" s="373"/>
    </x:row>
    <x:row r="33">
      <x:c r="A33" s="373"/>
      <x:c r="B33" s="373"/>
      <x:c r="C33" s="373"/>
      <x:c r="D33" s="373"/>
      <x:c r="E33" s="373"/>
      <x:c r="F33" s="373"/>
      <x:c r="G33" s="373"/>
      <x:c r="H33" s="373"/>
      <x:c r="I33" s="373"/>
      <x:c r="J33" s="373"/>
      <x:c r="K33" s="373"/>
      <x:c r="L33" s="373"/>
      <x:c r="M33" s="373"/>
      <x:c r="N33" s="373"/>
      <x:c r="O33" s="373"/>
      <x:c r="P33" s="373"/>
      <x:c r="Q33" s="373"/>
      <x:c r="R33" s="373"/>
      <x:c r="S33" s="373"/>
      <x:c r="T33" s="373"/>
      <x:c r="U33" s="373"/>
      <x:c r="V33" s="373"/>
      <x:c r="W33" s="373"/>
      <x:c r="X33" s="373"/>
      <x:c r="Y33" s="373"/>
      <x:c r="Z33" s="373"/>
    </x:row>
    <x:row r="34">
      <x:c r="A34" s="373"/>
      <x:c r="B34" s="373"/>
      <x:c r="C34" s="373"/>
      <x:c r="D34" s="373"/>
      <x:c r="E34" s="373"/>
      <x:c r="F34" s="373"/>
      <x:c r="G34" s="373"/>
      <x:c r="H34" s="373"/>
      <x:c r="I34" s="373"/>
      <x:c r="J34" s="373"/>
      <x:c r="K34" s="373"/>
      <x:c r="L34" s="373"/>
      <x:c r="M34" s="373"/>
      <x:c r="N34" s="373"/>
      <x:c r="O34" s="373"/>
      <x:c r="P34" s="373"/>
      <x:c r="Q34" s="373"/>
      <x:c r="R34" s="373"/>
      <x:c r="S34" s="373"/>
      <x:c r="T34" s="373"/>
      <x:c r="U34" s="373"/>
      <x:c r="V34" s="373"/>
      <x:c r="W34" s="373"/>
      <x:c r="X34" s="373"/>
      <x:c r="Y34" s="373"/>
      <x:c r="Z34" s="373"/>
    </x:row>
    <x:row r="35">
      <x:c r="A35" s="373"/>
      <x:c r="B35" s="373"/>
      <x:c r="C35" s="373"/>
      <x:c r="D35" s="373"/>
      <x:c r="E35" s="373"/>
      <x:c r="F35" s="373"/>
      <x:c r="G35" s="373"/>
      <x:c r="H35" s="373"/>
      <x:c r="I35" s="373"/>
      <x:c r="J35" s="373"/>
      <x:c r="K35" s="373"/>
      <x:c r="L35" s="373"/>
      <x:c r="M35" s="373"/>
      <x:c r="N35" s="373"/>
      <x:c r="O35" s="373"/>
      <x:c r="P35" s="373"/>
      <x:c r="Q35" s="373"/>
      <x:c r="R35" s="373"/>
      <x:c r="S35" s="373"/>
      <x:c r="T35" s="373"/>
      <x:c r="U35" s="373"/>
      <x:c r="V35" s="373"/>
      <x:c r="W35" s="373"/>
      <x:c r="X35" s="373"/>
      <x:c r="Y35" s="373"/>
      <x:c r="Z35" s="373"/>
    </x:row>
    <x:row r="36">
      <x:c r="A36" s="373"/>
      <x:c r="B36" s="373"/>
      <x:c r="C36" s="373"/>
      <x:c r="D36" s="373"/>
      <x:c r="E36" s="373"/>
      <x:c r="F36" s="373"/>
      <x:c r="G36" s="373"/>
      <x:c r="H36" s="373"/>
      <x:c r="I36" s="373"/>
      <x:c r="J36" s="373"/>
      <x:c r="K36" s="373"/>
      <x:c r="L36" s="373"/>
      <x:c r="M36" s="373"/>
      <x:c r="N36" s="373"/>
      <x:c r="O36" s="373"/>
      <x:c r="P36" s="373"/>
      <x:c r="Q36" s="373"/>
      <x:c r="R36" s="373"/>
      <x:c r="S36" s="373"/>
      <x:c r="T36" s="373"/>
      <x:c r="U36" s="373"/>
      <x:c r="V36" s="373"/>
      <x:c r="W36" s="373"/>
      <x:c r="X36" s="373"/>
      <x:c r="Y36" s="373"/>
      <x:c r="Z36" s="373"/>
    </x:row>
    <x:row r="37">
      <x:c r="A37" s="373"/>
      <x:c r="B37" s="373"/>
      <x:c r="C37" s="373"/>
      <x:c r="D37" s="373"/>
      <x:c r="E37" s="373"/>
      <x:c r="F37" s="373"/>
      <x:c r="G37" s="373"/>
      <x:c r="H37" s="373"/>
      <x:c r="I37" s="373"/>
      <x:c r="J37" s="373"/>
      <x:c r="K37" s="373"/>
      <x:c r="L37" s="373"/>
      <x:c r="M37" s="373"/>
      <x:c r="N37" s="373"/>
      <x:c r="O37" s="373"/>
      <x:c r="P37" s="373"/>
      <x:c r="Q37" s="373"/>
      <x:c r="R37" s="373"/>
      <x:c r="S37" s="373"/>
      <x:c r="T37" s="373"/>
      <x:c r="U37" s="373"/>
      <x:c r="V37" s="373"/>
      <x:c r="W37" s="373"/>
      <x:c r="X37" s="373"/>
      <x:c r="Y37" s="373"/>
      <x:c r="Z37" s="373"/>
    </x:row>
    <x:row r="38">
      <x:c r="A38" s="373"/>
      <x:c r="B38" s="373"/>
      <x:c r="C38" s="373"/>
      <x:c r="D38" s="373"/>
      <x:c r="E38" s="373"/>
      <x:c r="F38" s="373"/>
      <x:c r="G38" s="373"/>
      <x:c r="H38" s="373"/>
      <x:c r="I38" s="373"/>
      <x:c r="J38" s="373"/>
      <x:c r="K38" s="373"/>
      <x:c r="L38" s="373"/>
      <x:c r="M38" s="373"/>
      <x:c r="N38" s="373"/>
      <x:c r="O38" s="373"/>
      <x:c r="P38" s="373"/>
      <x:c r="Q38" s="373"/>
      <x:c r="R38" s="373"/>
      <x:c r="S38" s="373"/>
      <x:c r="T38" s="373"/>
      <x:c r="U38" s="373"/>
      <x:c r="V38" s="373"/>
      <x:c r="W38" s="373"/>
      <x:c r="X38" s="373"/>
      <x:c r="Y38" s="373"/>
      <x:c r="Z38" s="373"/>
    </x:row>
    <x:row r="39">
      <x:c r="A39" s="373"/>
      <x:c r="B39" s="373"/>
      <x:c r="C39" s="373"/>
      <x:c r="D39" s="373"/>
      <x:c r="E39" s="373"/>
      <x:c r="F39" s="373"/>
      <x:c r="G39" s="373"/>
      <x:c r="H39" s="373"/>
      <x:c r="I39" s="373"/>
      <x:c r="J39" s="373"/>
      <x:c r="K39" s="373"/>
      <x:c r="L39" s="373"/>
      <x:c r="M39" s="373"/>
      <x:c r="N39" s="373"/>
      <x:c r="O39" s="373"/>
      <x:c r="P39" s="373"/>
      <x:c r="Q39" s="373"/>
      <x:c r="R39" s="373"/>
      <x:c r="S39" s="373"/>
      <x:c r="T39" s="373"/>
      <x:c r="U39" s="373"/>
      <x:c r="V39" s="373"/>
      <x:c r="W39" s="373"/>
      <x:c r="X39" s="373"/>
      <x:c r="Y39" s="373"/>
      <x:c r="Z39" s="373"/>
    </x:row>
    <x:row r="40">
      <x:c r="A40" s="373"/>
      <x:c r="B40" s="373"/>
      <x:c r="C40" s="373"/>
      <x:c r="D40" s="373"/>
      <x:c r="E40" s="373"/>
      <x:c r="F40" s="373"/>
      <x:c r="G40" s="373"/>
      <x:c r="H40" s="373"/>
      <x:c r="I40" s="373"/>
      <x:c r="J40" s="373"/>
      <x:c r="K40" s="373"/>
      <x:c r="L40" s="373"/>
      <x:c r="M40" s="373"/>
      <x:c r="N40" s="373"/>
      <x:c r="O40" s="373"/>
      <x:c r="P40" s="373"/>
      <x:c r="Q40" s="373"/>
      <x:c r="R40" s="373"/>
      <x:c r="S40" s="373"/>
      <x:c r="T40" s="373"/>
      <x:c r="U40" s="373"/>
      <x:c r="V40" s="373"/>
      <x:c r="W40" s="373"/>
      <x:c r="X40" s="373"/>
      <x:c r="Y40" s="373"/>
      <x:c r="Z40" s="373"/>
    </x:row>
    <x:row r="41">
      <x:c r="A41" s="373"/>
      <x:c r="B41" s="373"/>
      <x:c r="C41" s="373"/>
      <x:c r="D41" s="373"/>
      <x:c r="E41" s="373"/>
      <x:c r="F41" s="373"/>
      <x:c r="G41" s="373"/>
      <x:c r="H41" s="373"/>
      <x:c r="I41" s="373"/>
      <x:c r="J41" s="373"/>
      <x:c r="K41" s="373"/>
      <x:c r="L41" s="373"/>
      <x:c r="M41" s="373"/>
      <x:c r="N41" s="373"/>
      <x:c r="O41" s="373"/>
      <x:c r="P41" s="373"/>
      <x:c r="Q41" s="373"/>
      <x:c r="R41" s="373"/>
      <x:c r="S41" s="373"/>
      <x:c r="T41" s="373"/>
      <x:c r="U41" s="373"/>
      <x:c r="V41" s="373"/>
      <x:c r="W41" s="373"/>
      <x:c r="X41" s="373"/>
      <x:c r="Y41" s="373"/>
      <x:c r="Z41" s="373"/>
    </x:row>
    <x:row r="42">
      <x:c r="A42" s="373"/>
      <x:c r="B42" s="373"/>
      <x:c r="C42" s="373"/>
      <x:c r="D42" s="373"/>
      <x:c r="E42" s="373"/>
      <x:c r="F42" s="373"/>
      <x:c r="G42" s="373"/>
      <x:c r="H42" s="373"/>
      <x:c r="I42" s="373"/>
      <x:c r="J42" s="373"/>
      <x:c r="K42" s="373"/>
      <x:c r="L42" s="373"/>
      <x:c r="M42" s="373"/>
      <x:c r="N42" s="373"/>
      <x:c r="O42" s="373"/>
      <x:c r="P42" s="373"/>
      <x:c r="Q42" s="373"/>
      <x:c r="R42" s="373"/>
      <x:c r="S42" s="373"/>
      <x:c r="T42" s="373"/>
      <x:c r="U42" s="373"/>
      <x:c r="V42" s="373"/>
      <x:c r="W42" s="373"/>
      <x:c r="X42" s="373"/>
      <x:c r="Y42" s="373"/>
      <x:c r="Z42" s="373"/>
    </x:row>
    <x:row r="43">
      <x:c r="A43" s="373"/>
      <x:c r="B43" s="373"/>
      <x:c r="C43" s="373"/>
      <x:c r="D43" s="373"/>
      <x:c r="E43" s="373"/>
      <x:c r="F43" s="373"/>
      <x:c r="G43" s="373"/>
      <x:c r="H43" s="373"/>
      <x:c r="I43" s="373"/>
      <x:c r="J43" s="373"/>
      <x:c r="K43" s="373"/>
      <x:c r="L43" s="373"/>
      <x:c r="M43" s="373"/>
      <x:c r="N43" s="373"/>
      <x:c r="O43" s="373"/>
      <x:c r="P43" s="373"/>
      <x:c r="Q43" s="373"/>
      <x:c r="R43" s="373"/>
      <x:c r="S43" s="373"/>
      <x:c r="T43" s="373"/>
      <x:c r="U43" s="373"/>
      <x:c r="V43" s="373"/>
      <x:c r="W43" s="373"/>
      <x:c r="X43" s="373"/>
      <x:c r="Y43" s="373"/>
      <x:c r="Z43" s="373"/>
    </x:row>
    <x:row r="44">
      <x:c r="A44" s="373"/>
      <x:c r="B44" s="373"/>
      <x:c r="C44" s="373"/>
      <x:c r="D44" s="373"/>
      <x:c r="E44" s="373"/>
      <x:c r="F44" s="373"/>
      <x:c r="G44" s="373"/>
      <x:c r="H44" s="373"/>
      <x:c r="I44" s="373"/>
      <x:c r="J44" s="373"/>
      <x:c r="K44" s="373"/>
      <x:c r="L44" s="373"/>
      <x:c r="M44" s="373"/>
      <x:c r="N44" s="373"/>
      <x:c r="O44" s="373"/>
      <x:c r="P44" s="373"/>
      <x:c r="Q44" s="373"/>
      <x:c r="R44" s="373"/>
      <x:c r="S44" s="373"/>
      <x:c r="T44" s="373"/>
      <x:c r="U44" s="373"/>
      <x:c r="V44" s="373"/>
      <x:c r="W44" s="373"/>
      <x:c r="X44" s="373"/>
      <x:c r="Y44" s="373"/>
      <x:c r="Z44" s="373"/>
    </x:row>
    <x:row r="45">
      <x:c r="A45" s="373"/>
      <x:c r="B45" s="373"/>
      <x:c r="C45" s="373"/>
      <x:c r="D45" s="373"/>
      <x:c r="E45" s="373"/>
      <x:c r="F45" s="373"/>
      <x:c r="G45" s="373"/>
      <x:c r="H45" s="373"/>
      <x:c r="I45" s="373"/>
      <x:c r="J45" s="373"/>
      <x:c r="K45" s="373"/>
      <x:c r="L45" s="373"/>
      <x:c r="M45" s="373"/>
      <x:c r="N45" s="373"/>
      <x:c r="O45" s="373"/>
      <x:c r="P45" s="373"/>
      <x:c r="Q45" s="373"/>
      <x:c r="R45" s="373"/>
      <x:c r="S45" s="373"/>
      <x:c r="T45" s="373"/>
      <x:c r="U45" s="373"/>
      <x:c r="V45" s="373"/>
      <x:c r="W45" s="373"/>
      <x:c r="X45" s="373"/>
      <x:c r="Y45" s="373"/>
      <x:c r="Z45" s="373"/>
    </x:row>
    <x:row r="46">
      <x:c r="A46" s="373"/>
      <x:c r="B46" s="373"/>
      <x:c r="C46" s="373"/>
      <x:c r="D46" s="373"/>
      <x:c r="E46" s="373"/>
      <x:c r="F46" s="373"/>
      <x:c r="G46" s="373"/>
      <x:c r="H46" s="373"/>
      <x:c r="I46" s="373"/>
      <x:c r="J46" s="373"/>
      <x:c r="K46" s="373"/>
      <x:c r="L46" s="373"/>
      <x:c r="M46" s="373"/>
      <x:c r="N46" s="373"/>
      <x:c r="O46" s="373"/>
      <x:c r="P46" s="373"/>
      <x:c r="Q46" s="373"/>
      <x:c r="R46" s="373"/>
      <x:c r="S46" s="373"/>
      <x:c r="T46" s="373"/>
      <x:c r="U46" s="373"/>
      <x:c r="V46" s="373"/>
      <x:c r="W46" s="373"/>
      <x:c r="X46" s="373"/>
      <x:c r="Y46" s="373"/>
      <x:c r="Z46" s="373"/>
    </x:row>
    <x:row r="47">
      <x:c r="A47" s="373"/>
      <x:c r="B47" s="373"/>
      <x:c r="C47" s="373"/>
      <x:c r="D47" s="373"/>
      <x:c r="E47" s="373"/>
      <x:c r="F47" s="373"/>
      <x:c r="G47" s="373"/>
      <x:c r="H47" s="373"/>
      <x:c r="I47" s="373"/>
      <x:c r="J47" s="373"/>
      <x:c r="K47" s="373"/>
      <x:c r="L47" s="373"/>
      <x:c r="M47" s="373"/>
      <x:c r="N47" s="373"/>
      <x:c r="O47" s="373"/>
      <x:c r="P47" s="373"/>
      <x:c r="Q47" s="373"/>
      <x:c r="R47" s="373"/>
      <x:c r="S47" s="373"/>
      <x:c r="T47" s="373"/>
      <x:c r="U47" s="373"/>
      <x:c r="V47" s="373"/>
      <x:c r="W47" s="373"/>
      <x:c r="X47" s="373"/>
      <x:c r="Y47" s="373"/>
      <x:c r="Z47" s="373"/>
    </x:row>
    <x:row r="48">
      <x:c r="A48" s="373"/>
      <x:c r="B48" s="373"/>
      <x:c r="C48" s="373"/>
      <x:c r="D48" s="373"/>
      <x:c r="E48" s="373"/>
      <x:c r="F48" s="373"/>
      <x:c r="G48" s="373"/>
      <x:c r="H48" s="373"/>
      <x:c r="I48" s="373"/>
      <x:c r="J48" s="373"/>
      <x:c r="K48" s="373"/>
      <x:c r="L48" s="373"/>
      <x:c r="M48" s="373"/>
      <x:c r="N48" s="373"/>
      <x:c r="O48" s="373"/>
      <x:c r="P48" s="373"/>
      <x:c r="Q48" s="373"/>
      <x:c r="R48" s="373"/>
      <x:c r="S48" s="373"/>
      <x:c r="T48" s="373"/>
      <x:c r="U48" s="373"/>
      <x:c r="V48" s="373"/>
      <x:c r="W48" s="373"/>
      <x:c r="X48" s="373"/>
      <x:c r="Y48" s="373"/>
      <x:c r="Z48" s="373"/>
    </x:row>
    <x:row r="49">
      <x:c r="A49" s="373"/>
      <x:c r="B49" s="373"/>
      <x:c r="C49" s="373"/>
      <x:c r="D49" s="373"/>
      <x:c r="E49" s="373"/>
      <x:c r="F49" s="373"/>
      <x:c r="G49" s="373"/>
      <x:c r="H49" s="373"/>
      <x:c r="I49" s="373"/>
      <x:c r="J49" s="373"/>
      <x:c r="K49" s="373"/>
      <x:c r="L49" s="373"/>
      <x:c r="M49" s="373"/>
      <x:c r="N49" s="373"/>
      <x:c r="O49" s="373"/>
      <x:c r="P49" s="373"/>
      <x:c r="Q49" s="373"/>
      <x:c r="R49" s="373"/>
      <x:c r="S49" s="373"/>
      <x:c r="T49" s="373"/>
      <x:c r="U49" s="373"/>
      <x:c r="V49" s="373"/>
      <x:c r="W49" s="373"/>
      <x:c r="X49" s="373"/>
      <x:c r="Y49" s="373"/>
      <x:c r="Z49" s="373"/>
    </x:row>
    <x:row r="50">
      <x:c r="A50" s="373"/>
      <x:c r="B50" s="373"/>
      <x:c r="C50" s="373"/>
      <x:c r="D50" s="373"/>
      <x:c r="E50" s="373"/>
      <x:c r="F50" s="373"/>
      <x:c r="G50" s="373"/>
      <x:c r="H50" s="373"/>
      <x:c r="I50" s="373"/>
      <x:c r="J50" s="373"/>
      <x:c r="K50" s="373"/>
      <x:c r="L50" s="373"/>
      <x:c r="M50" s="373"/>
      <x:c r="N50" s="373"/>
      <x:c r="O50" s="373"/>
      <x:c r="P50" s="373"/>
      <x:c r="Q50" s="373"/>
      <x:c r="R50" s="373"/>
      <x:c r="S50" s="373"/>
      <x:c r="T50" s="373"/>
      <x:c r="U50" s="373"/>
      <x:c r="V50" s="373"/>
      <x:c r="W50" s="373"/>
      <x:c r="X50" s="373"/>
      <x:c r="Y50" s="373"/>
      <x:c r="Z50" s="373"/>
    </x:row>
    <x:row r="51">
      <x:c r="A51" s="373"/>
      <x:c r="B51" s="373"/>
      <x:c r="C51" s="373"/>
      <x:c r="D51" s="373"/>
      <x:c r="E51" s="373"/>
      <x:c r="F51" s="373"/>
      <x:c r="G51" s="373"/>
      <x:c r="H51" s="373"/>
      <x:c r="I51" s="373"/>
      <x:c r="J51" s="373"/>
      <x:c r="K51" s="373"/>
      <x:c r="L51" s="373"/>
      <x:c r="M51" s="373"/>
      <x:c r="N51" s="373"/>
      <x:c r="O51" s="373"/>
      <x:c r="P51" s="373"/>
      <x:c r="Q51" s="373"/>
      <x:c r="R51" s="373"/>
      <x:c r="S51" s="373"/>
      <x:c r="T51" s="373"/>
      <x:c r="U51" s="373"/>
      <x:c r="V51" s="373"/>
      <x:c r="W51" s="373"/>
      <x:c r="X51" s="373"/>
      <x:c r="Y51" s="373"/>
      <x:c r="Z51" s="373"/>
    </x:row>
    <x:row r="52">
      <x:c r="A52" s="373"/>
      <x:c r="B52" s="373"/>
      <x:c r="C52" s="373"/>
      <x:c r="D52" s="373"/>
      <x:c r="E52" s="373"/>
      <x:c r="F52" s="373"/>
      <x:c r="G52" s="373"/>
      <x:c r="H52" s="373"/>
      <x:c r="I52" s="373"/>
      <x:c r="J52" s="373"/>
      <x:c r="K52" s="373"/>
      <x:c r="L52" s="373"/>
      <x:c r="M52" s="373"/>
      <x:c r="N52" s="373"/>
      <x:c r="O52" s="373"/>
      <x:c r="P52" s="373"/>
      <x:c r="Q52" s="373"/>
      <x:c r="R52" s="373"/>
      <x:c r="S52" s="373"/>
      <x:c r="T52" s="373"/>
      <x:c r="U52" s="373"/>
      <x:c r="V52" s="373"/>
      <x:c r="W52" s="373"/>
      <x:c r="X52" s="373"/>
      <x:c r="Y52" s="373"/>
      <x:c r="Z52" s="373"/>
    </x:row>
    <x:row r="53">
      <x:c r="A53" s="373"/>
      <x:c r="B53" s="373"/>
      <x:c r="C53" s="373"/>
      <x:c r="D53" s="373"/>
      <x:c r="E53" s="373"/>
      <x:c r="F53" s="373"/>
      <x:c r="G53" s="373"/>
      <x:c r="H53" s="373"/>
      <x:c r="I53" s="373"/>
      <x:c r="J53" s="373"/>
      <x:c r="K53" s="373"/>
      <x:c r="L53" s="373"/>
      <x:c r="M53" s="373"/>
      <x:c r="N53" s="373"/>
      <x:c r="O53" s="373"/>
      <x:c r="P53" s="373"/>
      <x:c r="Q53" s="373"/>
      <x:c r="R53" s="373"/>
      <x:c r="S53" s="373"/>
      <x:c r="T53" s="373"/>
      <x:c r="U53" s="373"/>
      <x:c r="V53" s="373"/>
      <x:c r="W53" s="373"/>
      <x:c r="X53" s="373"/>
      <x:c r="Y53" s="373"/>
      <x:c r="Z53" s="373"/>
    </x:row>
    <x:row r="54">
      <x:c r="A54" s="373"/>
      <x:c r="B54" s="373"/>
      <x:c r="C54" s="373"/>
      <x:c r="D54" s="373"/>
      <x:c r="E54" s="373"/>
      <x:c r="F54" s="373"/>
      <x:c r="G54" s="373"/>
      <x:c r="H54" s="373"/>
      <x:c r="I54" s="373"/>
      <x:c r="J54" s="373"/>
      <x:c r="K54" s="373"/>
      <x:c r="L54" s="373"/>
      <x:c r="M54" s="373"/>
      <x:c r="N54" s="373"/>
      <x:c r="O54" s="373"/>
      <x:c r="P54" s="373"/>
      <x:c r="Q54" s="373"/>
      <x:c r="R54" s="373"/>
      <x:c r="S54" s="373"/>
      <x:c r="T54" s="373"/>
      <x:c r="U54" s="373"/>
      <x:c r="V54" s="373"/>
      <x:c r="W54" s="373"/>
      <x:c r="X54" s="373"/>
      <x:c r="Y54" s="373"/>
      <x:c r="Z54" s="373"/>
    </x:row>
    <x:row r="55">
      <x:c r="A55" s="373"/>
      <x:c r="B55" s="373"/>
      <x:c r="C55" s="373"/>
      <x:c r="D55" s="373"/>
      <x:c r="E55" s="373"/>
      <x:c r="F55" s="373"/>
      <x:c r="G55" s="373"/>
      <x:c r="H55" s="373"/>
      <x:c r="I55" s="373"/>
      <x:c r="J55" s="373"/>
      <x:c r="K55" s="373"/>
      <x:c r="L55" s="373"/>
      <x:c r="M55" s="373"/>
      <x:c r="N55" s="373"/>
      <x:c r="O55" s="373"/>
      <x:c r="P55" s="373"/>
      <x:c r="Q55" s="373"/>
      <x:c r="R55" s="373"/>
      <x:c r="S55" s="373"/>
      <x:c r="T55" s="373"/>
      <x:c r="U55" s="373"/>
      <x:c r="V55" s="373"/>
      <x:c r="W55" s="373"/>
      <x:c r="X55" s="373"/>
      <x:c r="Y55" s="373"/>
      <x:c r="Z55" s="373"/>
    </x:row>
    <x:row r="56">
      <x:c r="A56" s="373"/>
      <x:c r="B56" s="373"/>
      <x:c r="C56" s="373"/>
      <x:c r="D56" s="373"/>
      <x:c r="E56" s="373"/>
      <x:c r="F56" s="373"/>
      <x:c r="G56" s="373"/>
      <x:c r="H56" s="373"/>
      <x:c r="I56" s="373"/>
      <x:c r="J56" s="373"/>
      <x:c r="K56" s="373"/>
      <x:c r="L56" s="373"/>
      <x:c r="M56" s="373"/>
      <x:c r="N56" s="373"/>
      <x:c r="O56" s="373"/>
      <x:c r="P56" s="373"/>
      <x:c r="Q56" s="373"/>
      <x:c r="R56" s="373"/>
      <x:c r="S56" s="373"/>
      <x:c r="T56" s="373"/>
      <x:c r="U56" s="373"/>
      <x:c r="V56" s="373"/>
      <x:c r="W56" s="373"/>
      <x:c r="X56" s="373"/>
      <x:c r="Y56" s="373"/>
      <x:c r="Z56" s="373"/>
    </x:row>
    <x:row r="57">
      <x:c r="A57" s="373"/>
      <x:c r="B57" s="373"/>
      <x:c r="C57" s="373"/>
      <x:c r="D57" s="373"/>
      <x:c r="E57" s="373"/>
      <x:c r="F57" s="373"/>
      <x:c r="G57" s="373"/>
      <x:c r="H57" s="373"/>
      <x:c r="I57" s="373"/>
      <x:c r="J57" s="373"/>
      <x:c r="K57" s="373"/>
      <x:c r="L57" s="373"/>
      <x:c r="M57" s="373"/>
      <x:c r="N57" s="373"/>
      <x:c r="O57" s="373"/>
      <x:c r="P57" s="373"/>
      <x:c r="Q57" s="373"/>
      <x:c r="R57" s="373"/>
      <x:c r="S57" s="373"/>
      <x:c r="T57" s="373"/>
      <x:c r="U57" s="373"/>
      <x:c r="V57" s="373"/>
      <x:c r="W57" s="373"/>
      <x:c r="X57" s="373"/>
      <x:c r="Y57" s="373"/>
      <x:c r="Z57" s="373"/>
    </x:row>
    <x:row r="58">
      <x:c r="A58" s="373"/>
      <x:c r="B58" s="373"/>
      <x:c r="C58" s="373"/>
      <x:c r="D58" s="373"/>
      <x:c r="E58" s="373"/>
      <x:c r="F58" s="373"/>
      <x:c r="G58" s="373"/>
      <x:c r="H58" s="373"/>
      <x:c r="I58" s="373"/>
      <x:c r="J58" s="373"/>
      <x:c r="K58" s="373"/>
      <x:c r="L58" s="373"/>
      <x:c r="M58" s="373"/>
      <x:c r="N58" s="373"/>
      <x:c r="O58" s="373"/>
      <x:c r="P58" s="373"/>
      <x:c r="Q58" s="373"/>
      <x:c r="R58" s="373"/>
      <x:c r="S58" s="373"/>
      <x:c r="T58" s="373"/>
      <x:c r="U58" s="373"/>
      <x:c r="V58" s="373"/>
      <x:c r="W58" s="373"/>
      <x:c r="X58" s="373"/>
      <x:c r="Y58" s="373"/>
      <x:c r="Z58" s="373"/>
    </x:row>
    <x:row r="59">
      <x:c r="A59" s="373"/>
      <x:c r="B59" s="373"/>
      <x:c r="C59" s="373"/>
      <x:c r="D59" s="373"/>
      <x:c r="E59" s="373"/>
      <x:c r="F59" s="373"/>
      <x:c r="G59" s="373"/>
      <x:c r="H59" s="373"/>
      <x:c r="I59" s="373"/>
      <x:c r="J59" s="373"/>
      <x:c r="K59" s="373"/>
      <x:c r="L59" s="373"/>
      <x:c r="M59" s="373"/>
      <x:c r="N59" s="373"/>
      <x:c r="O59" s="373"/>
      <x:c r="P59" s="373"/>
      <x:c r="Q59" s="373"/>
      <x:c r="R59" s="373"/>
      <x:c r="S59" s="373"/>
      <x:c r="T59" s="373"/>
      <x:c r="U59" s="373"/>
      <x:c r="V59" s="373"/>
      <x:c r="W59" s="373"/>
      <x:c r="X59" s="373"/>
      <x:c r="Y59" s="373"/>
      <x:c r="Z59" s="373"/>
    </x:row>
    <x:row r="60">
      <x:c r="A60" s="373"/>
      <x:c r="B60" s="373"/>
      <x:c r="C60" s="373"/>
      <x:c r="D60" s="373"/>
      <x:c r="E60" s="373"/>
      <x:c r="F60" s="373"/>
      <x:c r="G60" s="373"/>
      <x:c r="H60" s="373"/>
      <x:c r="I60" s="373"/>
      <x:c r="J60" s="373"/>
      <x:c r="K60" s="373"/>
      <x:c r="L60" s="373"/>
      <x:c r="M60" s="373"/>
      <x:c r="N60" s="373"/>
      <x:c r="O60" s="373"/>
      <x:c r="P60" s="373"/>
      <x:c r="Q60" s="373"/>
      <x:c r="R60" s="373"/>
      <x:c r="S60" s="373"/>
      <x:c r="T60" s="373"/>
      <x:c r="U60" s="373"/>
      <x:c r="V60" s="373"/>
      <x:c r="W60" s="373"/>
      <x:c r="X60" s="373"/>
      <x:c r="Y60" s="373"/>
      <x:c r="Z60" s="373"/>
    </x:row>
    <x:row r="61">
      <x:c r="A61" s="373"/>
      <x:c r="B61" s="373"/>
      <x:c r="C61" s="373"/>
      <x:c r="D61" s="373"/>
      <x:c r="E61" s="373"/>
      <x:c r="F61" s="373"/>
      <x:c r="G61" s="373"/>
      <x:c r="H61" s="373"/>
      <x:c r="I61" s="373"/>
      <x:c r="J61" s="373"/>
      <x:c r="K61" s="373"/>
      <x:c r="L61" s="373"/>
      <x:c r="M61" s="373"/>
      <x:c r="N61" s="373"/>
      <x:c r="O61" s="373"/>
      <x:c r="P61" s="373"/>
      <x:c r="Q61" s="373"/>
      <x:c r="R61" s="373"/>
      <x:c r="S61" s="373"/>
      <x:c r="T61" s="373"/>
      <x:c r="U61" s="373"/>
      <x:c r="V61" s="373"/>
      <x:c r="W61" s="373"/>
      <x:c r="X61" s="373"/>
      <x:c r="Y61" s="373"/>
      <x:c r="Z61" s="373"/>
    </x:row>
    <x:row r="62">
      <x:c r="A62" s="373"/>
      <x:c r="B62" s="373"/>
      <x:c r="C62" s="373"/>
      <x:c r="D62" s="373"/>
      <x:c r="E62" s="373"/>
      <x:c r="F62" s="373"/>
      <x:c r="G62" s="373"/>
      <x:c r="H62" s="373"/>
      <x:c r="I62" s="373"/>
      <x:c r="J62" s="373"/>
      <x:c r="K62" s="373"/>
      <x:c r="L62" s="373"/>
      <x:c r="M62" s="373"/>
      <x:c r="N62" s="373"/>
      <x:c r="O62" s="373"/>
      <x:c r="P62" s="373"/>
      <x:c r="Q62" s="373"/>
      <x:c r="R62" s="373"/>
      <x:c r="S62" s="373"/>
      <x:c r="T62" s="373"/>
      <x:c r="U62" s="373"/>
      <x:c r="V62" s="373"/>
      <x:c r="W62" s="373"/>
      <x:c r="X62" s="373"/>
      <x:c r="Y62" s="373"/>
      <x:c r="Z62" s="373"/>
    </x:row>
    <x:row r="63">
      <x:c r="A63" s="373"/>
      <x:c r="B63" s="373"/>
      <x:c r="C63" s="373"/>
      <x:c r="D63" s="373"/>
      <x:c r="E63" s="373"/>
      <x:c r="F63" s="373"/>
      <x:c r="G63" s="373"/>
      <x:c r="H63" s="373"/>
      <x:c r="I63" s="373"/>
      <x:c r="J63" s="373"/>
      <x:c r="K63" s="373"/>
      <x:c r="L63" s="373"/>
      <x:c r="M63" s="373"/>
      <x:c r="N63" s="373"/>
      <x:c r="O63" s="373"/>
      <x:c r="P63" s="373"/>
      <x:c r="Q63" s="373"/>
      <x:c r="R63" s="373"/>
      <x:c r="S63" s="373"/>
      <x:c r="T63" s="373"/>
      <x:c r="U63" s="373"/>
      <x:c r="V63" s="373"/>
      <x:c r="W63" s="373"/>
      <x:c r="X63" s="373"/>
      <x:c r="Y63" s="373"/>
      <x:c r="Z63" s="373"/>
    </x:row>
    <x:row r="64">
      <x:c r="A64" s="373"/>
      <x:c r="B64" s="373"/>
      <x:c r="C64" s="373"/>
      <x:c r="D64" s="373"/>
      <x:c r="E64" s="373"/>
      <x:c r="F64" s="373"/>
      <x:c r="G64" s="373"/>
      <x:c r="H64" s="373"/>
      <x:c r="I64" s="373"/>
      <x:c r="J64" s="373"/>
      <x:c r="K64" s="373"/>
      <x:c r="L64" s="373"/>
      <x:c r="M64" s="373"/>
      <x:c r="N64" s="373"/>
      <x:c r="O64" s="373"/>
      <x:c r="P64" s="373"/>
      <x:c r="Q64" s="373"/>
      <x:c r="R64" s="373"/>
      <x:c r="S64" s="373"/>
      <x:c r="T64" s="373"/>
      <x:c r="U64" s="373"/>
      <x:c r="V64" s="373"/>
      <x:c r="W64" s="373"/>
      <x:c r="X64" s="373"/>
      <x:c r="Y64" s="373"/>
      <x:c r="Z64" s="373"/>
    </x:row>
    <x:row r="65">
      <x:c r="A65" s="373"/>
      <x:c r="B65" s="373"/>
      <x:c r="C65" s="373"/>
      <x:c r="D65" s="373"/>
      <x:c r="E65" s="373"/>
      <x:c r="F65" s="373"/>
      <x:c r="G65" s="373"/>
      <x:c r="H65" s="373"/>
      <x:c r="I65" s="373"/>
      <x:c r="J65" s="373"/>
      <x:c r="K65" s="373"/>
      <x:c r="L65" s="373"/>
      <x:c r="M65" s="373"/>
      <x:c r="N65" s="373"/>
      <x:c r="O65" s="373"/>
      <x:c r="P65" s="373"/>
      <x:c r="Q65" s="373"/>
      <x:c r="R65" s="373"/>
      <x:c r="S65" s="373"/>
      <x:c r="T65" s="373"/>
      <x:c r="U65" s="373"/>
      <x:c r="V65" s="373"/>
      <x:c r="W65" s="373"/>
      <x:c r="X65" s="373"/>
      <x:c r="Y65" s="373"/>
      <x:c r="Z65" s="373"/>
    </x:row>
    <x:row r="66">
      <x:c r="A66" s="373"/>
      <x:c r="B66" s="373"/>
      <x:c r="C66" s="373"/>
      <x:c r="D66" s="373"/>
      <x:c r="E66" s="373"/>
      <x:c r="F66" s="373"/>
      <x:c r="G66" s="373"/>
      <x:c r="H66" s="373"/>
      <x:c r="I66" s="373"/>
      <x:c r="J66" s="373"/>
      <x:c r="K66" s="373"/>
      <x:c r="L66" s="373"/>
      <x:c r="M66" s="373"/>
      <x:c r="N66" s="373"/>
      <x:c r="O66" s="373"/>
      <x:c r="P66" s="373"/>
      <x:c r="Q66" s="373"/>
      <x:c r="R66" s="373"/>
      <x:c r="S66" s="373"/>
      <x:c r="T66" s="373"/>
      <x:c r="U66" s="373"/>
      <x:c r="V66" s="373"/>
      <x:c r="W66" s="373"/>
      <x:c r="X66" s="373"/>
      <x:c r="Y66" s="373"/>
      <x:c r="Z66" s="373"/>
    </x:row>
    <x:row r="67">
      <x:c r="A67" s="373"/>
      <x:c r="B67" s="373"/>
      <x:c r="C67" s="373"/>
      <x:c r="D67" s="373"/>
      <x:c r="E67" s="373"/>
      <x:c r="F67" s="373"/>
      <x:c r="G67" s="373"/>
      <x:c r="H67" s="373"/>
      <x:c r="I67" s="373"/>
      <x:c r="J67" s="373"/>
      <x:c r="K67" s="373"/>
      <x:c r="L67" s="373"/>
      <x:c r="M67" s="373"/>
      <x:c r="N67" s="373"/>
      <x:c r="O67" s="373"/>
      <x:c r="P67" s="373"/>
      <x:c r="Q67" s="373"/>
      <x:c r="R67" s="373"/>
      <x:c r="S67" s="373"/>
      <x:c r="T67" s="373"/>
      <x:c r="U67" s="373"/>
      <x:c r="V67" s="373"/>
      <x:c r="W67" s="373"/>
      <x:c r="X67" s="373"/>
      <x:c r="Y67" s="373"/>
      <x:c r="Z67" s="373"/>
    </x:row>
    <x:row r="68">
      <x:c r="A68" s="373"/>
      <x:c r="B68" s="373"/>
      <x:c r="C68" s="373"/>
      <x:c r="D68" s="373"/>
      <x:c r="E68" s="373"/>
      <x:c r="F68" s="373"/>
      <x:c r="G68" s="373"/>
      <x:c r="H68" s="373"/>
      <x:c r="I68" s="373"/>
      <x:c r="J68" s="373"/>
      <x:c r="K68" s="373"/>
      <x:c r="L68" s="373"/>
      <x:c r="M68" s="373"/>
      <x:c r="N68" s="373"/>
      <x:c r="O68" s="373"/>
      <x:c r="P68" s="373"/>
      <x:c r="Q68" s="373"/>
      <x:c r="R68" s="373"/>
      <x:c r="S68" s="373"/>
      <x:c r="T68" s="373"/>
      <x:c r="U68" s="373"/>
      <x:c r="V68" s="373"/>
      <x:c r="W68" s="373"/>
      <x:c r="X68" s="373"/>
      <x:c r="Y68" s="373"/>
      <x:c r="Z68" s="373"/>
    </x:row>
    <x:row r="69">
      <x:c r="A69" s="373"/>
      <x:c r="B69" s="373"/>
      <x:c r="C69" s="373"/>
      <x:c r="D69" s="373"/>
      <x:c r="E69" s="373"/>
      <x:c r="F69" s="373"/>
      <x:c r="G69" s="373"/>
      <x:c r="H69" s="373"/>
      <x:c r="I69" s="373"/>
      <x:c r="J69" s="373"/>
      <x:c r="K69" s="373"/>
      <x:c r="L69" s="373"/>
      <x:c r="M69" s="373"/>
      <x:c r="N69" s="373"/>
      <x:c r="O69" s="373"/>
      <x:c r="P69" s="373"/>
      <x:c r="Q69" s="373"/>
      <x:c r="R69" s="373"/>
      <x:c r="S69" s="373"/>
      <x:c r="T69" s="373"/>
      <x:c r="U69" s="373"/>
      <x:c r="V69" s="373"/>
      <x:c r="W69" s="373"/>
      <x:c r="X69" s="373"/>
      <x:c r="Y69" s="373"/>
      <x:c r="Z69" s="373"/>
    </x:row>
    <x:row r="70">
      <x:c r="A70" s="373"/>
      <x:c r="B70" s="373"/>
      <x:c r="C70" s="373"/>
      <x:c r="D70" s="373"/>
      <x:c r="E70" s="373"/>
      <x:c r="F70" s="373"/>
      <x:c r="G70" s="373"/>
      <x:c r="H70" s="373"/>
      <x:c r="I70" s="373"/>
      <x:c r="J70" s="373"/>
      <x:c r="K70" s="373"/>
      <x:c r="L70" s="373"/>
      <x:c r="M70" s="373"/>
      <x:c r="N70" s="373"/>
      <x:c r="O70" s="373"/>
      <x:c r="P70" s="373"/>
      <x:c r="Q70" s="373"/>
      <x:c r="R70" s="373"/>
      <x:c r="S70" s="373"/>
      <x:c r="T70" s="373"/>
      <x:c r="U70" s="373"/>
      <x:c r="V70" s="373"/>
      <x:c r="W70" s="373"/>
      <x:c r="X70" s="373"/>
      <x:c r="Y70" s="373"/>
      <x:c r="Z70" s="373"/>
    </x:row>
    <x:row r="71">
      <x:c r="A71" s="373"/>
      <x:c r="B71" s="373"/>
      <x:c r="C71" s="373"/>
      <x:c r="D71" s="373"/>
      <x:c r="E71" s="373"/>
      <x:c r="F71" s="373"/>
      <x:c r="G71" s="373"/>
      <x:c r="H71" s="373"/>
      <x:c r="I71" s="373"/>
      <x:c r="J71" s="373"/>
      <x:c r="K71" s="373"/>
      <x:c r="L71" s="373"/>
      <x:c r="M71" s="373"/>
      <x:c r="N71" s="373"/>
      <x:c r="O71" s="373"/>
      <x:c r="P71" s="373"/>
      <x:c r="Q71" s="373"/>
      <x:c r="R71" s="373"/>
      <x:c r="S71" s="373"/>
      <x:c r="T71" s="373"/>
      <x:c r="U71" s="373"/>
      <x:c r="V71" s="373"/>
      <x:c r="W71" s="373"/>
      <x:c r="X71" s="373"/>
      <x:c r="Y71" s="373"/>
      <x:c r="Z71" s="373"/>
    </x:row>
    <x:row r="72">
      <x:c r="A72" s="373"/>
      <x:c r="B72" s="373"/>
      <x:c r="C72" s="373"/>
      <x:c r="D72" s="373"/>
      <x:c r="E72" s="373"/>
      <x:c r="F72" s="373"/>
      <x:c r="G72" s="373"/>
      <x:c r="H72" s="373"/>
      <x:c r="I72" s="373"/>
      <x:c r="J72" s="373"/>
      <x:c r="K72" s="373"/>
      <x:c r="L72" s="373"/>
      <x:c r="M72" s="373"/>
      <x:c r="N72" s="373"/>
      <x:c r="O72" s="373"/>
      <x:c r="P72" s="373"/>
      <x:c r="Q72" s="373"/>
      <x:c r="R72" s="373"/>
      <x:c r="S72" s="373"/>
      <x:c r="T72" s="373"/>
      <x:c r="U72" s="373"/>
      <x:c r="V72" s="373"/>
      <x:c r="W72" s="373"/>
      <x:c r="X72" s="373"/>
      <x:c r="Y72" s="373"/>
      <x:c r="Z72" s="373"/>
    </x:row>
    <x:row r="73">
      <x:c r="A73" s="373"/>
      <x:c r="B73" s="373"/>
      <x:c r="C73" s="373"/>
      <x:c r="D73" s="373"/>
      <x:c r="E73" s="373"/>
      <x:c r="F73" s="373"/>
      <x:c r="G73" s="373"/>
      <x:c r="H73" s="373"/>
      <x:c r="I73" s="373"/>
      <x:c r="J73" s="373"/>
      <x:c r="K73" s="373"/>
      <x:c r="L73" s="373"/>
      <x:c r="M73" s="373"/>
      <x:c r="N73" s="373"/>
      <x:c r="O73" s="373"/>
      <x:c r="P73" s="373"/>
      <x:c r="Q73" s="373"/>
      <x:c r="R73" s="373"/>
      <x:c r="S73" s="373"/>
      <x:c r="T73" s="373"/>
      <x:c r="U73" s="373"/>
      <x:c r="V73" s="373"/>
      <x:c r="W73" s="373"/>
      <x:c r="X73" s="373"/>
      <x:c r="Y73" s="373"/>
      <x:c r="Z73" s="373"/>
    </x:row>
    <x:row r="74">
      <x:c r="A74" s="373"/>
      <x:c r="B74" s="373"/>
      <x:c r="C74" s="373"/>
      <x:c r="D74" s="373"/>
      <x:c r="E74" s="373"/>
      <x:c r="F74" s="373"/>
      <x:c r="G74" s="373"/>
      <x:c r="H74" s="373"/>
      <x:c r="I74" s="373"/>
      <x:c r="J74" s="373"/>
      <x:c r="K74" s="373"/>
      <x:c r="L74" s="373"/>
      <x:c r="M74" s="373"/>
      <x:c r="N74" s="373"/>
      <x:c r="O74" s="373"/>
      <x:c r="P74" s="373"/>
      <x:c r="Q74" s="373"/>
      <x:c r="R74" s="373"/>
      <x:c r="S74" s="373"/>
      <x:c r="T74" s="373"/>
      <x:c r="U74" s="373"/>
      <x:c r="V74" s="373"/>
      <x:c r="W74" s="373"/>
      <x:c r="X74" s="373"/>
      <x:c r="Y74" s="373"/>
      <x:c r="Z74" s="373"/>
    </x:row>
    <x:row r="75">
      <x:c r="A75" s="373"/>
      <x:c r="B75" s="373"/>
      <x:c r="C75" s="373"/>
      <x:c r="D75" s="373"/>
      <x:c r="E75" s="373"/>
      <x:c r="F75" s="373"/>
      <x:c r="G75" s="373"/>
      <x:c r="H75" s="373"/>
      <x:c r="I75" s="373"/>
      <x:c r="J75" s="373"/>
      <x:c r="K75" s="373"/>
      <x:c r="L75" s="373"/>
      <x:c r="M75" s="373"/>
      <x:c r="N75" s="373"/>
      <x:c r="O75" s="373"/>
      <x:c r="P75" s="373"/>
      <x:c r="Q75" s="373"/>
      <x:c r="R75" s="373"/>
      <x:c r="S75" s="373"/>
      <x:c r="T75" s="373"/>
      <x:c r="U75" s="373"/>
      <x:c r="V75" s="373"/>
      <x:c r="W75" s="373"/>
      <x:c r="X75" s="373"/>
      <x:c r="Y75" s="373"/>
      <x:c r="Z75" s="373"/>
    </x:row>
    <x:row r="76">
      <x:c r="A76" s="373"/>
      <x:c r="B76" s="373"/>
      <x:c r="C76" s="373"/>
      <x:c r="D76" s="373"/>
      <x:c r="E76" s="373"/>
      <x:c r="F76" s="373"/>
      <x:c r="G76" s="373"/>
      <x:c r="H76" s="373"/>
      <x:c r="I76" s="373"/>
      <x:c r="J76" s="373"/>
      <x:c r="K76" s="373"/>
      <x:c r="L76" s="373"/>
      <x:c r="M76" s="373"/>
      <x:c r="N76" s="373"/>
      <x:c r="O76" s="373"/>
      <x:c r="P76" s="373"/>
      <x:c r="Q76" s="373"/>
      <x:c r="R76" s="373"/>
      <x:c r="S76" s="373"/>
      <x:c r="T76" s="373"/>
      <x:c r="U76" s="373"/>
      <x:c r="V76" s="373"/>
      <x:c r="W76" s="373"/>
      <x:c r="X76" s="373"/>
      <x:c r="Y76" s="373"/>
      <x:c r="Z76" s="373"/>
    </x:row>
    <x:row r="77">
      <x:c r="A77" s="373"/>
      <x:c r="B77" s="373"/>
      <x:c r="C77" s="373"/>
      <x:c r="D77" s="373"/>
      <x:c r="E77" s="373"/>
      <x:c r="F77" s="373"/>
      <x:c r="G77" s="373"/>
      <x:c r="H77" s="373"/>
      <x:c r="I77" s="373"/>
      <x:c r="J77" s="373"/>
      <x:c r="K77" s="373"/>
      <x:c r="L77" s="373"/>
      <x:c r="M77" s="373"/>
      <x:c r="N77" s="373"/>
      <x:c r="O77" s="373"/>
      <x:c r="P77" s="373"/>
      <x:c r="Q77" s="373"/>
      <x:c r="R77" s="373"/>
      <x:c r="S77" s="373"/>
      <x:c r="T77" s="373"/>
      <x:c r="U77" s="373"/>
      <x:c r="V77" s="373"/>
      <x:c r="W77" s="373"/>
      <x:c r="X77" s="373"/>
      <x:c r="Y77" s="373"/>
      <x:c r="Z77" s="373"/>
    </x:row>
    <x:row r="78">
      <x:c r="A78" s="373"/>
      <x:c r="B78" s="373"/>
      <x:c r="C78" s="373"/>
      <x:c r="D78" s="373"/>
      <x:c r="E78" s="373"/>
      <x:c r="F78" s="373"/>
      <x:c r="G78" s="373"/>
      <x:c r="H78" s="373"/>
      <x:c r="I78" s="373"/>
      <x:c r="J78" s="373"/>
      <x:c r="K78" s="373"/>
      <x:c r="L78" s="373"/>
      <x:c r="M78" s="373"/>
      <x:c r="N78" s="373"/>
      <x:c r="O78" s="373"/>
      <x:c r="P78" s="373"/>
      <x:c r="Q78" s="373"/>
      <x:c r="R78" s="373"/>
      <x:c r="S78" s="373"/>
      <x:c r="T78" s="373"/>
      <x:c r="U78" s="373"/>
      <x:c r="V78" s="373"/>
      <x:c r="W78" s="373"/>
      <x:c r="X78" s="373"/>
      <x:c r="Y78" s="373"/>
      <x:c r="Z78" s="373"/>
    </x:row>
    <x:row r="79">
      <x:c r="A79" s="373"/>
      <x:c r="B79" s="373"/>
      <x:c r="C79" s="373"/>
      <x:c r="D79" s="373"/>
      <x:c r="E79" s="373"/>
      <x:c r="F79" s="373"/>
      <x:c r="G79" s="373"/>
      <x:c r="H79" s="373"/>
      <x:c r="I79" s="373"/>
      <x:c r="J79" s="373"/>
      <x:c r="K79" s="373"/>
      <x:c r="L79" s="373"/>
      <x:c r="M79" s="373"/>
      <x:c r="N79" s="373"/>
      <x:c r="O79" s="373"/>
      <x:c r="P79" s="373"/>
      <x:c r="Q79" s="373"/>
      <x:c r="R79" s="373"/>
      <x:c r="S79" s="373"/>
      <x:c r="T79" s="373"/>
      <x:c r="U79" s="373"/>
      <x:c r="V79" s="373"/>
      <x:c r="W79" s="373"/>
      <x:c r="X79" s="373"/>
      <x:c r="Y79" s="373"/>
      <x:c r="Z79" s="373"/>
    </x:row>
    <x:row r="80">
      <x:c r="A80" s="373"/>
      <x:c r="B80" s="373"/>
      <x:c r="C80" s="373"/>
      <x:c r="D80" s="373"/>
      <x:c r="E80" s="373"/>
      <x:c r="F80" s="373"/>
      <x:c r="G80" s="373"/>
      <x:c r="H80" s="373"/>
      <x:c r="I80" s="373"/>
      <x:c r="J80" s="373"/>
      <x:c r="K80" s="373"/>
      <x:c r="L80" s="373"/>
      <x:c r="M80" s="373"/>
      <x:c r="N80" s="373"/>
      <x:c r="O80" s="373"/>
      <x:c r="P80" s="373"/>
      <x:c r="Q80" s="373"/>
      <x:c r="R80" s="373"/>
      <x:c r="S80" s="373"/>
      <x:c r="T80" s="373"/>
      <x:c r="U80" s="373"/>
      <x:c r="V80" s="373"/>
      <x:c r="W80" s="373"/>
      <x:c r="X80" s="373"/>
      <x:c r="Y80" s="373"/>
      <x:c r="Z80" s="373"/>
    </x:row>
    <x:row r="81">
      <x:c r="A81" s="373"/>
      <x:c r="B81" s="373"/>
      <x:c r="C81" s="373"/>
      <x:c r="D81" s="373"/>
      <x:c r="E81" s="373"/>
      <x:c r="F81" s="373"/>
      <x:c r="G81" s="373"/>
      <x:c r="H81" s="373"/>
      <x:c r="I81" s="373"/>
      <x:c r="J81" s="373"/>
      <x:c r="K81" s="373"/>
      <x:c r="L81" s="373"/>
      <x:c r="M81" s="373"/>
      <x:c r="N81" s="373"/>
      <x:c r="O81" s="373"/>
      <x:c r="P81" s="373"/>
      <x:c r="Q81" s="373"/>
      <x:c r="R81" s="373"/>
      <x:c r="S81" s="373"/>
      <x:c r="T81" s="373"/>
      <x:c r="U81" s="373"/>
      <x:c r="V81" s="373"/>
      <x:c r="W81" s="373"/>
      <x:c r="X81" s="373"/>
      <x:c r="Y81" s="373"/>
      <x:c r="Z81" s="373"/>
    </x:row>
    <x:row r="82">
      <x:c r="A82" s="373"/>
      <x:c r="B82" s="373"/>
      <x:c r="C82" s="373"/>
      <x:c r="D82" s="373"/>
      <x:c r="E82" s="373"/>
      <x:c r="F82" s="373"/>
      <x:c r="G82" s="373"/>
      <x:c r="H82" s="373"/>
      <x:c r="I82" s="373"/>
      <x:c r="J82" s="373"/>
      <x:c r="K82" s="373"/>
      <x:c r="L82" s="373"/>
      <x:c r="M82" s="373"/>
      <x:c r="N82" s="373"/>
      <x:c r="O82" s="373"/>
      <x:c r="P82" s="373"/>
      <x:c r="Q82" s="373"/>
      <x:c r="R82" s="373"/>
      <x:c r="S82" s="373"/>
      <x:c r="T82" s="373"/>
      <x:c r="U82" s="373"/>
      <x:c r="V82" s="373"/>
      <x:c r="W82" s="373"/>
      <x:c r="X82" s="373"/>
      <x:c r="Y82" s="373"/>
      <x:c r="Z82" s="373"/>
    </x:row>
    <x:row r="83">
      <x:c r="A83" s="373"/>
      <x:c r="B83" s="373"/>
      <x:c r="C83" s="373"/>
      <x:c r="D83" s="373"/>
      <x:c r="E83" s="373"/>
      <x:c r="F83" s="373"/>
      <x:c r="G83" s="373"/>
      <x:c r="H83" s="373"/>
      <x:c r="I83" s="373"/>
      <x:c r="J83" s="373"/>
      <x:c r="K83" s="373"/>
      <x:c r="L83" s="373"/>
      <x:c r="M83" s="373"/>
      <x:c r="N83" s="373"/>
      <x:c r="O83" s="373"/>
      <x:c r="P83" s="373"/>
      <x:c r="Q83" s="373"/>
      <x:c r="R83" s="373"/>
      <x:c r="S83" s="373"/>
      <x:c r="T83" s="373"/>
      <x:c r="U83" s="373"/>
      <x:c r="V83" s="373"/>
      <x:c r="W83" s="373"/>
      <x:c r="X83" s="373"/>
      <x:c r="Y83" s="373"/>
      <x:c r="Z83" s="373"/>
    </x:row>
    <x:row r="84">
      <x:c r="A84" s="373"/>
      <x:c r="B84" s="373"/>
      <x:c r="C84" s="373"/>
      <x:c r="D84" s="373"/>
      <x:c r="E84" s="373"/>
      <x:c r="F84" s="373"/>
      <x:c r="G84" s="373"/>
      <x:c r="H84" s="373"/>
      <x:c r="I84" s="373"/>
      <x:c r="J84" s="373"/>
      <x:c r="K84" s="373"/>
      <x:c r="L84" s="373"/>
      <x:c r="M84" s="373"/>
      <x:c r="N84" s="373"/>
      <x:c r="O84" s="373"/>
      <x:c r="P84" s="373"/>
      <x:c r="Q84" s="373"/>
      <x:c r="R84" s="373"/>
      <x:c r="S84" s="373"/>
      <x:c r="T84" s="373"/>
      <x:c r="U84" s="373"/>
      <x:c r="V84" s="373"/>
      <x:c r="W84" s="373"/>
      <x:c r="X84" s="373"/>
      <x:c r="Y84" s="373"/>
      <x:c r="Z84" s="373"/>
    </x:row>
    <x:row r="85">
      <x:c r="A85" s="373"/>
      <x:c r="B85" s="373"/>
      <x:c r="C85" s="373"/>
      <x:c r="D85" s="373"/>
      <x:c r="E85" s="373"/>
      <x:c r="F85" s="373"/>
      <x:c r="G85" s="373"/>
      <x:c r="H85" s="373"/>
      <x:c r="I85" s="373"/>
      <x:c r="J85" s="373"/>
      <x:c r="K85" s="373"/>
      <x:c r="L85" s="373"/>
      <x:c r="M85" s="373"/>
      <x:c r="N85" s="373"/>
      <x:c r="O85" s="373"/>
      <x:c r="P85" s="373"/>
      <x:c r="Q85" s="373"/>
      <x:c r="R85" s="373"/>
      <x:c r="S85" s="373"/>
      <x:c r="T85" s="373"/>
      <x:c r="U85" s="373"/>
      <x:c r="V85" s="373"/>
      <x:c r="W85" s="373"/>
      <x:c r="X85" s="373"/>
      <x:c r="Y85" s="373"/>
      <x:c r="Z85" s="373"/>
    </x:row>
    <x:row r="86">
      <x:c r="A86" s="373"/>
      <x:c r="B86" s="373"/>
      <x:c r="C86" s="373"/>
      <x:c r="D86" s="373"/>
      <x:c r="E86" s="373"/>
      <x:c r="F86" s="373"/>
      <x:c r="G86" s="373"/>
      <x:c r="H86" s="373"/>
      <x:c r="I86" s="373"/>
      <x:c r="J86" s="373"/>
      <x:c r="K86" s="373"/>
      <x:c r="L86" s="373"/>
      <x:c r="M86" s="373"/>
      <x:c r="N86" s="373"/>
      <x:c r="O86" s="373"/>
      <x:c r="P86" s="373"/>
      <x:c r="Q86" s="373"/>
      <x:c r="R86" s="373"/>
      <x:c r="S86" s="373"/>
      <x:c r="T86" s="373"/>
      <x:c r="U86" s="373"/>
      <x:c r="V86" s="373"/>
      <x:c r="W86" s="373"/>
      <x:c r="X86" s="373"/>
      <x:c r="Y86" s="373"/>
      <x:c r="Z86" s="373"/>
    </x:row>
    <x:row r="87">
      <x:c r="A87" s="373"/>
      <x:c r="B87" s="373"/>
      <x:c r="C87" s="373"/>
      <x:c r="D87" s="373"/>
      <x:c r="E87" s="373"/>
      <x:c r="F87" s="373"/>
      <x:c r="G87" s="373"/>
      <x:c r="H87" s="373"/>
      <x:c r="I87" s="373"/>
      <x:c r="J87" s="373"/>
      <x:c r="K87" s="373"/>
      <x:c r="L87" s="373"/>
      <x:c r="M87" s="373"/>
      <x:c r="N87" s="373"/>
      <x:c r="O87" s="373"/>
      <x:c r="P87" s="373"/>
      <x:c r="Q87" s="373"/>
      <x:c r="R87" s="373"/>
      <x:c r="S87" s="373"/>
      <x:c r="T87" s="373"/>
      <x:c r="U87" s="373"/>
      <x:c r="V87" s="373"/>
      <x:c r="W87" s="373"/>
      <x:c r="X87" s="373"/>
      <x:c r="Y87" s="373"/>
      <x:c r="Z87" s="373"/>
    </x:row>
    <x:row r="88">
      <x:c r="A88" s="373"/>
      <x:c r="B88" s="373"/>
      <x:c r="C88" s="373"/>
      <x:c r="D88" s="373"/>
      <x:c r="E88" s="373"/>
      <x:c r="F88" s="373"/>
      <x:c r="G88" s="373"/>
      <x:c r="H88" s="373"/>
      <x:c r="I88" s="373"/>
      <x:c r="J88" s="373"/>
      <x:c r="K88" s="373"/>
      <x:c r="L88" s="373"/>
      <x:c r="M88" s="373"/>
      <x:c r="N88" s="373"/>
      <x:c r="O88" s="373"/>
      <x:c r="P88" s="373"/>
      <x:c r="Q88" s="373"/>
      <x:c r="R88" s="373"/>
      <x:c r="S88" s="373"/>
      <x:c r="T88" s="373"/>
      <x:c r="U88" s="373"/>
      <x:c r="V88" s="373"/>
      <x:c r="W88" s="373"/>
      <x:c r="X88" s="373"/>
      <x:c r="Y88" s="373"/>
      <x:c r="Z88" s="373"/>
    </x:row>
    <x:row r="89">
      <x:c r="A89" s="373"/>
      <x:c r="B89" s="373"/>
      <x:c r="C89" s="373"/>
      <x:c r="D89" s="373"/>
      <x:c r="E89" s="373"/>
      <x:c r="F89" s="373"/>
      <x:c r="G89" s="373"/>
      <x:c r="H89" s="373"/>
      <x:c r="I89" s="373"/>
      <x:c r="J89" s="373"/>
      <x:c r="K89" s="373"/>
      <x:c r="L89" s="373"/>
      <x:c r="M89" s="373"/>
      <x:c r="N89" s="373"/>
      <x:c r="O89" s="373"/>
      <x:c r="P89" s="373"/>
      <x:c r="Q89" s="373"/>
      <x:c r="R89" s="373"/>
      <x:c r="S89" s="373"/>
      <x:c r="T89" s="373"/>
      <x:c r="U89" s="373"/>
      <x:c r="V89" s="373"/>
      <x:c r="W89" s="373"/>
      <x:c r="X89" s="373"/>
      <x:c r="Y89" s="373"/>
      <x:c r="Z89" s="373"/>
    </x:row>
    <x:row r="90">
      <x:c r="A90" s="373"/>
      <x:c r="B90" s="373"/>
      <x:c r="C90" s="373"/>
      <x:c r="D90" s="373"/>
      <x:c r="E90" s="373"/>
      <x:c r="F90" s="373"/>
      <x:c r="G90" s="373"/>
      <x:c r="H90" s="373"/>
      <x:c r="I90" s="373"/>
      <x:c r="J90" s="373"/>
      <x:c r="K90" s="373"/>
      <x:c r="L90" s="373"/>
      <x:c r="M90" s="373"/>
      <x:c r="N90" s="373"/>
      <x:c r="O90" s="373"/>
      <x:c r="P90" s="373"/>
      <x:c r="Q90" s="373"/>
      <x:c r="R90" s="373"/>
      <x:c r="S90" s="373"/>
      <x:c r="T90" s="373"/>
      <x:c r="U90" s="373"/>
      <x:c r="V90" s="373"/>
      <x:c r="W90" s="373"/>
      <x:c r="X90" s="373"/>
      <x:c r="Y90" s="373"/>
      <x:c r="Z90" s="373"/>
    </x:row>
    <x:row r="91">
      <x:c r="A91" s="373"/>
      <x:c r="B91" s="373"/>
      <x:c r="C91" s="373"/>
      <x:c r="D91" s="373"/>
      <x:c r="E91" s="373"/>
      <x:c r="F91" s="373"/>
      <x:c r="G91" s="373"/>
      <x:c r="H91" s="373"/>
      <x:c r="I91" s="373"/>
      <x:c r="J91" s="373"/>
      <x:c r="K91" s="373"/>
      <x:c r="L91" s="373"/>
      <x:c r="M91" s="373"/>
      <x:c r="N91" s="373"/>
      <x:c r="O91" s="373"/>
      <x:c r="P91" s="373"/>
      <x:c r="Q91" s="373"/>
      <x:c r="R91" s="373"/>
      <x:c r="S91" s="373"/>
      <x:c r="T91" s="373"/>
      <x:c r="U91" s="373"/>
      <x:c r="V91" s="373"/>
      <x:c r="W91" s="373"/>
      <x:c r="X91" s="373"/>
      <x:c r="Y91" s="373"/>
      <x:c r="Z91" s="373"/>
    </x:row>
    <x:row r="92">
      <x:c r="A92" s="373"/>
      <x:c r="B92" s="373"/>
      <x:c r="C92" s="373"/>
      <x:c r="D92" s="373"/>
      <x:c r="E92" s="373"/>
      <x:c r="F92" s="373"/>
      <x:c r="G92" s="373"/>
      <x:c r="H92" s="373"/>
      <x:c r="I92" s="373"/>
      <x:c r="J92" s="373"/>
      <x:c r="K92" s="373"/>
      <x:c r="L92" s="373"/>
      <x:c r="M92" s="373"/>
      <x:c r="N92" s="373"/>
      <x:c r="O92" s="373"/>
      <x:c r="P92" s="373"/>
      <x:c r="Q92" s="373"/>
      <x:c r="R92" s="373"/>
      <x:c r="S92" s="373"/>
      <x:c r="T92" s="373"/>
      <x:c r="U92" s="373"/>
      <x:c r="V92" s="373"/>
      <x:c r="W92" s="373"/>
      <x:c r="X92" s="373"/>
      <x:c r="Y92" s="373"/>
      <x:c r="Z92" s="373"/>
    </x:row>
    <x:row r="93">
      <x:c r="A93" s="373"/>
      <x:c r="B93" s="373"/>
      <x:c r="C93" s="373"/>
      <x:c r="D93" s="373"/>
      <x:c r="E93" s="373"/>
      <x:c r="F93" s="373"/>
      <x:c r="G93" s="373"/>
      <x:c r="H93" s="373"/>
      <x:c r="I93" s="373"/>
      <x:c r="J93" s="373"/>
      <x:c r="K93" s="373"/>
      <x:c r="L93" s="373"/>
      <x:c r="M93" s="373"/>
      <x:c r="N93" s="373"/>
      <x:c r="O93" s="373"/>
      <x:c r="P93" s="373"/>
      <x:c r="Q93" s="373"/>
      <x:c r="R93" s="373"/>
      <x:c r="S93" s="373"/>
      <x:c r="T93" s="373"/>
      <x:c r="U93" s="373"/>
      <x:c r="V93" s="373"/>
      <x:c r="W93" s="373"/>
      <x:c r="X93" s="373"/>
      <x:c r="Y93" s="373"/>
      <x:c r="Z93" s="373"/>
    </x:row>
    <x:row r="94">
      <x:c r="A94" s="373"/>
      <x:c r="B94" s="373"/>
      <x:c r="C94" s="373"/>
      <x:c r="D94" s="373"/>
      <x:c r="E94" s="373"/>
      <x:c r="F94" s="373"/>
      <x:c r="G94" s="373"/>
      <x:c r="H94" s="373"/>
      <x:c r="I94" s="373"/>
      <x:c r="J94" s="373"/>
      <x:c r="K94" s="373"/>
      <x:c r="L94" s="373"/>
      <x:c r="M94" s="373"/>
      <x:c r="N94" s="373"/>
      <x:c r="O94" s="373"/>
      <x:c r="P94" s="373"/>
      <x:c r="Q94" s="373"/>
      <x:c r="R94" s="373"/>
      <x:c r="S94" s="373"/>
      <x:c r="T94" s="373"/>
      <x:c r="U94" s="373"/>
      <x:c r="V94" s="373"/>
      <x:c r="W94" s="373"/>
      <x:c r="X94" s="373"/>
      <x:c r="Y94" s="373"/>
      <x:c r="Z94" s="373"/>
    </x:row>
    <x:row r="95">
      <x:c r="A95" s="373"/>
      <x:c r="B95" s="373"/>
      <x:c r="C95" s="373"/>
      <x:c r="D95" s="373"/>
      <x:c r="E95" s="373"/>
      <x:c r="F95" s="373"/>
      <x:c r="G95" s="373"/>
      <x:c r="H95" s="373"/>
      <x:c r="I95" s="373"/>
      <x:c r="J95" s="373"/>
      <x:c r="K95" s="373"/>
      <x:c r="L95" s="373"/>
      <x:c r="M95" s="373"/>
      <x:c r="N95" s="373"/>
      <x:c r="O95" s="373"/>
      <x:c r="P95" s="373"/>
      <x:c r="Q95" s="373"/>
      <x:c r="R95" s="373"/>
      <x:c r="S95" s="373"/>
      <x:c r="T95" s="373"/>
      <x:c r="U95" s="373"/>
      <x:c r="V95" s="373"/>
      <x:c r="W95" s="373"/>
      <x:c r="X95" s="373"/>
      <x:c r="Y95" s="373"/>
      <x:c r="Z95" s="373"/>
    </x:row>
    <x:row r="96">
      <x:c r="A96" s="373"/>
      <x:c r="B96" s="373"/>
      <x:c r="C96" s="373"/>
      <x:c r="D96" s="373"/>
      <x:c r="E96" s="373"/>
      <x:c r="F96" s="373"/>
      <x:c r="G96" s="373"/>
      <x:c r="H96" s="373"/>
      <x:c r="I96" s="373"/>
      <x:c r="J96" s="373"/>
      <x:c r="K96" s="373"/>
      <x:c r="L96" s="373"/>
      <x:c r="M96" s="373"/>
      <x:c r="N96" s="373"/>
      <x:c r="O96" s="373"/>
      <x:c r="P96" s="373"/>
      <x:c r="Q96" s="373"/>
      <x:c r="R96" s="373"/>
      <x:c r="S96" s="373"/>
      <x:c r="T96" s="373"/>
      <x:c r="U96" s="373"/>
      <x:c r="V96" s="373"/>
      <x:c r="W96" s="373"/>
      <x:c r="X96" s="373"/>
      <x:c r="Y96" s="373"/>
      <x:c r="Z96" s="373"/>
    </x:row>
    <x:row r="97">
      <x:c r="A97" s="373"/>
      <x:c r="B97" s="373"/>
      <x:c r="C97" s="373"/>
      <x:c r="D97" s="373"/>
      <x:c r="E97" s="373"/>
      <x:c r="F97" s="373"/>
      <x:c r="G97" s="373"/>
      <x:c r="H97" s="373"/>
      <x:c r="I97" s="373"/>
      <x:c r="J97" s="373"/>
      <x:c r="K97" s="373"/>
      <x:c r="L97" s="373"/>
      <x:c r="M97" s="373"/>
      <x:c r="N97" s="373"/>
      <x:c r="O97" s="373"/>
      <x:c r="P97" s="373"/>
      <x:c r="Q97" s="373"/>
      <x:c r="R97" s="373"/>
      <x:c r="S97" s="373"/>
      <x:c r="T97" s="373"/>
      <x:c r="U97" s="373"/>
      <x:c r="V97" s="373"/>
      <x:c r="W97" s="373"/>
      <x:c r="X97" s="373"/>
      <x:c r="Y97" s="373"/>
      <x:c r="Z97" s="373"/>
    </x:row>
    <x:row r="98">
      <x:c r="A98" s="373"/>
      <x:c r="B98" s="373"/>
      <x:c r="C98" s="373"/>
      <x:c r="D98" s="373"/>
      <x:c r="E98" s="373"/>
      <x:c r="F98" s="373"/>
      <x:c r="G98" s="373"/>
      <x:c r="H98" s="373"/>
      <x:c r="I98" s="373"/>
      <x:c r="J98" s="373"/>
      <x:c r="K98" s="373"/>
      <x:c r="L98" s="373"/>
      <x:c r="M98" s="373"/>
      <x:c r="N98" s="373"/>
      <x:c r="O98" s="373"/>
      <x:c r="P98" s="373"/>
      <x:c r="Q98" s="373"/>
      <x:c r="R98" s="373"/>
      <x:c r="S98" s="373"/>
      <x:c r="T98" s="373"/>
      <x:c r="U98" s="373"/>
      <x:c r="V98" s="373"/>
      <x:c r="W98" s="373"/>
      <x:c r="X98" s="373"/>
      <x:c r="Y98" s="373"/>
      <x:c r="Z98" s="373"/>
    </x:row>
    <x:row r="99">
      <x:c r="A99" s="373"/>
      <x:c r="B99" s="373"/>
      <x:c r="C99" s="373"/>
      <x:c r="D99" s="373"/>
      <x:c r="E99" s="373"/>
      <x:c r="F99" s="373"/>
      <x:c r="G99" s="373"/>
      <x:c r="H99" s="373"/>
      <x:c r="I99" s="373"/>
      <x:c r="J99" s="373"/>
      <x:c r="K99" s="373"/>
      <x:c r="L99" s="373"/>
      <x:c r="M99" s="373"/>
      <x:c r="N99" s="373"/>
      <x:c r="O99" s="373"/>
      <x:c r="P99" s="373"/>
      <x:c r="Q99" s="373"/>
      <x:c r="R99" s="373"/>
      <x:c r="S99" s="373"/>
      <x:c r="T99" s="373"/>
      <x:c r="U99" s="373"/>
      <x:c r="V99" s="373"/>
      <x:c r="W99" s="373"/>
      <x:c r="X99" s="373"/>
      <x:c r="Y99" s="373"/>
      <x:c r="Z99" s="373"/>
    </x:row>
    <x:row r="100">
      <x:c r="A100" s="373"/>
      <x:c r="B100" s="373"/>
      <x:c r="C100" s="373"/>
      <x:c r="D100" s="373"/>
      <x:c r="E100" s="373"/>
      <x:c r="F100" s="373"/>
      <x:c r="G100" s="373"/>
      <x:c r="H100" s="373"/>
      <x:c r="I100" s="373"/>
      <x:c r="J100" s="373"/>
      <x:c r="K100" s="373"/>
      <x:c r="L100" s="373"/>
      <x:c r="M100" s="373"/>
      <x:c r="N100" s="373"/>
      <x:c r="O100" s="373"/>
      <x:c r="P100" s="373"/>
      <x:c r="Q100" s="373"/>
      <x:c r="R100" s="373"/>
      <x:c r="S100" s="373"/>
      <x:c r="T100" s="373"/>
      <x:c r="U100" s="373"/>
      <x:c r="V100" s="373"/>
      <x:c r="W100" s="373"/>
      <x:c r="X100" s="373"/>
      <x:c r="Y100" s="373"/>
      <x:c r="Z100" s="373"/>
    </x:row>
    <x:row r="101">
      <x:c r="A101" s="373"/>
      <x:c r="B101" s="373"/>
      <x:c r="C101" s="373"/>
      <x:c r="D101" s="373"/>
      <x:c r="E101" s="373"/>
      <x:c r="F101" s="373"/>
      <x:c r="G101" s="373"/>
      <x:c r="H101" s="373"/>
      <x:c r="I101" s="373"/>
      <x:c r="J101" s="373"/>
      <x:c r="K101" s="373"/>
      <x:c r="L101" s="373"/>
      <x:c r="M101" s="373"/>
      <x:c r="N101" s="373"/>
      <x:c r="O101" s="373"/>
      <x:c r="P101" s="373"/>
      <x:c r="Q101" s="373"/>
      <x:c r="R101" s="373"/>
      <x:c r="S101" s="373"/>
      <x:c r="T101" s="373"/>
      <x:c r="U101" s="373"/>
      <x:c r="V101" s="373"/>
      <x:c r="W101" s="373"/>
      <x:c r="X101" s="373"/>
      <x:c r="Y101" s="373"/>
      <x:c r="Z101" s="373"/>
    </x:row>
    <x:row r="102">
      <x:c r="A102" s="373"/>
      <x:c r="B102" s="373"/>
      <x:c r="C102" s="373"/>
      <x:c r="D102" s="373"/>
      <x:c r="E102" s="373"/>
      <x:c r="F102" s="373"/>
      <x:c r="G102" s="373"/>
      <x:c r="H102" s="373"/>
      <x:c r="I102" s="373"/>
      <x:c r="J102" s="373"/>
      <x:c r="K102" s="373"/>
      <x:c r="L102" s="373"/>
      <x:c r="M102" s="373"/>
      <x:c r="N102" s="373"/>
      <x:c r="O102" s="373"/>
      <x:c r="P102" s="373"/>
      <x:c r="Q102" s="373"/>
      <x:c r="R102" s="373"/>
      <x:c r="S102" s="373"/>
      <x:c r="T102" s="373"/>
      <x:c r="U102" s="373"/>
      <x:c r="V102" s="373"/>
      <x:c r="W102" s="373"/>
      <x:c r="X102" s="373"/>
      <x:c r="Y102" s="373"/>
      <x:c r="Z102" s="373"/>
    </x:row>
    <x:row r="103">
      <x:c r="A103" s="373"/>
      <x:c r="B103" s="373"/>
      <x:c r="C103" s="373"/>
      <x:c r="D103" s="373"/>
      <x:c r="E103" s="373"/>
      <x:c r="F103" s="373"/>
      <x:c r="G103" s="373"/>
      <x:c r="H103" s="373"/>
      <x:c r="I103" s="373"/>
      <x:c r="J103" s="373"/>
      <x:c r="K103" s="373"/>
      <x:c r="L103" s="373"/>
      <x:c r="M103" s="373"/>
      <x:c r="N103" s="373"/>
      <x:c r="O103" s="373"/>
      <x:c r="P103" s="373"/>
      <x:c r="Q103" s="373"/>
      <x:c r="R103" s="373"/>
      <x:c r="S103" s="373"/>
      <x:c r="T103" s="373"/>
      <x:c r="U103" s="373"/>
      <x:c r="V103" s="373"/>
      <x:c r="W103" s="373"/>
      <x:c r="X103" s="373"/>
      <x:c r="Y103" s="373"/>
      <x:c r="Z103" s="373"/>
    </x:row>
    <x:row r="104">
      <x:c r="A104" s="373"/>
      <x:c r="B104" s="373"/>
      <x:c r="C104" s="373"/>
      <x:c r="D104" s="373"/>
      <x:c r="E104" s="373"/>
      <x:c r="F104" s="373"/>
      <x:c r="G104" s="373"/>
      <x:c r="H104" s="373"/>
      <x:c r="I104" s="373"/>
      <x:c r="J104" s="373"/>
      <x:c r="K104" s="373"/>
      <x:c r="L104" s="373"/>
      <x:c r="M104" s="373"/>
      <x:c r="N104" s="373"/>
      <x:c r="O104" s="373"/>
      <x:c r="P104" s="373"/>
      <x:c r="Q104" s="373"/>
      <x:c r="R104" s="373"/>
      <x:c r="S104" s="373"/>
      <x:c r="T104" s="373"/>
      <x:c r="U104" s="373"/>
      <x:c r="V104" s="373"/>
      <x:c r="W104" s="373"/>
      <x:c r="X104" s="373"/>
      <x:c r="Y104" s="373"/>
      <x:c r="Z104" s="373"/>
    </x:row>
    <x:row r="105">
      <x:c r="A105" s="373"/>
      <x:c r="B105" s="373"/>
      <x:c r="C105" s="373"/>
      <x:c r="D105" s="373"/>
      <x:c r="E105" s="373"/>
      <x:c r="F105" s="373"/>
      <x:c r="G105" s="373"/>
      <x:c r="H105" s="373"/>
      <x:c r="I105" s="373"/>
      <x:c r="J105" s="373"/>
      <x:c r="K105" s="373"/>
      <x:c r="L105" s="373"/>
      <x:c r="M105" s="373"/>
      <x:c r="N105" s="373"/>
      <x:c r="O105" s="373"/>
      <x:c r="P105" s="373"/>
      <x:c r="Q105" s="373"/>
      <x:c r="R105" s="373"/>
      <x:c r="S105" s="373"/>
      <x:c r="T105" s="373"/>
      <x:c r="U105" s="373"/>
      <x:c r="V105" s="373"/>
      <x:c r="W105" s="373"/>
      <x:c r="X105" s="373"/>
      <x:c r="Y105" s="373"/>
      <x:c r="Z105" s="373"/>
    </x:row>
    <x:row r="106">
      <x:c r="A106" s="373"/>
      <x:c r="B106" s="373"/>
      <x:c r="C106" s="373"/>
      <x:c r="D106" s="373"/>
      <x:c r="E106" s="373"/>
      <x:c r="F106" s="373"/>
      <x:c r="G106" s="373"/>
      <x:c r="H106" s="373"/>
      <x:c r="I106" s="373"/>
      <x:c r="J106" s="373"/>
      <x:c r="K106" s="373"/>
      <x:c r="L106" s="373"/>
      <x:c r="M106" s="373"/>
      <x:c r="N106" s="373"/>
      <x:c r="O106" s="373"/>
      <x:c r="P106" s="373"/>
      <x:c r="Q106" s="373"/>
      <x:c r="R106" s="373"/>
      <x:c r="S106" s="373"/>
      <x:c r="T106" s="373"/>
      <x:c r="U106" s="373"/>
      <x:c r="V106" s="373"/>
      <x:c r="W106" s="373"/>
      <x:c r="X106" s="373"/>
      <x:c r="Y106" s="373"/>
      <x:c r="Z106" s="373"/>
    </x:row>
    <x:row r="107">
      <x:c r="A107" s="373"/>
      <x:c r="B107" s="373"/>
      <x:c r="C107" s="373"/>
      <x:c r="D107" s="373"/>
      <x:c r="E107" s="373"/>
      <x:c r="F107" s="373"/>
      <x:c r="G107" s="373"/>
      <x:c r="H107" s="373"/>
      <x:c r="I107" s="373"/>
      <x:c r="J107" s="373"/>
      <x:c r="K107" s="373"/>
      <x:c r="L107" s="373"/>
      <x:c r="M107" s="373"/>
      <x:c r="N107" s="373"/>
      <x:c r="O107" s="373"/>
      <x:c r="P107" s="373"/>
      <x:c r="Q107" s="373"/>
      <x:c r="R107" s="373"/>
      <x:c r="S107" s="373"/>
      <x:c r="T107" s="373"/>
      <x:c r="U107" s="373"/>
      <x:c r="V107" s="373"/>
      <x:c r="W107" s="373"/>
      <x:c r="X107" s="373"/>
      <x:c r="Y107" s="373"/>
      <x:c r="Z107" s="373"/>
    </x:row>
    <x:row r="108">
      <x:c r="A108" s="373"/>
      <x:c r="B108" s="373"/>
      <x:c r="C108" s="373"/>
      <x:c r="D108" s="373"/>
      <x:c r="E108" s="373"/>
      <x:c r="F108" s="373"/>
      <x:c r="G108" s="373"/>
      <x:c r="H108" s="373"/>
      <x:c r="I108" s="373"/>
      <x:c r="J108" s="373"/>
      <x:c r="K108" s="373"/>
      <x:c r="L108" s="373"/>
      <x:c r="M108" s="373"/>
      <x:c r="N108" s="373"/>
      <x:c r="O108" s="373"/>
      <x:c r="P108" s="373"/>
      <x:c r="Q108" s="373"/>
      <x:c r="R108" s="373"/>
      <x:c r="S108" s="373"/>
      <x:c r="T108" s="373"/>
      <x:c r="U108" s="373"/>
      <x:c r="V108" s="373"/>
      <x:c r="W108" s="373"/>
      <x:c r="X108" s="373"/>
      <x:c r="Y108" s="373"/>
      <x:c r="Z108" s="373"/>
    </x:row>
    <x:row r="109">
      <x:c r="A109" s="373"/>
      <x:c r="B109" s="373"/>
      <x:c r="C109" s="373"/>
      <x:c r="D109" s="373"/>
      <x:c r="E109" s="373"/>
      <x:c r="F109" s="373"/>
      <x:c r="G109" s="373"/>
      <x:c r="H109" s="373"/>
      <x:c r="I109" s="373"/>
      <x:c r="J109" s="373"/>
      <x:c r="K109" s="373"/>
      <x:c r="L109" s="373"/>
      <x:c r="M109" s="373"/>
      <x:c r="N109" s="373"/>
      <x:c r="O109" s="373"/>
      <x:c r="P109" s="373"/>
      <x:c r="Q109" s="373"/>
      <x:c r="R109" s="373"/>
      <x:c r="S109" s="373"/>
      <x:c r="T109" s="373"/>
      <x:c r="U109" s="373"/>
      <x:c r="V109" s="373"/>
      <x:c r="W109" s="373"/>
      <x:c r="X109" s="373"/>
      <x:c r="Y109" s="373"/>
      <x:c r="Z109" s="373"/>
    </x:row>
    <x:row r="110">
      <x:c r="A110" s="373"/>
      <x:c r="B110" s="373"/>
      <x:c r="C110" s="373"/>
      <x:c r="D110" s="373"/>
      <x:c r="E110" s="373"/>
      <x:c r="F110" s="373"/>
      <x:c r="G110" s="373"/>
      <x:c r="H110" s="373"/>
      <x:c r="I110" s="373"/>
      <x:c r="J110" s="373"/>
      <x:c r="K110" s="373"/>
      <x:c r="L110" s="373"/>
      <x:c r="M110" s="373"/>
      <x:c r="N110" s="373"/>
      <x:c r="O110" s="373"/>
      <x:c r="P110" s="373"/>
      <x:c r="Q110" s="373"/>
      <x:c r="R110" s="373"/>
      <x:c r="S110" s="373"/>
      <x:c r="T110" s="373"/>
      <x:c r="U110" s="373"/>
      <x:c r="V110" s="373"/>
      <x:c r="W110" s="373"/>
      <x:c r="X110" s="373"/>
      <x:c r="Y110" s="373"/>
      <x:c r="Z110" s="373"/>
    </x:row>
    <x:row r="111">
      <x:c r="A111" s="373"/>
      <x:c r="B111" s="373"/>
      <x:c r="C111" s="373"/>
      <x:c r="D111" s="373"/>
      <x:c r="E111" s="373"/>
      <x:c r="F111" s="373"/>
      <x:c r="G111" s="373"/>
      <x:c r="H111" s="373"/>
      <x:c r="I111" s="373"/>
      <x:c r="J111" s="373"/>
      <x:c r="K111" s="373"/>
      <x:c r="L111" s="373"/>
      <x:c r="M111" s="373"/>
      <x:c r="N111" s="373"/>
      <x:c r="O111" s="373"/>
      <x:c r="P111" s="373"/>
      <x:c r="Q111" s="373"/>
      <x:c r="R111" s="373"/>
      <x:c r="S111" s="373"/>
      <x:c r="T111" s="373"/>
      <x:c r="U111" s="373"/>
      <x:c r="V111" s="373"/>
      <x:c r="W111" s="373"/>
      <x:c r="X111" s="373"/>
      <x:c r="Y111" s="373"/>
      <x:c r="Z111" s="373"/>
    </x:row>
    <x:row r="112">
      <x:c r="A112" s="373"/>
      <x:c r="B112" s="373"/>
      <x:c r="C112" s="373"/>
      <x:c r="D112" s="373"/>
      <x:c r="E112" s="373"/>
      <x:c r="F112" s="373"/>
      <x:c r="G112" s="373"/>
      <x:c r="H112" s="373"/>
      <x:c r="I112" s="373"/>
      <x:c r="J112" s="373"/>
      <x:c r="K112" s="373"/>
      <x:c r="L112" s="373"/>
      <x:c r="M112" s="373"/>
      <x:c r="N112" s="373"/>
      <x:c r="O112" s="373"/>
      <x:c r="P112" s="373"/>
      <x:c r="Q112" s="373"/>
      <x:c r="R112" s="373"/>
      <x:c r="S112" s="373"/>
      <x:c r="T112" s="373"/>
      <x:c r="U112" s="373"/>
      <x:c r="V112" s="373"/>
      <x:c r="W112" s="373"/>
      <x:c r="X112" s="373"/>
      <x:c r="Y112" s="373"/>
      <x:c r="Z112" s="373"/>
    </x:row>
    <x:row r="113">
      <x:c r="A113" s="373"/>
      <x:c r="B113" s="373"/>
      <x:c r="C113" s="373"/>
      <x:c r="D113" s="373"/>
      <x:c r="E113" s="373"/>
      <x:c r="F113" s="373"/>
      <x:c r="G113" s="373"/>
      <x:c r="H113" s="373"/>
      <x:c r="I113" s="373"/>
      <x:c r="J113" s="373"/>
      <x:c r="K113" s="373"/>
      <x:c r="L113" s="373"/>
      <x:c r="M113" s="373"/>
      <x:c r="N113" s="373"/>
      <x:c r="O113" s="373"/>
      <x:c r="P113" s="373"/>
      <x:c r="Q113" s="373"/>
      <x:c r="R113" s="373"/>
      <x:c r="S113" s="373"/>
      <x:c r="T113" s="373"/>
      <x:c r="U113" s="373"/>
      <x:c r="V113" s="373"/>
      <x:c r="W113" s="373"/>
      <x:c r="X113" s="373"/>
      <x:c r="Y113" s="373"/>
      <x:c r="Z113" s="373"/>
    </x:row>
    <x:row r="114">
      <x:c r="A114" s="373"/>
      <x:c r="B114" s="373"/>
      <x:c r="C114" s="373"/>
      <x:c r="D114" s="373"/>
      <x:c r="E114" s="373"/>
      <x:c r="F114" s="373"/>
      <x:c r="G114" s="373"/>
      <x:c r="H114" s="373"/>
      <x:c r="I114" s="373"/>
      <x:c r="J114" s="373"/>
      <x:c r="K114" s="373"/>
      <x:c r="L114" s="373"/>
      <x:c r="M114" s="373"/>
      <x:c r="N114" s="373"/>
      <x:c r="O114" s="373"/>
      <x:c r="P114" s="373"/>
      <x:c r="Q114" s="373"/>
      <x:c r="R114" s="373"/>
      <x:c r="S114" s="373"/>
      <x:c r="T114" s="373"/>
      <x:c r="U114" s="373"/>
      <x:c r="V114" s="373"/>
      <x:c r="W114" s="373"/>
      <x:c r="X114" s="373"/>
      <x:c r="Y114" s="373"/>
      <x:c r="Z114" s="373"/>
    </x:row>
    <x:row r="115">
      <x:c r="A115" s="373"/>
      <x:c r="B115" s="373"/>
      <x:c r="C115" s="373"/>
      <x:c r="D115" s="373"/>
      <x:c r="E115" s="373"/>
      <x:c r="F115" s="373"/>
      <x:c r="G115" s="373"/>
      <x:c r="H115" s="373"/>
      <x:c r="I115" s="373"/>
      <x:c r="J115" s="373"/>
      <x:c r="K115" s="373"/>
      <x:c r="L115" s="373"/>
      <x:c r="M115" s="373"/>
      <x:c r="N115" s="373"/>
      <x:c r="O115" s="373"/>
      <x:c r="P115" s="373"/>
      <x:c r="Q115" s="373"/>
      <x:c r="R115" s="373"/>
      <x:c r="S115" s="373"/>
      <x:c r="T115" s="373"/>
      <x:c r="U115" s="373"/>
      <x:c r="V115" s="373"/>
      <x:c r="W115" s="373"/>
      <x:c r="X115" s="373"/>
      <x:c r="Y115" s="373"/>
      <x:c r="Z115" s="373"/>
    </x:row>
    <x:row r="116">
      <x:c r="A116" s="373"/>
      <x:c r="B116" s="373"/>
      <x:c r="C116" s="373"/>
      <x:c r="D116" s="373"/>
      <x:c r="E116" s="373"/>
      <x:c r="F116" s="373"/>
      <x:c r="G116" s="373"/>
      <x:c r="H116" s="373"/>
      <x:c r="I116" s="373"/>
      <x:c r="J116" s="373"/>
      <x:c r="K116" s="373"/>
      <x:c r="L116" s="373"/>
      <x:c r="M116" s="373"/>
      <x:c r="N116" s="373"/>
      <x:c r="O116" s="373"/>
      <x:c r="P116" s="373"/>
      <x:c r="Q116" s="373"/>
      <x:c r="R116" s="373"/>
      <x:c r="S116" s="373"/>
      <x:c r="T116" s="373"/>
      <x:c r="U116" s="373"/>
      <x:c r="V116" s="373"/>
      <x:c r="W116" s="373"/>
      <x:c r="X116" s="373"/>
      <x:c r="Y116" s="373"/>
      <x:c r="Z116" s="373"/>
    </x:row>
    <x:row r="117">
      <x:c r="A117" s="373"/>
      <x:c r="B117" s="373"/>
      <x:c r="C117" s="373"/>
      <x:c r="D117" s="373"/>
      <x:c r="E117" s="373"/>
      <x:c r="F117" s="373"/>
      <x:c r="G117" s="373"/>
      <x:c r="H117" s="373"/>
      <x:c r="I117" s="373"/>
      <x:c r="J117" s="373"/>
      <x:c r="K117" s="373"/>
      <x:c r="L117" s="373"/>
      <x:c r="M117" s="373"/>
      <x:c r="N117" s="373"/>
      <x:c r="O117" s="373"/>
      <x:c r="P117" s="373"/>
      <x:c r="Q117" s="373"/>
      <x:c r="R117" s="373"/>
      <x:c r="S117" s="373"/>
      <x:c r="T117" s="373"/>
      <x:c r="U117" s="373"/>
      <x:c r="V117" s="373"/>
      <x:c r="W117" s="373"/>
      <x:c r="X117" s="373"/>
      <x:c r="Y117" s="373"/>
      <x:c r="Z117" s="373"/>
    </x:row>
    <x:row r="118">
      <x:c r="A118" s="373"/>
      <x:c r="B118" s="373"/>
      <x:c r="C118" s="373"/>
      <x:c r="D118" s="373"/>
      <x:c r="E118" s="373"/>
      <x:c r="F118" s="373"/>
      <x:c r="G118" s="373"/>
      <x:c r="H118" s="373"/>
      <x:c r="I118" s="373"/>
      <x:c r="J118" s="373"/>
      <x:c r="K118" s="373"/>
      <x:c r="L118" s="373"/>
      <x:c r="M118" s="373"/>
      <x:c r="N118" s="373"/>
      <x:c r="O118" s="373"/>
      <x:c r="P118" s="373"/>
      <x:c r="Q118" s="373"/>
      <x:c r="R118" s="373"/>
      <x:c r="S118" s="373"/>
      <x:c r="T118" s="373"/>
      <x:c r="U118" s="373"/>
      <x:c r="V118" s="373"/>
      <x:c r="W118" s="373"/>
      <x:c r="X118" s="373"/>
      <x:c r="Y118" s="373"/>
      <x:c r="Z118" s="373"/>
    </x:row>
    <x:row r="119">
      <x:c r="A119" s="373"/>
      <x:c r="B119" s="373"/>
      <x:c r="C119" s="373"/>
      <x:c r="D119" s="373"/>
      <x:c r="E119" s="373"/>
      <x:c r="F119" s="373"/>
      <x:c r="G119" s="373"/>
      <x:c r="H119" s="373"/>
      <x:c r="I119" s="373"/>
      <x:c r="J119" s="373"/>
      <x:c r="K119" s="373"/>
      <x:c r="L119" s="373"/>
      <x:c r="M119" s="373"/>
      <x:c r="N119" s="373"/>
      <x:c r="O119" s="373"/>
      <x:c r="P119" s="373"/>
      <x:c r="Q119" s="373"/>
      <x:c r="R119" s="373"/>
      <x:c r="S119" s="373"/>
      <x:c r="T119" s="373"/>
      <x:c r="U119" s="373"/>
      <x:c r="V119" s="373"/>
      <x:c r="W119" s="373"/>
      <x:c r="X119" s="373"/>
      <x:c r="Y119" s="373"/>
      <x:c r="Z119" s="373"/>
    </x:row>
    <x:row r="120">
      <x:c r="A120" s="373"/>
      <x:c r="B120" s="373"/>
      <x:c r="C120" s="373"/>
      <x:c r="D120" s="373"/>
      <x:c r="E120" s="373"/>
      <x:c r="F120" s="373"/>
      <x:c r="G120" s="373"/>
      <x:c r="H120" s="373"/>
      <x:c r="I120" s="373"/>
      <x:c r="J120" s="373"/>
      <x:c r="K120" s="373"/>
      <x:c r="L120" s="373"/>
      <x:c r="M120" s="373"/>
      <x:c r="N120" s="373"/>
      <x:c r="O120" s="373"/>
      <x:c r="P120" s="373"/>
      <x:c r="Q120" s="373"/>
      <x:c r="R120" s="373"/>
      <x:c r="S120" s="373"/>
      <x:c r="T120" s="373"/>
      <x:c r="U120" s="373"/>
      <x:c r="V120" s="373"/>
      <x:c r="W120" s="373"/>
      <x:c r="X120" s="373"/>
      <x:c r="Y120" s="373"/>
      <x:c r="Z120" s="373"/>
    </x:row>
    <x:row r="121">
      <x:c r="A121" s="373"/>
      <x:c r="B121" s="373"/>
      <x:c r="C121" s="373"/>
      <x:c r="D121" s="373"/>
      <x:c r="E121" s="373"/>
      <x:c r="F121" s="373"/>
      <x:c r="G121" s="373"/>
      <x:c r="H121" s="373"/>
      <x:c r="I121" s="373"/>
      <x:c r="J121" s="373"/>
      <x:c r="K121" s="373"/>
      <x:c r="L121" s="373"/>
      <x:c r="M121" s="373"/>
      <x:c r="N121" s="373"/>
      <x:c r="O121" s="373"/>
      <x:c r="P121" s="373"/>
      <x:c r="Q121" s="373"/>
      <x:c r="R121" s="373"/>
      <x:c r="S121" s="373"/>
      <x:c r="T121" s="373"/>
      <x:c r="U121" s="373"/>
      <x:c r="V121" s="373"/>
      <x:c r="W121" s="373"/>
      <x:c r="X121" s="373"/>
      <x:c r="Y121" s="373"/>
      <x:c r="Z121" s="373"/>
    </x:row>
    <x:row r="122">
      <x:c r="A122" s="373"/>
      <x:c r="B122" s="373"/>
      <x:c r="C122" s="373"/>
      <x:c r="D122" s="373"/>
      <x:c r="E122" s="373"/>
      <x:c r="F122" s="373"/>
      <x:c r="G122" s="373"/>
      <x:c r="H122" s="373"/>
      <x:c r="I122" s="373"/>
      <x:c r="J122" s="373"/>
      <x:c r="K122" s="373"/>
      <x:c r="L122" s="373"/>
      <x:c r="M122" s="373"/>
      <x:c r="N122" s="373"/>
      <x:c r="O122" s="373"/>
      <x:c r="P122" s="373"/>
      <x:c r="Q122" s="373"/>
      <x:c r="R122" s="373"/>
      <x:c r="S122" s="373"/>
      <x:c r="T122" s="373"/>
      <x:c r="U122" s="373"/>
      <x:c r="V122" s="373"/>
      <x:c r="W122" s="373"/>
      <x:c r="X122" s="373"/>
      <x:c r="Y122" s="373"/>
      <x:c r="Z122" s="373"/>
    </x:row>
    <x:row r="123">
      <x:c r="A123" s="373"/>
      <x:c r="B123" s="373"/>
      <x:c r="C123" s="373"/>
      <x:c r="D123" s="373"/>
      <x:c r="E123" s="373"/>
      <x:c r="F123" s="373"/>
      <x:c r="G123" s="373"/>
      <x:c r="H123" s="373"/>
      <x:c r="I123" s="373"/>
      <x:c r="J123" s="373"/>
      <x:c r="K123" s="373"/>
      <x:c r="L123" s="373"/>
      <x:c r="M123" s="373"/>
      <x:c r="N123" s="373"/>
      <x:c r="O123" s="373"/>
      <x:c r="P123" s="373"/>
      <x:c r="Q123" s="373"/>
      <x:c r="R123" s="373"/>
      <x:c r="S123" s="373"/>
      <x:c r="T123" s="373"/>
      <x:c r="U123" s="373"/>
      <x:c r="V123" s="373"/>
      <x:c r="W123" s="373"/>
      <x:c r="X123" s="373"/>
      <x:c r="Y123" s="373"/>
      <x:c r="Z123" s="373"/>
    </x:row>
    <x:row r="124">
      <x:c r="A124" s="373"/>
      <x:c r="B124" s="373"/>
      <x:c r="C124" s="373"/>
      <x:c r="D124" s="373"/>
      <x:c r="E124" s="373"/>
      <x:c r="F124" s="373"/>
      <x:c r="G124" s="373"/>
      <x:c r="H124" s="373"/>
      <x:c r="I124" s="373"/>
      <x:c r="J124" s="373"/>
      <x:c r="K124" s="373"/>
      <x:c r="L124" s="373"/>
      <x:c r="M124" s="373"/>
      <x:c r="N124" s="373"/>
      <x:c r="O124" s="373"/>
      <x:c r="P124" s="373"/>
      <x:c r="Q124" s="373"/>
      <x:c r="R124" s="373"/>
      <x:c r="S124" s="373"/>
      <x:c r="T124" s="373"/>
      <x:c r="U124" s="373"/>
      <x:c r="V124" s="373"/>
      <x:c r="W124" s="373"/>
      <x:c r="X124" s="373"/>
      <x:c r="Y124" s="373"/>
      <x:c r="Z124" s="373"/>
    </x:row>
    <x:row r="125">
      <x:c r="A125" s="373"/>
      <x:c r="B125" s="373"/>
      <x:c r="C125" s="373"/>
      <x:c r="D125" s="373"/>
      <x:c r="E125" s="373"/>
      <x:c r="F125" s="373"/>
      <x:c r="G125" s="373"/>
      <x:c r="H125" s="373"/>
      <x:c r="I125" s="373"/>
      <x:c r="J125" s="373"/>
      <x:c r="K125" s="373"/>
      <x:c r="L125" s="373"/>
      <x:c r="M125" s="373"/>
      <x:c r="N125" s="373"/>
      <x:c r="O125" s="373"/>
      <x:c r="P125" s="373"/>
      <x:c r="Q125" s="373"/>
      <x:c r="R125" s="373"/>
      <x:c r="S125" s="373"/>
      <x:c r="T125" s="373"/>
      <x:c r="U125" s="373"/>
      <x:c r="V125" s="373"/>
      <x:c r="W125" s="373"/>
      <x:c r="X125" s="373"/>
      <x:c r="Y125" s="373"/>
      <x:c r="Z125" s="373"/>
    </x:row>
    <x:row r="126">
      <x:c r="A126" s="373"/>
      <x:c r="B126" s="373"/>
      <x:c r="C126" s="373"/>
      <x:c r="D126" s="373"/>
      <x:c r="E126" s="373"/>
      <x:c r="F126" s="373"/>
      <x:c r="G126" s="373"/>
      <x:c r="H126" s="373"/>
      <x:c r="I126" s="373"/>
      <x:c r="J126" s="373"/>
      <x:c r="K126" s="373"/>
      <x:c r="L126" s="373"/>
      <x:c r="M126" s="373"/>
      <x:c r="N126" s="373"/>
      <x:c r="O126" s="373"/>
      <x:c r="P126" s="373"/>
      <x:c r="Q126" s="373"/>
      <x:c r="R126" s="373"/>
      <x:c r="S126" s="373"/>
      <x:c r="T126" s="373"/>
      <x:c r="U126" s="373"/>
      <x:c r="V126" s="373"/>
      <x:c r="W126" s="373"/>
      <x:c r="X126" s="373"/>
      <x:c r="Y126" s="373"/>
      <x:c r="Z126" s="373"/>
    </x:row>
    <x:row r="127">
      <x:c r="A127" s="373"/>
      <x:c r="B127" s="373"/>
      <x:c r="C127" s="373"/>
      <x:c r="D127" s="373"/>
      <x:c r="E127" s="373"/>
      <x:c r="F127" s="373"/>
      <x:c r="G127" s="373"/>
      <x:c r="H127" s="373"/>
      <x:c r="I127" s="373"/>
      <x:c r="J127" s="373"/>
      <x:c r="K127" s="373"/>
      <x:c r="L127" s="373"/>
      <x:c r="M127" s="373"/>
      <x:c r="N127" s="373"/>
      <x:c r="O127" s="373"/>
      <x:c r="P127" s="373"/>
      <x:c r="Q127" s="373"/>
      <x:c r="R127" s="373"/>
      <x:c r="S127" s="373"/>
      <x:c r="T127" s="373"/>
      <x:c r="U127" s="373"/>
      <x:c r="V127" s="373"/>
      <x:c r="W127" s="373"/>
      <x:c r="X127" s="373"/>
      <x:c r="Y127" s="373"/>
      <x:c r="Z127" s="373"/>
    </x:row>
    <x:row r="128">
      <x:c r="A128" s="373"/>
      <x:c r="B128" s="373"/>
      <x:c r="C128" s="373"/>
      <x:c r="D128" s="373"/>
      <x:c r="E128" s="373"/>
      <x:c r="F128" s="373"/>
      <x:c r="G128" s="373"/>
      <x:c r="H128" s="373"/>
      <x:c r="I128" s="373"/>
      <x:c r="J128" s="373"/>
      <x:c r="K128" s="373"/>
      <x:c r="L128" s="373"/>
      <x:c r="M128" s="373"/>
      <x:c r="N128" s="373"/>
      <x:c r="O128" s="373"/>
      <x:c r="P128" s="373"/>
      <x:c r="Q128" s="373"/>
      <x:c r="R128" s="373"/>
      <x:c r="S128" s="373"/>
      <x:c r="T128" s="373"/>
      <x:c r="U128" s="373"/>
      <x:c r="V128" s="373"/>
      <x:c r="W128" s="373"/>
      <x:c r="X128" s="373"/>
      <x:c r="Y128" s="373"/>
      <x:c r="Z128" s="373"/>
    </x:row>
    <x:row r="129">
      <x:c r="A129" s="373"/>
      <x:c r="B129" s="373"/>
      <x:c r="C129" s="373"/>
      <x:c r="D129" s="373"/>
      <x:c r="E129" s="373"/>
      <x:c r="F129" s="373"/>
      <x:c r="G129" s="373"/>
      <x:c r="H129" s="373"/>
      <x:c r="I129" s="373"/>
      <x:c r="J129" s="373"/>
      <x:c r="K129" s="373"/>
      <x:c r="L129" s="373"/>
      <x:c r="M129" s="373"/>
      <x:c r="N129" s="373"/>
      <x:c r="O129" s="373"/>
      <x:c r="P129" s="373"/>
      <x:c r="Q129" s="373"/>
      <x:c r="R129" s="373"/>
      <x:c r="S129" s="373"/>
      <x:c r="T129" s="373"/>
      <x:c r="U129" s="373"/>
      <x:c r="V129" s="373"/>
      <x:c r="W129" s="373"/>
      <x:c r="X129" s="373"/>
      <x:c r="Y129" s="373"/>
      <x:c r="Z129" s="373"/>
    </x:row>
    <x:row r="130">
      <x:c r="A130" s="373"/>
      <x:c r="B130" s="373"/>
      <x:c r="C130" s="373"/>
      <x:c r="D130" s="373"/>
      <x:c r="E130" s="373"/>
      <x:c r="F130" s="373"/>
      <x:c r="G130" s="373"/>
      <x:c r="H130" s="373"/>
      <x:c r="I130" s="373"/>
      <x:c r="J130" s="373"/>
      <x:c r="K130" s="373"/>
      <x:c r="L130" s="373"/>
      <x:c r="M130" s="373"/>
      <x:c r="N130" s="373"/>
      <x:c r="O130" s="373"/>
      <x:c r="P130" s="373"/>
      <x:c r="Q130" s="373"/>
      <x:c r="R130" s="373"/>
      <x:c r="S130" s="373"/>
      <x:c r="T130" s="373"/>
      <x:c r="U130" s="373"/>
      <x:c r="V130" s="373"/>
      <x:c r="W130" s="373"/>
      <x:c r="X130" s="373"/>
      <x:c r="Y130" s="373"/>
      <x:c r="Z130" s="373"/>
    </x:row>
    <x:row r="131">
      <x:c r="A131" s="373"/>
      <x:c r="B131" s="373"/>
      <x:c r="C131" s="373"/>
      <x:c r="D131" s="373"/>
      <x:c r="E131" s="373"/>
      <x:c r="F131" s="373"/>
      <x:c r="G131" s="373"/>
      <x:c r="H131" s="373"/>
      <x:c r="I131" s="373"/>
      <x:c r="J131" s="373"/>
      <x:c r="K131" s="373"/>
      <x:c r="L131" s="373"/>
      <x:c r="M131" s="373"/>
      <x:c r="N131" s="373"/>
      <x:c r="O131" s="373"/>
      <x:c r="P131" s="373"/>
      <x:c r="Q131" s="373"/>
      <x:c r="R131" s="373"/>
      <x:c r="S131" s="373"/>
      <x:c r="T131" s="373"/>
      <x:c r="U131" s="373"/>
      <x:c r="V131" s="373"/>
      <x:c r="W131" s="373"/>
      <x:c r="X131" s="373"/>
      <x:c r="Y131" s="373"/>
      <x:c r="Z131" s="373"/>
    </x:row>
    <x:row r="132">
      <x:c r="A132" s="373"/>
      <x:c r="B132" s="373"/>
      <x:c r="C132" s="373"/>
      <x:c r="D132" s="373"/>
      <x:c r="E132" s="373"/>
      <x:c r="F132" s="373"/>
      <x:c r="G132" s="373"/>
      <x:c r="H132" s="373"/>
      <x:c r="I132" s="373"/>
      <x:c r="J132" s="373"/>
      <x:c r="K132" s="373"/>
      <x:c r="L132" s="373"/>
      <x:c r="M132" s="373"/>
      <x:c r="N132" s="373"/>
      <x:c r="O132" s="373"/>
      <x:c r="P132" s="373"/>
      <x:c r="Q132" s="373"/>
      <x:c r="R132" s="373"/>
      <x:c r="S132" s="373"/>
      <x:c r="T132" s="373"/>
      <x:c r="U132" s="373"/>
      <x:c r="V132" s="373"/>
      <x:c r="W132" s="373"/>
      <x:c r="X132" s="373"/>
      <x:c r="Y132" s="373"/>
      <x:c r="Z132" s="373"/>
    </x:row>
    <x:row r="133">
      <x:c r="A133" s="373"/>
      <x:c r="B133" s="373"/>
      <x:c r="C133" s="373"/>
      <x:c r="D133" s="373"/>
      <x:c r="E133" s="373"/>
      <x:c r="F133" s="373"/>
      <x:c r="G133" s="373"/>
      <x:c r="H133" s="373"/>
      <x:c r="I133" s="373"/>
      <x:c r="J133" s="373"/>
      <x:c r="K133" s="373"/>
      <x:c r="L133" s="373"/>
      <x:c r="M133" s="373"/>
      <x:c r="N133" s="373"/>
      <x:c r="O133" s="373"/>
      <x:c r="P133" s="373"/>
      <x:c r="Q133" s="373"/>
      <x:c r="R133" s="373"/>
      <x:c r="S133" s="373"/>
      <x:c r="T133" s="373"/>
      <x:c r="U133" s="373"/>
      <x:c r="V133" s="373"/>
      <x:c r="W133" s="373"/>
      <x:c r="X133" s="373"/>
      <x:c r="Y133" s="373"/>
      <x:c r="Z133" s="373"/>
    </x:row>
    <x:row r="134">
      <x:c r="A134" s="373"/>
      <x:c r="B134" s="373"/>
      <x:c r="C134" s="373"/>
      <x:c r="D134" s="373"/>
      <x:c r="E134" s="373"/>
      <x:c r="F134" s="373"/>
      <x:c r="G134" s="373"/>
      <x:c r="H134" s="373"/>
      <x:c r="I134" s="373"/>
      <x:c r="J134" s="373"/>
      <x:c r="K134" s="373"/>
      <x:c r="L134" s="373"/>
      <x:c r="M134" s="373"/>
      <x:c r="N134" s="373"/>
      <x:c r="O134" s="373"/>
      <x:c r="P134" s="373"/>
      <x:c r="Q134" s="373"/>
      <x:c r="R134" s="373"/>
      <x:c r="S134" s="373"/>
      <x:c r="T134" s="373"/>
      <x:c r="U134" s="373"/>
      <x:c r="V134" s="373"/>
      <x:c r="W134" s="373"/>
      <x:c r="X134" s="373"/>
      <x:c r="Y134" s="373"/>
      <x:c r="Z134" s="373"/>
    </x:row>
    <x:row r="135">
      <x:c r="A135" s="373"/>
      <x:c r="B135" s="373"/>
      <x:c r="C135" s="373"/>
      <x:c r="D135" s="373"/>
      <x:c r="E135" s="373"/>
      <x:c r="F135" s="373"/>
      <x:c r="G135" s="373"/>
      <x:c r="H135" s="373"/>
      <x:c r="I135" s="373"/>
      <x:c r="J135" s="373"/>
      <x:c r="K135" s="373"/>
      <x:c r="L135" s="373"/>
      <x:c r="M135" s="373"/>
      <x:c r="N135" s="373"/>
      <x:c r="O135" s="373"/>
      <x:c r="P135" s="373"/>
      <x:c r="Q135" s="373"/>
      <x:c r="R135" s="373"/>
      <x:c r="S135" s="373"/>
      <x:c r="T135" s="373"/>
      <x:c r="U135" s="373"/>
      <x:c r="V135" s="373"/>
      <x:c r="W135" s="373"/>
      <x:c r="X135" s="373"/>
      <x:c r="Y135" s="373"/>
      <x:c r="Z135" s="373"/>
    </x:row>
    <x:row r="136">
      <x:c r="A136" s="373"/>
      <x:c r="B136" s="373"/>
      <x:c r="C136" s="373"/>
      <x:c r="D136" s="373"/>
      <x:c r="E136" s="373"/>
      <x:c r="F136" s="373"/>
      <x:c r="G136" s="373"/>
      <x:c r="H136" s="373"/>
      <x:c r="I136" s="373"/>
      <x:c r="J136" s="373"/>
      <x:c r="K136" s="373"/>
      <x:c r="L136" s="373"/>
      <x:c r="M136" s="373"/>
      <x:c r="N136" s="373"/>
      <x:c r="O136" s="373"/>
      <x:c r="P136" s="373"/>
      <x:c r="Q136" s="373"/>
      <x:c r="R136" s="373"/>
      <x:c r="S136" s="373"/>
      <x:c r="T136" s="373"/>
      <x:c r="U136" s="373"/>
      <x:c r="V136" s="373"/>
      <x:c r="W136" s="373"/>
      <x:c r="X136" s="373"/>
      <x:c r="Y136" s="373"/>
      <x:c r="Z136" s="373"/>
    </x:row>
    <x:row r="137">
      <x:c r="A137" s="373"/>
      <x:c r="B137" s="373"/>
      <x:c r="C137" s="373"/>
      <x:c r="D137" s="373"/>
      <x:c r="E137" s="373"/>
      <x:c r="F137" s="373"/>
      <x:c r="G137" s="373"/>
      <x:c r="H137" s="373"/>
      <x:c r="I137" s="373"/>
      <x:c r="J137" s="373"/>
      <x:c r="K137" s="373"/>
      <x:c r="L137" s="373"/>
      <x:c r="M137" s="373"/>
      <x:c r="N137" s="373"/>
      <x:c r="O137" s="373"/>
      <x:c r="P137" s="373"/>
      <x:c r="Q137" s="373"/>
      <x:c r="R137" s="373"/>
      <x:c r="S137" s="373"/>
      <x:c r="T137" s="373"/>
      <x:c r="U137" s="373"/>
      <x:c r="V137" s="373"/>
      <x:c r="W137" s="373"/>
      <x:c r="X137" s="373"/>
      <x:c r="Y137" s="373"/>
      <x:c r="Z137" s="373"/>
    </x:row>
    <x:row r="138">
      <x:c r="A138" s="373"/>
      <x:c r="B138" s="373"/>
      <x:c r="C138" s="373"/>
      <x:c r="D138" s="373"/>
      <x:c r="E138" s="373"/>
      <x:c r="F138" s="373"/>
      <x:c r="G138" s="373"/>
      <x:c r="H138" s="373"/>
      <x:c r="I138" s="373"/>
      <x:c r="J138" s="373"/>
      <x:c r="K138" s="373"/>
      <x:c r="L138" s="373"/>
      <x:c r="M138" s="373"/>
      <x:c r="N138" s="373"/>
      <x:c r="O138" s="373"/>
      <x:c r="P138" s="373"/>
      <x:c r="Q138" s="373"/>
      <x:c r="R138" s="373"/>
      <x:c r="S138" s="373"/>
      <x:c r="T138" s="373"/>
      <x:c r="U138" s="373"/>
      <x:c r="V138" s="373"/>
      <x:c r="W138" s="373"/>
      <x:c r="X138" s="373"/>
      <x:c r="Y138" s="373"/>
      <x:c r="Z138" s="373"/>
    </x:row>
    <x:row r="139">
      <x:c r="A139" s="373"/>
      <x:c r="B139" s="373"/>
      <x:c r="C139" s="373"/>
      <x:c r="D139" s="373"/>
      <x:c r="E139" s="373"/>
      <x:c r="F139" s="373"/>
      <x:c r="G139" s="373"/>
      <x:c r="H139" s="373"/>
      <x:c r="I139" s="373"/>
      <x:c r="J139" s="373"/>
      <x:c r="K139" s="373"/>
      <x:c r="L139" s="373"/>
      <x:c r="M139" s="373"/>
      <x:c r="N139" s="373"/>
      <x:c r="O139" s="373"/>
      <x:c r="P139" s="373"/>
      <x:c r="Q139" s="373"/>
      <x:c r="R139" s="373"/>
      <x:c r="S139" s="373"/>
      <x:c r="T139" s="373"/>
      <x:c r="U139" s="373"/>
      <x:c r="V139" s="373"/>
      <x:c r="W139" s="373"/>
      <x:c r="X139" s="373"/>
      <x:c r="Y139" s="373"/>
      <x:c r="Z139" s="373"/>
    </x:row>
    <x:row r="140">
      <x:c r="A140" s="373"/>
      <x:c r="B140" s="373"/>
      <x:c r="C140" s="373"/>
      <x:c r="D140" s="373"/>
      <x:c r="E140" s="373"/>
      <x:c r="F140" s="373"/>
      <x:c r="G140" s="373"/>
      <x:c r="H140" s="373"/>
      <x:c r="I140" s="373"/>
      <x:c r="J140" s="373"/>
      <x:c r="K140" s="373"/>
      <x:c r="L140" s="373"/>
      <x:c r="M140" s="373"/>
      <x:c r="N140" s="373"/>
      <x:c r="O140" s="373"/>
      <x:c r="P140" s="373"/>
      <x:c r="Q140" s="373"/>
      <x:c r="R140" s="373"/>
      <x:c r="S140" s="373"/>
      <x:c r="T140" s="373"/>
      <x:c r="U140" s="373"/>
      <x:c r="V140" s="373"/>
      <x:c r="W140" s="373"/>
      <x:c r="X140" s="373"/>
      <x:c r="Y140" s="373"/>
      <x:c r="Z140" s="373"/>
    </x:row>
    <x:row r="141">
      <x:c r="A141" s="373"/>
      <x:c r="B141" s="373"/>
      <x:c r="C141" s="373"/>
      <x:c r="D141" s="373"/>
      <x:c r="E141" s="373"/>
      <x:c r="F141" s="373"/>
      <x:c r="G141" s="373"/>
      <x:c r="H141" s="373"/>
      <x:c r="I141" s="373"/>
      <x:c r="J141" s="373"/>
      <x:c r="K141" s="373"/>
      <x:c r="L141" s="373"/>
      <x:c r="M141" s="373"/>
      <x:c r="N141" s="373"/>
      <x:c r="O141" s="373"/>
      <x:c r="P141" s="373"/>
      <x:c r="Q141" s="373"/>
      <x:c r="R141" s="373"/>
      <x:c r="S141" s="373"/>
      <x:c r="T141" s="373"/>
      <x:c r="U141" s="373"/>
      <x:c r="V141" s="373"/>
      <x:c r="W141" s="373"/>
      <x:c r="X141" s="373"/>
      <x:c r="Y141" s="373"/>
      <x:c r="Z141" s="373"/>
    </x:row>
    <x:row r="142">
      <x:c r="A142" s="373"/>
      <x:c r="B142" s="373"/>
      <x:c r="C142" s="373"/>
      <x:c r="D142" s="373"/>
      <x:c r="E142" s="373"/>
      <x:c r="F142" s="373"/>
      <x:c r="G142" s="373"/>
      <x:c r="H142" s="373"/>
      <x:c r="I142" s="373"/>
      <x:c r="J142" s="373"/>
      <x:c r="K142" s="373"/>
      <x:c r="L142" s="373"/>
      <x:c r="M142" s="373"/>
      <x:c r="N142" s="373"/>
      <x:c r="O142" s="373"/>
      <x:c r="P142" s="373"/>
      <x:c r="Q142" s="373"/>
      <x:c r="R142" s="373"/>
      <x:c r="S142" s="373"/>
      <x:c r="T142" s="373"/>
      <x:c r="U142" s="373"/>
      <x:c r="V142" s="373"/>
      <x:c r="W142" s="373"/>
      <x:c r="X142" s="373"/>
      <x:c r="Y142" s="373"/>
      <x:c r="Z142" s="373"/>
    </x:row>
    <x:row r="143">
      <x:c r="A143" s="373"/>
      <x:c r="B143" s="373"/>
      <x:c r="C143" s="373"/>
      <x:c r="D143" s="373"/>
      <x:c r="E143" s="373"/>
      <x:c r="F143" s="373"/>
      <x:c r="G143" s="373"/>
      <x:c r="H143" s="373"/>
      <x:c r="I143" s="373"/>
      <x:c r="J143" s="373"/>
      <x:c r="K143" s="373"/>
      <x:c r="L143" s="373"/>
      <x:c r="M143" s="373"/>
      <x:c r="N143" s="373"/>
      <x:c r="O143" s="373"/>
      <x:c r="P143" s="373"/>
      <x:c r="Q143" s="373"/>
      <x:c r="R143" s="373"/>
      <x:c r="S143" s="373"/>
      <x:c r="T143" s="373"/>
      <x:c r="U143" s="373"/>
      <x:c r="V143" s="373"/>
      <x:c r="W143" s="373"/>
      <x:c r="X143" s="373"/>
      <x:c r="Y143" s="373"/>
      <x:c r="Z143" s="373"/>
    </x:row>
    <x:row r="144">
      <x:c r="A144" s="373"/>
      <x:c r="B144" s="373"/>
      <x:c r="C144" s="373"/>
      <x:c r="D144" s="373"/>
      <x:c r="E144" s="373"/>
      <x:c r="F144" s="373"/>
      <x:c r="G144" s="373"/>
      <x:c r="H144" s="373"/>
      <x:c r="I144" s="373"/>
      <x:c r="J144" s="373"/>
      <x:c r="K144" s="373"/>
      <x:c r="L144" s="373"/>
      <x:c r="M144" s="373"/>
      <x:c r="N144" s="373"/>
      <x:c r="O144" s="373"/>
      <x:c r="P144" s="373"/>
      <x:c r="Q144" s="373"/>
      <x:c r="R144" s="373"/>
      <x:c r="S144" s="373"/>
      <x:c r="T144" s="373"/>
      <x:c r="U144" s="373"/>
      <x:c r="V144" s="373"/>
      <x:c r="W144" s="373"/>
      <x:c r="X144" s="373"/>
      <x:c r="Y144" s="373"/>
      <x:c r="Z144" s="373"/>
    </x:row>
    <x:row r="145">
      <x:c r="A145" s="373"/>
      <x:c r="B145" s="373"/>
      <x:c r="C145" s="373"/>
      <x:c r="D145" s="373"/>
      <x:c r="E145" s="373"/>
      <x:c r="F145" s="373"/>
      <x:c r="G145" s="373"/>
      <x:c r="H145" s="373"/>
      <x:c r="I145" s="373"/>
      <x:c r="J145" s="373"/>
      <x:c r="K145" s="373"/>
      <x:c r="L145" s="373"/>
      <x:c r="M145" s="373"/>
      <x:c r="N145" s="373"/>
      <x:c r="O145" s="373"/>
      <x:c r="P145" s="373"/>
      <x:c r="Q145" s="373"/>
      <x:c r="R145" s="373"/>
      <x:c r="S145" s="373"/>
      <x:c r="T145" s="373"/>
      <x:c r="U145" s="373"/>
      <x:c r="V145" s="373"/>
      <x:c r="W145" s="373"/>
      <x:c r="X145" s="373"/>
      <x:c r="Y145" s="373"/>
      <x:c r="Z145" s="373"/>
    </x:row>
    <x:row r="146">
      <x:c r="A146" s="373"/>
      <x:c r="B146" s="373"/>
      <x:c r="C146" s="373"/>
      <x:c r="D146" s="373"/>
      <x:c r="E146" s="373"/>
      <x:c r="F146" s="373"/>
      <x:c r="G146" s="373"/>
      <x:c r="H146" s="373"/>
      <x:c r="I146" s="373"/>
      <x:c r="J146" s="373"/>
      <x:c r="K146" s="373"/>
      <x:c r="L146" s="373"/>
      <x:c r="M146" s="373"/>
      <x:c r="N146" s="373"/>
      <x:c r="O146" s="373"/>
      <x:c r="P146" s="373"/>
      <x:c r="Q146" s="373"/>
      <x:c r="R146" s="373"/>
      <x:c r="S146" s="373"/>
      <x:c r="T146" s="373"/>
      <x:c r="U146" s="373"/>
      <x:c r="V146" s="373"/>
      <x:c r="W146" s="373"/>
      <x:c r="X146" s="373"/>
      <x:c r="Y146" s="373"/>
      <x:c r="Z146" s="373"/>
    </x:row>
    <x:row r="147">
      <x:c r="A147" s="373"/>
      <x:c r="B147" s="373"/>
      <x:c r="C147" s="373"/>
      <x:c r="D147" s="373"/>
      <x:c r="E147" s="373"/>
      <x:c r="F147" s="373"/>
      <x:c r="G147" s="373"/>
      <x:c r="H147" s="373"/>
      <x:c r="I147" s="373"/>
      <x:c r="J147" s="373"/>
      <x:c r="K147" s="373"/>
      <x:c r="L147" s="373"/>
      <x:c r="M147" s="373"/>
      <x:c r="N147" s="373"/>
      <x:c r="O147" s="373"/>
      <x:c r="P147" s="373"/>
      <x:c r="Q147" s="373"/>
      <x:c r="R147" s="373"/>
      <x:c r="S147" s="373"/>
      <x:c r="T147" s="373"/>
      <x:c r="U147" s="373"/>
      <x:c r="V147" s="373"/>
      <x:c r="W147" s="373"/>
      <x:c r="X147" s="373"/>
      <x:c r="Y147" s="373"/>
      <x:c r="Z147" s="373"/>
    </x:row>
    <x:row r="148">
      <x:c r="A148" s="373"/>
      <x:c r="B148" s="373"/>
      <x:c r="C148" s="373"/>
      <x:c r="D148" s="373"/>
      <x:c r="E148" s="373"/>
      <x:c r="F148" s="373"/>
      <x:c r="G148" s="373"/>
      <x:c r="H148" s="373"/>
      <x:c r="I148" s="373"/>
      <x:c r="J148" s="373"/>
      <x:c r="K148" s="373"/>
      <x:c r="L148" s="373"/>
      <x:c r="M148" s="373"/>
      <x:c r="N148" s="373"/>
      <x:c r="O148" s="373"/>
      <x:c r="P148" s="373"/>
      <x:c r="Q148" s="373"/>
      <x:c r="R148" s="373"/>
      <x:c r="S148" s="373"/>
      <x:c r="T148" s="373"/>
      <x:c r="U148" s="373"/>
      <x:c r="V148" s="373"/>
      <x:c r="W148" s="373"/>
      <x:c r="X148" s="373"/>
      <x:c r="Y148" s="373"/>
      <x:c r="Z148" s="373"/>
    </x:row>
    <x:row r="149">
      <x:c r="A149" s="373"/>
      <x:c r="B149" s="373"/>
      <x:c r="C149" s="373"/>
      <x:c r="D149" s="373"/>
      <x:c r="E149" s="373"/>
      <x:c r="F149" s="373"/>
      <x:c r="G149" s="373"/>
      <x:c r="H149" s="373"/>
      <x:c r="I149" s="373"/>
      <x:c r="J149" s="373"/>
      <x:c r="K149" s="373"/>
      <x:c r="L149" s="373"/>
      <x:c r="M149" s="373"/>
      <x:c r="N149" s="373"/>
      <x:c r="O149" s="373"/>
      <x:c r="P149" s="373"/>
      <x:c r="Q149" s="373"/>
      <x:c r="R149" s="373"/>
      <x:c r="S149" s="373"/>
      <x:c r="T149" s="373"/>
      <x:c r="U149" s="373"/>
      <x:c r="V149" s="373"/>
      <x:c r="W149" s="373"/>
      <x:c r="X149" s="373"/>
      <x:c r="Y149" s="373"/>
      <x:c r="Z149" s="373"/>
    </x:row>
    <x:row r="150">
      <x:c r="A150" s="373"/>
      <x:c r="B150" s="373"/>
      <x:c r="C150" s="373"/>
      <x:c r="D150" s="373"/>
      <x:c r="E150" s="373"/>
      <x:c r="F150" s="373"/>
      <x:c r="G150" s="373"/>
      <x:c r="H150" s="373"/>
      <x:c r="I150" s="373"/>
      <x:c r="J150" s="373"/>
      <x:c r="K150" s="373"/>
      <x:c r="L150" s="373"/>
      <x:c r="M150" s="373"/>
      <x:c r="N150" s="373"/>
      <x:c r="O150" s="373"/>
      <x:c r="P150" s="373"/>
      <x:c r="Q150" s="373"/>
      <x:c r="R150" s="373"/>
      <x:c r="S150" s="373"/>
      <x:c r="T150" s="373"/>
      <x:c r="U150" s="373"/>
      <x:c r="V150" s="373"/>
      <x:c r="W150" s="373"/>
      <x:c r="X150" s="373"/>
      <x:c r="Y150" s="373"/>
      <x:c r="Z150" s="373"/>
    </x:row>
    <x:row r="151">
      <x:c r="A151" s="373"/>
      <x:c r="B151" s="373"/>
      <x:c r="C151" s="373"/>
      <x:c r="D151" s="373"/>
      <x:c r="E151" s="373"/>
      <x:c r="F151" s="373"/>
      <x:c r="G151" s="373"/>
      <x:c r="H151" s="373"/>
      <x:c r="I151" s="373"/>
      <x:c r="J151" s="373"/>
      <x:c r="K151" s="373"/>
      <x:c r="L151" s="373"/>
      <x:c r="M151" s="373"/>
      <x:c r="N151" s="373"/>
      <x:c r="O151" s="373"/>
      <x:c r="P151" s="373"/>
      <x:c r="Q151" s="373"/>
      <x:c r="R151" s="373"/>
      <x:c r="S151" s="373"/>
      <x:c r="T151" s="373"/>
      <x:c r="U151" s="373"/>
      <x:c r="V151" s="373"/>
      <x:c r="W151" s="373"/>
      <x:c r="X151" s="373"/>
      <x:c r="Y151" s="373"/>
      <x:c r="Z151" s="373"/>
    </x:row>
    <x:row r="152">
      <x:c r="A152" s="373"/>
      <x:c r="B152" s="373"/>
      <x:c r="C152" s="373"/>
      <x:c r="D152" s="373"/>
      <x:c r="E152" s="373"/>
      <x:c r="F152" s="373"/>
      <x:c r="G152" s="373"/>
      <x:c r="H152" s="373"/>
      <x:c r="I152" s="373"/>
      <x:c r="J152" s="373"/>
      <x:c r="K152" s="373"/>
      <x:c r="L152" s="373"/>
      <x:c r="M152" s="373"/>
      <x:c r="N152" s="373"/>
      <x:c r="O152" s="373"/>
      <x:c r="P152" s="373"/>
      <x:c r="Q152" s="373"/>
      <x:c r="R152" s="373"/>
      <x:c r="S152" s="373"/>
      <x:c r="T152" s="373"/>
      <x:c r="U152" s="373"/>
      <x:c r="V152" s="373"/>
      <x:c r="W152" s="373"/>
      <x:c r="X152" s="373"/>
      <x:c r="Y152" s="373"/>
      <x:c r="Z152" s="373"/>
    </x:row>
    <x:row r="153">
      <x:c r="A153" s="373"/>
      <x:c r="B153" s="373"/>
      <x:c r="C153" s="373"/>
      <x:c r="D153" s="373"/>
      <x:c r="E153" s="373"/>
      <x:c r="F153" s="373"/>
      <x:c r="G153" s="373"/>
      <x:c r="H153" s="373"/>
      <x:c r="I153" s="373"/>
      <x:c r="J153" s="373"/>
      <x:c r="K153" s="373"/>
      <x:c r="L153" s="373"/>
      <x:c r="M153" s="373"/>
      <x:c r="N153" s="373"/>
      <x:c r="O153" s="373"/>
      <x:c r="P153" s="373"/>
      <x:c r="Q153" s="373"/>
      <x:c r="R153" s="373"/>
      <x:c r="S153" s="373"/>
      <x:c r="T153" s="373"/>
      <x:c r="U153" s="373"/>
      <x:c r="V153" s="373"/>
      <x:c r="W153" s="373"/>
      <x:c r="X153" s="373"/>
      <x:c r="Y153" s="373"/>
      <x:c r="Z153" s="373"/>
    </x:row>
    <x:row r="154">
      <x:c r="A154" s="373"/>
      <x:c r="B154" s="373"/>
      <x:c r="C154" s="373"/>
      <x:c r="D154" s="373"/>
      <x:c r="E154" s="373"/>
      <x:c r="F154" s="373"/>
      <x:c r="G154" s="373"/>
      <x:c r="H154" s="373"/>
      <x:c r="I154" s="373"/>
      <x:c r="J154" s="373"/>
      <x:c r="K154" s="373"/>
      <x:c r="L154" s="373"/>
      <x:c r="M154" s="373"/>
      <x:c r="N154" s="373"/>
      <x:c r="O154" s="373"/>
      <x:c r="P154" s="373"/>
      <x:c r="Q154" s="373"/>
      <x:c r="R154" s="373"/>
      <x:c r="S154" s="373"/>
      <x:c r="T154" s="373"/>
      <x:c r="U154" s="373"/>
      <x:c r="V154" s="373"/>
      <x:c r="W154" s="373"/>
      <x:c r="X154" s="373"/>
      <x:c r="Y154" s="373"/>
      <x:c r="Z154" s="373"/>
    </x:row>
    <x:row r="155">
      <x:c r="A155" s="373"/>
      <x:c r="B155" s="373"/>
      <x:c r="C155" s="373"/>
      <x:c r="D155" s="373"/>
      <x:c r="E155" s="373"/>
      <x:c r="F155" s="373"/>
      <x:c r="G155" s="373"/>
      <x:c r="H155" s="373"/>
      <x:c r="I155" s="373"/>
      <x:c r="J155" s="373"/>
      <x:c r="K155" s="373"/>
      <x:c r="L155" s="373"/>
      <x:c r="M155" s="373"/>
      <x:c r="N155" s="373"/>
      <x:c r="O155" s="373"/>
      <x:c r="P155" s="373"/>
      <x:c r="Q155" s="373"/>
      <x:c r="R155" s="373"/>
      <x:c r="S155" s="373"/>
      <x:c r="T155" s="373"/>
      <x:c r="U155" s="373"/>
      <x:c r="V155" s="373"/>
      <x:c r="W155" s="373"/>
      <x:c r="X155" s="373"/>
      <x:c r="Y155" s="373"/>
      <x:c r="Z155" s="373"/>
    </x:row>
    <x:row r="156">
      <x:c r="A156" s="373"/>
      <x:c r="B156" s="373"/>
      <x:c r="C156" s="373"/>
      <x:c r="D156" s="373"/>
      <x:c r="E156" s="373"/>
      <x:c r="F156" s="373"/>
      <x:c r="G156" s="373"/>
      <x:c r="H156" s="373"/>
      <x:c r="I156" s="373"/>
      <x:c r="J156" s="373"/>
      <x:c r="K156" s="373"/>
      <x:c r="L156" s="373"/>
      <x:c r="M156" s="373"/>
      <x:c r="N156" s="373"/>
      <x:c r="O156" s="373"/>
      <x:c r="P156" s="373"/>
      <x:c r="Q156" s="373"/>
      <x:c r="R156" s="373"/>
      <x:c r="S156" s="373"/>
      <x:c r="T156" s="373"/>
      <x:c r="U156" s="373"/>
      <x:c r="V156" s="373"/>
      <x:c r="W156" s="373"/>
      <x:c r="X156" s="373"/>
      <x:c r="Y156" s="373"/>
      <x:c r="Z156" s="373"/>
    </x:row>
    <x:row r="157">
      <x:c r="A157" s="373"/>
      <x:c r="B157" s="373"/>
      <x:c r="C157" s="373"/>
      <x:c r="D157" s="373"/>
      <x:c r="E157" s="373"/>
      <x:c r="F157" s="373"/>
      <x:c r="G157" s="373"/>
      <x:c r="H157" s="373"/>
      <x:c r="I157" s="373"/>
      <x:c r="J157" s="373"/>
      <x:c r="K157" s="373"/>
      <x:c r="L157" s="373"/>
      <x:c r="M157" s="373"/>
      <x:c r="N157" s="373"/>
      <x:c r="O157" s="373"/>
      <x:c r="P157" s="373"/>
      <x:c r="Q157" s="373"/>
      <x:c r="R157" s="373"/>
      <x:c r="S157" s="373"/>
      <x:c r="T157" s="373"/>
      <x:c r="U157" s="373"/>
      <x:c r="V157" s="373"/>
      <x:c r="W157" s="373"/>
      <x:c r="X157" s="373"/>
      <x:c r="Y157" s="373"/>
      <x:c r="Z157" s="373"/>
    </x:row>
    <x:row r="158">
      <x:c r="A158" s="373"/>
      <x:c r="B158" s="373"/>
      <x:c r="C158" s="373"/>
      <x:c r="D158" s="373"/>
      <x:c r="E158" s="373"/>
      <x:c r="F158" s="373"/>
      <x:c r="G158" s="373"/>
      <x:c r="H158" s="373"/>
      <x:c r="I158" s="373"/>
      <x:c r="J158" s="373"/>
      <x:c r="K158" s="373"/>
      <x:c r="L158" s="373"/>
      <x:c r="M158" s="373"/>
      <x:c r="N158" s="373"/>
      <x:c r="O158" s="373"/>
      <x:c r="P158" s="373"/>
      <x:c r="Q158" s="373"/>
      <x:c r="R158" s="373"/>
      <x:c r="S158" s="373"/>
      <x:c r="T158" s="373"/>
      <x:c r="U158" s="373"/>
      <x:c r="V158" s="373"/>
      <x:c r="W158" s="373"/>
      <x:c r="X158" s="373"/>
      <x:c r="Y158" s="373"/>
      <x:c r="Z158" s="373"/>
    </x:row>
    <x:row r="159">
      <x:c r="A159" s="373"/>
      <x:c r="B159" s="373"/>
      <x:c r="C159" s="373"/>
      <x:c r="D159" s="373"/>
      <x:c r="E159" s="373"/>
      <x:c r="F159" s="373"/>
      <x:c r="G159" s="373"/>
      <x:c r="H159" s="373"/>
      <x:c r="I159" s="373"/>
      <x:c r="J159" s="373"/>
      <x:c r="K159" s="373"/>
      <x:c r="L159" s="373"/>
      <x:c r="M159" s="373"/>
      <x:c r="N159" s="373"/>
      <x:c r="O159" s="373"/>
      <x:c r="P159" s="373"/>
      <x:c r="Q159" s="373"/>
      <x:c r="R159" s="373"/>
      <x:c r="S159" s="373"/>
      <x:c r="T159" s="373"/>
      <x:c r="U159" s="373"/>
      <x:c r="V159" s="373"/>
      <x:c r="W159" s="373"/>
      <x:c r="X159" s="373"/>
      <x:c r="Y159" s="373"/>
      <x:c r="Z159" s="373"/>
    </x:row>
    <x:row r="160">
      <x:c r="A160" s="373"/>
      <x:c r="B160" s="373"/>
      <x:c r="C160" s="373"/>
      <x:c r="D160" s="373"/>
      <x:c r="E160" s="373"/>
      <x:c r="F160" s="373"/>
      <x:c r="G160" s="373"/>
      <x:c r="H160" s="373"/>
      <x:c r="I160" s="373"/>
      <x:c r="J160" s="373"/>
      <x:c r="K160" s="373"/>
      <x:c r="L160" s="373"/>
      <x:c r="M160" s="373"/>
      <x:c r="N160" s="373"/>
      <x:c r="O160" s="373"/>
      <x:c r="P160" s="373"/>
      <x:c r="Q160" s="373"/>
      <x:c r="R160" s="373"/>
      <x:c r="S160" s="373"/>
      <x:c r="T160" s="373"/>
      <x:c r="U160" s="373"/>
      <x:c r="V160" s="373"/>
      <x:c r="W160" s="373"/>
      <x:c r="X160" s="373"/>
      <x:c r="Y160" s="373"/>
      <x:c r="Z160" s="373"/>
    </x:row>
    <x:row r="161">
      <x:c r="A161" s="373"/>
      <x:c r="B161" s="373"/>
      <x:c r="C161" s="373"/>
      <x:c r="D161" s="373"/>
      <x:c r="E161" s="373"/>
      <x:c r="F161" s="373"/>
      <x:c r="G161" s="373"/>
      <x:c r="H161" s="373"/>
      <x:c r="I161" s="373"/>
      <x:c r="J161" s="373"/>
      <x:c r="K161" s="373"/>
      <x:c r="L161" s="373"/>
      <x:c r="M161" s="373"/>
      <x:c r="N161" s="373"/>
      <x:c r="O161" s="373"/>
      <x:c r="P161" s="373"/>
      <x:c r="Q161" s="373"/>
      <x:c r="R161" s="373"/>
      <x:c r="S161" s="373"/>
      <x:c r="T161" s="373"/>
      <x:c r="U161" s="373"/>
      <x:c r="V161" s="373"/>
      <x:c r="W161" s="373"/>
      <x:c r="X161" s="373"/>
      <x:c r="Y161" s="373"/>
      <x:c r="Z161" s="373"/>
    </x:row>
    <x:row r="162">
      <x:c r="A162" s="373"/>
      <x:c r="B162" s="373"/>
      <x:c r="C162" s="373"/>
      <x:c r="D162" s="373"/>
      <x:c r="E162" s="373"/>
      <x:c r="F162" s="373"/>
      <x:c r="G162" s="373"/>
      <x:c r="H162" s="373"/>
      <x:c r="I162" s="373"/>
      <x:c r="J162" s="373"/>
      <x:c r="K162" s="373"/>
      <x:c r="L162" s="373"/>
      <x:c r="M162" s="373"/>
      <x:c r="N162" s="373"/>
      <x:c r="O162" s="373"/>
      <x:c r="P162" s="373"/>
      <x:c r="Q162" s="373"/>
      <x:c r="R162" s="373"/>
      <x:c r="S162" s="373"/>
      <x:c r="T162" s="373"/>
      <x:c r="U162" s="373"/>
      <x:c r="V162" s="373"/>
      <x:c r="W162" s="373"/>
      <x:c r="X162" s="373"/>
      <x:c r="Y162" s="373"/>
      <x:c r="Z162" s="373"/>
    </x:row>
    <x:row r="163">
      <x:c r="A163" s="373"/>
      <x:c r="B163" s="373"/>
      <x:c r="C163" s="373"/>
      <x:c r="D163" s="373"/>
      <x:c r="E163" s="373"/>
      <x:c r="F163" s="373"/>
      <x:c r="G163" s="373"/>
      <x:c r="H163" s="373"/>
      <x:c r="I163" s="373"/>
      <x:c r="J163" s="373"/>
      <x:c r="K163" s="373"/>
      <x:c r="L163" s="373"/>
      <x:c r="M163" s="373"/>
      <x:c r="N163" s="373"/>
      <x:c r="O163" s="373"/>
      <x:c r="P163" s="373"/>
      <x:c r="Q163" s="373"/>
      <x:c r="R163" s="373"/>
      <x:c r="S163" s="373"/>
      <x:c r="T163" s="373"/>
      <x:c r="U163" s="373"/>
      <x:c r="V163" s="373"/>
      <x:c r="W163" s="373"/>
      <x:c r="X163" s="373"/>
      <x:c r="Y163" s="373"/>
      <x:c r="Z163" s="373"/>
    </x:row>
    <x:row r="164">
      <x:c r="A164" s="373"/>
      <x:c r="B164" s="373"/>
      <x:c r="C164" s="373"/>
      <x:c r="D164" s="373"/>
      <x:c r="E164" s="373"/>
      <x:c r="F164" s="373"/>
      <x:c r="G164" s="373"/>
      <x:c r="H164" s="373"/>
      <x:c r="I164" s="373"/>
      <x:c r="J164" s="373"/>
      <x:c r="K164" s="373"/>
      <x:c r="L164" s="373"/>
      <x:c r="M164" s="373"/>
      <x:c r="N164" s="373"/>
      <x:c r="O164" s="373"/>
      <x:c r="P164" s="373"/>
      <x:c r="Q164" s="373"/>
      <x:c r="R164" s="373"/>
      <x:c r="S164" s="373"/>
      <x:c r="T164" s="373"/>
      <x:c r="U164" s="373"/>
      <x:c r="V164" s="373"/>
      <x:c r="W164" s="373"/>
      <x:c r="X164" s="373"/>
      <x:c r="Y164" s="373"/>
      <x:c r="Z164" s="373"/>
    </x:row>
    <x:row r="165">
      <x:c r="A165" s="373"/>
      <x:c r="B165" s="373"/>
      <x:c r="C165" s="373"/>
      <x:c r="D165" s="373"/>
      <x:c r="E165" s="373"/>
      <x:c r="F165" s="373"/>
      <x:c r="G165" s="373"/>
      <x:c r="H165" s="373"/>
      <x:c r="I165" s="373"/>
      <x:c r="J165" s="373"/>
      <x:c r="K165" s="373"/>
      <x:c r="L165" s="373"/>
      <x:c r="M165" s="373"/>
      <x:c r="N165" s="373"/>
      <x:c r="O165" s="373"/>
      <x:c r="P165" s="373"/>
      <x:c r="Q165" s="373"/>
      <x:c r="R165" s="373"/>
      <x:c r="S165" s="373"/>
      <x:c r="T165" s="373"/>
      <x:c r="U165" s="373"/>
      <x:c r="V165" s="373"/>
      <x:c r="W165" s="373"/>
      <x:c r="X165" s="373"/>
      <x:c r="Y165" s="373"/>
      <x:c r="Z165" s="373"/>
    </x:row>
    <x:row r="166">
      <x:c r="A166" s="373"/>
      <x:c r="B166" s="373"/>
      <x:c r="C166" s="373"/>
      <x:c r="D166" s="373"/>
      <x:c r="E166" s="373"/>
      <x:c r="F166" s="373"/>
      <x:c r="G166" s="373"/>
      <x:c r="H166" s="373"/>
      <x:c r="I166" s="373"/>
      <x:c r="J166" s="373"/>
      <x:c r="K166" s="373"/>
      <x:c r="L166" s="373"/>
      <x:c r="M166" s="373"/>
      <x:c r="N166" s="373"/>
      <x:c r="O166" s="373"/>
      <x:c r="P166" s="373"/>
      <x:c r="Q166" s="373"/>
      <x:c r="R166" s="373"/>
      <x:c r="S166" s="373"/>
      <x:c r="T166" s="373"/>
      <x:c r="U166" s="373"/>
      <x:c r="V166" s="373"/>
      <x:c r="W166" s="373"/>
      <x:c r="X166" s="373"/>
      <x:c r="Y166" s="373"/>
      <x:c r="Z166" s="373"/>
    </x:row>
    <x:row r="167">
      <x:c r="A167" s="373"/>
      <x:c r="B167" s="373"/>
      <x:c r="C167" s="373"/>
      <x:c r="D167" s="373"/>
      <x:c r="E167" s="373"/>
      <x:c r="F167" s="373"/>
      <x:c r="G167" s="373"/>
      <x:c r="H167" s="373"/>
      <x:c r="I167" s="373"/>
      <x:c r="J167" s="373"/>
      <x:c r="K167" s="373"/>
      <x:c r="L167" s="373"/>
      <x:c r="M167" s="373"/>
      <x:c r="N167" s="373"/>
      <x:c r="O167" s="373"/>
      <x:c r="P167" s="373"/>
      <x:c r="Q167" s="373"/>
      <x:c r="R167" s="373"/>
      <x:c r="S167" s="373"/>
      <x:c r="T167" s="373"/>
      <x:c r="U167" s="373"/>
      <x:c r="V167" s="373"/>
      <x:c r="W167" s="373"/>
      <x:c r="X167" s="373"/>
      <x:c r="Y167" s="373"/>
      <x:c r="Z167" s="373"/>
    </x:row>
    <x:row r="168">
      <x:c r="A168" s="373"/>
      <x:c r="B168" s="373"/>
      <x:c r="C168" s="373"/>
      <x:c r="D168" s="373"/>
      <x:c r="E168" s="373"/>
      <x:c r="F168" s="373"/>
      <x:c r="G168" s="373"/>
      <x:c r="H168" s="373"/>
      <x:c r="I168" s="373"/>
      <x:c r="J168" s="373"/>
      <x:c r="K168" s="373"/>
      <x:c r="L168" s="373"/>
      <x:c r="M168" s="373"/>
      <x:c r="N168" s="373"/>
      <x:c r="O168" s="373"/>
      <x:c r="P168" s="373"/>
      <x:c r="Q168" s="373"/>
      <x:c r="R168" s="373"/>
      <x:c r="S168" s="373"/>
      <x:c r="T168" s="373"/>
      <x:c r="U168" s="373"/>
      <x:c r="V168" s="373"/>
      <x:c r="W168" s="373"/>
      <x:c r="X168" s="373"/>
      <x:c r="Y168" s="373"/>
      <x:c r="Z168" s="373"/>
    </x:row>
    <x:row r="169">
      <x:c r="A169" s="373"/>
      <x:c r="B169" s="373"/>
      <x:c r="C169" s="373"/>
      <x:c r="D169" s="373"/>
      <x:c r="E169" s="373"/>
      <x:c r="F169" s="373"/>
      <x:c r="G169" s="373"/>
      <x:c r="H169" s="373"/>
      <x:c r="I169" s="373"/>
      <x:c r="J169" s="373"/>
      <x:c r="K169" s="373"/>
      <x:c r="L169" s="373"/>
      <x:c r="M169" s="373"/>
      <x:c r="N169" s="373"/>
      <x:c r="O169" s="373"/>
      <x:c r="P169" s="373"/>
      <x:c r="Q169" s="373"/>
      <x:c r="R169" s="373"/>
      <x:c r="S169" s="373"/>
      <x:c r="T169" s="373"/>
      <x:c r="U169" s="373"/>
      <x:c r="V169" s="373"/>
      <x:c r="W169" s="373"/>
      <x:c r="X169" s="373"/>
      <x:c r="Y169" s="373"/>
      <x:c r="Z169" s="373"/>
    </x:row>
    <x:row r="170">
      <x:c r="A170" s="373"/>
      <x:c r="B170" s="373"/>
      <x:c r="C170" s="373"/>
      <x:c r="D170" s="373"/>
      <x:c r="E170" s="373"/>
      <x:c r="F170" s="373"/>
      <x:c r="G170" s="373"/>
      <x:c r="H170" s="373"/>
      <x:c r="I170" s="373"/>
      <x:c r="J170" s="373"/>
      <x:c r="K170" s="373"/>
      <x:c r="L170" s="373"/>
      <x:c r="M170" s="373"/>
      <x:c r="N170" s="373"/>
      <x:c r="O170" s="373"/>
      <x:c r="P170" s="373"/>
      <x:c r="Q170" s="373"/>
      <x:c r="R170" s="373"/>
      <x:c r="S170" s="373"/>
      <x:c r="T170" s="373"/>
      <x:c r="U170" s="373"/>
      <x:c r="V170" s="373"/>
      <x:c r="W170" s="373"/>
      <x:c r="X170" s="373"/>
      <x:c r="Y170" s="373"/>
      <x:c r="Z170" s="373"/>
    </x:row>
    <x:row r="171">
      <x:c r="A171" s="373"/>
      <x:c r="B171" s="373"/>
      <x:c r="C171" s="373"/>
      <x:c r="D171" s="373"/>
      <x:c r="E171" s="373"/>
      <x:c r="F171" s="373"/>
      <x:c r="G171" s="373"/>
      <x:c r="H171" s="373"/>
      <x:c r="I171" s="373"/>
      <x:c r="J171" s="373"/>
      <x:c r="K171" s="373"/>
      <x:c r="L171" s="373"/>
      <x:c r="M171" s="373"/>
      <x:c r="N171" s="373"/>
      <x:c r="O171" s="373"/>
      <x:c r="P171" s="373"/>
      <x:c r="Q171" s="373"/>
      <x:c r="R171" s="373"/>
      <x:c r="S171" s="373"/>
      <x:c r="T171" s="373"/>
      <x:c r="U171" s="373"/>
      <x:c r="V171" s="373"/>
      <x:c r="W171" s="373"/>
      <x:c r="X171" s="373"/>
      <x:c r="Y171" s="373"/>
      <x:c r="Z171" s="373"/>
    </x:row>
    <x:row r="172">
      <x:c r="A172" s="373"/>
      <x:c r="B172" s="373"/>
      <x:c r="C172" s="373"/>
      <x:c r="D172" s="373"/>
      <x:c r="E172" s="373"/>
      <x:c r="F172" s="373"/>
      <x:c r="G172" s="373"/>
      <x:c r="H172" s="373"/>
      <x:c r="I172" s="373"/>
      <x:c r="J172" s="373"/>
      <x:c r="K172" s="373"/>
      <x:c r="L172" s="373"/>
      <x:c r="M172" s="373"/>
      <x:c r="N172" s="373"/>
      <x:c r="O172" s="373"/>
      <x:c r="P172" s="373"/>
      <x:c r="Q172" s="373"/>
      <x:c r="R172" s="373"/>
      <x:c r="S172" s="373"/>
      <x:c r="T172" s="373"/>
      <x:c r="U172" s="373"/>
      <x:c r="V172" s="373"/>
      <x:c r="W172" s="373"/>
      <x:c r="X172" s="373"/>
      <x:c r="Y172" s="373"/>
      <x:c r="Z172" s="373"/>
    </x:row>
    <x:row r="173">
      <x:c r="A173" s="373"/>
      <x:c r="B173" s="373"/>
      <x:c r="C173" s="373"/>
      <x:c r="D173" s="373"/>
      <x:c r="E173" s="373"/>
      <x:c r="F173" s="373"/>
      <x:c r="G173" s="373"/>
      <x:c r="H173" s="373"/>
      <x:c r="I173" s="373"/>
      <x:c r="J173" s="373"/>
      <x:c r="K173" s="373"/>
      <x:c r="L173" s="373"/>
      <x:c r="M173" s="373"/>
      <x:c r="N173" s="373"/>
      <x:c r="O173" s="373"/>
      <x:c r="P173" s="373"/>
      <x:c r="Q173" s="373"/>
      <x:c r="R173" s="373"/>
      <x:c r="S173" s="373"/>
      <x:c r="T173" s="373"/>
      <x:c r="U173" s="373"/>
      <x:c r="V173" s="373"/>
      <x:c r="W173" s="373"/>
      <x:c r="X173" s="373"/>
      <x:c r="Y173" s="373"/>
      <x:c r="Z173" s="373"/>
    </x:row>
    <x:row r="174">
      <x:c r="A174" s="373"/>
      <x:c r="B174" s="373"/>
      <x:c r="C174" s="373"/>
      <x:c r="D174" s="373"/>
      <x:c r="E174" s="373"/>
      <x:c r="F174" s="373"/>
      <x:c r="G174" s="373"/>
      <x:c r="H174" s="373"/>
      <x:c r="I174" s="373"/>
      <x:c r="J174" s="373"/>
      <x:c r="K174" s="373"/>
      <x:c r="L174" s="373"/>
      <x:c r="M174" s="373"/>
      <x:c r="N174" s="373"/>
      <x:c r="O174" s="373"/>
      <x:c r="P174" s="373"/>
      <x:c r="Q174" s="373"/>
      <x:c r="R174" s="373"/>
      <x:c r="S174" s="373"/>
      <x:c r="T174" s="373"/>
      <x:c r="U174" s="373"/>
      <x:c r="V174" s="373"/>
      <x:c r="W174" s="373"/>
      <x:c r="X174" s="373"/>
      <x:c r="Y174" s="373"/>
      <x:c r="Z174" s="373"/>
    </x:row>
    <x:row r="175">
      <x:c r="A175" s="373"/>
      <x:c r="B175" s="373"/>
      <x:c r="C175" s="373"/>
      <x:c r="D175" s="373"/>
      <x:c r="E175" s="373"/>
      <x:c r="F175" s="373"/>
      <x:c r="G175" s="373"/>
      <x:c r="H175" s="373"/>
      <x:c r="I175" s="373"/>
      <x:c r="J175" s="373"/>
      <x:c r="K175" s="373"/>
      <x:c r="L175" s="373"/>
      <x:c r="M175" s="373"/>
      <x:c r="N175" s="373"/>
      <x:c r="O175" s="373"/>
      <x:c r="P175" s="373"/>
      <x:c r="Q175" s="373"/>
      <x:c r="R175" s="373"/>
      <x:c r="S175" s="373"/>
      <x:c r="T175" s="373"/>
      <x:c r="U175" s="373"/>
      <x:c r="V175" s="373"/>
      <x:c r="W175" s="373"/>
      <x:c r="X175" s="373"/>
      <x:c r="Y175" s="373"/>
      <x:c r="Z175" s="373"/>
    </x:row>
    <x:row r="176">
      <x:c r="A176" s="373"/>
      <x:c r="B176" s="373"/>
      <x:c r="C176" s="373"/>
      <x:c r="D176" s="373"/>
      <x:c r="E176" s="373"/>
      <x:c r="F176" s="373"/>
      <x:c r="G176" s="373"/>
      <x:c r="H176" s="373"/>
      <x:c r="I176" s="373"/>
      <x:c r="J176" s="373"/>
      <x:c r="K176" s="373"/>
      <x:c r="L176" s="373"/>
      <x:c r="M176" s="373"/>
      <x:c r="N176" s="373"/>
      <x:c r="O176" s="373"/>
      <x:c r="P176" s="373"/>
      <x:c r="Q176" s="373"/>
      <x:c r="R176" s="373"/>
      <x:c r="S176" s="373"/>
      <x:c r="T176" s="373"/>
      <x:c r="U176" s="373"/>
      <x:c r="V176" s="373"/>
      <x:c r="W176" s="373"/>
      <x:c r="X176" s="373"/>
      <x:c r="Y176" s="373"/>
      <x:c r="Z176" s="373"/>
    </x:row>
    <x:row r="177">
      <x:c r="A177" s="373"/>
      <x:c r="B177" s="373"/>
      <x:c r="C177" s="373"/>
      <x:c r="D177" s="373"/>
      <x:c r="E177" s="373"/>
      <x:c r="F177" s="373"/>
      <x:c r="G177" s="373"/>
      <x:c r="H177" s="373"/>
      <x:c r="I177" s="373"/>
      <x:c r="J177" s="373"/>
      <x:c r="K177" s="373"/>
      <x:c r="L177" s="373"/>
      <x:c r="M177" s="373"/>
      <x:c r="N177" s="373"/>
      <x:c r="O177" s="373"/>
      <x:c r="P177" s="373"/>
      <x:c r="Q177" s="373"/>
      <x:c r="R177" s="373"/>
      <x:c r="S177" s="373"/>
      <x:c r="T177" s="373"/>
      <x:c r="U177" s="373"/>
      <x:c r="V177" s="373"/>
      <x:c r="W177" s="373"/>
      <x:c r="X177" s="373"/>
      <x:c r="Y177" s="373"/>
      <x:c r="Z177" s="373"/>
    </x:row>
    <x:row r="178">
      <x:c r="A178" s="373"/>
      <x:c r="B178" s="373"/>
      <x:c r="C178" s="373"/>
      <x:c r="D178" s="373"/>
      <x:c r="E178" s="373"/>
      <x:c r="F178" s="373"/>
      <x:c r="G178" s="373"/>
      <x:c r="H178" s="373"/>
      <x:c r="I178" s="373"/>
      <x:c r="J178" s="373"/>
      <x:c r="K178" s="373"/>
      <x:c r="L178" s="373"/>
      <x:c r="M178" s="373"/>
      <x:c r="N178" s="373"/>
      <x:c r="O178" s="373"/>
      <x:c r="P178" s="373"/>
      <x:c r="Q178" s="373"/>
      <x:c r="R178" s="373"/>
      <x:c r="S178" s="373"/>
      <x:c r="T178" s="373"/>
      <x:c r="U178" s="373"/>
      <x:c r="V178" s="373"/>
      <x:c r="W178" s="373"/>
      <x:c r="X178" s="373"/>
      <x:c r="Y178" s="373"/>
      <x:c r="Z178" s="373"/>
    </x:row>
    <x:row r="179">
      <x:c r="A179" s="373"/>
      <x:c r="B179" s="373"/>
      <x:c r="C179" s="373"/>
      <x:c r="D179" s="373"/>
      <x:c r="E179" s="373"/>
      <x:c r="F179" s="373"/>
      <x:c r="G179" s="373"/>
      <x:c r="H179" s="373"/>
      <x:c r="I179" s="373"/>
      <x:c r="J179" s="373"/>
      <x:c r="K179" s="373"/>
      <x:c r="L179" s="373"/>
      <x:c r="M179" s="373"/>
      <x:c r="N179" s="373"/>
      <x:c r="O179" s="373"/>
      <x:c r="P179" s="373"/>
      <x:c r="Q179" s="373"/>
      <x:c r="R179" s="373"/>
      <x:c r="S179" s="373"/>
      <x:c r="T179" s="373"/>
      <x:c r="U179" s="373"/>
      <x:c r="V179" s="373"/>
      <x:c r="W179" s="373"/>
      <x:c r="X179" s="373"/>
      <x:c r="Y179" s="373"/>
      <x:c r="Z179" s="373"/>
    </x:row>
    <x:row r="180">
      <x:c r="A180" s="373"/>
      <x:c r="B180" s="373"/>
      <x:c r="C180" s="373"/>
      <x:c r="D180" s="373"/>
      <x:c r="E180" s="373"/>
      <x:c r="F180" s="373"/>
      <x:c r="G180" s="373"/>
      <x:c r="H180" s="373"/>
      <x:c r="I180" s="373"/>
      <x:c r="J180" s="373"/>
      <x:c r="K180" s="373"/>
      <x:c r="L180" s="373"/>
      <x:c r="M180" s="373"/>
      <x:c r="N180" s="373"/>
      <x:c r="O180" s="373"/>
      <x:c r="P180" s="373"/>
      <x:c r="Q180" s="373"/>
      <x:c r="R180" s="373"/>
      <x:c r="S180" s="373"/>
      <x:c r="T180" s="373"/>
      <x:c r="U180" s="373"/>
      <x:c r="V180" s="373"/>
      <x:c r="W180" s="373"/>
      <x:c r="X180" s="373"/>
      <x:c r="Y180" s="373"/>
      <x:c r="Z180" s="373"/>
    </x:row>
    <x:row r="181">
      <x:c r="A181" s="373"/>
      <x:c r="B181" s="373"/>
      <x:c r="C181" s="373"/>
      <x:c r="D181" s="373"/>
      <x:c r="E181" s="373"/>
      <x:c r="F181" s="373"/>
      <x:c r="G181" s="373"/>
      <x:c r="H181" s="373"/>
      <x:c r="I181" s="373"/>
      <x:c r="J181" s="373"/>
      <x:c r="K181" s="373"/>
      <x:c r="L181" s="373"/>
      <x:c r="M181" s="373"/>
      <x:c r="N181" s="373"/>
      <x:c r="O181" s="373"/>
      <x:c r="P181" s="373"/>
      <x:c r="Q181" s="373"/>
      <x:c r="R181" s="373"/>
      <x:c r="S181" s="373"/>
      <x:c r="T181" s="373"/>
      <x:c r="U181" s="373"/>
      <x:c r="V181" s="373"/>
      <x:c r="W181" s="373"/>
      <x:c r="X181" s="373"/>
      <x:c r="Y181" s="373"/>
      <x:c r="Z181" s="373"/>
    </x:row>
    <x:row r="182">
      <x:c r="A182" s="373"/>
      <x:c r="B182" s="373"/>
      <x:c r="C182" s="373"/>
      <x:c r="D182" s="373"/>
      <x:c r="E182" s="373"/>
      <x:c r="F182" s="373"/>
      <x:c r="G182" s="373"/>
      <x:c r="H182" s="373"/>
      <x:c r="I182" s="373"/>
      <x:c r="J182" s="373"/>
      <x:c r="K182" s="373"/>
      <x:c r="L182" s="373"/>
      <x:c r="M182" s="373"/>
      <x:c r="N182" s="373"/>
      <x:c r="O182" s="373"/>
      <x:c r="P182" s="373"/>
      <x:c r="Q182" s="373"/>
      <x:c r="R182" s="373"/>
      <x:c r="S182" s="373"/>
      <x:c r="T182" s="373"/>
      <x:c r="U182" s="373"/>
      <x:c r="V182" s="373"/>
      <x:c r="W182" s="373"/>
      <x:c r="X182" s="373"/>
      <x:c r="Y182" s="373"/>
      <x:c r="Z182" s="373"/>
    </x:row>
    <x:row r="183">
      <x:c r="A183" s="373"/>
      <x:c r="B183" s="373"/>
      <x:c r="C183" s="373"/>
      <x:c r="D183" s="373"/>
      <x:c r="E183" s="373"/>
      <x:c r="F183" s="373"/>
      <x:c r="G183" s="373"/>
      <x:c r="H183" s="373"/>
      <x:c r="I183" s="373"/>
      <x:c r="J183" s="373"/>
      <x:c r="K183" s="373"/>
      <x:c r="L183" s="373"/>
      <x:c r="M183" s="373"/>
      <x:c r="N183" s="373"/>
      <x:c r="O183" s="373"/>
      <x:c r="P183" s="373"/>
      <x:c r="Q183" s="373"/>
      <x:c r="R183" s="373"/>
      <x:c r="S183" s="373"/>
      <x:c r="T183" s="373"/>
      <x:c r="U183" s="373"/>
      <x:c r="V183" s="373"/>
      <x:c r="W183" s="373"/>
      <x:c r="X183" s="373"/>
      <x:c r="Y183" s="373"/>
      <x:c r="Z183" s="373"/>
    </x:row>
    <x:row r="184">
      <x:c r="A184" s="373"/>
      <x:c r="B184" s="373"/>
      <x:c r="C184" s="373"/>
      <x:c r="D184" s="373"/>
      <x:c r="E184" s="373"/>
      <x:c r="F184" s="373"/>
      <x:c r="G184" s="373"/>
      <x:c r="H184" s="373"/>
      <x:c r="I184" s="373"/>
      <x:c r="J184" s="373"/>
      <x:c r="K184" s="373"/>
      <x:c r="L184" s="373"/>
      <x:c r="M184" s="373"/>
      <x:c r="N184" s="373"/>
      <x:c r="O184" s="373"/>
      <x:c r="P184" s="373"/>
      <x:c r="Q184" s="373"/>
      <x:c r="R184" s="373"/>
      <x:c r="S184" s="373"/>
      <x:c r="T184" s="373"/>
      <x:c r="U184" s="373"/>
      <x:c r="V184" s="373"/>
      <x:c r="W184" s="373"/>
      <x:c r="X184" s="373"/>
      <x:c r="Y184" s="373"/>
      <x:c r="Z184" s="373"/>
    </x:row>
    <x:row r="185">
      <x:c r="A185" s="373"/>
      <x:c r="B185" s="373"/>
      <x:c r="C185" s="373"/>
      <x:c r="D185" s="373"/>
      <x:c r="E185" s="373"/>
      <x:c r="F185" s="373"/>
      <x:c r="G185" s="373"/>
      <x:c r="H185" s="373"/>
      <x:c r="I185" s="373"/>
      <x:c r="J185" s="373"/>
      <x:c r="K185" s="373"/>
      <x:c r="L185" s="373"/>
      <x:c r="M185" s="373"/>
      <x:c r="N185" s="373"/>
      <x:c r="O185" s="373"/>
      <x:c r="P185" s="373"/>
      <x:c r="Q185" s="373"/>
      <x:c r="R185" s="373"/>
      <x:c r="S185" s="373"/>
      <x:c r="T185" s="373"/>
      <x:c r="U185" s="373"/>
      <x:c r="V185" s="373"/>
      <x:c r="W185" s="373"/>
      <x:c r="X185" s="373"/>
      <x:c r="Y185" s="373"/>
      <x:c r="Z185" s="373"/>
    </x:row>
    <x:row r="186">
      <x:c r="A186" s="373"/>
      <x:c r="B186" s="373"/>
      <x:c r="C186" s="373"/>
      <x:c r="D186" s="373"/>
      <x:c r="E186" s="373"/>
      <x:c r="F186" s="373"/>
      <x:c r="G186" s="373"/>
      <x:c r="H186" s="373"/>
      <x:c r="I186" s="373"/>
      <x:c r="J186" s="373"/>
      <x:c r="K186" s="373"/>
      <x:c r="L186" s="373"/>
      <x:c r="M186" s="373"/>
      <x:c r="N186" s="373"/>
      <x:c r="O186" s="373"/>
      <x:c r="P186" s="373"/>
      <x:c r="Q186" s="373"/>
      <x:c r="R186" s="373"/>
      <x:c r="S186" s="373"/>
      <x:c r="T186" s="373"/>
      <x:c r="U186" s="373"/>
      <x:c r="V186" s="373"/>
      <x:c r="W186" s="373"/>
      <x:c r="X186" s="373"/>
      <x:c r="Y186" s="373"/>
      <x:c r="Z186" s="373"/>
    </x:row>
    <x:row r="187">
      <x:c r="A187" s="373"/>
      <x:c r="B187" s="373"/>
      <x:c r="C187" s="373"/>
      <x:c r="D187" s="373"/>
      <x:c r="E187" s="373"/>
      <x:c r="F187" s="373"/>
      <x:c r="G187" s="373"/>
      <x:c r="H187" s="373"/>
      <x:c r="I187" s="373"/>
      <x:c r="J187" s="373"/>
      <x:c r="K187" s="373"/>
      <x:c r="L187" s="373"/>
      <x:c r="M187" s="373"/>
      <x:c r="N187" s="373"/>
      <x:c r="O187" s="373"/>
      <x:c r="P187" s="373"/>
      <x:c r="Q187" s="373"/>
      <x:c r="R187" s="373"/>
      <x:c r="S187" s="373"/>
      <x:c r="T187" s="373"/>
      <x:c r="U187" s="373"/>
      <x:c r="V187" s="373"/>
      <x:c r="W187" s="373"/>
      <x:c r="X187" s="373"/>
      <x:c r="Y187" s="373"/>
      <x:c r="Z187" s="373"/>
    </x:row>
    <x:row r="188">
      <x:c r="A188" s="373"/>
      <x:c r="B188" s="373"/>
      <x:c r="C188" s="373"/>
      <x:c r="D188" s="373"/>
      <x:c r="E188" s="373"/>
      <x:c r="F188" s="373"/>
      <x:c r="G188" s="373"/>
      <x:c r="H188" s="373"/>
      <x:c r="I188" s="373"/>
      <x:c r="J188" s="373"/>
      <x:c r="K188" s="373"/>
      <x:c r="L188" s="373"/>
      <x:c r="M188" s="373"/>
      <x:c r="N188" s="373"/>
      <x:c r="O188" s="373"/>
      <x:c r="P188" s="373"/>
      <x:c r="Q188" s="373"/>
      <x:c r="R188" s="373"/>
      <x:c r="S188" s="373"/>
      <x:c r="T188" s="373"/>
      <x:c r="U188" s="373"/>
      <x:c r="V188" s="373"/>
      <x:c r="W188" s="373"/>
      <x:c r="X188" s="373"/>
      <x:c r="Y188" s="373"/>
      <x:c r="Z188" s="373"/>
    </x:row>
    <x:row r="189">
      <x:c r="A189" s="373"/>
      <x:c r="B189" s="373"/>
      <x:c r="C189" s="373"/>
      <x:c r="D189" s="373"/>
      <x:c r="E189" s="373"/>
      <x:c r="F189" s="373"/>
      <x:c r="G189" s="373"/>
      <x:c r="H189" s="373"/>
      <x:c r="I189" s="373"/>
      <x:c r="J189" s="373"/>
      <x:c r="K189" s="373"/>
      <x:c r="L189" s="373"/>
      <x:c r="M189" s="373"/>
      <x:c r="N189" s="373"/>
      <x:c r="O189" s="373"/>
      <x:c r="P189" s="373"/>
      <x:c r="Q189" s="373"/>
      <x:c r="R189" s="373"/>
      <x:c r="S189" s="373"/>
      <x:c r="T189" s="373"/>
      <x:c r="U189" s="373"/>
      <x:c r="V189" s="373"/>
      <x:c r="W189" s="373"/>
      <x:c r="X189" s="373"/>
      <x:c r="Y189" s="373"/>
      <x:c r="Z189" s="373"/>
    </x:row>
    <x:row r="190">
      <x:c r="A190" s="373"/>
      <x:c r="B190" s="373"/>
      <x:c r="C190" s="373"/>
      <x:c r="D190" s="373"/>
      <x:c r="E190" s="373"/>
      <x:c r="F190" s="373"/>
      <x:c r="G190" s="373"/>
      <x:c r="H190" s="373"/>
      <x:c r="I190" s="373"/>
      <x:c r="J190" s="373"/>
      <x:c r="K190" s="373"/>
      <x:c r="L190" s="373"/>
      <x:c r="M190" s="373"/>
      <x:c r="N190" s="373"/>
      <x:c r="O190" s="373"/>
      <x:c r="P190" s="373"/>
      <x:c r="Q190" s="373"/>
      <x:c r="R190" s="373"/>
      <x:c r="S190" s="373"/>
      <x:c r="T190" s="373"/>
      <x:c r="U190" s="373"/>
      <x:c r="V190" s="373"/>
      <x:c r="W190" s="373"/>
      <x:c r="X190" s="373"/>
      <x:c r="Y190" s="373"/>
      <x:c r="Z190" s="373"/>
    </x:row>
    <x:row r="191">
      <x:c r="A191" s="373"/>
      <x:c r="B191" s="373"/>
      <x:c r="C191" s="373"/>
      <x:c r="D191" s="373"/>
      <x:c r="E191" s="373"/>
      <x:c r="F191" s="373"/>
      <x:c r="G191" s="373"/>
      <x:c r="H191" s="373"/>
      <x:c r="I191" s="373"/>
      <x:c r="J191" s="373"/>
      <x:c r="K191" s="373"/>
      <x:c r="L191" s="373"/>
      <x:c r="M191" s="373"/>
      <x:c r="N191" s="373"/>
      <x:c r="O191" s="373"/>
      <x:c r="P191" s="373"/>
      <x:c r="Q191" s="373"/>
      <x:c r="R191" s="373"/>
      <x:c r="S191" s="373"/>
      <x:c r="T191" s="373"/>
      <x:c r="U191" s="373"/>
      <x:c r="V191" s="373"/>
      <x:c r="W191" s="373"/>
      <x:c r="X191" s="373"/>
      <x:c r="Y191" s="373"/>
      <x:c r="Z191" s="373"/>
    </x:row>
    <x:row r="192">
      <x:c r="A192" s="373"/>
      <x:c r="B192" s="373"/>
      <x:c r="C192" s="373"/>
      <x:c r="D192" s="373"/>
      <x:c r="E192" s="373"/>
      <x:c r="F192" s="373"/>
      <x:c r="G192" s="373"/>
      <x:c r="H192" s="373"/>
      <x:c r="I192" s="373"/>
      <x:c r="J192" s="373"/>
      <x:c r="K192" s="373"/>
      <x:c r="L192" s="373"/>
      <x:c r="M192" s="373"/>
      <x:c r="N192" s="373"/>
      <x:c r="O192" s="373"/>
      <x:c r="P192" s="373"/>
      <x:c r="Q192" s="373"/>
      <x:c r="R192" s="373"/>
      <x:c r="S192" s="373"/>
      <x:c r="T192" s="373"/>
      <x:c r="U192" s="373"/>
      <x:c r="V192" s="373"/>
      <x:c r="W192" s="373"/>
      <x:c r="X192" s="373"/>
      <x:c r="Y192" s="373"/>
      <x:c r="Z192" s="373"/>
    </x:row>
    <x:row r="193">
      <x:c r="A193" s="373"/>
      <x:c r="B193" s="373"/>
      <x:c r="C193" s="373"/>
      <x:c r="D193" s="373"/>
      <x:c r="E193" s="373"/>
      <x:c r="F193" s="373"/>
      <x:c r="G193" s="373"/>
      <x:c r="H193" s="373"/>
      <x:c r="I193" s="373"/>
      <x:c r="J193" s="373"/>
      <x:c r="K193" s="373"/>
      <x:c r="L193" s="373"/>
      <x:c r="M193" s="373"/>
      <x:c r="N193" s="373"/>
      <x:c r="O193" s="373"/>
      <x:c r="P193" s="373"/>
      <x:c r="Q193" s="373"/>
      <x:c r="R193" s="373"/>
      <x:c r="S193" s="373"/>
      <x:c r="T193" s="373"/>
      <x:c r="U193" s="373"/>
      <x:c r="V193" s="373"/>
      <x:c r="W193" s="373"/>
      <x:c r="X193" s="373"/>
      <x:c r="Y193" s="373"/>
      <x:c r="Z193" s="373"/>
    </x:row>
    <x:row r="194">
      <x:c r="A194" s="373"/>
      <x:c r="B194" s="373"/>
      <x:c r="C194" s="373"/>
      <x:c r="D194" s="373"/>
      <x:c r="E194" s="373"/>
      <x:c r="F194" s="373"/>
      <x:c r="G194" s="373"/>
      <x:c r="H194" s="373"/>
      <x:c r="I194" s="373"/>
      <x:c r="J194" s="373"/>
      <x:c r="K194" s="373"/>
      <x:c r="L194" s="373"/>
      <x:c r="M194" s="373"/>
      <x:c r="N194" s="373"/>
      <x:c r="O194" s="373"/>
      <x:c r="P194" s="373"/>
      <x:c r="Q194" s="373"/>
      <x:c r="R194" s="373"/>
      <x:c r="S194" s="373"/>
      <x:c r="T194" s="373"/>
      <x:c r="U194" s="373"/>
      <x:c r="V194" s="373"/>
      <x:c r="W194" s="373"/>
      <x:c r="X194" s="373"/>
      <x:c r="Y194" s="373"/>
      <x:c r="Z194" s="373"/>
    </x:row>
    <x:row r="195">
      <x:c r="A195" s="373"/>
      <x:c r="B195" s="373"/>
      <x:c r="C195" s="373"/>
      <x:c r="D195" s="373"/>
      <x:c r="E195" s="373"/>
      <x:c r="F195" s="373"/>
      <x:c r="G195" s="373"/>
      <x:c r="H195" s="373"/>
      <x:c r="I195" s="373"/>
      <x:c r="J195" s="373"/>
      <x:c r="K195" s="373"/>
      <x:c r="L195" s="373"/>
      <x:c r="M195" s="373"/>
      <x:c r="N195" s="373"/>
      <x:c r="O195" s="373"/>
      <x:c r="P195" s="373"/>
      <x:c r="Q195" s="373"/>
      <x:c r="R195" s="373"/>
      <x:c r="S195" s="373"/>
      <x:c r="T195" s="373"/>
      <x:c r="U195" s="373"/>
      <x:c r="V195" s="373"/>
      <x:c r="W195" s="373"/>
      <x:c r="X195" s="373"/>
      <x:c r="Y195" s="373"/>
      <x:c r="Z195" s="373"/>
    </x:row>
    <x:row r="196">
      <x:c r="A196" s="373"/>
      <x:c r="B196" s="373"/>
      <x:c r="C196" s="373"/>
      <x:c r="D196" s="373"/>
      <x:c r="E196" s="373"/>
      <x:c r="F196" s="373"/>
      <x:c r="G196" s="373"/>
      <x:c r="H196" s="373"/>
      <x:c r="I196" s="373"/>
      <x:c r="J196" s="373"/>
      <x:c r="K196" s="373"/>
      <x:c r="L196" s="373"/>
      <x:c r="M196" s="373"/>
      <x:c r="N196" s="373"/>
      <x:c r="O196" s="373"/>
      <x:c r="P196" s="373"/>
      <x:c r="Q196" s="373"/>
      <x:c r="R196" s="373"/>
      <x:c r="S196" s="373"/>
      <x:c r="T196" s="373"/>
      <x:c r="U196" s="373"/>
      <x:c r="V196" s="373"/>
      <x:c r="W196" s="373"/>
      <x:c r="X196" s="373"/>
      <x:c r="Y196" s="373"/>
      <x:c r="Z196" s="373"/>
    </x:row>
    <x:row r="197">
      <x:c r="A197" s="373"/>
      <x:c r="B197" s="373"/>
      <x:c r="C197" s="373"/>
      <x:c r="D197" s="373"/>
      <x:c r="E197" s="373"/>
      <x:c r="F197" s="373"/>
      <x:c r="G197" s="373"/>
      <x:c r="H197" s="373"/>
      <x:c r="I197" s="373"/>
      <x:c r="J197" s="373"/>
      <x:c r="K197" s="373"/>
      <x:c r="L197" s="373"/>
      <x:c r="M197" s="373"/>
      <x:c r="N197" s="373"/>
      <x:c r="O197" s="373"/>
      <x:c r="P197" s="373"/>
      <x:c r="Q197" s="373"/>
      <x:c r="R197" s="373"/>
      <x:c r="S197" s="373"/>
      <x:c r="T197" s="373"/>
      <x:c r="U197" s="373"/>
      <x:c r="V197" s="373"/>
      <x:c r="W197" s="373"/>
      <x:c r="X197" s="373"/>
      <x:c r="Y197" s="373"/>
      <x:c r="Z197" s="373"/>
    </x:row>
    <x:row r="198">
      <x:c r="A198" s="373"/>
      <x:c r="B198" s="373"/>
      <x:c r="C198" s="373"/>
      <x:c r="D198" s="373"/>
      <x:c r="E198" s="373"/>
      <x:c r="F198" s="373"/>
      <x:c r="G198" s="373"/>
      <x:c r="H198" s="373"/>
      <x:c r="I198" s="373"/>
      <x:c r="J198" s="373"/>
      <x:c r="K198" s="373"/>
      <x:c r="L198" s="373"/>
      <x:c r="M198" s="373"/>
      <x:c r="N198" s="373"/>
      <x:c r="O198" s="373"/>
      <x:c r="P198" s="373"/>
      <x:c r="Q198" s="373"/>
      <x:c r="R198" s="373"/>
      <x:c r="S198" s="373"/>
      <x:c r="T198" s="373"/>
      <x:c r="U198" s="373"/>
      <x:c r="V198" s="373"/>
      <x:c r="W198" s="373"/>
      <x:c r="X198" s="373"/>
      <x:c r="Y198" s="373"/>
      <x:c r="Z198" s="373"/>
    </x:row>
    <x:row r="199">
      <x:c r="A199" s="373"/>
      <x:c r="B199" s="373"/>
      <x:c r="C199" s="373"/>
      <x:c r="D199" s="373"/>
      <x:c r="E199" s="373"/>
      <x:c r="F199" s="373"/>
      <x:c r="G199" s="373"/>
      <x:c r="H199" s="373"/>
      <x:c r="I199" s="373"/>
      <x:c r="J199" s="373"/>
      <x:c r="K199" s="373"/>
      <x:c r="L199" s="373"/>
      <x:c r="M199" s="373"/>
      <x:c r="N199" s="373"/>
      <x:c r="O199" s="373"/>
      <x:c r="P199" s="373"/>
      <x:c r="Q199" s="373"/>
      <x:c r="R199" s="373"/>
      <x:c r="S199" s="373"/>
      <x:c r="T199" s="373"/>
      <x:c r="U199" s="373"/>
      <x:c r="V199" s="373"/>
      <x:c r="W199" s="373"/>
      <x:c r="X199" s="373"/>
      <x:c r="Y199" s="373"/>
      <x:c r="Z199" s="373"/>
    </x:row>
    <x:row r="200">
      <x:c r="A200" s="373"/>
      <x:c r="B200" s="373"/>
      <x:c r="C200" s="373"/>
      <x:c r="D200" s="373"/>
      <x:c r="E200" s="373"/>
      <x:c r="F200" s="373"/>
      <x:c r="G200" s="373"/>
      <x:c r="H200" s="373"/>
      <x:c r="I200" s="373"/>
      <x:c r="J200" s="373"/>
      <x:c r="K200" s="373"/>
      <x:c r="L200" s="373"/>
      <x:c r="M200" s="373"/>
      <x:c r="N200" s="373"/>
      <x:c r="O200" s="373"/>
      <x:c r="P200" s="373"/>
      <x:c r="Q200" s="373"/>
      <x:c r="R200" s="373"/>
      <x:c r="S200" s="373"/>
      <x:c r="T200" s="373"/>
      <x:c r="U200" s="373"/>
      <x:c r="V200" s="373"/>
      <x:c r="W200" s="373"/>
      <x:c r="X200" s="373"/>
      <x:c r="Y200" s="373"/>
      <x:c r="Z200" s="373"/>
    </x:row>
    <x:row r="201">
      <x:c r="A201" s="373"/>
      <x:c r="B201" s="373"/>
      <x:c r="C201" s="373"/>
      <x:c r="D201" s="373"/>
      <x:c r="E201" s="373"/>
      <x:c r="F201" s="373"/>
      <x:c r="G201" s="373"/>
      <x:c r="H201" s="373"/>
      <x:c r="I201" s="373"/>
      <x:c r="J201" s="373"/>
      <x:c r="K201" s="373"/>
      <x:c r="L201" s="373"/>
      <x:c r="M201" s="373"/>
      <x:c r="N201" s="373"/>
      <x:c r="O201" s="373"/>
      <x:c r="P201" s="373"/>
      <x:c r="Q201" s="373"/>
      <x:c r="R201" s="373"/>
      <x:c r="S201" s="373"/>
      <x:c r="T201" s="373"/>
      <x:c r="U201" s="373"/>
      <x:c r="V201" s="373"/>
      <x:c r="W201" s="373"/>
      <x:c r="X201" s="373"/>
      <x:c r="Y201" s="373"/>
      <x:c r="Z201" s="373"/>
    </x:row>
    <x:row r="202">
      <x:c r="A202" s="373"/>
      <x:c r="B202" s="373"/>
      <x:c r="C202" s="373"/>
      <x:c r="D202" s="373"/>
      <x:c r="E202" s="373"/>
      <x:c r="F202" s="373"/>
      <x:c r="G202" s="373"/>
      <x:c r="H202" s="373"/>
      <x:c r="I202" s="373"/>
      <x:c r="J202" s="373"/>
      <x:c r="K202" s="373"/>
      <x:c r="L202" s="373"/>
      <x:c r="M202" s="373"/>
      <x:c r="N202" s="373"/>
      <x:c r="O202" s="373"/>
      <x:c r="P202" s="373"/>
      <x:c r="Q202" s="373"/>
      <x:c r="R202" s="373"/>
      <x:c r="S202" s="373"/>
      <x:c r="T202" s="373"/>
      <x:c r="U202" s="373"/>
      <x:c r="V202" s="373"/>
      <x:c r="W202" s="373"/>
      <x:c r="X202" s="373"/>
      <x:c r="Y202" s="373"/>
      <x:c r="Z202" s="373"/>
    </x:row>
    <x:row r="203">
      <x:c r="A203" s="373"/>
      <x:c r="B203" s="373"/>
      <x:c r="C203" s="373"/>
      <x:c r="D203" s="373"/>
      <x:c r="E203" s="373"/>
      <x:c r="F203" s="373"/>
      <x:c r="G203" s="373"/>
      <x:c r="H203" s="373"/>
      <x:c r="I203" s="373"/>
      <x:c r="J203" s="373"/>
      <x:c r="K203" s="373"/>
      <x:c r="L203" s="373"/>
      <x:c r="M203" s="373"/>
      <x:c r="N203" s="373"/>
      <x:c r="O203" s="373"/>
      <x:c r="P203" s="373"/>
      <x:c r="Q203" s="373"/>
      <x:c r="R203" s="373"/>
      <x:c r="S203" s="373"/>
      <x:c r="T203" s="373"/>
      <x:c r="U203" s="373"/>
      <x:c r="V203" s="373"/>
      <x:c r="W203" s="373"/>
      <x:c r="X203" s="373"/>
      <x:c r="Y203" s="373"/>
      <x:c r="Z203" s="373"/>
    </x:row>
    <x:row r="204">
      <x:c r="A204" s="373"/>
      <x:c r="B204" s="373"/>
      <x:c r="C204" s="373"/>
      <x:c r="D204" s="373"/>
      <x:c r="E204" s="373"/>
      <x:c r="F204" s="373"/>
      <x:c r="G204" s="373"/>
      <x:c r="H204" s="373"/>
      <x:c r="I204" s="373"/>
      <x:c r="J204" s="373"/>
      <x:c r="K204" s="373"/>
      <x:c r="L204" s="373"/>
      <x:c r="M204" s="373"/>
      <x:c r="N204" s="373"/>
      <x:c r="O204" s="373"/>
      <x:c r="P204" s="373"/>
      <x:c r="Q204" s="373"/>
      <x:c r="R204" s="373"/>
      <x:c r="S204" s="373"/>
      <x:c r="T204" s="373"/>
      <x:c r="U204" s="373"/>
      <x:c r="V204" s="373"/>
      <x:c r="W204" s="373"/>
      <x:c r="X204" s="373"/>
      <x:c r="Y204" s="373"/>
      <x:c r="Z204" s="373"/>
    </x:row>
    <x:row r="205">
      <x:c r="A205" s="373"/>
      <x:c r="B205" s="373"/>
      <x:c r="C205" s="373"/>
      <x:c r="D205" s="373"/>
      <x:c r="E205" s="373"/>
      <x:c r="F205" s="373"/>
      <x:c r="G205" s="373"/>
      <x:c r="H205" s="373"/>
      <x:c r="I205" s="373"/>
      <x:c r="J205" s="373"/>
      <x:c r="K205" s="373"/>
      <x:c r="L205" s="373"/>
      <x:c r="M205" s="373"/>
      <x:c r="N205" s="373"/>
      <x:c r="O205" s="373"/>
      <x:c r="P205" s="373"/>
      <x:c r="Q205" s="373"/>
      <x:c r="R205" s="373"/>
      <x:c r="S205" s="373"/>
      <x:c r="T205" s="373"/>
      <x:c r="U205" s="373"/>
      <x:c r="V205" s="373"/>
      <x:c r="W205" s="373"/>
      <x:c r="X205" s="373"/>
      <x:c r="Y205" s="373"/>
      <x:c r="Z205" s="373"/>
    </x:row>
    <x:row r="206">
      <x:c r="A206" s="373"/>
      <x:c r="B206" s="373"/>
      <x:c r="C206" s="373"/>
      <x:c r="D206" s="373"/>
      <x:c r="E206" s="373"/>
      <x:c r="F206" s="373"/>
      <x:c r="G206" s="373"/>
      <x:c r="H206" s="373"/>
      <x:c r="I206" s="373"/>
      <x:c r="J206" s="373"/>
      <x:c r="K206" s="373"/>
      <x:c r="L206" s="373"/>
      <x:c r="M206" s="373"/>
      <x:c r="N206" s="373"/>
      <x:c r="O206" s="373"/>
      <x:c r="P206" s="373"/>
      <x:c r="Q206" s="373"/>
      <x:c r="R206" s="373"/>
      <x:c r="S206" s="373"/>
      <x:c r="T206" s="373"/>
      <x:c r="U206" s="373"/>
      <x:c r="V206" s="373"/>
      <x:c r="W206" s="373"/>
      <x:c r="X206" s="373"/>
      <x:c r="Y206" s="373"/>
      <x:c r="Z206" s="373"/>
    </x:row>
    <x:row r="207">
      <x:c r="A207" s="373"/>
      <x:c r="B207" s="373"/>
      <x:c r="C207" s="373"/>
      <x:c r="D207" s="373"/>
      <x:c r="E207" s="373"/>
      <x:c r="F207" s="373"/>
      <x:c r="G207" s="373"/>
      <x:c r="H207" s="373"/>
      <x:c r="I207" s="373"/>
      <x:c r="J207" s="373"/>
      <x:c r="K207" s="373"/>
      <x:c r="L207" s="373"/>
      <x:c r="M207" s="373"/>
      <x:c r="N207" s="373"/>
      <x:c r="O207" s="373"/>
      <x:c r="P207" s="373"/>
      <x:c r="Q207" s="373"/>
      <x:c r="R207" s="373"/>
      <x:c r="S207" s="373"/>
      <x:c r="T207" s="373"/>
      <x:c r="U207" s="373"/>
      <x:c r="V207" s="373"/>
      <x:c r="W207" s="373"/>
      <x:c r="X207" s="373"/>
      <x:c r="Y207" s="373"/>
      <x:c r="Z207" s="373"/>
    </x:row>
    <x:row r="208">
      <x:c r="A208" s="373"/>
      <x:c r="B208" s="373"/>
      <x:c r="C208" s="373"/>
      <x:c r="D208" s="373"/>
      <x:c r="E208" s="373"/>
      <x:c r="F208" s="373"/>
      <x:c r="G208" s="373"/>
      <x:c r="H208" s="373"/>
      <x:c r="I208" s="373"/>
      <x:c r="J208" s="373"/>
      <x:c r="K208" s="373"/>
      <x:c r="L208" s="373"/>
      <x:c r="M208" s="373"/>
      <x:c r="N208" s="373"/>
      <x:c r="O208" s="373"/>
      <x:c r="P208" s="373"/>
      <x:c r="Q208" s="373"/>
      <x:c r="R208" s="373"/>
      <x:c r="S208" s="373"/>
      <x:c r="T208" s="373"/>
      <x:c r="U208" s="373"/>
      <x:c r="V208" s="373"/>
      <x:c r="W208" s="373"/>
      <x:c r="X208" s="373"/>
      <x:c r="Y208" s="373"/>
      <x:c r="Z208" s="373"/>
    </x:row>
    <x:row r="209">
      <x:c r="A209" s="373"/>
      <x:c r="B209" s="373"/>
      <x:c r="C209" s="373"/>
      <x:c r="D209" s="373"/>
      <x:c r="E209" s="373"/>
      <x:c r="F209" s="373"/>
      <x:c r="G209" s="373"/>
      <x:c r="H209" s="373"/>
      <x:c r="I209" s="373"/>
      <x:c r="J209" s="373"/>
      <x:c r="K209" s="373"/>
      <x:c r="L209" s="373"/>
      <x:c r="M209" s="373"/>
      <x:c r="N209" s="373"/>
      <x:c r="O209" s="373"/>
      <x:c r="P209" s="373"/>
      <x:c r="Q209" s="373"/>
      <x:c r="R209" s="373"/>
      <x:c r="S209" s="373"/>
      <x:c r="T209" s="373"/>
      <x:c r="U209" s="373"/>
      <x:c r="V209" s="373"/>
      <x:c r="W209" s="373"/>
      <x:c r="X209" s="373"/>
      <x:c r="Y209" s="373"/>
      <x:c r="Z209" s="373"/>
    </x:row>
    <x:row r="210">
      <x:c r="A210" s="373"/>
      <x:c r="B210" s="373"/>
      <x:c r="C210" s="373"/>
      <x:c r="D210" s="373"/>
      <x:c r="E210" s="373"/>
      <x:c r="F210" s="373"/>
      <x:c r="G210" s="373"/>
      <x:c r="H210" s="373"/>
      <x:c r="I210" s="373"/>
      <x:c r="J210" s="373"/>
      <x:c r="K210" s="373"/>
      <x:c r="L210" s="373"/>
      <x:c r="M210" s="373"/>
      <x:c r="N210" s="373"/>
      <x:c r="O210" s="373"/>
      <x:c r="P210" s="373"/>
      <x:c r="Q210" s="373"/>
      <x:c r="R210" s="373"/>
      <x:c r="S210" s="373"/>
      <x:c r="T210" s="373"/>
      <x:c r="U210" s="373"/>
      <x:c r="V210" s="373"/>
      <x:c r="W210" s="373"/>
      <x:c r="X210" s="373"/>
      <x:c r="Y210" s="373"/>
      <x:c r="Z210" s="373"/>
    </x:row>
    <x:row r="211">
      <x:c r="A211" s="373"/>
      <x:c r="B211" s="373"/>
      <x:c r="C211" s="373"/>
      <x:c r="D211" s="373"/>
      <x:c r="E211" s="373"/>
      <x:c r="F211" s="373"/>
      <x:c r="G211" s="373"/>
      <x:c r="H211" s="373"/>
      <x:c r="I211" s="373"/>
      <x:c r="J211" s="373"/>
      <x:c r="K211" s="373"/>
      <x:c r="L211" s="373"/>
      <x:c r="M211" s="373"/>
      <x:c r="N211" s="373"/>
      <x:c r="O211" s="373"/>
      <x:c r="P211" s="373"/>
      <x:c r="Q211" s="373"/>
      <x:c r="R211" s="373"/>
      <x:c r="S211" s="373"/>
      <x:c r="T211" s="373"/>
      <x:c r="U211" s="373"/>
      <x:c r="V211" s="373"/>
      <x:c r="W211" s="373"/>
      <x:c r="X211" s="373"/>
      <x:c r="Y211" s="373"/>
      <x:c r="Z211" s="373"/>
    </x:row>
    <x:row r="212">
      <x:c r="A212" s="373"/>
      <x:c r="B212" s="373"/>
      <x:c r="C212" s="373"/>
      <x:c r="D212" s="373"/>
      <x:c r="E212" s="373"/>
      <x:c r="F212" s="373"/>
      <x:c r="G212" s="373"/>
      <x:c r="H212" s="373"/>
      <x:c r="I212" s="373"/>
      <x:c r="J212" s="373"/>
      <x:c r="K212" s="373"/>
      <x:c r="L212" s="373"/>
      <x:c r="M212" s="373"/>
      <x:c r="N212" s="373"/>
      <x:c r="O212" s="373"/>
      <x:c r="P212" s="373"/>
      <x:c r="Q212" s="373"/>
      <x:c r="R212" s="373"/>
      <x:c r="S212" s="373"/>
      <x:c r="T212" s="373"/>
      <x:c r="U212" s="373"/>
      <x:c r="V212" s="373"/>
      <x:c r="W212" s="373"/>
      <x:c r="X212" s="373"/>
      <x:c r="Y212" s="373"/>
      <x:c r="Z212" s="373"/>
    </x:row>
    <x:row r="213">
      <x:c r="A213" s="373"/>
      <x:c r="B213" s="373"/>
      <x:c r="C213" s="373"/>
      <x:c r="D213" s="373"/>
      <x:c r="E213" s="373"/>
      <x:c r="F213" s="373"/>
      <x:c r="G213" s="373"/>
      <x:c r="H213" s="373"/>
      <x:c r="I213" s="373"/>
      <x:c r="J213" s="373"/>
      <x:c r="K213" s="373"/>
      <x:c r="L213" s="373"/>
      <x:c r="M213" s="373"/>
      <x:c r="N213" s="373"/>
      <x:c r="O213" s="373"/>
      <x:c r="P213" s="373"/>
      <x:c r="Q213" s="373"/>
      <x:c r="R213" s="373"/>
      <x:c r="S213" s="373"/>
      <x:c r="T213" s="373"/>
      <x:c r="U213" s="373"/>
      <x:c r="V213" s="373"/>
      <x:c r="W213" s="373"/>
      <x:c r="X213" s="373"/>
      <x:c r="Y213" s="373"/>
      <x:c r="Z213" s="373"/>
    </x:row>
    <x:row r="214">
      <x:c r="A214" s="373"/>
      <x:c r="B214" s="373"/>
      <x:c r="C214" s="373"/>
      <x:c r="D214" s="373"/>
      <x:c r="E214" s="373"/>
      <x:c r="F214" s="373"/>
      <x:c r="G214" s="373"/>
      <x:c r="H214" s="373"/>
      <x:c r="I214" s="373"/>
      <x:c r="J214" s="373"/>
      <x:c r="K214" s="373"/>
      <x:c r="L214" s="373"/>
      <x:c r="M214" s="373"/>
      <x:c r="N214" s="373"/>
      <x:c r="O214" s="373"/>
      <x:c r="P214" s="373"/>
      <x:c r="Q214" s="373"/>
      <x:c r="R214" s="373"/>
      <x:c r="S214" s="373"/>
      <x:c r="T214" s="373"/>
      <x:c r="U214" s="373"/>
      <x:c r="V214" s="373"/>
      <x:c r="W214" s="373"/>
      <x:c r="X214" s="373"/>
      <x:c r="Y214" s="373"/>
      <x:c r="Z214" s="373"/>
    </x:row>
    <x:row r="215">
      <x:c r="A215" s="373"/>
      <x:c r="B215" s="373"/>
      <x:c r="C215" s="373"/>
      <x:c r="D215" s="373"/>
      <x:c r="E215" s="373"/>
      <x:c r="F215" s="373"/>
      <x:c r="G215" s="373"/>
      <x:c r="H215" s="373"/>
      <x:c r="I215" s="373"/>
      <x:c r="J215" s="373"/>
      <x:c r="K215" s="373"/>
      <x:c r="L215" s="373"/>
      <x:c r="M215" s="373"/>
      <x:c r="N215" s="373"/>
      <x:c r="O215" s="373"/>
      <x:c r="P215" s="373"/>
      <x:c r="Q215" s="373"/>
      <x:c r="R215" s="373"/>
      <x:c r="S215" s="373"/>
      <x:c r="T215" s="373"/>
      <x:c r="U215" s="373"/>
      <x:c r="V215" s="373"/>
      <x:c r="W215" s="373"/>
      <x:c r="X215" s="373"/>
      <x:c r="Y215" s="373"/>
      <x:c r="Z215" s="373"/>
    </x:row>
    <x:row r="216">
      <x:c r="A216" s="373"/>
      <x:c r="B216" s="373"/>
      <x:c r="C216" s="373"/>
      <x:c r="D216" s="373"/>
      <x:c r="E216" s="373"/>
      <x:c r="F216" s="373"/>
      <x:c r="G216" s="373"/>
      <x:c r="H216" s="373"/>
      <x:c r="I216" s="373"/>
      <x:c r="J216" s="373"/>
      <x:c r="K216" s="373"/>
      <x:c r="L216" s="373"/>
      <x:c r="M216" s="373"/>
      <x:c r="N216" s="373"/>
      <x:c r="O216" s="373"/>
      <x:c r="P216" s="373"/>
      <x:c r="Q216" s="373"/>
      <x:c r="R216" s="373"/>
      <x:c r="S216" s="373"/>
      <x:c r="T216" s="373"/>
      <x:c r="U216" s="373"/>
      <x:c r="V216" s="373"/>
      <x:c r="W216" s="373"/>
      <x:c r="X216" s="373"/>
      <x:c r="Y216" s="373"/>
      <x:c r="Z216" s="373"/>
    </x:row>
    <x:row r="217">
      <x:c r="A217" s="373"/>
      <x:c r="B217" s="373"/>
      <x:c r="C217" s="373"/>
      <x:c r="D217" s="373"/>
      <x:c r="E217" s="373"/>
      <x:c r="F217" s="373"/>
      <x:c r="G217" s="373"/>
      <x:c r="H217" s="373"/>
      <x:c r="I217" s="373"/>
      <x:c r="J217" s="373"/>
      <x:c r="K217" s="373"/>
      <x:c r="L217" s="373"/>
      <x:c r="M217" s="373"/>
      <x:c r="N217" s="373"/>
      <x:c r="O217" s="373"/>
      <x:c r="P217" s="373"/>
      <x:c r="Q217" s="373"/>
      <x:c r="R217" s="373"/>
      <x:c r="S217" s="373"/>
      <x:c r="T217" s="373"/>
      <x:c r="U217" s="373"/>
      <x:c r="V217" s="373"/>
      <x:c r="W217" s="373"/>
      <x:c r="X217" s="373"/>
      <x:c r="Y217" s="373"/>
      <x:c r="Z217" s="373"/>
    </x:row>
    <x:row r="218">
      <x:c r="A218" s="373"/>
      <x:c r="B218" s="373"/>
      <x:c r="C218" s="373"/>
      <x:c r="D218" s="373"/>
      <x:c r="E218" s="373"/>
      <x:c r="F218" s="373"/>
      <x:c r="G218" s="373"/>
      <x:c r="H218" s="373"/>
      <x:c r="I218" s="373"/>
      <x:c r="J218" s="373"/>
      <x:c r="K218" s="373"/>
      <x:c r="L218" s="373"/>
      <x:c r="M218" s="373"/>
      <x:c r="N218" s="373"/>
      <x:c r="O218" s="373"/>
      <x:c r="P218" s="373"/>
      <x:c r="Q218" s="373"/>
      <x:c r="R218" s="373"/>
      <x:c r="S218" s="373"/>
      <x:c r="T218" s="373"/>
      <x:c r="U218" s="373"/>
      <x:c r="V218" s="373"/>
      <x:c r="W218" s="373"/>
      <x:c r="X218" s="373"/>
      <x:c r="Y218" s="373"/>
      <x:c r="Z218" s="373"/>
    </x:row>
    <x:row r="219">
      <x:c r="A219" s="373"/>
      <x:c r="B219" s="373"/>
      <x:c r="C219" s="373"/>
      <x:c r="D219" s="373"/>
      <x:c r="E219" s="373"/>
      <x:c r="F219" s="373"/>
      <x:c r="G219" s="373"/>
      <x:c r="H219" s="373"/>
      <x:c r="I219" s="373"/>
      <x:c r="J219" s="373"/>
      <x:c r="K219" s="373"/>
      <x:c r="L219" s="373"/>
      <x:c r="M219" s="373"/>
      <x:c r="N219" s="373"/>
      <x:c r="O219" s="373"/>
      <x:c r="P219" s="373"/>
      <x:c r="Q219" s="373"/>
      <x:c r="R219" s="373"/>
      <x:c r="S219" s="373"/>
      <x:c r="T219" s="373"/>
      <x:c r="U219" s="373"/>
      <x:c r="V219" s="373"/>
      <x:c r="W219" s="373"/>
      <x:c r="X219" s="373"/>
      <x:c r="Y219" s="373"/>
      <x:c r="Z219" s="373"/>
    </x:row>
    <x:row r="220">
      <x:c r="A220" s="373"/>
      <x:c r="B220" s="373"/>
      <x:c r="C220" s="373"/>
      <x:c r="D220" s="373"/>
      <x:c r="E220" s="373"/>
      <x:c r="F220" s="373"/>
      <x:c r="G220" s="373"/>
      <x:c r="H220" s="373"/>
      <x:c r="I220" s="373"/>
      <x:c r="J220" s="373"/>
      <x:c r="K220" s="373"/>
      <x:c r="L220" s="373"/>
      <x:c r="M220" s="373"/>
      <x:c r="N220" s="373"/>
      <x:c r="O220" s="373"/>
      <x:c r="P220" s="373"/>
      <x:c r="Q220" s="373"/>
      <x:c r="R220" s="373"/>
      <x:c r="S220" s="373"/>
      <x:c r="T220" s="373"/>
      <x:c r="U220" s="373"/>
      <x:c r="V220" s="373"/>
      <x:c r="W220" s="373"/>
      <x:c r="X220" s="373"/>
      <x:c r="Y220" s="373"/>
      <x:c r="Z220" s="373"/>
    </x:row>
    <x:row r="221">
      <x:c r="A221" s="373"/>
      <x:c r="B221" s="373"/>
      <x:c r="C221" s="373"/>
      <x:c r="D221" s="373"/>
      <x:c r="E221" s="373"/>
      <x:c r="F221" s="373"/>
      <x:c r="G221" s="373"/>
      <x:c r="H221" s="373"/>
      <x:c r="I221" s="373"/>
      <x:c r="J221" s="373"/>
      <x:c r="K221" s="373"/>
      <x:c r="L221" s="373"/>
      <x:c r="M221" s="373"/>
      <x:c r="N221" s="373"/>
      <x:c r="O221" s="373"/>
      <x:c r="P221" s="373"/>
      <x:c r="Q221" s="373"/>
      <x:c r="R221" s="373"/>
      <x:c r="S221" s="373"/>
      <x:c r="T221" s="373"/>
      <x:c r="U221" s="373"/>
      <x:c r="V221" s="373"/>
      <x:c r="W221" s="373"/>
      <x:c r="X221" s="373"/>
      <x:c r="Y221" s="373"/>
      <x:c r="Z221" s="373"/>
    </x:row>
    <x:row r="222">
      <x:c r="A222" s="373"/>
      <x:c r="B222" s="373"/>
      <x:c r="C222" s="373"/>
      <x:c r="D222" s="373"/>
      <x:c r="E222" s="373"/>
      <x:c r="F222" s="373"/>
      <x:c r="G222" s="373"/>
      <x:c r="H222" s="373"/>
      <x:c r="I222" s="373"/>
      <x:c r="J222" s="373"/>
      <x:c r="K222" s="373"/>
      <x:c r="L222" s="373"/>
      <x:c r="M222" s="373"/>
      <x:c r="N222" s="373"/>
      <x:c r="O222" s="373"/>
      <x:c r="P222" s="373"/>
      <x:c r="Q222" s="373"/>
      <x:c r="R222" s="373"/>
      <x:c r="S222" s="373"/>
      <x:c r="T222" s="373"/>
      <x:c r="U222" s="373"/>
      <x:c r="V222" s="373"/>
      <x:c r="W222" s="373"/>
      <x:c r="X222" s="373"/>
      <x:c r="Y222" s="373"/>
      <x:c r="Z222" s="373"/>
    </x:row>
    <x:row r="223">
      <x:c r="A223" s="373"/>
      <x:c r="B223" s="373"/>
      <x:c r="C223" s="373"/>
      <x:c r="D223" s="373"/>
      <x:c r="E223" s="373"/>
      <x:c r="F223" s="373"/>
      <x:c r="G223" s="373"/>
      <x:c r="H223" s="373"/>
      <x:c r="I223" s="373"/>
      <x:c r="J223" s="373"/>
      <x:c r="K223" s="373"/>
      <x:c r="L223" s="373"/>
      <x:c r="M223" s="373"/>
      <x:c r="N223" s="373"/>
      <x:c r="O223" s="373"/>
      <x:c r="P223" s="373"/>
      <x:c r="Q223" s="373"/>
      <x:c r="R223" s="373"/>
      <x:c r="S223" s="373"/>
      <x:c r="T223" s="373"/>
      <x:c r="U223" s="373"/>
      <x:c r="V223" s="373"/>
      <x:c r="W223" s="373"/>
      <x:c r="X223" s="373"/>
      <x:c r="Y223" s="373"/>
      <x:c r="Z223" s="373"/>
    </x:row>
    <x:row r="224">
      <x:c r="A224" s="373"/>
      <x:c r="B224" s="373"/>
      <x:c r="C224" s="373"/>
      <x:c r="D224" s="373"/>
      <x:c r="E224" s="373"/>
      <x:c r="F224" s="373"/>
      <x:c r="G224" s="373"/>
      <x:c r="H224" s="373"/>
      <x:c r="I224" s="373"/>
      <x:c r="J224" s="373"/>
      <x:c r="K224" s="373"/>
      <x:c r="L224" s="373"/>
      <x:c r="M224" s="373"/>
      <x:c r="N224" s="373"/>
      <x:c r="O224" s="373"/>
      <x:c r="P224" s="373"/>
      <x:c r="Q224" s="373"/>
      <x:c r="R224" s="373"/>
      <x:c r="S224" s="373"/>
      <x:c r="T224" s="373"/>
      <x:c r="U224" s="373"/>
      <x:c r="V224" s="373"/>
      <x:c r="W224" s="373"/>
      <x:c r="X224" s="373"/>
      <x:c r="Y224" s="373"/>
      <x:c r="Z224" s="373"/>
    </x:row>
    <x:row r="225">
      <x:c r="A225" s="373"/>
      <x:c r="B225" s="373"/>
      <x:c r="C225" s="373"/>
      <x:c r="D225" s="373"/>
      <x:c r="E225" s="373"/>
      <x:c r="F225" s="373"/>
      <x:c r="G225" s="373"/>
      <x:c r="H225" s="373"/>
      <x:c r="I225" s="373"/>
      <x:c r="J225" s="373"/>
      <x:c r="K225" s="373"/>
      <x:c r="L225" s="373"/>
      <x:c r="M225" s="373"/>
      <x:c r="N225" s="373"/>
      <x:c r="O225" s="373"/>
      <x:c r="P225" s="373"/>
      <x:c r="Q225" s="373"/>
      <x:c r="R225" s="373"/>
      <x:c r="S225" s="373"/>
      <x:c r="T225" s="373"/>
      <x:c r="U225" s="373"/>
      <x:c r="V225" s="373"/>
      <x:c r="W225" s="373"/>
      <x:c r="X225" s="373"/>
      <x:c r="Y225" s="373"/>
      <x:c r="Z225" s="373"/>
    </x:row>
    <x:row r="226">
      <x:c r="A226" s="373"/>
      <x:c r="B226" s="373"/>
      <x:c r="C226" s="373"/>
      <x:c r="D226" s="373"/>
      <x:c r="E226" s="373"/>
      <x:c r="F226" s="373"/>
      <x:c r="G226" s="373"/>
      <x:c r="H226" s="373"/>
      <x:c r="I226" s="373"/>
      <x:c r="J226" s="373"/>
      <x:c r="K226" s="373"/>
      <x:c r="L226" s="373"/>
      <x:c r="M226" s="373"/>
      <x:c r="N226" s="373"/>
      <x:c r="O226" s="373"/>
      <x:c r="P226" s="373"/>
      <x:c r="Q226" s="373"/>
      <x:c r="R226" s="373"/>
      <x:c r="S226" s="373"/>
      <x:c r="T226" s="373"/>
      <x:c r="U226" s="373"/>
      <x:c r="V226" s="373"/>
      <x:c r="W226" s="373"/>
      <x:c r="X226" s="373"/>
      <x:c r="Y226" s="373"/>
      <x:c r="Z226" s="373"/>
    </x:row>
    <x:row r="227">
      <x:c r="A227" s="373"/>
      <x:c r="B227" s="373"/>
      <x:c r="C227" s="373"/>
      <x:c r="D227" s="373"/>
      <x:c r="E227" s="373"/>
      <x:c r="F227" s="373"/>
      <x:c r="G227" s="373"/>
      <x:c r="H227" s="373"/>
      <x:c r="I227" s="373"/>
      <x:c r="J227" s="373"/>
      <x:c r="K227" s="373"/>
      <x:c r="L227" s="373"/>
      <x:c r="M227" s="373"/>
      <x:c r="N227" s="373"/>
      <x:c r="O227" s="373"/>
      <x:c r="P227" s="373"/>
      <x:c r="Q227" s="373"/>
      <x:c r="R227" s="373"/>
      <x:c r="S227" s="373"/>
      <x:c r="T227" s="373"/>
      <x:c r="U227" s="373"/>
      <x:c r="V227" s="373"/>
      <x:c r="W227" s="373"/>
      <x:c r="X227" s="373"/>
      <x:c r="Y227" s="373"/>
      <x:c r="Z227" s="373"/>
    </x:row>
    <x:row r="228">
      <x:c r="A228" s="373"/>
      <x:c r="B228" s="373"/>
      <x:c r="C228" s="373"/>
      <x:c r="D228" s="373"/>
      <x:c r="E228" s="373"/>
      <x:c r="F228" s="373"/>
      <x:c r="G228" s="373"/>
      <x:c r="H228" s="373"/>
      <x:c r="I228" s="373"/>
      <x:c r="J228" s="373"/>
      <x:c r="K228" s="373"/>
      <x:c r="L228" s="373"/>
      <x:c r="M228" s="373"/>
      <x:c r="N228" s="373"/>
      <x:c r="O228" s="373"/>
      <x:c r="P228" s="373"/>
      <x:c r="Q228" s="373"/>
      <x:c r="R228" s="373"/>
      <x:c r="S228" s="373"/>
      <x:c r="T228" s="373"/>
      <x:c r="U228" s="373"/>
      <x:c r="V228" s="373"/>
      <x:c r="W228" s="373"/>
      <x:c r="X228" s="373"/>
      <x:c r="Y228" s="373"/>
      <x:c r="Z228" s="373"/>
    </x:row>
    <x:row r="229">
      <x:c r="A229" s="373"/>
      <x:c r="B229" s="373"/>
      <x:c r="C229" s="373"/>
      <x:c r="D229" s="373"/>
      <x:c r="E229" s="373"/>
      <x:c r="F229" s="373"/>
      <x:c r="G229" s="373"/>
      <x:c r="H229" s="373"/>
      <x:c r="I229" s="373"/>
      <x:c r="J229" s="373"/>
      <x:c r="K229" s="373"/>
      <x:c r="L229" s="373"/>
      <x:c r="M229" s="373"/>
      <x:c r="N229" s="373"/>
      <x:c r="O229" s="373"/>
      <x:c r="P229" s="373"/>
      <x:c r="Q229" s="373"/>
      <x:c r="R229" s="373"/>
      <x:c r="S229" s="373"/>
      <x:c r="T229" s="373"/>
      <x:c r="U229" s="373"/>
      <x:c r="V229" s="373"/>
      <x:c r="W229" s="373"/>
      <x:c r="X229" s="373"/>
      <x:c r="Y229" s="373"/>
      <x:c r="Z229" s="373"/>
    </x:row>
    <x:row r="230">
      <x:c r="A230" s="373"/>
      <x:c r="B230" s="373"/>
      <x:c r="C230" s="373"/>
      <x:c r="D230" s="373"/>
      <x:c r="E230" s="373"/>
      <x:c r="F230" s="373"/>
      <x:c r="G230" s="373"/>
      <x:c r="H230" s="373"/>
      <x:c r="I230" s="373"/>
      <x:c r="J230" s="373"/>
      <x:c r="K230" s="373"/>
      <x:c r="L230" s="373"/>
      <x:c r="M230" s="373"/>
      <x:c r="N230" s="373"/>
      <x:c r="O230" s="373"/>
      <x:c r="P230" s="373"/>
      <x:c r="Q230" s="373"/>
      <x:c r="R230" s="373"/>
      <x:c r="S230" s="373"/>
      <x:c r="T230" s="373"/>
      <x:c r="U230" s="373"/>
      <x:c r="V230" s="373"/>
      <x:c r="W230" s="373"/>
      <x:c r="X230" s="373"/>
      <x:c r="Y230" s="373"/>
      <x:c r="Z230" s="373"/>
    </x:row>
    <x:row r="231">
      <x:c r="A231" s="373"/>
      <x:c r="B231" s="373"/>
      <x:c r="C231" s="373"/>
      <x:c r="D231" s="373"/>
      <x:c r="E231" s="373"/>
      <x:c r="F231" s="373"/>
      <x:c r="G231" s="373"/>
      <x:c r="H231" s="373"/>
      <x:c r="I231" s="373"/>
      <x:c r="J231" s="373"/>
      <x:c r="K231" s="373"/>
      <x:c r="L231" s="373"/>
      <x:c r="M231" s="373"/>
      <x:c r="N231" s="373"/>
      <x:c r="O231" s="373"/>
      <x:c r="P231" s="373"/>
      <x:c r="Q231" s="373"/>
      <x:c r="R231" s="373"/>
      <x:c r="S231" s="373"/>
      <x:c r="T231" s="373"/>
      <x:c r="U231" s="373"/>
      <x:c r="V231" s="373"/>
      <x:c r="W231" s="373"/>
      <x:c r="X231" s="373"/>
      <x:c r="Y231" s="373"/>
      <x:c r="Z231" s="373"/>
    </x:row>
    <x:row r="232">
      <x:c r="A232" s="373"/>
      <x:c r="B232" s="373"/>
      <x:c r="C232" s="373"/>
      <x:c r="D232" s="373"/>
      <x:c r="E232" s="373"/>
      <x:c r="F232" s="373"/>
      <x:c r="G232" s="373"/>
      <x:c r="H232" s="373"/>
      <x:c r="I232" s="373"/>
      <x:c r="J232" s="373"/>
      <x:c r="K232" s="373"/>
      <x:c r="L232" s="373"/>
      <x:c r="M232" s="373"/>
      <x:c r="N232" s="373"/>
      <x:c r="O232" s="373"/>
      <x:c r="P232" s="373"/>
      <x:c r="Q232" s="373"/>
      <x:c r="R232" s="373"/>
      <x:c r="S232" s="373"/>
      <x:c r="T232" s="373"/>
      <x:c r="U232" s="373"/>
      <x:c r="V232" s="373"/>
      <x:c r="W232" s="373"/>
      <x:c r="X232" s="373"/>
      <x:c r="Y232" s="373"/>
      <x:c r="Z232" s="373"/>
    </x:row>
    <x:row r="233">
      <x:c r="A233" s="373"/>
      <x:c r="B233" s="373"/>
      <x:c r="C233" s="373"/>
      <x:c r="D233" s="373"/>
      <x:c r="E233" s="373"/>
      <x:c r="F233" s="373"/>
      <x:c r="G233" s="373"/>
      <x:c r="H233" s="373"/>
      <x:c r="I233" s="373"/>
      <x:c r="J233" s="373"/>
      <x:c r="K233" s="373"/>
      <x:c r="L233" s="373"/>
      <x:c r="M233" s="373"/>
      <x:c r="N233" s="373"/>
      <x:c r="O233" s="373"/>
      <x:c r="P233" s="373"/>
      <x:c r="Q233" s="373"/>
      <x:c r="R233" s="373"/>
      <x:c r="S233" s="373"/>
      <x:c r="T233" s="373"/>
      <x:c r="U233" s="373"/>
      <x:c r="V233" s="373"/>
      <x:c r="W233" s="373"/>
      <x:c r="X233" s="373"/>
      <x:c r="Y233" s="373"/>
      <x:c r="Z233" s="373"/>
    </x:row>
    <x:row r="234">
      <x:c r="A234" s="373"/>
      <x:c r="B234" s="373"/>
      <x:c r="C234" s="373"/>
      <x:c r="D234" s="373"/>
      <x:c r="E234" s="373"/>
      <x:c r="F234" s="373"/>
      <x:c r="G234" s="373"/>
      <x:c r="H234" s="373"/>
      <x:c r="I234" s="373"/>
      <x:c r="J234" s="373"/>
      <x:c r="K234" s="373"/>
      <x:c r="L234" s="373"/>
      <x:c r="M234" s="373"/>
      <x:c r="N234" s="373"/>
      <x:c r="O234" s="373"/>
      <x:c r="P234" s="373"/>
      <x:c r="Q234" s="373"/>
      <x:c r="R234" s="373"/>
      <x:c r="S234" s="373"/>
      <x:c r="T234" s="373"/>
      <x:c r="U234" s="373"/>
      <x:c r="V234" s="373"/>
      <x:c r="W234" s="373"/>
      <x:c r="X234" s="373"/>
      <x:c r="Y234" s="373"/>
      <x:c r="Z234" s="373"/>
    </x:row>
    <x:row r="235">
      <x:c r="A235" s="373"/>
      <x:c r="B235" s="373"/>
      <x:c r="C235" s="373"/>
      <x:c r="D235" s="373"/>
      <x:c r="E235" s="373"/>
      <x:c r="F235" s="373"/>
      <x:c r="G235" s="373"/>
      <x:c r="H235" s="373"/>
      <x:c r="I235" s="373"/>
      <x:c r="J235" s="373"/>
      <x:c r="K235" s="373"/>
      <x:c r="L235" s="373"/>
      <x:c r="M235" s="373"/>
      <x:c r="N235" s="373"/>
      <x:c r="O235" s="373"/>
      <x:c r="P235" s="373"/>
      <x:c r="Q235" s="373"/>
      <x:c r="R235" s="373"/>
      <x:c r="S235" s="373"/>
      <x:c r="T235" s="373"/>
      <x:c r="U235" s="373"/>
      <x:c r="V235" s="373"/>
      <x:c r="W235" s="373"/>
      <x:c r="X235" s="373"/>
      <x:c r="Y235" s="373"/>
      <x:c r="Z235" s="373"/>
    </x:row>
    <x:row r="236">
      <x:c r="A236" s="373"/>
      <x:c r="B236" s="373"/>
      <x:c r="C236" s="373"/>
      <x:c r="D236" s="373"/>
      <x:c r="E236" s="373"/>
      <x:c r="F236" s="373"/>
      <x:c r="G236" s="373"/>
      <x:c r="H236" s="373"/>
      <x:c r="I236" s="373"/>
      <x:c r="J236" s="373"/>
      <x:c r="K236" s="373"/>
      <x:c r="L236" s="373"/>
      <x:c r="M236" s="373"/>
      <x:c r="N236" s="373"/>
      <x:c r="O236" s="373"/>
      <x:c r="P236" s="373"/>
      <x:c r="Q236" s="373"/>
      <x:c r="R236" s="373"/>
      <x:c r="S236" s="373"/>
      <x:c r="T236" s="373"/>
      <x:c r="U236" s="373"/>
      <x:c r="V236" s="373"/>
      <x:c r="W236" s="373"/>
      <x:c r="X236" s="373"/>
      <x:c r="Y236" s="373"/>
      <x:c r="Z236" s="373"/>
    </x:row>
    <x:row r="237">
      <x:c r="A237" s="373"/>
      <x:c r="B237" s="373"/>
      <x:c r="C237" s="373"/>
      <x:c r="D237" s="373"/>
      <x:c r="E237" s="373"/>
      <x:c r="F237" s="373"/>
      <x:c r="G237" s="373"/>
      <x:c r="H237" s="373"/>
      <x:c r="I237" s="373"/>
      <x:c r="J237" s="373"/>
      <x:c r="K237" s="373"/>
      <x:c r="L237" s="373"/>
      <x:c r="M237" s="373"/>
      <x:c r="N237" s="373"/>
      <x:c r="O237" s="373"/>
      <x:c r="P237" s="373"/>
      <x:c r="Q237" s="373"/>
      <x:c r="R237" s="373"/>
      <x:c r="S237" s="373"/>
      <x:c r="T237" s="373"/>
      <x:c r="U237" s="373"/>
      <x:c r="V237" s="373"/>
      <x:c r="W237" s="373"/>
      <x:c r="X237" s="373"/>
      <x:c r="Y237" s="373"/>
      <x:c r="Z237" s="373"/>
    </x:row>
    <x:row r="238">
      <x:c r="A238" s="373"/>
      <x:c r="B238" s="373"/>
      <x:c r="C238" s="373"/>
      <x:c r="D238" s="373"/>
      <x:c r="E238" s="373"/>
      <x:c r="F238" s="373"/>
      <x:c r="G238" s="373"/>
      <x:c r="H238" s="373"/>
      <x:c r="I238" s="373"/>
      <x:c r="J238" s="373"/>
      <x:c r="K238" s="373"/>
      <x:c r="L238" s="373"/>
      <x:c r="M238" s="373"/>
      <x:c r="N238" s="373"/>
      <x:c r="O238" s="373"/>
      <x:c r="P238" s="373"/>
      <x:c r="Q238" s="373"/>
      <x:c r="R238" s="373"/>
      <x:c r="S238" s="373"/>
      <x:c r="T238" s="373"/>
      <x:c r="U238" s="373"/>
      <x:c r="V238" s="373"/>
      <x:c r="W238" s="373"/>
      <x:c r="X238" s="373"/>
      <x:c r="Y238" s="373"/>
      <x:c r="Z238" s="373"/>
    </x:row>
    <x:row r="239">
      <x:c r="A239" s="373"/>
      <x:c r="B239" s="373"/>
      <x:c r="C239" s="373"/>
      <x:c r="D239" s="373"/>
      <x:c r="E239" s="373"/>
      <x:c r="F239" s="373"/>
      <x:c r="G239" s="373"/>
      <x:c r="H239" s="373"/>
      <x:c r="I239" s="373"/>
      <x:c r="J239" s="373"/>
      <x:c r="K239" s="373"/>
      <x:c r="L239" s="373"/>
      <x:c r="M239" s="373"/>
      <x:c r="N239" s="373"/>
      <x:c r="O239" s="373"/>
      <x:c r="P239" s="373"/>
      <x:c r="Q239" s="373"/>
      <x:c r="R239" s="373"/>
      <x:c r="S239" s="373"/>
      <x:c r="T239" s="373"/>
      <x:c r="U239" s="373"/>
      <x:c r="V239" s="373"/>
      <x:c r="W239" s="373"/>
      <x:c r="X239" s="373"/>
      <x:c r="Y239" s="373"/>
      <x:c r="Z239" s="373"/>
    </x:row>
    <x:row r="240">
      <x:c r="A240" s="373"/>
      <x:c r="B240" s="373"/>
      <x:c r="C240" s="373"/>
      <x:c r="D240" s="373"/>
      <x:c r="E240" s="373"/>
      <x:c r="F240" s="373"/>
      <x:c r="G240" s="373"/>
      <x:c r="H240" s="373"/>
      <x:c r="I240" s="373"/>
      <x:c r="J240" s="373"/>
      <x:c r="K240" s="373"/>
      <x:c r="L240" s="373"/>
      <x:c r="M240" s="373"/>
      <x:c r="N240" s="373"/>
      <x:c r="O240" s="373"/>
      <x:c r="P240" s="373"/>
      <x:c r="Q240" s="373"/>
      <x:c r="R240" s="373"/>
      <x:c r="S240" s="373"/>
      <x:c r="T240" s="373"/>
      <x:c r="U240" s="373"/>
      <x:c r="V240" s="373"/>
      <x:c r="W240" s="373"/>
      <x:c r="X240" s="373"/>
      <x:c r="Y240" s="373"/>
      <x:c r="Z240" s="373"/>
    </x:row>
    <x:row r="241">
      <x:c r="A241" s="373"/>
      <x:c r="B241" s="373"/>
      <x:c r="C241" s="373"/>
      <x:c r="D241" s="373"/>
      <x:c r="E241" s="373"/>
      <x:c r="F241" s="373"/>
      <x:c r="G241" s="373"/>
      <x:c r="H241" s="373"/>
      <x:c r="I241" s="373"/>
      <x:c r="J241" s="373"/>
      <x:c r="K241" s="373"/>
      <x:c r="L241" s="373"/>
      <x:c r="M241" s="373"/>
      <x:c r="N241" s="373"/>
      <x:c r="O241" s="373"/>
      <x:c r="P241" s="373"/>
      <x:c r="Q241" s="373"/>
      <x:c r="R241" s="373"/>
      <x:c r="S241" s="373"/>
      <x:c r="T241" s="373"/>
      <x:c r="U241" s="373"/>
      <x:c r="V241" s="373"/>
      <x:c r="W241" s="373"/>
      <x:c r="X241" s="373"/>
      <x:c r="Y241" s="373"/>
      <x:c r="Z241" s="373"/>
    </x:row>
    <x:row r="242">
      <x:c r="A242" s="373"/>
      <x:c r="B242" s="373"/>
      <x:c r="C242" s="373"/>
      <x:c r="D242" s="373"/>
      <x:c r="E242" s="373"/>
      <x:c r="F242" s="373"/>
      <x:c r="G242" s="373"/>
      <x:c r="H242" s="373"/>
      <x:c r="I242" s="373"/>
      <x:c r="J242" s="373"/>
      <x:c r="K242" s="373"/>
      <x:c r="L242" s="373"/>
      <x:c r="M242" s="373"/>
      <x:c r="N242" s="373"/>
      <x:c r="O242" s="373"/>
      <x:c r="P242" s="373"/>
      <x:c r="Q242" s="373"/>
      <x:c r="R242" s="373"/>
      <x:c r="S242" s="373"/>
      <x:c r="T242" s="373"/>
      <x:c r="U242" s="373"/>
      <x:c r="V242" s="373"/>
      <x:c r="W242" s="373"/>
      <x:c r="X242" s="373"/>
      <x:c r="Y242" s="373"/>
      <x:c r="Z242" s="373"/>
    </x:row>
    <x:row r="243">
      <x:c r="A243" s="373"/>
      <x:c r="B243" s="373"/>
      <x:c r="C243" s="373"/>
      <x:c r="D243" s="373"/>
      <x:c r="E243" s="373"/>
      <x:c r="F243" s="373"/>
      <x:c r="G243" s="373"/>
      <x:c r="H243" s="373"/>
      <x:c r="I243" s="373"/>
      <x:c r="J243" s="373"/>
      <x:c r="K243" s="373"/>
      <x:c r="L243" s="373"/>
      <x:c r="M243" s="373"/>
      <x:c r="N243" s="373"/>
      <x:c r="O243" s="373"/>
      <x:c r="P243" s="373"/>
      <x:c r="Q243" s="373"/>
      <x:c r="R243" s="373"/>
      <x:c r="S243" s="373"/>
      <x:c r="T243" s="373"/>
      <x:c r="U243" s="373"/>
      <x:c r="V243" s="373"/>
      <x:c r="W243" s="373"/>
      <x:c r="X243" s="373"/>
      <x:c r="Y243" s="373"/>
      <x:c r="Z243" s="373"/>
    </x:row>
    <x:row r="244">
      <x:c r="A244" s="373"/>
      <x:c r="B244" s="373"/>
      <x:c r="C244" s="373"/>
      <x:c r="D244" s="373"/>
      <x:c r="E244" s="373"/>
      <x:c r="F244" s="373"/>
      <x:c r="G244" s="373"/>
      <x:c r="H244" s="373"/>
      <x:c r="I244" s="373"/>
      <x:c r="J244" s="373"/>
      <x:c r="K244" s="373"/>
      <x:c r="L244" s="373"/>
      <x:c r="M244" s="373"/>
      <x:c r="N244" s="373"/>
      <x:c r="O244" s="373"/>
      <x:c r="P244" s="373"/>
      <x:c r="Q244" s="373"/>
      <x:c r="R244" s="373"/>
      <x:c r="S244" s="373"/>
      <x:c r="T244" s="373"/>
      <x:c r="U244" s="373"/>
      <x:c r="V244" s="373"/>
      <x:c r="W244" s="373"/>
      <x:c r="X244" s="373"/>
      <x:c r="Y244" s="373"/>
      <x:c r="Z244" s="373"/>
    </x:row>
    <x:row r="245">
      <x:c r="A245" s="373"/>
      <x:c r="B245" s="373"/>
      <x:c r="C245" s="373"/>
      <x:c r="D245" s="373"/>
      <x:c r="E245" s="373"/>
      <x:c r="F245" s="373"/>
      <x:c r="G245" s="373"/>
      <x:c r="H245" s="373"/>
      <x:c r="I245" s="373"/>
      <x:c r="J245" s="373"/>
      <x:c r="K245" s="373"/>
      <x:c r="L245" s="373"/>
      <x:c r="M245" s="373"/>
      <x:c r="N245" s="373"/>
      <x:c r="O245" s="373"/>
      <x:c r="P245" s="373"/>
      <x:c r="Q245" s="373"/>
      <x:c r="R245" s="373"/>
      <x:c r="S245" s="373"/>
      <x:c r="T245" s="373"/>
      <x:c r="U245" s="373"/>
      <x:c r="V245" s="373"/>
      <x:c r="W245" s="373"/>
      <x:c r="X245" s="373"/>
      <x:c r="Y245" s="373"/>
      <x:c r="Z245" s="373"/>
    </x:row>
    <x:row r="246">
      <x:c r="A246" s="373"/>
      <x:c r="B246" s="373"/>
      <x:c r="C246" s="373"/>
      <x:c r="D246" s="373"/>
      <x:c r="E246" s="373"/>
      <x:c r="F246" s="373"/>
      <x:c r="G246" s="373"/>
      <x:c r="H246" s="373"/>
      <x:c r="I246" s="373"/>
      <x:c r="J246" s="373"/>
      <x:c r="K246" s="373"/>
      <x:c r="L246" s="373"/>
      <x:c r="M246" s="373"/>
      <x:c r="N246" s="373"/>
      <x:c r="O246" s="373"/>
      <x:c r="P246" s="373"/>
      <x:c r="Q246" s="373"/>
      <x:c r="R246" s="373"/>
      <x:c r="S246" s="373"/>
      <x:c r="T246" s="373"/>
      <x:c r="U246" s="373"/>
      <x:c r="V246" s="373"/>
      <x:c r="W246" s="373"/>
      <x:c r="X246" s="373"/>
      <x:c r="Y246" s="373"/>
      <x:c r="Z246" s="373"/>
    </x:row>
    <x:row r="247">
      <x:c r="A247" s="373"/>
      <x:c r="B247" s="373"/>
      <x:c r="C247" s="373"/>
      <x:c r="D247" s="373"/>
      <x:c r="E247" s="373"/>
      <x:c r="F247" s="373"/>
      <x:c r="G247" s="373"/>
      <x:c r="H247" s="373"/>
      <x:c r="I247" s="373"/>
      <x:c r="J247" s="373"/>
      <x:c r="K247" s="373"/>
      <x:c r="L247" s="373"/>
      <x:c r="M247" s="373"/>
      <x:c r="N247" s="373"/>
      <x:c r="O247" s="373"/>
      <x:c r="P247" s="373"/>
      <x:c r="Q247" s="373"/>
      <x:c r="R247" s="373"/>
      <x:c r="S247" s="373"/>
      <x:c r="T247" s="373"/>
      <x:c r="U247" s="373"/>
      <x:c r="V247" s="373"/>
      <x:c r="W247" s="373"/>
      <x:c r="X247" s="373"/>
      <x:c r="Y247" s="373"/>
      <x:c r="Z247" s="373"/>
    </x:row>
    <x:row r="248">
      <x:c r="A248" s="373"/>
      <x:c r="B248" s="373"/>
      <x:c r="C248" s="373"/>
      <x:c r="D248" s="373"/>
      <x:c r="E248" s="373"/>
      <x:c r="F248" s="373"/>
      <x:c r="G248" s="373"/>
      <x:c r="H248" s="373"/>
      <x:c r="I248" s="373"/>
      <x:c r="J248" s="373"/>
      <x:c r="K248" s="373"/>
      <x:c r="L248" s="373"/>
      <x:c r="M248" s="373"/>
      <x:c r="N248" s="373"/>
      <x:c r="O248" s="373"/>
      <x:c r="P248" s="373"/>
      <x:c r="Q248" s="373"/>
      <x:c r="R248" s="373"/>
      <x:c r="S248" s="373"/>
      <x:c r="T248" s="373"/>
      <x:c r="U248" s="373"/>
      <x:c r="V248" s="373"/>
      <x:c r="W248" s="373"/>
      <x:c r="X248" s="373"/>
      <x:c r="Y248" s="373"/>
      <x:c r="Z248" s="373"/>
    </x:row>
    <x:row r="249">
      <x:c r="A249" s="373"/>
      <x:c r="B249" s="373"/>
      <x:c r="C249" s="373"/>
      <x:c r="D249" s="373"/>
      <x:c r="E249" s="373"/>
      <x:c r="F249" s="373"/>
      <x:c r="G249" s="373"/>
      <x:c r="H249" s="373"/>
      <x:c r="I249" s="373"/>
      <x:c r="J249" s="373"/>
      <x:c r="K249" s="373"/>
      <x:c r="L249" s="373"/>
      <x:c r="M249" s="373"/>
      <x:c r="N249" s="373"/>
      <x:c r="O249" s="373"/>
      <x:c r="P249" s="373"/>
      <x:c r="Q249" s="373"/>
      <x:c r="R249" s="373"/>
      <x:c r="S249" s="373"/>
      <x:c r="T249" s="373"/>
      <x:c r="U249" s="373"/>
      <x:c r="V249" s="373"/>
      <x:c r="W249" s="373"/>
      <x:c r="X249" s="373"/>
      <x:c r="Y249" s="373"/>
      <x:c r="Z249" s="373"/>
    </x:row>
    <x:row r="250">
      <x:c r="A250" s="373"/>
      <x:c r="B250" s="373"/>
      <x:c r="C250" s="373"/>
      <x:c r="D250" s="373"/>
      <x:c r="E250" s="373"/>
      <x:c r="F250" s="373"/>
      <x:c r="G250" s="373"/>
      <x:c r="H250" s="373"/>
      <x:c r="I250" s="373"/>
      <x:c r="J250" s="373"/>
      <x:c r="K250" s="373"/>
      <x:c r="L250" s="373"/>
      <x:c r="M250" s="373"/>
      <x:c r="N250" s="373"/>
      <x:c r="O250" s="373"/>
      <x:c r="P250" s="373"/>
      <x:c r="Q250" s="373"/>
      <x:c r="R250" s="373"/>
      <x:c r="S250" s="373"/>
      <x:c r="T250" s="373"/>
      <x:c r="U250" s="373"/>
      <x:c r="V250" s="373"/>
      <x:c r="W250" s="373"/>
      <x:c r="X250" s="373"/>
      <x:c r="Y250" s="373"/>
      <x:c r="Z250" s="373"/>
    </x:row>
    <x:row r="251">
      <x:c r="A251" s="373"/>
      <x:c r="B251" s="373"/>
      <x:c r="C251" s="373"/>
      <x:c r="D251" s="373"/>
      <x:c r="E251" s="373"/>
      <x:c r="F251" s="373"/>
      <x:c r="G251" s="373"/>
      <x:c r="H251" s="373"/>
      <x:c r="I251" s="373"/>
      <x:c r="J251" s="373"/>
      <x:c r="K251" s="373"/>
      <x:c r="L251" s="373"/>
      <x:c r="M251" s="373"/>
      <x:c r="N251" s="373"/>
      <x:c r="O251" s="373"/>
      <x:c r="P251" s="373"/>
      <x:c r="Q251" s="373"/>
      <x:c r="R251" s="373"/>
      <x:c r="S251" s="373"/>
      <x:c r="T251" s="373"/>
      <x:c r="U251" s="373"/>
      <x:c r="V251" s="373"/>
      <x:c r="W251" s="373"/>
      <x:c r="X251" s="373"/>
      <x:c r="Y251" s="373"/>
      <x:c r="Z251" s="373"/>
    </x:row>
    <x:row r="252">
      <x:c r="A252" s="373"/>
      <x:c r="B252" s="373"/>
      <x:c r="C252" s="373"/>
      <x:c r="D252" s="373"/>
      <x:c r="E252" s="373"/>
      <x:c r="F252" s="373"/>
      <x:c r="G252" s="373"/>
      <x:c r="H252" s="373"/>
      <x:c r="I252" s="373"/>
      <x:c r="J252" s="373"/>
      <x:c r="K252" s="373"/>
      <x:c r="L252" s="373"/>
      <x:c r="M252" s="373"/>
      <x:c r="N252" s="373"/>
      <x:c r="O252" s="373"/>
      <x:c r="P252" s="373"/>
      <x:c r="Q252" s="373"/>
      <x:c r="R252" s="373"/>
      <x:c r="S252" s="373"/>
      <x:c r="T252" s="373"/>
      <x:c r="U252" s="373"/>
      <x:c r="V252" s="373"/>
      <x:c r="W252" s="373"/>
      <x:c r="X252" s="373"/>
      <x:c r="Y252" s="373"/>
      <x:c r="Z252" s="373"/>
    </x:row>
    <x:row r="253">
      <x:c r="A253" s="373"/>
      <x:c r="B253" s="373"/>
      <x:c r="C253" s="373"/>
      <x:c r="D253" s="373"/>
      <x:c r="E253" s="373"/>
      <x:c r="F253" s="373"/>
      <x:c r="G253" s="373"/>
      <x:c r="H253" s="373"/>
      <x:c r="I253" s="373"/>
      <x:c r="J253" s="373"/>
      <x:c r="K253" s="373"/>
      <x:c r="L253" s="373"/>
      <x:c r="M253" s="373"/>
      <x:c r="N253" s="373"/>
      <x:c r="O253" s="373"/>
      <x:c r="P253" s="373"/>
      <x:c r="Q253" s="373"/>
      <x:c r="R253" s="373"/>
      <x:c r="S253" s="373"/>
      <x:c r="T253" s="373"/>
      <x:c r="U253" s="373"/>
      <x:c r="V253" s="373"/>
      <x:c r="W253" s="373"/>
      <x:c r="X253" s="373"/>
      <x:c r="Y253" s="373"/>
      <x:c r="Z253" s="373"/>
    </x:row>
    <x:row r="254">
      <x:c r="A254" s="373"/>
      <x:c r="B254" s="373"/>
      <x:c r="C254" s="373"/>
      <x:c r="D254" s="373"/>
      <x:c r="E254" s="373"/>
      <x:c r="F254" s="373"/>
      <x:c r="G254" s="373"/>
      <x:c r="H254" s="373"/>
      <x:c r="I254" s="373"/>
      <x:c r="J254" s="373"/>
      <x:c r="K254" s="373"/>
      <x:c r="L254" s="373"/>
      <x:c r="M254" s="373"/>
      <x:c r="N254" s="373"/>
      <x:c r="O254" s="373"/>
      <x:c r="P254" s="373"/>
      <x:c r="Q254" s="373"/>
      <x:c r="R254" s="373"/>
      <x:c r="S254" s="373"/>
      <x:c r="T254" s="373"/>
      <x:c r="U254" s="373"/>
      <x:c r="V254" s="373"/>
      <x:c r="W254" s="373"/>
      <x:c r="X254" s="373"/>
      <x:c r="Y254" s="373"/>
      <x:c r="Z254" s="373"/>
    </x:row>
    <x:row r="255">
      <x:c r="A255" s="373"/>
      <x:c r="B255" s="373"/>
      <x:c r="C255" s="373"/>
      <x:c r="D255" s="373"/>
      <x:c r="E255" s="373"/>
      <x:c r="F255" s="373"/>
      <x:c r="G255" s="373"/>
      <x:c r="H255" s="373"/>
      <x:c r="I255" s="373"/>
      <x:c r="J255" s="373"/>
      <x:c r="K255" s="373"/>
      <x:c r="L255" s="373"/>
      <x:c r="M255" s="373"/>
      <x:c r="N255" s="373"/>
      <x:c r="O255" s="373"/>
      <x:c r="P255" s="373"/>
      <x:c r="Q255" s="373"/>
      <x:c r="R255" s="373"/>
      <x:c r="S255" s="373"/>
      <x:c r="T255" s="373"/>
      <x:c r="U255" s="373"/>
      <x:c r="V255" s="373"/>
      <x:c r="W255" s="373"/>
      <x:c r="X255" s="373"/>
      <x:c r="Y255" s="373"/>
      <x:c r="Z255" s="373"/>
    </x:row>
    <x:row r="256">
      <x:c r="A256" s="373"/>
      <x:c r="B256" s="373"/>
      <x:c r="C256" s="373"/>
      <x:c r="D256" s="373"/>
      <x:c r="E256" s="373"/>
      <x:c r="F256" s="373"/>
      <x:c r="G256" s="373"/>
      <x:c r="H256" s="373"/>
      <x:c r="I256" s="373"/>
      <x:c r="J256" s="373"/>
      <x:c r="K256" s="373"/>
      <x:c r="L256" s="373"/>
      <x:c r="M256" s="373"/>
      <x:c r="N256" s="373"/>
      <x:c r="O256" s="373"/>
      <x:c r="P256" s="373"/>
      <x:c r="Q256" s="373"/>
      <x:c r="R256" s="373"/>
      <x:c r="S256" s="373"/>
      <x:c r="T256" s="373"/>
      <x:c r="U256" s="373"/>
      <x:c r="V256" s="373"/>
      <x:c r="W256" s="373"/>
      <x:c r="X256" s="373"/>
      <x:c r="Y256" s="373"/>
      <x:c r="Z256" s="373"/>
    </x:row>
    <x:row r="257">
      <x:c r="A257" s="373"/>
      <x:c r="B257" s="373"/>
      <x:c r="C257" s="373"/>
      <x:c r="D257" s="373"/>
      <x:c r="E257" s="373"/>
      <x:c r="F257" s="373"/>
      <x:c r="G257" s="373"/>
      <x:c r="H257" s="373"/>
      <x:c r="I257" s="373"/>
      <x:c r="J257" s="373"/>
      <x:c r="K257" s="373"/>
      <x:c r="L257" s="373"/>
      <x:c r="M257" s="373"/>
      <x:c r="N257" s="373"/>
      <x:c r="O257" s="373"/>
      <x:c r="P257" s="373"/>
      <x:c r="Q257" s="373"/>
      <x:c r="R257" s="373"/>
      <x:c r="S257" s="373"/>
      <x:c r="T257" s="373"/>
      <x:c r="U257" s="373"/>
      <x:c r="V257" s="373"/>
      <x:c r="W257" s="373"/>
      <x:c r="X257" s="373"/>
      <x:c r="Y257" s="373"/>
      <x:c r="Z257" s="373"/>
    </x:row>
    <x:row r="258">
      <x:c r="A258" s="373"/>
      <x:c r="B258" s="373"/>
      <x:c r="C258" s="373"/>
      <x:c r="D258" s="373"/>
      <x:c r="E258" s="373"/>
      <x:c r="F258" s="373"/>
      <x:c r="G258" s="373"/>
      <x:c r="H258" s="373"/>
      <x:c r="I258" s="373"/>
      <x:c r="J258" s="373"/>
      <x:c r="K258" s="373"/>
      <x:c r="L258" s="373"/>
      <x:c r="M258" s="373"/>
      <x:c r="N258" s="373"/>
      <x:c r="O258" s="373"/>
      <x:c r="P258" s="373"/>
      <x:c r="Q258" s="373"/>
      <x:c r="R258" s="373"/>
      <x:c r="S258" s="373"/>
      <x:c r="T258" s="373"/>
      <x:c r="U258" s="373"/>
      <x:c r="V258" s="373"/>
      <x:c r="W258" s="373"/>
      <x:c r="X258" s="373"/>
      <x:c r="Y258" s="373"/>
      <x:c r="Z258" s="373"/>
    </x:row>
    <x:row r="259">
      <x:c r="A259" s="373"/>
      <x:c r="B259" s="373"/>
      <x:c r="C259" s="373"/>
      <x:c r="D259" s="373"/>
      <x:c r="E259" s="373"/>
      <x:c r="F259" s="373"/>
      <x:c r="G259" s="373"/>
      <x:c r="H259" s="373"/>
      <x:c r="I259" s="373"/>
      <x:c r="J259" s="373"/>
      <x:c r="K259" s="373"/>
      <x:c r="L259" s="373"/>
      <x:c r="M259" s="373"/>
      <x:c r="N259" s="373"/>
      <x:c r="O259" s="373"/>
      <x:c r="P259" s="373"/>
      <x:c r="Q259" s="373"/>
      <x:c r="R259" s="373"/>
      <x:c r="S259" s="373"/>
      <x:c r="T259" s="373"/>
      <x:c r="U259" s="373"/>
      <x:c r="V259" s="373"/>
      <x:c r="W259" s="373"/>
      <x:c r="X259" s="373"/>
      <x:c r="Y259" s="373"/>
      <x:c r="Z259" s="373"/>
    </x:row>
    <x:row r="260">
      <x:c r="A260" s="373"/>
      <x:c r="B260" s="373"/>
      <x:c r="C260" s="373"/>
      <x:c r="D260" s="373"/>
      <x:c r="E260" s="373"/>
      <x:c r="F260" s="373"/>
      <x:c r="G260" s="373"/>
      <x:c r="H260" s="373"/>
      <x:c r="I260" s="373"/>
      <x:c r="J260" s="373"/>
      <x:c r="K260" s="373"/>
      <x:c r="L260" s="373"/>
      <x:c r="M260" s="373"/>
      <x:c r="N260" s="373"/>
      <x:c r="O260" s="373"/>
      <x:c r="P260" s="373"/>
      <x:c r="Q260" s="373"/>
      <x:c r="R260" s="373"/>
      <x:c r="S260" s="373"/>
      <x:c r="T260" s="373"/>
      <x:c r="U260" s="373"/>
      <x:c r="V260" s="373"/>
      <x:c r="W260" s="373"/>
      <x:c r="X260" s="373"/>
      <x:c r="Y260" s="373"/>
      <x:c r="Z260" s="373"/>
    </x:row>
    <x:row r="261">
      <x:c r="A261" s="373"/>
      <x:c r="B261" s="373"/>
      <x:c r="C261" s="373"/>
      <x:c r="D261" s="373"/>
      <x:c r="E261" s="373"/>
      <x:c r="F261" s="373"/>
      <x:c r="G261" s="373"/>
      <x:c r="H261" s="373"/>
      <x:c r="I261" s="373"/>
      <x:c r="J261" s="373"/>
      <x:c r="K261" s="373"/>
      <x:c r="L261" s="373"/>
      <x:c r="M261" s="373"/>
      <x:c r="N261" s="373"/>
      <x:c r="O261" s="373"/>
      <x:c r="P261" s="373"/>
      <x:c r="Q261" s="373"/>
      <x:c r="R261" s="373"/>
      <x:c r="S261" s="373"/>
      <x:c r="T261" s="373"/>
      <x:c r="U261" s="373"/>
      <x:c r="V261" s="373"/>
      <x:c r="W261" s="373"/>
      <x:c r="X261" s="373"/>
      <x:c r="Y261" s="373"/>
      <x:c r="Z261" s="373"/>
    </x:row>
    <x:row r="262">
      <x:c r="A262" s="373"/>
      <x:c r="B262" s="373"/>
      <x:c r="C262" s="373"/>
      <x:c r="D262" s="373"/>
      <x:c r="E262" s="373"/>
      <x:c r="F262" s="373"/>
      <x:c r="G262" s="373"/>
      <x:c r="H262" s="373"/>
      <x:c r="I262" s="373"/>
      <x:c r="J262" s="373"/>
      <x:c r="K262" s="373"/>
      <x:c r="L262" s="373"/>
      <x:c r="M262" s="373"/>
      <x:c r="N262" s="373"/>
      <x:c r="O262" s="373"/>
      <x:c r="P262" s="373"/>
      <x:c r="Q262" s="373"/>
      <x:c r="R262" s="373"/>
      <x:c r="S262" s="373"/>
      <x:c r="T262" s="373"/>
      <x:c r="U262" s="373"/>
      <x:c r="V262" s="373"/>
      <x:c r="W262" s="373"/>
      <x:c r="X262" s="373"/>
      <x:c r="Y262" s="373"/>
      <x:c r="Z262" s="373"/>
    </x:row>
    <x:row r="263">
      <x:c r="A263" s="373"/>
      <x:c r="B263" s="373"/>
      <x:c r="C263" s="373"/>
      <x:c r="D263" s="373"/>
      <x:c r="E263" s="373"/>
      <x:c r="F263" s="373"/>
      <x:c r="G263" s="373"/>
      <x:c r="H263" s="373"/>
      <x:c r="I263" s="373"/>
      <x:c r="J263" s="373"/>
      <x:c r="K263" s="373"/>
      <x:c r="L263" s="373"/>
      <x:c r="M263" s="373"/>
      <x:c r="N263" s="373"/>
      <x:c r="O263" s="373"/>
      <x:c r="P263" s="373"/>
      <x:c r="Q263" s="373"/>
      <x:c r="R263" s="373"/>
      <x:c r="S263" s="373"/>
      <x:c r="T263" s="373"/>
      <x:c r="U263" s="373"/>
      <x:c r="V263" s="373"/>
      <x:c r="W263" s="373"/>
      <x:c r="X263" s="373"/>
      <x:c r="Y263" s="373"/>
      <x:c r="Z263" s="373"/>
    </x:row>
    <x:row r="264">
      <x:c r="A264" s="373"/>
      <x:c r="B264" s="373"/>
      <x:c r="C264" s="373"/>
      <x:c r="D264" s="373"/>
      <x:c r="E264" s="373"/>
      <x:c r="F264" s="373"/>
      <x:c r="G264" s="373"/>
      <x:c r="H264" s="373"/>
      <x:c r="I264" s="373"/>
      <x:c r="J264" s="373"/>
      <x:c r="K264" s="373"/>
      <x:c r="L264" s="373"/>
      <x:c r="M264" s="373"/>
      <x:c r="N264" s="373"/>
      <x:c r="O264" s="373"/>
      <x:c r="P264" s="373"/>
      <x:c r="Q264" s="373"/>
      <x:c r="R264" s="373"/>
      <x:c r="S264" s="373"/>
      <x:c r="T264" s="373"/>
      <x:c r="U264" s="373"/>
      <x:c r="V264" s="373"/>
      <x:c r="W264" s="373"/>
      <x:c r="X264" s="373"/>
      <x:c r="Y264" s="373"/>
      <x:c r="Z264" s="373"/>
    </x:row>
    <x:row r="265">
      <x:c r="A265" s="373"/>
      <x:c r="B265" s="373"/>
      <x:c r="C265" s="373"/>
      <x:c r="D265" s="373"/>
      <x:c r="E265" s="373"/>
      <x:c r="F265" s="373"/>
      <x:c r="G265" s="373"/>
      <x:c r="H265" s="373"/>
      <x:c r="I265" s="373"/>
      <x:c r="J265" s="373"/>
      <x:c r="K265" s="373"/>
      <x:c r="L265" s="373"/>
      <x:c r="M265" s="373"/>
      <x:c r="N265" s="373"/>
      <x:c r="O265" s="373"/>
      <x:c r="P265" s="373"/>
      <x:c r="Q265" s="373"/>
      <x:c r="R265" s="373"/>
      <x:c r="S265" s="373"/>
      <x:c r="T265" s="373"/>
      <x:c r="U265" s="373"/>
      <x:c r="V265" s="373"/>
      <x:c r="W265" s="373"/>
      <x:c r="X265" s="373"/>
      <x:c r="Y265" s="373"/>
      <x:c r="Z265" s="373"/>
    </x:row>
    <x:row r="266">
      <x:c r="A266" s="373"/>
      <x:c r="B266" s="373"/>
      <x:c r="C266" s="373"/>
      <x:c r="D266" s="373"/>
      <x:c r="E266" s="373"/>
      <x:c r="F266" s="373"/>
      <x:c r="G266" s="373"/>
      <x:c r="H266" s="373"/>
      <x:c r="I266" s="373"/>
      <x:c r="J266" s="373"/>
      <x:c r="K266" s="373"/>
      <x:c r="L266" s="373"/>
      <x:c r="M266" s="373"/>
      <x:c r="N266" s="373"/>
      <x:c r="O266" s="373"/>
      <x:c r="P266" s="373"/>
      <x:c r="Q266" s="373"/>
      <x:c r="R266" s="373"/>
      <x:c r="S266" s="373"/>
      <x:c r="T266" s="373"/>
      <x:c r="U266" s="373"/>
      <x:c r="V266" s="373"/>
      <x:c r="W266" s="373"/>
      <x:c r="X266" s="373"/>
      <x:c r="Y266" s="373"/>
      <x:c r="Z266" s="373"/>
    </x:row>
    <x:row r="267">
      <x:c r="A267" s="373"/>
      <x:c r="B267" s="373"/>
      <x:c r="C267" s="373"/>
      <x:c r="D267" s="373"/>
      <x:c r="E267" s="373"/>
      <x:c r="F267" s="373"/>
      <x:c r="G267" s="373"/>
      <x:c r="H267" s="373"/>
      <x:c r="I267" s="373"/>
      <x:c r="J267" s="373"/>
      <x:c r="K267" s="373"/>
      <x:c r="L267" s="373"/>
      <x:c r="M267" s="373"/>
      <x:c r="N267" s="373"/>
      <x:c r="O267" s="373"/>
      <x:c r="P267" s="373"/>
      <x:c r="Q267" s="373"/>
      <x:c r="R267" s="373"/>
      <x:c r="S267" s="373"/>
      <x:c r="T267" s="373"/>
      <x:c r="U267" s="373"/>
      <x:c r="V267" s="373"/>
      <x:c r="W267" s="373"/>
      <x:c r="X267" s="373"/>
      <x:c r="Y267" s="373"/>
      <x:c r="Z267" s="373"/>
    </x:row>
    <x:row r="268">
      <x:c r="A268" s="373"/>
      <x:c r="B268" s="373"/>
      <x:c r="C268" s="373"/>
      <x:c r="D268" s="373"/>
      <x:c r="E268" s="373"/>
      <x:c r="F268" s="373"/>
      <x:c r="G268" s="373"/>
      <x:c r="H268" s="373"/>
      <x:c r="I268" s="373"/>
      <x:c r="J268" s="373"/>
      <x:c r="K268" s="373"/>
      <x:c r="L268" s="373"/>
      <x:c r="M268" s="373"/>
      <x:c r="N268" s="373"/>
      <x:c r="O268" s="373"/>
      <x:c r="P268" s="373"/>
      <x:c r="Q268" s="373"/>
      <x:c r="R268" s="373"/>
      <x:c r="S268" s="373"/>
      <x:c r="T268" s="373"/>
      <x:c r="U268" s="373"/>
      <x:c r="V268" s="373"/>
      <x:c r="W268" s="373"/>
      <x:c r="X268" s="373"/>
      <x:c r="Y268" s="373"/>
      <x:c r="Z268" s="373"/>
    </x:row>
    <x:row r="269">
      <x:c r="A269" s="373"/>
      <x:c r="B269" s="373"/>
      <x:c r="C269" s="373"/>
      <x:c r="D269" s="373"/>
      <x:c r="E269" s="373"/>
      <x:c r="F269" s="373"/>
      <x:c r="G269" s="373"/>
      <x:c r="H269" s="373"/>
      <x:c r="I269" s="373"/>
      <x:c r="J269" s="373"/>
      <x:c r="K269" s="373"/>
      <x:c r="L269" s="373"/>
      <x:c r="M269" s="373"/>
      <x:c r="N269" s="373"/>
      <x:c r="O269" s="373"/>
      <x:c r="P269" s="373"/>
      <x:c r="Q269" s="373"/>
      <x:c r="R269" s="373"/>
      <x:c r="S269" s="373"/>
      <x:c r="T269" s="373"/>
      <x:c r="U269" s="373"/>
      <x:c r="V269" s="373"/>
      <x:c r="W269" s="373"/>
      <x:c r="X269" s="373"/>
      <x:c r="Y269" s="373"/>
      <x:c r="Z269" s="373"/>
    </x:row>
    <x:row r="270">
      <x:c r="A270" s="373"/>
      <x:c r="B270" s="373"/>
      <x:c r="C270" s="373"/>
      <x:c r="D270" s="373"/>
      <x:c r="E270" s="373"/>
      <x:c r="F270" s="373"/>
      <x:c r="G270" s="373"/>
      <x:c r="H270" s="373"/>
      <x:c r="I270" s="373"/>
      <x:c r="J270" s="373"/>
      <x:c r="K270" s="373"/>
      <x:c r="L270" s="373"/>
      <x:c r="M270" s="373"/>
      <x:c r="N270" s="373"/>
      <x:c r="O270" s="373"/>
      <x:c r="P270" s="373"/>
      <x:c r="Q270" s="373"/>
      <x:c r="R270" s="373"/>
      <x:c r="S270" s="373"/>
      <x:c r="T270" s="373"/>
      <x:c r="U270" s="373"/>
      <x:c r="V270" s="373"/>
      <x:c r="W270" s="373"/>
      <x:c r="X270" s="373"/>
      <x:c r="Y270" s="373"/>
      <x:c r="Z270" s="373"/>
    </x:row>
    <x:row r="271">
      <x:c r="A271" s="373"/>
      <x:c r="B271" s="373"/>
      <x:c r="C271" s="373"/>
      <x:c r="D271" s="373"/>
      <x:c r="E271" s="373"/>
      <x:c r="F271" s="373"/>
      <x:c r="G271" s="373"/>
      <x:c r="H271" s="373"/>
      <x:c r="I271" s="373"/>
      <x:c r="J271" s="373"/>
      <x:c r="K271" s="373"/>
      <x:c r="L271" s="373"/>
      <x:c r="M271" s="373"/>
      <x:c r="N271" s="373"/>
      <x:c r="O271" s="373"/>
      <x:c r="P271" s="373"/>
      <x:c r="Q271" s="373"/>
      <x:c r="R271" s="373"/>
      <x:c r="S271" s="373"/>
      <x:c r="T271" s="373"/>
      <x:c r="U271" s="373"/>
      <x:c r="V271" s="373"/>
      <x:c r="W271" s="373"/>
      <x:c r="X271" s="373"/>
      <x:c r="Y271" s="373"/>
      <x:c r="Z271" s="373"/>
    </x:row>
    <x:row r="272">
      <x:c r="A272" s="373"/>
      <x:c r="B272" s="373"/>
      <x:c r="C272" s="373"/>
      <x:c r="D272" s="373"/>
      <x:c r="E272" s="373"/>
      <x:c r="F272" s="373"/>
      <x:c r="G272" s="373"/>
      <x:c r="H272" s="373"/>
      <x:c r="I272" s="373"/>
      <x:c r="J272" s="373"/>
      <x:c r="K272" s="373"/>
      <x:c r="L272" s="373"/>
      <x:c r="M272" s="373"/>
      <x:c r="N272" s="373"/>
      <x:c r="O272" s="373"/>
      <x:c r="P272" s="373"/>
      <x:c r="Q272" s="373"/>
      <x:c r="R272" s="373"/>
      <x:c r="S272" s="373"/>
      <x:c r="T272" s="373"/>
      <x:c r="U272" s="373"/>
      <x:c r="V272" s="373"/>
      <x:c r="W272" s="373"/>
      <x:c r="X272" s="373"/>
      <x:c r="Y272" s="373"/>
      <x:c r="Z272" s="373"/>
    </x:row>
    <x:row r="273">
      <x:c r="A273" s="373"/>
      <x:c r="B273" s="373"/>
      <x:c r="C273" s="373"/>
      <x:c r="D273" s="373"/>
      <x:c r="E273" s="373"/>
      <x:c r="F273" s="373"/>
      <x:c r="G273" s="373"/>
      <x:c r="H273" s="373"/>
      <x:c r="I273" s="373"/>
      <x:c r="J273" s="373"/>
      <x:c r="K273" s="373"/>
      <x:c r="L273" s="373"/>
      <x:c r="M273" s="373"/>
      <x:c r="N273" s="373"/>
      <x:c r="O273" s="373"/>
      <x:c r="P273" s="373"/>
      <x:c r="Q273" s="373"/>
      <x:c r="R273" s="373"/>
      <x:c r="S273" s="373"/>
      <x:c r="T273" s="373"/>
      <x:c r="U273" s="373"/>
      <x:c r="V273" s="373"/>
      <x:c r="W273" s="373"/>
      <x:c r="X273" s="373"/>
      <x:c r="Y273" s="373"/>
      <x:c r="Z273" s="373"/>
    </x:row>
    <x:row r="274">
      <x:c r="A274" s="373"/>
      <x:c r="B274" s="373"/>
      <x:c r="C274" s="373"/>
      <x:c r="D274" s="373"/>
      <x:c r="E274" s="373"/>
      <x:c r="F274" s="373"/>
      <x:c r="G274" s="373"/>
      <x:c r="H274" s="373"/>
      <x:c r="I274" s="373"/>
      <x:c r="J274" s="373"/>
      <x:c r="K274" s="373"/>
      <x:c r="L274" s="373"/>
      <x:c r="M274" s="373"/>
      <x:c r="N274" s="373"/>
      <x:c r="O274" s="373"/>
      <x:c r="P274" s="373"/>
      <x:c r="Q274" s="373"/>
      <x:c r="R274" s="373"/>
      <x:c r="S274" s="373"/>
      <x:c r="T274" s="373"/>
      <x:c r="U274" s="373"/>
      <x:c r="V274" s="373"/>
      <x:c r="W274" s="373"/>
      <x:c r="X274" s="373"/>
      <x:c r="Y274" s="373"/>
      <x:c r="Z274" s="373"/>
    </x:row>
    <x:row r="275">
      <x:c r="A275" s="373"/>
      <x:c r="B275" s="373"/>
      <x:c r="C275" s="373"/>
      <x:c r="D275" s="373"/>
      <x:c r="E275" s="373"/>
      <x:c r="F275" s="373"/>
      <x:c r="G275" s="373"/>
      <x:c r="H275" s="373"/>
      <x:c r="I275" s="373"/>
      <x:c r="J275" s="373"/>
      <x:c r="K275" s="373"/>
      <x:c r="L275" s="373"/>
      <x:c r="M275" s="373"/>
      <x:c r="N275" s="373"/>
      <x:c r="O275" s="373"/>
      <x:c r="P275" s="373"/>
      <x:c r="Q275" s="373"/>
      <x:c r="R275" s="373"/>
      <x:c r="S275" s="373"/>
      <x:c r="T275" s="373"/>
      <x:c r="U275" s="373"/>
      <x:c r="V275" s="373"/>
      <x:c r="W275" s="373"/>
      <x:c r="X275" s="373"/>
      <x:c r="Y275" s="373"/>
      <x:c r="Z275" s="373"/>
    </x:row>
    <x:row r="276">
      <x:c r="A276" s="373"/>
      <x:c r="B276" s="373"/>
      <x:c r="C276" s="373"/>
      <x:c r="D276" s="373"/>
      <x:c r="E276" s="373"/>
      <x:c r="F276" s="373"/>
      <x:c r="G276" s="373"/>
      <x:c r="H276" s="373"/>
      <x:c r="I276" s="373"/>
      <x:c r="J276" s="373"/>
      <x:c r="K276" s="373"/>
      <x:c r="L276" s="373"/>
      <x:c r="M276" s="373"/>
      <x:c r="N276" s="373"/>
      <x:c r="O276" s="373"/>
      <x:c r="P276" s="373"/>
      <x:c r="Q276" s="373"/>
      <x:c r="R276" s="373"/>
      <x:c r="S276" s="373"/>
      <x:c r="T276" s="373"/>
      <x:c r="U276" s="373"/>
      <x:c r="V276" s="373"/>
      <x:c r="W276" s="373"/>
      <x:c r="X276" s="373"/>
      <x:c r="Y276" s="373"/>
      <x:c r="Z276" s="373"/>
    </x:row>
    <x:row r="277">
      <x:c r="A277" s="373"/>
      <x:c r="B277" s="373"/>
      <x:c r="C277" s="373"/>
      <x:c r="D277" s="373"/>
      <x:c r="E277" s="373"/>
      <x:c r="F277" s="373"/>
      <x:c r="G277" s="373"/>
      <x:c r="H277" s="373"/>
      <x:c r="I277" s="373"/>
      <x:c r="J277" s="373"/>
      <x:c r="K277" s="373"/>
      <x:c r="L277" s="373"/>
      <x:c r="M277" s="373"/>
      <x:c r="N277" s="373"/>
      <x:c r="O277" s="373"/>
      <x:c r="P277" s="373"/>
      <x:c r="Q277" s="373"/>
      <x:c r="R277" s="373"/>
      <x:c r="S277" s="373"/>
      <x:c r="T277" s="373"/>
      <x:c r="U277" s="373"/>
      <x:c r="V277" s="373"/>
      <x:c r="W277" s="373"/>
      <x:c r="X277" s="373"/>
      <x:c r="Y277" s="373"/>
      <x:c r="Z277" s="373"/>
    </x:row>
    <x:row r="278">
      <x:c r="A278" s="373"/>
      <x:c r="B278" s="373"/>
      <x:c r="C278" s="373"/>
      <x:c r="D278" s="373"/>
      <x:c r="E278" s="373"/>
      <x:c r="F278" s="373"/>
      <x:c r="G278" s="373"/>
      <x:c r="H278" s="373"/>
      <x:c r="I278" s="373"/>
      <x:c r="J278" s="373"/>
      <x:c r="K278" s="373"/>
      <x:c r="L278" s="373"/>
      <x:c r="M278" s="373"/>
      <x:c r="N278" s="373"/>
      <x:c r="O278" s="373"/>
      <x:c r="P278" s="373"/>
      <x:c r="Q278" s="373"/>
      <x:c r="R278" s="373"/>
      <x:c r="S278" s="373"/>
      <x:c r="T278" s="373"/>
      <x:c r="U278" s="373"/>
      <x:c r="V278" s="373"/>
      <x:c r="W278" s="373"/>
      <x:c r="X278" s="373"/>
      <x:c r="Y278" s="373"/>
      <x:c r="Z278" s="373"/>
    </x:row>
    <x:row r="279">
      <x:c r="A279" s="373"/>
      <x:c r="B279" s="373"/>
      <x:c r="C279" s="373"/>
      <x:c r="D279" s="373"/>
      <x:c r="E279" s="373"/>
      <x:c r="F279" s="373"/>
      <x:c r="G279" s="373"/>
      <x:c r="H279" s="373"/>
      <x:c r="I279" s="373"/>
      <x:c r="J279" s="373"/>
      <x:c r="K279" s="373"/>
      <x:c r="L279" s="373"/>
      <x:c r="M279" s="373"/>
      <x:c r="N279" s="373"/>
      <x:c r="O279" s="373"/>
      <x:c r="P279" s="373"/>
      <x:c r="Q279" s="373"/>
      <x:c r="R279" s="373"/>
      <x:c r="S279" s="373"/>
      <x:c r="T279" s="373"/>
      <x:c r="U279" s="373"/>
      <x:c r="V279" s="373"/>
      <x:c r="W279" s="373"/>
      <x:c r="X279" s="373"/>
      <x:c r="Y279" s="373"/>
      <x:c r="Z279" s="373"/>
    </x:row>
    <x:row r="280">
      <x:c r="A280" s="373"/>
      <x:c r="B280" s="373"/>
      <x:c r="C280" s="373"/>
      <x:c r="D280" s="373"/>
      <x:c r="E280" s="373"/>
      <x:c r="F280" s="373"/>
      <x:c r="G280" s="373"/>
      <x:c r="H280" s="373"/>
      <x:c r="I280" s="373"/>
      <x:c r="J280" s="373"/>
      <x:c r="K280" s="373"/>
      <x:c r="L280" s="373"/>
      <x:c r="M280" s="373"/>
      <x:c r="N280" s="373"/>
      <x:c r="O280" s="373"/>
      <x:c r="P280" s="373"/>
      <x:c r="Q280" s="373"/>
      <x:c r="R280" s="373"/>
      <x:c r="S280" s="373"/>
      <x:c r="T280" s="373"/>
      <x:c r="U280" s="373"/>
      <x:c r="V280" s="373"/>
      <x:c r="W280" s="373"/>
      <x:c r="X280" s="373"/>
      <x:c r="Y280" s="373"/>
      <x:c r="Z280" s="373"/>
    </x:row>
    <x:row r="281">
      <x:c r="A281" s="373"/>
      <x:c r="B281" s="373"/>
      <x:c r="C281" s="373"/>
      <x:c r="D281" s="373"/>
      <x:c r="E281" s="373"/>
      <x:c r="F281" s="373"/>
      <x:c r="G281" s="373"/>
      <x:c r="H281" s="373"/>
      <x:c r="I281" s="373"/>
      <x:c r="J281" s="373"/>
      <x:c r="K281" s="373"/>
      <x:c r="L281" s="373"/>
      <x:c r="M281" s="373"/>
      <x:c r="N281" s="373"/>
      <x:c r="O281" s="373"/>
      <x:c r="P281" s="373"/>
      <x:c r="Q281" s="373"/>
      <x:c r="R281" s="373"/>
      <x:c r="S281" s="373"/>
      <x:c r="T281" s="373"/>
      <x:c r="U281" s="373"/>
      <x:c r="V281" s="373"/>
      <x:c r="W281" s="373"/>
      <x:c r="X281" s="373"/>
      <x:c r="Y281" s="373"/>
      <x:c r="Z281" s="373"/>
    </x:row>
    <x:row r="282">
      <x:c r="A282" s="373"/>
      <x:c r="B282" s="373"/>
      <x:c r="C282" s="373"/>
      <x:c r="D282" s="373"/>
      <x:c r="E282" s="373"/>
      <x:c r="F282" s="373"/>
      <x:c r="G282" s="373"/>
      <x:c r="H282" s="373"/>
      <x:c r="I282" s="373"/>
      <x:c r="J282" s="373"/>
      <x:c r="K282" s="373"/>
      <x:c r="L282" s="373"/>
      <x:c r="M282" s="373"/>
      <x:c r="N282" s="373"/>
      <x:c r="O282" s="373"/>
      <x:c r="P282" s="373"/>
      <x:c r="Q282" s="373"/>
      <x:c r="R282" s="373"/>
      <x:c r="S282" s="373"/>
      <x:c r="T282" s="373"/>
      <x:c r="U282" s="373"/>
      <x:c r="V282" s="373"/>
      <x:c r="W282" s="373"/>
      <x:c r="X282" s="373"/>
      <x:c r="Y282" s="373"/>
      <x:c r="Z282" s="373"/>
    </x:row>
    <x:row r="283">
      <x:c r="A283" s="373"/>
      <x:c r="B283" s="373"/>
      <x:c r="C283" s="373"/>
      <x:c r="D283" s="373"/>
      <x:c r="E283" s="373"/>
      <x:c r="F283" s="373"/>
      <x:c r="G283" s="373"/>
      <x:c r="H283" s="373"/>
      <x:c r="I283" s="373"/>
      <x:c r="J283" s="373"/>
      <x:c r="K283" s="373"/>
      <x:c r="L283" s="373"/>
      <x:c r="M283" s="373"/>
      <x:c r="N283" s="373"/>
      <x:c r="O283" s="373"/>
      <x:c r="P283" s="373"/>
      <x:c r="Q283" s="373"/>
      <x:c r="R283" s="373"/>
      <x:c r="S283" s="373"/>
      <x:c r="T283" s="373"/>
      <x:c r="U283" s="373"/>
      <x:c r="V283" s="373"/>
      <x:c r="W283" s="373"/>
      <x:c r="X283" s="373"/>
      <x:c r="Y283" s="373"/>
      <x:c r="Z283" s="373"/>
    </x:row>
    <x:row r="284">
      <x:c r="A284" s="373"/>
      <x:c r="B284" s="373"/>
      <x:c r="C284" s="373"/>
      <x:c r="D284" s="373"/>
      <x:c r="E284" s="373"/>
      <x:c r="F284" s="373"/>
      <x:c r="G284" s="373"/>
      <x:c r="H284" s="373"/>
      <x:c r="I284" s="373"/>
      <x:c r="J284" s="373"/>
      <x:c r="K284" s="373"/>
      <x:c r="L284" s="373"/>
      <x:c r="M284" s="373"/>
      <x:c r="N284" s="373"/>
      <x:c r="O284" s="373"/>
      <x:c r="P284" s="373"/>
      <x:c r="Q284" s="373"/>
      <x:c r="R284" s="373"/>
      <x:c r="S284" s="373"/>
      <x:c r="T284" s="373"/>
      <x:c r="U284" s="373"/>
      <x:c r="V284" s="373"/>
      <x:c r="W284" s="373"/>
      <x:c r="X284" s="373"/>
      <x:c r="Y284" s="373"/>
      <x:c r="Z284" s="373"/>
    </x:row>
    <x:row r="285">
      <x:c r="A285" s="373"/>
      <x:c r="B285" s="373"/>
      <x:c r="C285" s="373"/>
      <x:c r="D285" s="373"/>
      <x:c r="E285" s="373"/>
      <x:c r="F285" s="373"/>
      <x:c r="G285" s="373"/>
      <x:c r="H285" s="373"/>
      <x:c r="I285" s="373"/>
      <x:c r="J285" s="373"/>
      <x:c r="K285" s="373"/>
      <x:c r="L285" s="373"/>
      <x:c r="M285" s="373"/>
      <x:c r="N285" s="373"/>
      <x:c r="O285" s="373"/>
      <x:c r="P285" s="373"/>
      <x:c r="Q285" s="373"/>
      <x:c r="R285" s="373"/>
      <x:c r="S285" s="373"/>
      <x:c r="T285" s="373"/>
      <x:c r="U285" s="373"/>
      <x:c r="V285" s="373"/>
      <x:c r="W285" s="373"/>
      <x:c r="X285" s="373"/>
      <x:c r="Y285" s="373"/>
      <x:c r="Z285" s="373"/>
    </x:row>
    <x:row r="286">
      <x:c r="A286" s="373"/>
      <x:c r="B286" s="373"/>
      <x:c r="C286" s="373"/>
      <x:c r="D286" s="373"/>
      <x:c r="E286" s="373"/>
      <x:c r="F286" s="373"/>
      <x:c r="G286" s="373"/>
      <x:c r="H286" s="373"/>
      <x:c r="I286" s="373"/>
      <x:c r="J286" s="373"/>
      <x:c r="K286" s="373"/>
      <x:c r="L286" s="373"/>
      <x:c r="M286" s="373"/>
      <x:c r="N286" s="373"/>
      <x:c r="O286" s="373"/>
      <x:c r="P286" s="373"/>
      <x:c r="Q286" s="373"/>
      <x:c r="R286" s="373"/>
      <x:c r="S286" s="373"/>
      <x:c r="T286" s="373"/>
      <x:c r="U286" s="373"/>
      <x:c r="V286" s="373"/>
      <x:c r="W286" s="373"/>
      <x:c r="X286" s="373"/>
      <x:c r="Y286" s="373"/>
      <x:c r="Z286" s="373"/>
    </x:row>
    <x:row r="287">
      <x:c r="A287" s="373"/>
      <x:c r="B287" s="373"/>
      <x:c r="C287" s="373"/>
      <x:c r="D287" s="373"/>
      <x:c r="E287" s="373"/>
      <x:c r="F287" s="373"/>
      <x:c r="G287" s="373"/>
      <x:c r="H287" s="373"/>
      <x:c r="I287" s="373"/>
      <x:c r="J287" s="373"/>
      <x:c r="K287" s="373"/>
      <x:c r="L287" s="373"/>
      <x:c r="M287" s="373"/>
      <x:c r="N287" s="373"/>
      <x:c r="O287" s="373"/>
      <x:c r="P287" s="373"/>
      <x:c r="Q287" s="373"/>
      <x:c r="R287" s="373"/>
      <x:c r="S287" s="373"/>
      <x:c r="T287" s="373"/>
      <x:c r="U287" s="373"/>
      <x:c r="V287" s="373"/>
      <x:c r="W287" s="373"/>
      <x:c r="X287" s="373"/>
      <x:c r="Y287" s="373"/>
      <x:c r="Z287" s="373"/>
    </x:row>
    <x:row r="288">
      <x:c r="A288" s="373"/>
      <x:c r="B288" s="373"/>
      <x:c r="C288" s="373"/>
      <x:c r="D288" s="373"/>
      <x:c r="E288" s="373"/>
      <x:c r="F288" s="373"/>
      <x:c r="G288" s="373"/>
      <x:c r="H288" s="373"/>
      <x:c r="I288" s="373"/>
      <x:c r="J288" s="373"/>
      <x:c r="K288" s="373"/>
      <x:c r="L288" s="373"/>
      <x:c r="M288" s="373"/>
      <x:c r="N288" s="373"/>
      <x:c r="O288" s="373"/>
      <x:c r="P288" s="373"/>
      <x:c r="Q288" s="373"/>
      <x:c r="R288" s="373"/>
      <x:c r="S288" s="373"/>
      <x:c r="T288" s="373"/>
      <x:c r="U288" s="373"/>
      <x:c r="V288" s="373"/>
      <x:c r="W288" s="373"/>
      <x:c r="X288" s="373"/>
      <x:c r="Y288" s="373"/>
      <x:c r="Z288" s="373"/>
    </x:row>
    <x:row r="289">
      <x:c r="A289" s="373"/>
      <x:c r="B289" s="373"/>
      <x:c r="C289" s="373"/>
      <x:c r="D289" s="373"/>
      <x:c r="E289" s="373"/>
      <x:c r="F289" s="373"/>
      <x:c r="G289" s="373"/>
      <x:c r="H289" s="373"/>
      <x:c r="I289" s="373"/>
      <x:c r="J289" s="373"/>
      <x:c r="K289" s="373"/>
      <x:c r="L289" s="373"/>
      <x:c r="M289" s="373"/>
      <x:c r="N289" s="373"/>
      <x:c r="O289" s="373"/>
      <x:c r="P289" s="373"/>
      <x:c r="Q289" s="373"/>
      <x:c r="R289" s="373"/>
      <x:c r="S289" s="373"/>
      <x:c r="T289" s="373"/>
      <x:c r="U289" s="373"/>
      <x:c r="V289" s="373"/>
      <x:c r="W289" s="373"/>
      <x:c r="X289" s="373"/>
      <x:c r="Y289" s="373"/>
      <x:c r="Z289" s="373"/>
    </x:row>
    <x:row r="290">
      <x:c r="A290" s="373"/>
      <x:c r="B290" s="373"/>
      <x:c r="C290" s="373"/>
      <x:c r="D290" s="373"/>
      <x:c r="E290" s="373"/>
      <x:c r="F290" s="373"/>
      <x:c r="G290" s="373"/>
      <x:c r="H290" s="373"/>
      <x:c r="I290" s="373"/>
      <x:c r="J290" s="373"/>
      <x:c r="K290" s="373"/>
      <x:c r="L290" s="373"/>
      <x:c r="M290" s="373"/>
      <x:c r="N290" s="373"/>
      <x:c r="O290" s="373"/>
      <x:c r="P290" s="373"/>
      <x:c r="Q290" s="373"/>
      <x:c r="R290" s="373"/>
      <x:c r="S290" s="373"/>
      <x:c r="T290" s="373"/>
      <x:c r="U290" s="373"/>
      <x:c r="V290" s="373"/>
      <x:c r="W290" s="373"/>
      <x:c r="X290" s="373"/>
      <x:c r="Y290" s="373"/>
      <x:c r="Z290" s="373"/>
    </x:row>
    <x:row r="291">
      <x:c r="A291" s="373"/>
      <x:c r="B291" s="373"/>
      <x:c r="C291" s="373"/>
      <x:c r="D291" s="373"/>
      <x:c r="E291" s="373"/>
      <x:c r="F291" s="373"/>
      <x:c r="G291" s="373"/>
      <x:c r="H291" s="373"/>
      <x:c r="I291" s="373"/>
      <x:c r="J291" s="373"/>
      <x:c r="K291" s="373"/>
      <x:c r="L291" s="373"/>
      <x:c r="M291" s="373"/>
      <x:c r="N291" s="373"/>
      <x:c r="O291" s="373"/>
      <x:c r="P291" s="373"/>
      <x:c r="Q291" s="373"/>
      <x:c r="R291" s="373"/>
      <x:c r="S291" s="373"/>
      <x:c r="T291" s="373"/>
      <x:c r="U291" s="373"/>
      <x:c r="V291" s="373"/>
      <x:c r="W291" s="373"/>
      <x:c r="X291" s="373"/>
      <x:c r="Y291" s="373"/>
      <x:c r="Z291" s="373"/>
    </x:row>
    <x:row r="292">
      <x:c r="A292" s="373"/>
      <x:c r="B292" s="373"/>
      <x:c r="C292" s="373"/>
      <x:c r="D292" s="373"/>
      <x:c r="E292" s="373"/>
      <x:c r="F292" s="373"/>
      <x:c r="G292" s="373"/>
      <x:c r="H292" s="373"/>
      <x:c r="I292" s="373"/>
      <x:c r="J292" s="373"/>
      <x:c r="K292" s="373"/>
      <x:c r="L292" s="373"/>
      <x:c r="M292" s="373"/>
      <x:c r="N292" s="373"/>
      <x:c r="O292" s="373"/>
      <x:c r="P292" s="373"/>
      <x:c r="Q292" s="373"/>
      <x:c r="R292" s="373"/>
      <x:c r="S292" s="373"/>
      <x:c r="T292" s="373"/>
      <x:c r="U292" s="373"/>
      <x:c r="V292" s="373"/>
      <x:c r="W292" s="373"/>
      <x:c r="X292" s="373"/>
      <x:c r="Y292" s="373"/>
      <x:c r="Z292" s="373"/>
    </x:row>
    <x:row r="293">
      <x:c r="A293" s="373"/>
      <x:c r="B293" s="373"/>
      <x:c r="C293" s="373"/>
      <x:c r="D293" s="373"/>
      <x:c r="E293" s="373"/>
      <x:c r="F293" s="373"/>
      <x:c r="G293" s="373"/>
      <x:c r="H293" s="373"/>
      <x:c r="I293" s="373"/>
      <x:c r="J293" s="373"/>
      <x:c r="K293" s="373"/>
      <x:c r="L293" s="373"/>
      <x:c r="M293" s="373"/>
      <x:c r="N293" s="373"/>
      <x:c r="O293" s="373"/>
      <x:c r="P293" s="373"/>
      <x:c r="Q293" s="373"/>
      <x:c r="R293" s="373"/>
      <x:c r="S293" s="373"/>
      <x:c r="T293" s="373"/>
      <x:c r="U293" s="373"/>
      <x:c r="V293" s="373"/>
      <x:c r="W293" s="373"/>
      <x:c r="X293" s="373"/>
      <x:c r="Y293" s="373"/>
      <x:c r="Z293" s="373"/>
    </x:row>
    <x:row r="294">
      <x:c r="A294" s="373"/>
      <x:c r="B294" s="373"/>
      <x:c r="C294" s="373"/>
      <x:c r="D294" s="373"/>
      <x:c r="E294" s="373"/>
      <x:c r="F294" s="373"/>
      <x:c r="G294" s="373"/>
      <x:c r="H294" s="373"/>
      <x:c r="I294" s="373"/>
      <x:c r="J294" s="373"/>
      <x:c r="K294" s="373"/>
      <x:c r="L294" s="373"/>
      <x:c r="M294" s="373"/>
      <x:c r="N294" s="373"/>
      <x:c r="O294" s="373"/>
      <x:c r="P294" s="373"/>
      <x:c r="Q294" s="373"/>
      <x:c r="R294" s="373"/>
      <x:c r="S294" s="373"/>
      <x:c r="T294" s="373"/>
      <x:c r="U294" s="373"/>
      <x:c r="V294" s="373"/>
      <x:c r="W294" s="373"/>
      <x:c r="X294" s="373"/>
      <x:c r="Y294" s="373"/>
      <x:c r="Z294" s="373"/>
    </x:row>
    <x:row r="295">
      <x:c r="A295" s="373"/>
      <x:c r="B295" s="373"/>
      <x:c r="C295" s="373"/>
      <x:c r="D295" s="373"/>
      <x:c r="E295" s="373"/>
      <x:c r="F295" s="373"/>
      <x:c r="G295" s="373"/>
      <x:c r="H295" s="373"/>
      <x:c r="I295" s="373"/>
      <x:c r="J295" s="373"/>
      <x:c r="K295" s="373"/>
      <x:c r="L295" s="373"/>
      <x:c r="M295" s="373"/>
      <x:c r="N295" s="373"/>
      <x:c r="O295" s="373"/>
      <x:c r="P295" s="373"/>
      <x:c r="Q295" s="373"/>
      <x:c r="R295" s="373"/>
      <x:c r="S295" s="373"/>
      <x:c r="T295" s="373"/>
      <x:c r="U295" s="373"/>
      <x:c r="V295" s="373"/>
      <x:c r="W295" s="373"/>
      <x:c r="X295" s="373"/>
      <x:c r="Y295" s="373"/>
      <x:c r="Z295" s="373"/>
    </x:row>
    <x:row r="296">
      <x:c r="A296" s="373"/>
      <x:c r="B296" s="373"/>
      <x:c r="C296" s="373"/>
      <x:c r="D296" s="373"/>
      <x:c r="E296" s="373"/>
      <x:c r="F296" s="373"/>
      <x:c r="G296" s="373"/>
      <x:c r="H296" s="373"/>
      <x:c r="I296" s="373"/>
      <x:c r="J296" s="373"/>
      <x:c r="K296" s="373"/>
      <x:c r="L296" s="373"/>
      <x:c r="M296" s="373"/>
      <x:c r="N296" s="373"/>
      <x:c r="O296" s="373"/>
      <x:c r="P296" s="373"/>
      <x:c r="Q296" s="373"/>
      <x:c r="R296" s="373"/>
      <x:c r="S296" s="373"/>
      <x:c r="T296" s="373"/>
      <x:c r="U296" s="373"/>
      <x:c r="V296" s="373"/>
      <x:c r="W296" s="373"/>
      <x:c r="X296" s="373"/>
      <x:c r="Y296" s="373"/>
      <x:c r="Z296" s="373"/>
    </x:row>
    <x:row r="297">
      <x:c r="A297" s="373"/>
      <x:c r="B297" s="373"/>
      <x:c r="C297" s="373"/>
      <x:c r="D297" s="373"/>
      <x:c r="E297" s="373"/>
      <x:c r="F297" s="373"/>
      <x:c r="G297" s="373"/>
      <x:c r="H297" s="373"/>
      <x:c r="I297" s="373"/>
      <x:c r="J297" s="373"/>
      <x:c r="K297" s="373"/>
      <x:c r="L297" s="373"/>
      <x:c r="M297" s="373"/>
      <x:c r="N297" s="373"/>
      <x:c r="O297" s="373"/>
      <x:c r="P297" s="373"/>
      <x:c r="Q297" s="373"/>
      <x:c r="R297" s="373"/>
      <x:c r="S297" s="373"/>
      <x:c r="T297" s="373"/>
      <x:c r="U297" s="373"/>
      <x:c r="V297" s="373"/>
      <x:c r="W297" s="373"/>
      <x:c r="X297" s="373"/>
      <x:c r="Y297" s="373"/>
      <x:c r="Z297" s="373"/>
    </x:row>
    <x:row r="298">
      <x:c r="A298" s="373"/>
      <x:c r="B298" s="373"/>
      <x:c r="C298" s="373"/>
      <x:c r="D298" s="373"/>
      <x:c r="E298" s="373"/>
      <x:c r="F298" s="373"/>
      <x:c r="G298" s="373"/>
      <x:c r="H298" s="373"/>
      <x:c r="I298" s="373"/>
      <x:c r="J298" s="373"/>
      <x:c r="K298" s="373"/>
      <x:c r="L298" s="373"/>
      <x:c r="M298" s="373"/>
      <x:c r="N298" s="373"/>
      <x:c r="O298" s="373"/>
      <x:c r="P298" s="373"/>
      <x:c r="Q298" s="373"/>
      <x:c r="R298" s="373"/>
      <x:c r="S298" s="373"/>
      <x:c r="T298" s="373"/>
      <x:c r="U298" s="373"/>
      <x:c r="V298" s="373"/>
      <x:c r="W298" s="373"/>
      <x:c r="X298" s="373"/>
      <x:c r="Y298" s="373"/>
      <x:c r="Z298" s="373"/>
    </x:row>
    <x:row r="299">
      <x:c r="A299" s="373"/>
      <x:c r="B299" s="373"/>
      <x:c r="C299" s="373"/>
      <x:c r="D299" s="373"/>
      <x:c r="E299" s="373"/>
      <x:c r="F299" s="373"/>
      <x:c r="G299" s="373"/>
      <x:c r="H299" s="373"/>
      <x:c r="I299" s="373"/>
      <x:c r="J299" s="373"/>
      <x:c r="K299" s="373"/>
      <x:c r="L299" s="373"/>
      <x:c r="M299" s="373"/>
      <x:c r="N299" s="373"/>
      <x:c r="O299" s="373"/>
      <x:c r="P299" s="373"/>
      <x:c r="Q299" s="373"/>
      <x:c r="R299" s="373"/>
      <x:c r="S299" s="373"/>
      <x:c r="T299" s="373"/>
      <x:c r="U299" s="373"/>
      <x:c r="V299" s="373"/>
      <x:c r="W299" s="373"/>
      <x:c r="X299" s="373"/>
      <x:c r="Y299" s="373"/>
      <x:c r="Z299" s="373"/>
    </x:row>
    <x:row r="300">
      <x:c r="A300" s="373"/>
      <x:c r="B300" s="373"/>
      <x:c r="C300" s="373"/>
      <x:c r="D300" s="373"/>
      <x:c r="E300" s="373"/>
      <x:c r="F300" s="373"/>
      <x:c r="G300" s="373"/>
      <x:c r="H300" s="373"/>
      <x:c r="I300" s="373"/>
      <x:c r="J300" s="373"/>
      <x:c r="K300" s="373"/>
      <x:c r="L300" s="373"/>
      <x:c r="M300" s="373"/>
      <x:c r="N300" s="373"/>
      <x:c r="O300" s="373"/>
      <x:c r="P300" s="373"/>
      <x:c r="Q300" s="373"/>
      <x:c r="R300" s="373"/>
      <x:c r="S300" s="373"/>
      <x:c r="T300" s="373"/>
      <x:c r="U300" s="373"/>
      <x:c r="V300" s="373"/>
      <x:c r="W300" s="373"/>
      <x:c r="X300" s="373"/>
      <x:c r="Y300" s="373"/>
      <x:c r="Z300" s="373"/>
    </x:row>
    <x:row r="301">
      <x:c r="A301" s="373"/>
      <x:c r="B301" s="373"/>
      <x:c r="C301" s="373"/>
      <x:c r="D301" s="373"/>
      <x:c r="E301" s="373"/>
      <x:c r="F301" s="373"/>
      <x:c r="G301" s="373"/>
      <x:c r="H301" s="373"/>
      <x:c r="I301" s="373"/>
      <x:c r="J301" s="373"/>
      <x:c r="K301" s="373"/>
      <x:c r="L301" s="373"/>
      <x:c r="M301" s="373"/>
      <x:c r="N301" s="373"/>
      <x:c r="O301" s="373"/>
      <x:c r="P301" s="373"/>
      <x:c r="Q301" s="373"/>
      <x:c r="R301" s="373"/>
      <x:c r="S301" s="373"/>
      <x:c r="T301" s="373"/>
      <x:c r="U301" s="373"/>
      <x:c r="V301" s="373"/>
      <x:c r="W301" s="373"/>
      <x:c r="X301" s="373"/>
      <x:c r="Y301" s="373"/>
      <x:c r="Z301" s="373"/>
    </x:row>
    <x:row r="302">
      <x:c r="A302" s="373"/>
      <x:c r="B302" s="373"/>
      <x:c r="C302" s="373"/>
      <x:c r="D302" s="373"/>
      <x:c r="E302" s="373"/>
      <x:c r="F302" s="373"/>
      <x:c r="G302" s="373"/>
      <x:c r="H302" s="373"/>
      <x:c r="I302" s="373"/>
      <x:c r="J302" s="373"/>
      <x:c r="K302" s="373"/>
      <x:c r="L302" s="373"/>
      <x:c r="M302" s="373"/>
      <x:c r="N302" s="373"/>
      <x:c r="O302" s="373"/>
      <x:c r="P302" s="373"/>
      <x:c r="Q302" s="373"/>
      <x:c r="R302" s="373"/>
      <x:c r="S302" s="373"/>
      <x:c r="T302" s="373"/>
      <x:c r="U302" s="373"/>
      <x:c r="V302" s="373"/>
      <x:c r="W302" s="373"/>
      <x:c r="X302" s="373"/>
      <x:c r="Y302" s="373"/>
      <x:c r="Z302" s="373"/>
    </x:row>
    <x:row r="303">
      <x:c r="A303" s="373"/>
      <x:c r="B303" s="373"/>
      <x:c r="C303" s="373"/>
      <x:c r="D303" s="373"/>
      <x:c r="E303" s="373"/>
      <x:c r="F303" s="373"/>
      <x:c r="G303" s="373"/>
      <x:c r="H303" s="373"/>
      <x:c r="I303" s="373"/>
      <x:c r="J303" s="373"/>
      <x:c r="K303" s="373"/>
      <x:c r="L303" s="373"/>
      <x:c r="M303" s="373"/>
      <x:c r="N303" s="373"/>
      <x:c r="O303" s="373"/>
      <x:c r="P303" s="373"/>
      <x:c r="Q303" s="373"/>
      <x:c r="R303" s="373"/>
      <x:c r="S303" s="373"/>
      <x:c r="T303" s="373"/>
      <x:c r="U303" s="373"/>
      <x:c r="V303" s="373"/>
      <x:c r="W303" s="373"/>
      <x:c r="X303" s="373"/>
      <x:c r="Y303" s="373"/>
      <x:c r="Z303" s="373"/>
    </x:row>
    <x:row r="304">
      <x:c r="A304" s="373"/>
      <x:c r="B304" s="373"/>
      <x:c r="C304" s="373"/>
      <x:c r="D304" s="373"/>
      <x:c r="E304" s="373"/>
      <x:c r="F304" s="373"/>
      <x:c r="G304" s="373"/>
      <x:c r="H304" s="373"/>
      <x:c r="I304" s="373"/>
      <x:c r="J304" s="373"/>
      <x:c r="K304" s="373"/>
      <x:c r="L304" s="373"/>
      <x:c r="M304" s="373"/>
      <x:c r="N304" s="373"/>
      <x:c r="O304" s="373"/>
      <x:c r="P304" s="373"/>
      <x:c r="Q304" s="373"/>
      <x:c r="R304" s="373"/>
      <x:c r="S304" s="373"/>
      <x:c r="T304" s="373"/>
      <x:c r="U304" s="373"/>
      <x:c r="V304" s="373"/>
      <x:c r="W304" s="373"/>
      <x:c r="X304" s="373"/>
      <x:c r="Y304" s="373"/>
      <x:c r="Z304" s="373"/>
    </x:row>
    <x:row r="305">
      <x:c r="A305" s="373"/>
      <x:c r="B305" s="373"/>
      <x:c r="C305" s="373"/>
      <x:c r="D305" s="373"/>
      <x:c r="E305" s="373"/>
      <x:c r="F305" s="373"/>
      <x:c r="G305" s="373"/>
      <x:c r="H305" s="373"/>
      <x:c r="I305" s="373"/>
      <x:c r="J305" s="373"/>
      <x:c r="K305" s="373"/>
      <x:c r="L305" s="373"/>
      <x:c r="M305" s="373"/>
      <x:c r="N305" s="373"/>
      <x:c r="O305" s="373"/>
      <x:c r="P305" s="373"/>
      <x:c r="Q305" s="373"/>
      <x:c r="R305" s="373"/>
      <x:c r="S305" s="373"/>
      <x:c r="T305" s="373"/>
      <x:c r="U305" s="373"/>
      <x:c r="V305" s="373"/>
      <x:c r="W305" s="373"/>
      <x:c r="X305" s="373"/>
      <x:c r="Y305" s="373"/>
      <x:c r="Z305" s="373"/>
    </x:row>
    <x:row r="306">
      <x:c r="A306" s="373"/>
      <x:c r="B306" s="373"/>
      <x:c r="C306" s="373"/>
      <x:c r="D306" s="373"/>
      <x:c r="E306" s="373"/>
      <x:c r="F306" s="373"/>
      <x:c r="G306" s="373"/>
      <x:c r="H306" s="373"/>
      <x:c r="I306" s="373"/>
      <x:c r="J306" s="373"/>
      <x:c r="K306" s="373"/>
      <x:c r="L306" s="373"/>
      <x:c r="M306" s="373"/>
      <x:c r="N306" s="373"/>
      <x:c r="O306" s="373"/>
      <x:c r="P306" s="373"/>
      <x:c r="Q306" s="373"/>
      <x:c r="R306" s="373"/>
      <x:c r="S306" s="373"/>
      <x:c r="T306" s="373"/>
      <x:c r="U306" s="373"/>
      <x:c r="V306" s="373"/>
      <x:c r="W306" s="373"/>
      <x:c r="X306" s="373"/>
      <x:c r="Y306" s="373"/>
      <x:c r="Z306" s="373"/>
    </x:row>
    <x:row r="307">
      <x:c r="A307" s="373"/>
      <x:c r="B307" s="373"/>
      <x:c r="C307" s="373"/>
      <x:c r="D307" s="373"/>
      <x:c r="E307" s="373"/>
      <x:c r="F307" s="373"/>
      <x:c r="G307" s="373"/>
      <x:c r="H307" s="373"/>
      <x:c r="I307" s="373"/>
      <x:c r="J307" s="373"/>
      <x:c r="K307" s="373"/>
      <x:c r="L307" s="373"/>
      <x:c r="M307" s="373"/>
      <x:c r="N307" s="373"/>
      <x:c r="O307" s="373"/>
      <x:c r="P307" s="373"/>
      <x:c r="Q307" s="373"/>
      <x:c r="R307" s="373"/>
      <x:c r="S307" s="373"/>
      <x:c r="T307" s="373"/>
      <x:c r="U307" s="373"/>
      <x:c r="V307" s="373"/>
      <x:c r="W307" s="373"/>
      <x:c r="X307" s="373"/>
      <x:c r="Y307" s="373"/>
      <x:c r="Z307" s="373"/>
    </x:row>
    <x:row r="308">
      <x:c r="A308" s="373"/>
      <x:c r="B308" s="373"/>
      <x:c r="C308" s="373"/>
      <x:c r="D308" s="373"/>
      <x:c r="E308" s="373"/>
      <x:c r="F308" s="373"/>
      <x:c r="G308" s="373"/>
      <x:c r="H308" s="373"/>
      <x:c r="I308" s="373"/>
      <x:c r="J308" s="373"/>
      <x:c r="K308" s="373"/>
      <x:c r="L308" s="373"/>
      <x:c r="M308" s="373"/>
      <x:c r="N308" s="373"/>
      <x:c r="O308" s="373"/>
      <x:c r="P308" s="373"/>
      <x:c r="Q308" s="373"/>
      <x:c r="R308" s="373"/>
      <x:c r="S308" s="373"/>
      <x:c r="T308" s="373"/>
      <x:c r="U308" s="373"/>
      <x:c r="V308" s="373"/>
      <x:c r="W308" s="373"/>
      <x:c r="X308" s="373"/>
      <x:c r="Y308" s="373"/>
      <x:c r="Z308" s="373"/>
    </x:row>
    <x:row r="309">
      <x:c r="A309" s="373"/>
      <x:c r="B309" s="373"/>
      <x:c r="C309" s="373"/>
      <x:c r="D309" s="373"/>
      <x:c r="E309" s="373"/>
      <x:c r="F309" s="373"/>
      <x:c r="G309" s="373"/>
      <x:c r="H309" s="373"/>
      <x:c r="I309" s="373"/>
      <x:c r="J309" s="373"/>
      <x:c r="K309" s="373"/>
      <x:c r="L309" s="373"/>
      <x:c r="M309" s="373"/>
      <x:c r="N309" s="373"/>
      <x:c r="O309" s="373"/>
      <x:c r="P309" s="373"/>
      <x:c r="Q309" s="373"/>
      <x:c r="R309" s="373"/>
      <x:c r="S309" s="373"/>
      <x:c r="T309" s="373"/>
      <x:c r="U309" s="373"/>
      <x:c r="V309" s="373"/>
      <x:c r="W309" s="373"/>
      <x:c r="X309" s="373"/>
      <x:c r="Y309" s="373"/>
      <x:c r="Z309" s="373"/>
    </x:row>
    <x:row r="310">
      <x:c r="A310" s="373"/>
      <x:c r="B310" s="373"/>
      <x:c r="C310" s="373"/>
      <x:c r="D310" s="373"/>
      <x:c r="E310" s="373"/>
      <x:c r="F310" s="373"/>
      <x:c r="G310" s="373"/>
      <x:c r="H310" s="373"/>
      <x:c r="I310" s="373"/>
      <x:c r="J310" s="373"/>
      <x:c r="K310" s="373"/>
      <x:c r="L310" s="373"/>
      <x:c r="M310" s="373"/>
      <x:c r="N310" s="373"/>
      <x:c r="O310" s="373"/>
      <x:c r="P310" s="373"/>
      <x:c r="Q310" s="373"/>
      <x:c r="R310" s="373"/>
      <x:c r="S310" s="373"/>
      <x:c r="T310" s="373"/>
      <x:c r="U310" s="373"/>
      <x:c r="V310" s="373"/>
      <x:c r="W310" s="373"/>
      <x:c r="X310" s="373"/>
      <x:c r="Y310" s="373"/>
      <x:c r="Z310" s="373"/>
    </x:row>
    <x:row r="311">
      <x:c r="A311" s="373"/>
      <x:c r="B311" s="373"/>
      <x:c r="C311" s="373"/>
      <x:c r="D311" s="373"/>
      <x:c r="E311" s="373"/>
      <x:c r="F311" s="373"/>
      <x:c r="G311" s="373"/>
      <x:c r="H311" s="373"/>
      <x:c r="I311" s="373"/>
      <x:c r="J311" s="373"/>
      <x:c r="K311" s="373"/>
      <x:c r="L311" s="373"/>
      <x:c r="M311" s="373"/>
      <x:c r="N311" s="373"/>
      <x:c r="O311" s="373"/>
      <x:c r="P311" s="373"/>
      <x:c r="Q311" s="373"/>
      <x:c r="R311" s="373"/>
      <x:c r="S311" s="373"/>
      <x:c r="T311" s="373"/>
      <x:c r="U311" s="373"/>
      <x:c r="V311" s="373"/>
      <x:c r="W311" s="373"/>
      <x:c r="X311" s="373"/>
      <x:c r="Y311" s="373"/>
      <x:c r="Z311" s="373"/>
    </x:row>
    <x:row r="312">
      <x:c r="A312" s="373"/>
      <x:c r="B312" s="373"/>
      <x:c r="C312" s="373"/>
      <x:c r="D312" s="373"/>
      <x:c r="E312" s="373"/>
      <x:c r="F312" s="373"/>
      <x:c r="G312" s="373"/>
      <x:c r="H312" s="373"/>
      <x:c r="I312" s="373"/>
      <x:c r="J312" s="373"/>
      <x:c r="K312" s="373"/>
      <x:c r="L312" s="373"/>
      <x:c r="M312" s="373"/>
      <x:c r="N312" s="373"/>
      <x:c r="O312" s="373"/>
      <x:c r="P312" s="373"/>
      <x:c r="Q312" s="373"/>
      <x:c r="R312" s="373"/>
      <x:c r="S312" s="373"/>
      <x:c r="T312" s="373"/>
      <x:c r="U312" s="373"/>
      <x:c r="V312" s="373"/>
      <x:c r="W312" s="373"/>
      <x:c r="X312" s="373"/>
      <x:c r="Y312" s="373"/>
      <x:c r="Z312" s="373"/>
    </x:row>
    <x:row r="313">
      <x:c r="A313" s="373"/>
      <x:c r="B313" s="373"/>
      <x:c r="C313" s="373"/>
      <x:c r="D313" s="373"/>
      <x:c r="E313" s="373"/>
      <x:c r="F313" s="373"/>
      <x:c r="G313" s="373"/>
      <x:c r="H313" s="373"/>
      <x:c r="I313" s="373"/>
      <x:c r="J313" s="373"/>
      <x:c r="K313" s="373"/>
      <x:c r="L313" s="373"/>
      <x:c r="M313" s="373"/>
      <x:c r="N313" s="373"/>
      <x:c r="O313" s="373"/>
      <x:c r="P313" s="373"/>
      <x:c r="Q313" s="373"/>
      <x:c r="R313" s="373"/>
      <x:c r="S313" s="373"/>
      <x:c r="T313" s="373"/>
      <x:c r="U313" s="373"/>
      <x:c r="V313" s="373"/>
      <x:c r="W313" s="373"/>
      <x:c r="X313" s="373"/>
      <x:c r="Y313" s="373"/>
      <x:c r="Z313" s="373"/>
    </x:row>
    <x:row r="314">
      <x:c r="A314" s="373"/>
      <x:c r="B314" s="373"/>
      <x:c r="C314" s="373"/>
      <x:c r="D314" s="373"/>
      <x:c r="E314" s="373"/>
      <x:c r="F314" s="373"/>
      <x:c r="G314" s="373"/>
      <x:c r="H314" s="373"/>
      <x:c r="I314" s="373"/>
      <x:c r="J314" s="373"/>
      <x:c r="K314" s="373"/>
      <x:c r="L314" s="373"/>
      <x:c r="M314" s="373"/>
      <x:c r="N314" s="373"/>
      <x:c r="O314" s="373"/>
      <x:c r="P314" s="373"/>
      <x:c r="Q314" s="373"/>
      <x:c r="R314" s="373"/>
      <x:c r="S314" s="373"/>
      <x:c r="T314" s="373"/>
      <x:c r="U314" s="373"/>
      <x:c r="V314" s="373"/>
      <x:c r="W314" s="373"/>
      <x:c r="X314" s="373"/>
      <x:c r="Y314" s="373"/>
      <x:c r="Z314" s="373"/>
    </x:row>
    <x:row r="315">
      <x:c r="A315" s="373"/>
      <x:c r="B315" s="373"/>
      <x:c r="C315" s="373"/>
      <x:c r="D315" s="373"/>
      <x:c r="E315" s="373"/>
      <x:c r="F315" s="373"/>
      <x:c r="G315" s="373"/>
      <x:c r="H315" s="373"/>
      <x:c r="I315" s="373"/>
      <x:c r="J315" s="373"/>
      <x:c r="K315" s="373"/>
      <x:c r="L315" s="373"/>
      <x:c r="M315" s="373"/>
      <x:c r="N315" s="373"/>
      <x:c r="O315" s="373"/>
      <x:c r="P315" s="373"/>
      <x:c r="Q315" s="373"/>
      <x:c r="R315" s="373"/>
      <x:c r="S315" s="373"/>
      <x:c r="T315" s="373"/>
      <x:c r="U315" s="373"/>
      <x:c r="V315" s="373"/>
      <x:c r="W315" s="373"/>
      <x:c r="X315" s="373"/>
      <x:c r="Y315" s="373"/>
      <x:c r="Z315" s="373"/>
    </x:row>
    <x:row r="316">
      <x:c r="A316" s="373"/>
      <x:c r="B316" s="373"/>
      <x:c r="C316" s="373"/>
      <x:c r="D316" s="373"/>
      <x:c r="E316" s="373"/>
      <x:c r="F316" s="373"/>
      <x:c r="G316" s="373"/>
      <x:c r="H316" s="373"/>
      <x:c r="I316" s="373"/>
      <x:c r="J316" s="373"/>
      <x:c r="K316" s="373"/>
      <x:c r="L316" s="373"/>
      <x:c r="M316" s="373"/>
      <x:c r="N316" s="373"/>
      <x:c r="O316" s="373"/>
      <x:c r="P316" s="373"/>
      <x:c r="Q316" s="373"/>
      <x:c r="R316" s="373"/>
      <x:c r="S316" s="373"/>
      <x:c r="T316" s="373"/>
      <x:c r="U316" s="373"/>
      <x:c r="V316" s="373"/>
      <x:c r="W316" s="373"/>
      <x:c r="X316" s="373"/>
      <x:c r="Y316" s="373"/>
      <x:c r="Z316" s="373"/>
    </x:row>
    <x:row r="317">
      <x:c r="A317" s="373"/>
      <x:c r="B317" s="373"/>
      <x:c r="C317" s="373"/>
      <x:c r="D317" s="373"/>
      <x:c r="E317" s="373"/>
      <x:c r="F317" s="373"/>
      <x:c r="G317" s="373"/>
      <x:c r="H317" s="373"/>
      <x:c r="I317" s="373"/>
      <x:c r="J317" s="373"/>
      <x:c r="K317" s="373"/>
      <x:c r="L317" s="373"/>
      <x:c r="M317" s="373"/>
      <x:c r="N317" s="373"/>
      <x:c r="O317" s="373"/>
      <x:c r="P317" s="373"/>
      <x:c r="Q317" s="373"/>
      <x:c r="R317" s="373"/>
      <x:c r="S317" s="373"/>
      <x:c r="T317" s="373"/>
      <x:c r="U317" s="373"/>
      <x:c r="V317" s="373"/>
      <x:c r="W317" s="373"/>
      <x:c r="X317" s="373"/>
      <x:c r="Y317" s="373"/>
      <x:c r="Z317" s="373"/>
    </x:row>
    <x:row r="318">
      <x:c r="A318" s="373"/>
      <x:c r="B318" s="373"/>
      <x:c r="C318" s="373"/>
      <x:c r="D318" s="373"/>
      <x:c r="E318" s="373"/>
      <x:c r="F318" s="373"/>
      <x:c r="G318" s="373"/>
      <x:c r="H318" s="373"/>
      <x:c r="I318" s="373"/>
      <x:c r="J318" s="373"/>
      <x:c r="K318" s="373"/>
      <x:c r="L318" s="373"/>
      <x:c r="M318" s="373"/>
      <x:c r="N318" s="373"/>
      <x:c r="O318" s="373"/>
      <x:c r="P318" s="373"/>
      <x:c r="Q318" s="373"/>
      <x:c r="R318" s="373"/>
      <x:c r="S318" s="373"/>
      <x:c r="T318" s="373"/>
      <x:c r="U318" s="373"/>
      <x:c r="V318" s="373"/>
      <x:c r="W318" s="373"/>
      <x:c r="X318" s="373"/>
      <x:c r="Y318" s="373"/>
      <x:c r="Z318" s="373"/>
    </x:row>
    <x:row r="319">
      <x:c r="A319" s="373"/>
      <x:c r="B319" s="373"/>
      <x:c r="C319" s="373"/>
      <x:c r="D319" s="373"/>
      <x:c r="E319" s="373"/>
      <x:c r="F319" s="373"/>
      <x:c r="G319" s="373"/>
      <x:c r="H319" s="373"/>
      <x:c r="I319" s="373"/>
      <x:c r="J319" s="373"/>
      <x:c r="K319" s="373"/>
      <x:c r="L319" s="373"/>
      <x:c r="M319" s="373"/>
      <x:c r="N319" s="373"/>
      <x:c r="O319" s="373"/>
      <x:c r="P319" s="373"/>
      <x:c r="Q319" s="373"/>
      <x:c r="R319" s="373"/>
      <x:c r="S319" s="373"/>
      <x:c r="T319" s="373"/>
      <x:c r="U319" s="373"/>
      <x:c r="V319" s="373"/>
      <x:c r="W319" s="373"/>
      <x:c r="X319" s="373"/>
      <x:c r="Y319" s="373"/>
      <x:c r="Z319" s="373"/>
    </x:row>
    <x:row r="320">
      <x:c r="A320" s="373"/>
      <x:c r="B320" s="373"/>
      <x:c r="C320" s="373"/>
      <x:c r="D320" s="373"/>
      <x:c r="E320" s="373"/>
      <x:c r="F320" s="373"/>
      <x:c r="G320" s="373"/>
      <x:c r="H320" s="373"/>
      <x:c r="I320" s="373"/>
      <x:c r="J320" s="373"/>
      <x:c r="K320" s="373"/>
      <x:c r="L320" s="373"/>
      <x:c r="M320" s="373"/>
      <x:c r="N320" s="373"/>
      <x:c r="O320" s="373"/>
      <x:c r="P320" s="373"/>
      <x:c r="Q320" s="373"/>
      <x:c r="R320" s="373"/>
      <x:c r="S320" s="373"/>
      <x:c r="T320" s="373"/>
      <x:c r="U320" s="373"/>
      <x:c r="V320" s="373"/>
      <x:c r="W320" s="373"/>
      <x:c r="X320" s="373"/>
      <x:c r="Y320" s="373"/>
      <x:c r="Z320" s="373"/>
    </x:row>
    <x:row r="321">
      <x:c r="A321" s="373"/>
      <x:c r="B321" s="373"/>
      <x:c r="C321" s="373"/>
      <x:c r="D321" s="373"/>
      <x:c r="E321" s="373"/>
      <x:c r="F321" s="373"/>
      <x:c r="G321" s="373"/>
      <x:c r="H321" s="373"/>
      <x:c r="I321" s="373"/>
      <x:c r="J321" s="373"/>
      <x:c r="K321" s="373"/>
      <x:c r="L321" s="373"/>
      <x:c r="M321" s="373"/>
      <x:c r="N321" s="373"/>
      <x:c r="O321" s="373"/>
      <x:c r="P321" s="373"/>
      <x:c r="Q321" s="373"/>
      <x:c r="R321" s="373"/>
      <x:c r="S321" s="373"/>
      <x:c r="T321" s="373"/>
      <x:c r="U321" s="373"/>
      <x:c r="V321" s="373"/>
      <x:c r="W321" s="373"/>
      <x:c r="X321" s="373"/>
      <x:c r="Y321" s="373"/>
      <x:c r="Z321" s="373"/>
    </x:row>
    <x:row r="322">
      <x:c r="A322" s="373"/>
      <x:c r="B322" s="373"/>
      <x:c r="C322" s="373"/>
      <x:c r="D322" s="373"/>
      <x:c r="E322" s="373"/>
      <x:c r="F322" s="373"/>
      <x:c r="G322" s="373"/>
      <x:c r="H322" s="373"/>
      <x:c r="I322" s="373"/>
      <x:c r="J322" s="373"/>
      <x:c r="K322" s="373"/>
      <x:c r="L322" s="373"/>
      <x:c r="M322" s="373"/>
      <x:c r="N322" s="373"/>
      <x:c r="O322" s="373"/>
      <x:c r="P322" s="373"/>
      <x:c r="Q322" s="373"/>
      <x:c r="R322" s="373"/>
      <x:c r="S322" s="373"/>
      <x:c r="T322" s="373"/>
      <x:c r="U322" s="373"/>
      <x:c r="V322" s="373"/>
      <x:c r="W322" s="373"/>
      <x:c r="X322" s="373"/>
      <x:c r="Y322" s="373"/>
      <x:c r="Z322" s="373"/>
    </x:row>
    <x:row r="323">
      <x:c r="A323" s="373"/>
      <x:c r="B323" s="373"/>
      <x:c r="C323" s="373"/>
      <x:c r="D323" s="373"/>
      <x:c r="E323" s="373"/>
      <x:c r="F323" s="373"/>
      <x:c r="G323" s="373"/>
      <x:c r="H323" s="373"/>
      <x:c r="I323" s="373"/>
      <x:c r="J323" s="373"/>
      <x:c r="K323" s="373"/>
      <x:c r="L323" s="373"/>
      <x:c r="M323" s="373"/>
      <x:c r="N323" s="373"/>
      <x:c r="O323" s="373"/>
      <x:c r="P323" s="373"/>
      <x:c r="Q323" s="373"/>
      <x:c r="R323" s="373"/>
      <x:c r="S323" s="373"/>
      <x:c r="T323" s="373"/>
      <x:c r="U323" s="373"/>
      <x:c r="V323" s="373"/>
      <x:c r="W323" s="373"/>
      <x:c r="X323" s="373"/>
      <x:c r="Y323" s="373"/>
      <x:c r="Z323" s="373"/>
    </x:row>
    <x:row r="324">
      <x:c r="A324" s="373"/>
      <x:c r="B324" s="373"/>
      <x:c r="C324" s="373"/>
      <x:c r="D324" s="373"/>
      <x:c r="E324" s="373"/>
      <x:c r="F324" s="373"/>
      <x:c r="G324" s="373"/>
      <x:c r="H324" s="373"/>
      <x:c r="I324" s="373"/>
      <x:c r="J324" s="373"/>
      <x:c r="K324" s="373"/>
      <x:c r="L324" s="373"/>
      <x:c r="M324" s="373"/>
      <x:c r="N324" s="373"/>
      <x:c r="O324" s="373"/>
      <x:c r="P324" s="373"/>
      <x:c r="Q324" s="373"/>
      <x:c r="R324" s="373"/>
      <x:c r="S324" s="373"/>
      <x:c r="T324" s="373"/>
      <x:c r="U324" s="373"/>
      <x:c r="V324" s="373"/>
      <x:c r="W324" s="373"/>
      <x:c r="X324" s="373"/>
      <x:c r="Y324" s="373"/>
      <x:c r="Z324" s="373"/>
    </x:row>
    <x:row r="325">
      <x:c r="A325" s="373"/>
      <x:c r="B325" s="373"/>
      <x:c r="C325" s="373"/>
      <x:c r="D325" s="373"/>
      <x:c r="E325" s="373"/>
      <x:c r="F325" s="373"/>
      <x:c r="G325" s="373"/>
      <x:c r="H325" s="373"/>
      <x:c r="I325" s="373"/>
      <x:c r="J325" s="373"/>
      <x:c r="K325" s="373"/>
      <x:c r="L325" s="373"/>
      <x:c r="M325" s="373"/>
      <x:c r="N325" s="373"/>
      <x:c r="O325" s="373"/>
      <x:c r="P325" s="373"/>
      <x:c r="Q325" s="373"/>
      <x:c r="R325" s="373"/>
      <x:c r="S325" s="373"/>
      <x:c r="T325" s="373"/>
      <x:c r="U325" s="373"/>
      <x:c r="V325" s="373"/>
      <x:c r="W325" s="373"/>
      <x:c r="X325" s="373"/>
      <x:c r="Y325" s="373"/>
      <x:c r="Z325" s="373"/>
    </x:row>
    <x:row r="326">
      <x:c r="A326" s="373"/>
      <x:c r="B326" s="373"/>
      <x:c r="C326" s="373"/>
      <x:c r="D326" s="373"/>
      <x:c r="E326" s="373"/>
      <x:c r="F326" s="373"/>
      <x:c r="G326" s="373"/>
      <x:c r="H326" s="373"/>
      <x:c r="I326" s="373"/>
      <x:c r="J326" s="373"/>
      <x:c r="K326" s="373"/>
      <x:c r="L326" s="373"/>
      <x:c r="M326" s="373"/>
      <x:c r="N326" s="373"/>
      <x:c r="O326" s="373"/>
      <x:c r="P326" s="373"/>
      <x:c r="Q326" s="373"/>
      <x:c r="R326" s="373"/>
      <x:c r="S326" s="373"/>
      <x:c r="T326" s="373"/>
      <x:c r="U326" s="373"/>
      <x:c r="V326" s="373"/>
      <x:c r="W326" s="373"/>
      <x:c r="X326" s="373"/>
      <x:c r="Y326" s="373"/>
      <x:c r="Z326" s="373"/>
    </x:row>
    <x:row r="327">
      <x:c r="A327" s="373"/>
      <x:c r="B327" s="373"/>
      <x:c r="C327" s="373"/>
      <x:c r="D327" s="373"/>
      <x:c r="E327" s="373"/>
      <x:c r="F327" s="373"/>
      <x:c r="G327" s="373"/>
      <x:c r="H327" s="373"/>
      <x:c r="I327" s="373"/>
      <x:c r="J327" s="373"/>
      <x:c r="K327" s="373"/>
      <x:c r="L327" s="373"/>
      <x:c r="M327" s="373"/>
      <x:c r="N327" s="373"/>
      <x:c r="O327" s="373"/>
      <x:c r="P327" s="373"/>
      <x:c r="Q327" s="373"/>
      <x:c r="R327" s="373"/>
      <x:c r="S327" s="373"/>
      <x:c r="T327" s="373"/>
      <x:c r="U327" s="373"/>
      <x:c r="V327" s="373"/>
      <x:c r="W327" s="373"/>
      <x:c r="X327" s="373"/>
      <x:c r="Y327" s="373"/>
      <x:c r="Z327" s="373"/>
    </x:row>
    <x:row r="328">
      <x:c r="A328" s="373"/>
      <x:c r="B328" s="373"/>
      <x:c r="C328" s="373"/>
      <x:c r="D328" s="373"/>
      <x:c r="E328" s="373"/>
      <x:c r="F328" s="373"/>
      <x:c r="G328" s="373"/>
      <x:c r="H328" s="373"/>
      <x:c r="I328" s="373"/>
      <x:c r="J328" s="373"/>
      <x:c r="K328" s="373"/>
      <x:c r="L328" s="373"/>
      <x:c r="M328" s="373"/>
      <x:c r="N328" s="373"/>
      <x:c r="O328" s="373"/>
      <x:c r="P328" s="373"/>
      <x:c r="Q328" s="373"/>
      <x:c r="R328" s="373"/>
      <x:c r="S328" s="373"/>
      <x:c r="T328" s="373"/>
      <x:c r="U328" s="373"/>
      <x:c r="V328" s="373"/>
      <x:c r="W328" s="373"/>
      <x:c r="X328" s="373"/>
      <x:c r="Y328" s="373"/>
      <x:c r="Z328" s="373"/>
    </x:row>
    <x:row r="329">
      <x:c r="A329" s="373"/>
      <x:c r="B329" s="373"/>
      <x:c r="C329" s="373"/>
      <x:c r="D329" s="373"/>
      <x:c r="E329" s="373"/>
      <x:c r="F329" s="373"/>
      <x:c r="G329" s="373"/>
      <x:c r="H329" s="373"/>
      <x:c r="I329" s="373"/>
      <x:c r="J329" s="373"/>
      <x:c r="K329" s="373"/>
      <x:c r="L329" s="373"/>
      <x:c r="M329" s="373"/>
      <x:c r="N329" s="373"/>
      <x:c r="O329" s="373"/>
      <x:c r="P329" s="373"/>
      <x:c r="Q329" s="373"/>
      <x:c r="R329" s="373"/>
      <x:c r="S329" s="373"/>
      <x:c r="T329" s="373"/>
      <x:c r="U329" s="373"/>
      <x:c r="V329" s="373"/>
      <x:c r="W329" s="373"/>
      <x:c r="X329" s="373"/>
      <x:c r="Y329" s="373"/>
      <x:c r="Z329" s="373"/>
    </x:row>
    <x:row r="330">
      <x:c r="A330" s="373"/>
      <x:c r="B330" s="373"/>
      <x:c r="C330" s="373"/>
      <x:c r="D330" s="373"/>
      <x:c r="E330" s="373"/>
      <x:c r="F330" s="373"/>
      <x:c r="G330" s="373"/>
      <x:c r="H330" s="373"/>
      <x:c r="I330" s="373"/>
      <x:c r="J330" s="373"/>
      <x:c r="K330" s="373"/>
      <x:c r="L330" s="373"/>
      <x:c r="M330" s="373"/>
      <x:c r="N330" s="373"/>
      <x:c r="O330" s="373"/>
      <x:c r="P330" s="373"/>
      <x:c r="Q330" s="373"/>
      <x:c r="R330" s="373"/>
      <x:c r="S330" s="373"/>
      <x:c r="T330" s="373"/>
      <x:c r="U330" s="373"/>
      <x:c r="V330" s="373"/>
      <x:c r="W330" s="373"/>
      <x:c r="X330" s="373"/>
      <x:c r="Y330" s="373"/>
      <x:c r="Z330" s="373"/>
    </x:row>
    <x:row r="331">
      <x:c r="A331" s="373"/>
      <x:c r="B331" s="373"/>
      <x:c r="C331" s="373"/>
      <x:c r="D331" s="373"/>
      <x:c r="E331" s="373"/>
      <x:c r="F331" s="373"/>
      <x:c r="G331" s="373"/>
      <x:c r="H331" s="373"/>
      <x:c r="I331" s="373"/>
      <x:c r="J331" s="373"/>
      <x:c r="K331" s="373"/>
      <x:c r="L331" s="373"/>
      <x:c r="M331" s="373"/>
      <x:c r="N331" s="373"/>
      <x:c r="O331" s="373"/>
      <x:c r="P331" s="373"/>
      <x:c r="Q331" s="373"/>
      <x:c r="R331" s="373"/>
      <x:c r="S331" s="373"/>
      <x:c r="T331" s="373"/>
      <x:c r="U331" s="373"/>
      <x:c r="V331" s="373"/>
      <x:c r="W331" s="373"/>
      <x:c r="X331" s="373"/>
      <x:c r="Y331" s="373"/>
      <x:c r="Z331" s="373"/>
    </x:row>
    <x:row r="332">
      <x:c r="A332" s="373"/>
      <x:c r="B332" s="373"/>
      <x:c r="C332" s="373"/>
      <x:c r="D332" s="373"/>
      <x:c r="E332" s="373"/>
      <x:c r="F332" s="373"/>
      <x:c r="G332" s="373"/>
      <x:c r="H332" s="373"/>
      <x:c r="I332" s="373"/>
      <x:c r="J332" s="373"/>
      <x:c r="K332" s="373"/>
      <x:c r="L332" s="373"/>
      <x:c r="M332" s="373"/>
      <x:c r="N332" s="373"/>
      <x:c r="O332" s="373"/>
      <x:c r="P332" s="373"/>
      <x:c r="Q332" s="373"/>
      <x:c r="R332" s="373"/>
      <x:c r="S332" s="373"/>
      <x:c r="T332" s="373"/>
      <x:c r="U332" s="373"/>
      <x:c r="V332" s="373"/>
      <x:c r="W332" s="373"/>
      <x:c r="X332" s="373"/>
      <x:c r="Y332" s="373"/>
      <x:c r="Z332" s="373"/>
    </x:row>
    <x:row r="333">
      <x:c r="A333" s="373"/>
      <x:c r="B333" s="373"/>
      <x:c r="C333" s="373"/>
      <x:c r="D333" s="373"/>
      <x:c r="E333" s="373"/>
      <x:c r="F333" s="373"/>
      <x:c r="G333" s="373"/>
      <x:c r="H333" s="373"/>
      <x:c r="I333" s="373"/>
      <x:c r="J333" s="373"/>
      <x:c r="K333" s="373"/>
      <x:c r="L333" s="373"/>
      <x:c r="M333" s="373"/>
      <x:c r="N333" s="373"/>
      <x:c r="O333" s="373"/>
      <x:c r="P333" s="373"/>
      <x:c r="Q333" s="373"/>
      <x:c r="R333" s="373"/>
      <x:c r="S333" s="373"/>
      <x:c r="T333" s="373"/>
      <x:c r="U333" s="373"/>
      <x:c r="V333" s="373"/>
      <x:c r="W333" s="373"/>
      <x:c r="X333" s="373"/>
      <x:c r="Y333" s="373"/>
      <x:c r="Z333" s="373"/>
    </x:row>
    <x:row r="334">
      <x:c r="A334" s="373"/>
      <x:c r="B334" s="373"/>
      <x:c r="C334" s="373"/>
      <x:c r="D334" s="373"/>
      <x:c r="E334" s="373"/>
      <x:c r="F334" s="373"/>
      <x:c r="G334" s="373"/>
      <x:c r="H334" s="373"/>
      <x:c r="I334" s="373"/>
      <x:c r="J334" s="373"/>
      <x:c r="K334" s="373"/>
      <x:c r="L334" s="373"/>
      <x:c r="M334" s="373"/>
      <x:c r="N334" s="373"/>
      <x:c r="O334" s="373"/>
      <x:c r="P334" s="373"/>
      <x:c r="Q334" s="373"/>
      <x:c r="R334" s="373"/>
      <x:c r="S334" s="373"/>
      <x:c r="T334" s="373"/>
      <x:c r="U334" s="373"/>
      <x:c r="V334" s="373"/>
      <x:c r="W334" s="373"/>
      <x:c r="X334" s="373"/>
      <x:c r="Y334" s="373"/>
      <x:c r="Z334" s="373"/>
    </x:row>
    <x:row r="335">
      <x:c r="A335" s="373"/>
      <x:c r="B335" s="373"/>
      <x:c r="C335" s="373"/>
      <x:c r="D335" s="373"/>
      <x:c r="E335" s="373"/>
      <x:c r="F335" s="373"/>
      <x:c r="G335" s="373"/>
      <x:c r="H335" s="373"/>
      <x:c r="I335" s="373"/>
      <x:c r="J335" s="373"/>
      <x:c r="K335" s="373"/>
      <x:c r="L335" s="373"/>
      <x:c r="M335" s="373"/>
      <x:c r="N335" s="373"/>
      <x:c r="O335" s="373"/>
      <x:c r="P335" s="373"/>
      <x:c r="Q335" s="373"/>
      <x:c r="R335" s="373"/>
      <x:c r="S335" s="373"/>
      <x:c r="T335" s="373"/>
      <x:c r="U335" s="373"/>
      <x:c r="V335" s="373"/>
      <x:c r="W335" s="373"/>
      <x:c r="X335" s="373"/>
      <x:c r="Y335" s="373"/>
      <x:c r="Z335" s="373"/>
    </x:row>
    <x:row r="336">
      <x:c r="A336" s="373"/>
      <x:c r="B336" s="373"/>
      <x:c r="C336" s="373"/>
      <x:c r="D336" s="373"/>
      <x:c r="E336" s="373"/>
      <x:c r="F336" s="373"/>
      <x:c r="G336" s="373"/>
      <x:c r="H336" s="373"/>
      <x:c r="I336" s="373"/>
      <x:c r="J336" s="373"/>
      <x:c r="K336" s="373"/>
      <x:c r="L336" s="373"/>
      <x:c r="M336" s="373"/>
      <x:c r="N336" s="373"/>
      <x:c r="O336" s="373"/>
      <x:c r="P336" s="373"/>
      <x:c r="Q336" s="373"/>
      <x:c r="R336" s="373"/>
      <x:c r="S336" s="373"/>
      <x:c r="T336" s="373"/>
      <x:c r="U336" s="373"/>
      <x:c r="V336" s="373"/>
      <x:c r="W336" s="373"/>
      <x:c r="X336" s="373"/>
      <x:c r="Y336" s="373"/>
      <x:c r="Z336" s="373"/>
    </x:row>
    <x:row r="337">
      <x:c r="A337" s="373"/>
      <x:c r="B337" s="373"/>
      <x:c r="C337" s="373"/>
      <x:c r="D337" s="373"/>
      <x:c r="E337" s="373"/>
      <x:c r="F337" s="373"/>
      <x:c r="G337" s="373"/>
      <x:c r="H337" s="373"/>
      <x:c r="I337" s="373"/>
      <x:c r="J337" s="373"/>
      <x:c r="K337" s="373"/>
      <x:c r="L337" s="373"/>
      <x:c r="M337" s="373"/>
      <x:c r="N337" s="373"/>
      <x:c r="O337" s="373"/>
      <x:c r="P337" s="373"/>
      <x:c r="Q337" s="373"/>
      <x:c r="R337" s="373"/>
      <x:c r="S337" s="373"/>
      <x:c r="T337" s="373"/>
      <x:c r="U337" s="373"/>
      <x:c r="V337" s="373"/>
      <x:c r="W337" s="373"/>
      <x:c r="X337" s="373"/>
      <x:c r="Y337" s="373"/>
      <x:c r="Z337" s="373"/>
    </x:row>
    <x:row r="338">
      <x:c r="A338" s="373"/>
      <x:c r="B338" s="373"/>
      <x:c r="C338" s="373"/>
      <x:c r="D338" s="373"/>
      <x:c r="E338" s="373"/>
      <x:c r="F338" s="373"/>
      <x:c r="G338" s="373"/>
      <x:c r="H338" s="373"/>
      <x:c r="I338" s="373"/>
      <x:c r="J338" s="373"/>
      <x:c r="K338" s="373"/>
      <x:c r="L338" s="373"/>
      <x:c r="M338" s="373"/>
      <x:c r="N338" s="373"/>
      <x:c r="O338" s="373"/>
      <x:c r="P338" s="373"/>
      <x:c r="Q338" s="373"/>
      <x:c r="R338" s="373"/>
      <x:c r="S338" s="373"/>
      <x:c r="T338" s="373"/>
      <x:c r="U338" s="373"/>
      <x:c r="V338" s="373"/>
      <x:c r="W338" s="373"/>
      <x:c r="X338" s="373"/>
      <x:c r="Y338" s="373"/>
      <x:c r="Z338" s="373"/>
    </x:row>
    <x:row r="339">
      <x:c r="A339" s="373"/>
      <x:c r="B339" s="373"/>
      <x:c r="C339" s="373"/>
      <x:c r="D339" s="373"/>
      <x:c r="E339" s="373"/>
      <x:c r="F339" s="373"/>
      <x:c r="G339" s="373"/>
      <x:c r="H339" s="373"/>
      <x:c r="I339" s="373"/>
      <x:c r="J339" s="373"/>
      <x:c r="K339" s="373"/>
      <x:c r="L339" s="373"/>
      <x:c r="M339" s="373"/>
      <x:c r="N339" s="373"/>
      <x:c r="O339" s="373"/>
      <x:c r="P339" s="373"/>
      <x:c r="Q339" s="373"/>
      <x:c r="R339" s="373"/>
      <x:c r="S339" s="373"/>
      <x:c r="T339" s="373"/>
      <x:c r="U339" s="373"/>
      <x:c r="V339" s="373"/>
      <x:c r="W339" s="373"/>
      <x:c r="X339" s="373"/>
      <x:c r="Y339" s="373"/>
      <x:c r="Z339" s="373"/>
    </x:row>
    <x:row r="340">
      <x:c r="A340" s="373"/>
      <x:c r="B340" s="373"/>
      <x:c r="C340" s="373"/>
      <x:c r="D340" s="373"/>
      <x:c r="E340" s="373"/>
      <x:c r="F340" s="373"/>
      <x:c r="G340" s="373"/>
      <x:c r="H340" s="373"/>
      <x:c r="I340" s="373"/>
      <x:c r="J340" s="373"/>
      <x:c r="K340" s="373"/>
      <x:c r="L340" s="373"/>
      <x:c r="M340" s="373"/>
      <x:c r="N340" s="373"/>
      <x:c r="O340" s="373"/>
      <x:c r="P340" s="373"/>
      <x:c r="Q340" s="373"/>
      <x:c r="R340" s="373"/>
      <x:c r="S340" s="373"/>
      <x:c r="T340" s="373"/>
      <x:c r="U340" s="373"/>
      <x:c r="V340" s="373"/>
      <x:c r="W340" s="373"/>
      <x:c r="X340" s="373"/>
      <x:c r="Y340" s="373"/>
      <x:c r="Z340" s="373"/>
    </x:row>
    <x:row r="341">
      <x:c r="A341" s="373"/>
      <x:c r="B341" s="373"/>
      <x:c r="C341" s="373"/>
      <x:c r="D341" s="373"/>
      <x:c r="E341" s="373"/>
      <x:c r="F341" s="373"/>
      <x:c r="G341" s="373"/>
      <x:c r="H341" s="373"/>
      <x:c r="I341" s="373"/>
      <x:c r="J341" s="373"/>
      <x:c r="K341" s="373"/>
      <x:c r="L341" s="373"/>
      <x:c r="M341" s="373"/>
      <x:c r="N341" s="373"/>
      <x:c r="O341" s="373"/>
      <x:c r="P341" s="373"/>
      <x:c r="Q341" s="373"/>
      <x:c r="R341" s="373"/>
      <x:c r="S341" s="373"/>
      <x:c r="T341" s="373"/>
      <x:c r="U341" s="373"/>
      <x:c r="V341" s="373"/>
      <x:c r="W341" s="373"/>
      <x:c r="X341" s="373"/>
      <x:c r="Y341" s="373"/>
      <x:c r="Z341" s="373"/>
    </x:row>
    <x:row r="342">
      <x:c r="A342" s="373"/>
      <x:c r="B342" s="373"/>
      <x:c r="C342" s="373"/>
      <x:c r="D342" s="373"/>
      <x:c r="E342" s="373"/>
      <x:c r="F342" s="373"/>
      <x:c r="G342" s="373"/>
      <x:c r="H342" s="373"/>
      <x:c r="I342" s="373"/>
      <x:c r="J342" s="373"/>
      <x:c r="K342" s="373"/>
      <x:c r="L342" s="373"/>
      <x:c r="M342" s="373"/>
      <x:c r="N342" s="373"/>
      <x:c r="O342" s="373"/>
      <x:c r="P342" s="373"/>
      <x:c r="Q342" s="373"/>
      <x:c r="R342" s="373"/>
      <x:c r="S342" s="373"/>
      <x:c r="T342" s="373"/>
      <x:c r="U342" s="373"/>
      <x:c r="V342" s="373"/>
      <x:c r="W342" s="373"/>
      <x:c r="X342" s="373"/>
      <x:c r="Y342" s="373"/>
      <x:c r="Z342" s="373"/>
    </x:row>
    <x:row r="343">
      <x:c r="A343" s="373"/>
      <x:c r="B343" s="373"/>
      <x:c r="C343" s="373"/>
      <x:c r="D343" s="373"/>
      <x:c r="E343" s="373"/>
      <x:c r="F343" s="373"/>
      <x:c r="G343" s="373"/>
      <x:c r="H343" s="373"/>
      <x:c r="I343" s="373"/>
      <x:c r="J343" s="373"/>
      <x:c r="K343" s="373"/>
      <x:c r="L343" s="373"/>
      <x:c r="M343" s="373"/>
      <x:c r="N343" s="373"/>
      <x:c r="O343" s="373"/>
      <x:c r="P343" s="373"/>
      <x:c r="Q343" s="373"/>
      <x:c r="R343" s="373"/>
      <x:c r="S343" s="373"/>
      <x:c r="T343" s="373"/>
      <x:c r="U343" s="373"/>
      <x:c r="V343" s="373"/>
      <x:c r="W343" s="373"/>
      <x:c r="X343" s="373"/>
      <x:c r="Y343" s="373"/>
      <x:c r="Z343" s="373"/>
    </x:row>
    <x:row r="344">
      <x:c r="A344" s="373"/>
      <x:c r="B344" s="373"/>
      <x:c r="C344" s="373"/>
      <x:c r="D344" s="373"/>
      <x:c r="E344" s="373"/>
      <x:c r="F344" s="373"/>
      <x:c r="G344" s="373"/>
      <x:c r="H344" s="373"/>
      <x:c r="I344" s="373"/>
      <x:c r="J344" s="373"/>
      <x:c r="K344" s="373"/>
      <x:c r="L344" s="373"/>
      <x:c r="M344" s="373"/>
      <x:c r="N344" s="373"/>
      <x:c r="O344" s="373"/>
      <x:c r="P344" s="373"/>
      <x:c r="Q344" s="373"/>
      <x:c r="R344" s="373"/>
      <x:c r="S344" s="373"/>
      <x:c r="T344" s="373"/>
      <x:c r="U344" s="373"/>
      <x:c r="V344" s="373"/>
      <x:c r="W344" s="373"/>
      <x:c r="X344" s="373"/>
      <x:c r="Y344" s="373"/>
      <x:c r="Z344" s="373"/>
    </x:row>
    <x:row r="345">
      <x:c r="A345" s="373"/>
      <x:c r="B345" s="373"/>
      <x:c r="C345" s="373"/>
      <x:c r="D345" s="373"/>
      <x:c r="E345" s="373"/>
      <x:c r="F345" s="373"/>
      <x:c r="G345" s="373"/>
      <x:c r="H345" s="373"/>
      <x:c r="I345" s="373"/>
      <x:c r="J345" s="373"/>
      <x:c r="K345" s="373"/>
      <x:c r="L345" s="373"/>
      <x:c r="M345" s="373"/>
      <x:c r="N345" s="373"/>
      <x:c r="O345" s="373"/>
      <x:c r="P345" s="373"/>
      <x:c r="Q345" s="373"/>
      <x:c r="R345" s="373"/>
      <x:c r="S345" s="373"/>
      <x:c r="T345" s="373"/>
      <x:c r="U345" s="373"/>
      <x:c r="V345" s="373"/>
      <x:c r="W345" s="373"/>
      <x:c r="X345" s="373"/>
      <x:c r="Y345" s="373"/>
      <x:c r="Z345" s="373"/>
    </x:row>
    <x:row r="346">
      <x:c r="A346" s="373"/>
      <x:c r="B346" s="373"/>
      <x:c r="C346" s="373"/>
      <x:c r="D346" s="373"/>
      <x:c r="E346" s="373"/>
      <x:c r="F346" s="373"/>
      <x:c r="G346" s="373"/>
      <x:c r="H346" s="373"/>
      <x:c r="I346" s="373"/>
      <x:c r="J346" s="373"/>
      <x:c r="K346" s="373"/>
      <x:c r="L346" s="373"/>
      <x:c r="M346" s="373"/>
      <x:c r="N346" s="373"/>
      <x:c r="O346" s="373"/>
      <x:c r="P346" s="373"/>
      <x:c r="Q346" s="373"/>
      <x:c r="R346" s="373"/>
      <x:c r="S346" s="373"/>
      <x:c r="T346" s="373"/>
      <x:c r="U346" s="373"/>
      <x:c r="V346" s="373"/>
      <x:c r="W346" s="373"/>
      <x:c r="X346" s="373"/>
      <x:c r="Y346" s="373"/>
      <x:c r="Z346" s="373"/>
    </x:row>
    <x:row r="347">
      <x:c r="A347" s="373"/>
      <x:c r="B347" s="373"/>
      <x:c r="C347" s="373"/>
      <x:c r="D347" s="373"/>
      <x:c r="E347" s="373"/>
      <x:c r="F347" s="373"/>
      <x:c r="G347" s="373"/>
      <x:c r="H347" s="373"/>
      <x:c r="I347" s="373"/>
      <x:c r="J347" s="373"/>
      <x:c r="K347" s="373"/>
      <x:c r="L347" s="373"/>
      <x:c r="M347" s="373"/>
      <x:c r="N347" s="373"/>
      <x:c r="O347" s="373"/>
      <x:c r="P347" s="373"/>
      <x:c r="Q347" s="373"/>
      <x:c r="R347" s="373"/>
      <x:c r="S347" s="373"/>
      <x:c r="T347" s="373"/>
      <x:c r="U347" s="373"/>
      <x:c r="V347" s="373"/>
      <x:c r="W347" s="373"/>
      <x:c r="X347" s="373"/>
      <x:c r="Y347" s="373"/>
      <x:c r="Z347" s="373"/>
    </x:row>
    <x:row r="348">
      <x:c r="A348" s="373"/>
      <x:c r="B348" s="373"/>
      <x:c r="C348" s="373"/>
      <x:c r="D348" s="373"/>
      <x:c r="E348" s="373"/>
      <x:c r="F348" s="373"/>
      <x:c r="G348" s="373"/>
      <x:c r="H348" s="373"/>
      <x:c r="I348" s="373"/>
      <x:c r="J348" s="373"/>
      <x:c r="K348" s="373"/>
      <x:c r="L348" s="373"/>
      <x:c r="M348" s="373"/>
      <x:c r="N348" s="373"/>
      <x:c r="O348" s="373"/>
      <x:c r="P348" s="373"/>
      <x:c r="Q348" s="373"/>
      <x:c r="R348" s="373"/>
      <x:c r="S348" s="373"/>
      <x:c r="T348" s="373"/>
      <x:c r="U348" s="373"/>
      <x:c r="V348" s="373"/>
      <x:c r="W348" s="373"/>
      <x:c r="X348" s="373"/>
      <x:c r="Y348" s="373"/>
      <x:c r="Z348" s="373"/>
    </x:row>
    <x:row r="349">
      <x:c r="A349" s="373"/>
      <x:c r="B349" s="373"/>
      <x:c r="C349" s="373"/>
      <x:c r="D349" s="373"/>
      <x:c r="E349" s="373"/>
      <x:c r="F349" s="373"/>
      <x:c r="G349" s="373"/>
      <x:c r="H349" s="373"/>
      <x:c r="I349" s="373"/>
      <x:c r="J349" s="373"/>
      <x:c r="K349" s="373"/>
      <x:c r="L349" s="373"/>
      <x:c r="M349" s="373"/>
      <x:c r="N349" s="373"/>
      <x:c r="O349" s="373"/>
      <x:c r="P349" s="373"/>
      <x:c r="Q349" s="373"/>
      <x:c r="R349" s="373"/>
      <x:c r="S349" s="373"/>
      <x:c r="T349" s="373"/>
      <x:c r="U349" s="373"/>
      <x:c r="V349" s="373"/>
      <x:c r="W349" s="373"/>
      <x:c r="X349" s="373"/>
      <x:c r="Y349" s="373"/>
      <x:c r="Z349" s="373"/>
    </x:row>
    <x:row r="350">
      <x:c r="A350" s="373"/>
      <x:c r="B350" s="373"/>
      <x:c r="C350" s="373"/>
      <x:c r="D350" s="373"/>
      <x:c r="E350" s="373"/>
      <x:c r="F350" s="373"/>
      <x:c r="G350" s="373"/>
      <x:c r="H350" s="373"/>
      <x:c r="I350" s="373"/>
      <x:c r="J350" s="373"/>
      <x:c r="K350" s="373"/>
      <x:c r="L350" s="373"/>
      <x:c r="M350" s="373"/>
      <x:c r="N350" s="373"/>
      <x:c r="O350" s="373"/>
      <x:c r="P350" s="373"/>
      <x:c r="Q350" s="373"/>
      <x:c r="R350" s="373"/>
      <x:c r="S350" s="373"/>
      <x:c r="T350" s="373"/>
      <x:c r="U350" s="373"/>
      <x:c r="V350" s="373"/>
      <x:c r="W350" s="373"/>
      <x:c r="X350" s="373"/>
      <x:c r="Y350" s="373"/>
      <x:c r="Z350" s="373"/>
    </x:row>
    <x:row r="351">
      <x:c r="A351" s="373"/>
      <x:c r="B351" s="373"/>
      <x:c r="C351" s="373"/>
      <x:c r="D351" s="373"/>
      <x:c r="E351" s="373"/>
      <x:c r="F351" s="373"/>
      <x:c r="G351" s="373"/>
      <x:c r="H351" s="373"/>
      <x:c r="I351" s="373"/>
      <x:c r="J351" s="373"/>
      <x:c r="K351" s="373"/>
      <x:c r="L351" s="373"/>
      <x:c r="M351" s="373"/>
      <x:c r="N351" s="373"/>
      <x:c r="O351" s="373"/>
      <x:c r="P351" s="373"/>
      <x:c r="Q351" s="373"/>
      <x:c r="R351" s="373"/>
      <x:c r="S351" s="373"/>
      <x:c r="T351" s="373"/>
      <x:c r="U351" s="373"/>
      <x:c r="V351" s="373"/>
      <x:c r="W351" s="373"/>
      <x:c r="X351" s="373"/>
      <x:c r="Y351" s="373"/>
      <x:c r="Z351" s="373"/>
    </x:row>
    <x:row r="352">
      <x:c r="A352" s="373"/>
      <x:c r="B352" s="373"/>
      <x:c r="C352" s="373"/>
      <x:c r="D352" s="373"/>
      <x:c r="E352" s="373"/>
      <x:c r="F352" s="373"/>
      <x:c r="G352" s="373"/>
      <x:c r="H352" s="373"/>
      <x:c r="I352" s="373"/>
      <x:c r="J352" s="373"/>
      <x:c r="K352" s="373"/>
      <x:c r="L352" s="373"/>
      <x:c r="M352" s="373"/>
      <x:c r="N352" s="373"/>
      <x:c r="O352" s="373"/>
      <x:c r="P352" s="373"/>
      <x:c r="Q352" s="373"/>
      <x:c r="R352" s="373"/>
      <x:c r="S352" s="373"/>
      <x:c r="T352" s="373"/>
      <x:c r="U352" s="373"/>
      <x:c r="V352" s="373"/>
      <x:c r="W352" s="373"/>
      <x:c r="X352" s="373"/>
      <x:c r="Y352" s="373"/>
      <x:c r="Z352" s="373"/>
    </x:row>
    <x:row r="353">
      <x:c r="A353" s="373"/>
      <x:c r="B353" s="373"/>
      <x:c r="C353" s="373"/>
      <x:c r="D353" s="373"/>
      <x:c r="E353" s="373"/>
      <x:c r="F353" s="373"/>
      <x:c r="G353" s="373"/>
      <x:c r="H353" s="373"/>
      <x:c r="I353" s="373"/>
      <x:c r="J353" s="373"/>
      <x:c r="K353" s="373"/>
      <x:c r="L353" s="373"/>
      <x:c r="M353" s="373"/>
      <x:c r="N353" s="373"/>
      <x:c r="O353" s="373"/>
      <x:c r="P353" s="373"/>
      <x:c r="Q353" s="373"/>
      <x:c r="R353" s="373"/>
      <x:c r="S353" s="373"/>
      <x:c r="T353" s="373"/>
      <x:c r="U353" s="373"/>
      <x:c r="V353" s="373"/>
      <x:c r="W353" s="373"/>
      <x:c r="X353" s="373"/>
      <x:c r="Y353" s="373"/>
      <x:c r="Z353" s="373"/>
    </x:row>
    <x:row r="354">
      <x:c r="A354" s="373"/>
      <x:c r="B354" s="373"/>
      <x:c r="C354" s="373"/>
      <x:c r="D354" s="373"/>
      <x:c r="E354" s="373"/>
      <x:c r="F354" s="373"/>
      <x:c r="G354" s="373"/>
      <x:c r="H354" s="373"/>
      <x:c r="I354" s="373"/>
      <x:c r="J354" s="373"/>
      <x:c r="K354" s="373"/>
      <x:c r="L354" s="373"/>
      <x:c r="M354" s="373"/>
      <x:c r="N354" s="373"/>
      <x:c r="O354" s="373"/>
      <x:c r="P354" s="373"/>
      <x:c r="Q354" s="373"/>
      <x:c r="R354" s="373"/>
      <x:c r="S354" s="373"/>
      <x:c r="T354" s="373"/>
      <x:c r="U354" s="373"/>
      <x:c r="V354" s="373"/>
      <x:c r="W354" s="373"/>
      <x:c r="X354" s="373"/>
      <x:c r="Y354" s="373"/>
      <x:c r="Z354" s="373"/>
    </x:row>
    <x:row r="355">
      <x:c r="A355" s="373"/>
      <x:c r="B355" s="373"/>
      <x:c r="C355" s="373"/>
      <x:c r="D355" s="373"/>
      <x:c r="E355" s="373"/>
      <x:c r="F355" s="373"/>
      <x:c r="G355" s="373"/>
      <x:c r="H355" s="373"/>
      <x:c r="I355" s="373"/>
      <x:c r="J355" s="373"/>
      <x:c r="K355" s="373"/>
      <x:c r="L355" s="373"/>
      <x:c r="M355" s="373"/>
      <x:c r="N355" s="373"/>
      <x:c r="O355" s="373"/>
      <x:c r="P355" s="373"/>
      <x:c r="Q355" s="373"/>
      <x:c r="R355" s="373"/>
      <x:c r="S355" s="373"/>
      <x:c r="T355" s="373"/>
      <x:c r="U355" s="373"/>
      <x:c r="V355" s="373"/>
      <x:c r="W355" s="373"/>
      <x:c r="X355" s="373"/>
      <x:c r="Y355" s="373"/>
      <x:c r="Z355" s="373"/>
    </x:row>
    <x:row r="356">
      <x:c r="A356" s="373"/>
      <x:c r="B356" s="373"/>
      <x:c r="C356" s="373"/>
      <x:c r="D356" s="373"/>
      <x:c r="E356" s="373"/>
      <x:c r="F356" s="373"/>
      <x:c r="G356" s="373"/>
      <x:c r="H356" s="373"/>
      <x:c r="I356" s="373"/>
      <x:c r="J356" s="373"/>
      <x:c r="K356" s="373"/>
      <x:c r="L356" s="373"/>
      <x:c r="M356" s="373"/>
      <x:c r="N356" s="373"/>
      <x:c r="O356" s="373"/>
      <x:c r="P356" s="373"/>
      <x:c r="Q356" s="373"/>
      <x:c r="R356" s="373"/>
      <x:c r="S356" s="373"/>
      <x:c r="T356" s="373"/>
      <x:c r="U356" s="373"/>
      <x:c r="V356" s="373"/>
      <x:c r="W356" s="373"/>
      <x:c r="X356" s="373"/>
      <x:c r="Y356" s="373"/>
      <x:c r="Z356" s="373"/>
    </x:row>
    <x:row r="357">
      <x:c r="A357" s="373"/>
      <x:c r="B357" s="373"/>
      <x:c r="C357" s="373"/>
      <x:c r="D357" s="373"/>
      <x:c r="E357" s="373"/>
      <x:c r="F357" s="373"/>
      <x:c r="G357" s="373"/>
      <x:c r="H357" s="373"/>
      <x:c r="I357" s="373"/>
      <x:c r="J357" s="373"/>
      <x:c r="K357" s="373"/>
      <x:c r="L357" s="373"/>
      <x:c r="M357" s="373"/>
      <x:c r="N357" s="373"/>
      <x:c r="O357" s="373"/>
      <x:c r="P357" s="373"/>
      <x:c r="Q357" s="373"/>
      <x:c r="R357" s="373"/>
      <x:c r="S357" s="373"/>
      <x:c r="T357" s="373"/>
      <x:c r="U357" s="373"/>
      <x:c r="V357" s="373"/>
      <x:c r="W357" s="373"/>
      <x:c r="X357" s="373"/>
      <x:c r="Y357" s="373"/>
      <x:c r="Z357" s="373"/>
    </x:row>
    <x:row r="358">
      <x:c r="A358" s="373"/>
      <x:c r="B358" s="373"/>
      <x:c r="C358" s="373"/>
      <x:c r="D358" s="373"/>
      <x:c r="E358" s="373"/>
      <x:c r="F358" s="373"/>
      <x:c r="G358" s="373"/>
      <x:c r="H358" s="373"/>
      <x:c r="I358" s="373"/>
      <x:c r="J358" s="373"/>
      <x:c r="K358" s="373"/>
      <x:c r="L358" s="373"/>
      <x:c r="M358" s="373"/>
      <x:c r="N358" s="373"/>
      <x:c r="O358" s="373"/>
      <x:c r="P358" s="373"/>
      <x:c r="Q358" s="373"/>
      <x:c r="R358" s="373"/>
      <x:c r="S358" s="373"/>
      <x:c r="T358" s="373"/>
      <x:c r="U358" s="373"/>
      <x:c r="V358" s="373"/>
      <x:c r="W358" s="373"/>
      <x:c r="X358" s="373"/>
      <x:c r="Y358" s="373"/>
      <x:c r="Z358" s="373"/>
    </x:row>
    <x:row r="359">
      <x:c r="A359" s="373"/>
      <x:c r="B359" s="373"/>
      <x:c r="C359" s="373"/>
      <x:c r="D359" s="373"/>
      <x:c r="E359" s="373"/>
      <x:c r="F359" s="373"/>
      <x:c r="G359" s="373"/>
      <x:c r="H359" s="373"/>
      <x:c r="I359" s="373"/>
      <x:c r="J359" s="373"/>
      <x:c r="K359" s="373"/>
      <x:c r="L359" s="373"/>
      <x:c r="M359" s="373"/>
      <x:c r="N359" s="373"/>
      <x:c r="O359" s="373"/>
      <x:c r="P359" s="373"/>
      <x:c r="Q359" s="373"/>
      <x:c r="R359" s="373"/>
      <x:c r="S359" s="373"/>
      <x:c r="T359" s="373"/>
      <x:c r="U359" s="373"/>
      <x:c r="V359" s="373"/>
      <x:c r="W359" s="373"/>
      <x:c r="X359" s="373"/>
      <x:c r="Y359" s="373"/>
      <x:c r="Z359" s="373"/>
    </x:row>
    <x:row r="360">
      <x:c r="A360" s="373"/>
      <x:c r="B360" s="373"/>
      <x:c r="C360" s="373"/>
      <x:c r="D360" s="373"/>
      <x:c r="E360" s="373"/>
      <x:c r="F360" s="373"/>
      <x:c r="G360" s="373"/>
      <x:c r="H360" s="373"/>
      <x:c r="I360" s="373"/>
      <x:c r="J360" s="373"/>
      <x:c r="K360" s="373"/>
      <x:c r="L360" s="373"/>
      <x:c r="M360" s="373"/>
      <x:c r="N360" s="373"/>
      <x:c r="O360" s="373"/>
      <x:c r="P360" s="373"/>
      <x:c r="Q360" s="373"/>
      <x:c r="R360" s="373"/>
      <x:c r="S360" s="373"/>
      <x:c r="T360" s="373"/>
      <x:c r="U360" s="373"/>
      <x:c r="V360" s="373"/>
      <x:c r="W360" s="373"/>
      <x:c r="X360" s="373"/>
      <x:c r="Y360" s="373"/>
      <x:c r="Z360" s="373"/>
    </x:row>
    <x:row r="361">
      <x:c r="A361" s="373"/>
      <x:c r="B361" s="373"/>
      <x:c r="C361" s="373"/>
      <x:c r="D361" s="373"/>
      <x:c r="E361" s="373"/>
      <x:c r="F361" s="373"/>
      <x:c r="G361" s="373"/>
      <x:c r="H361" s="373"/>
      <x:c r="I361" s="373"/>
      <x:c r="J361" s="373"/>
      <x:c r="K361" s="373"/>
      <x:c r="L361" s="373"/>
      <x:c r="M361" s="373"/>
      <x:c r="N361" s="373"/>
      <x:c r="O361" s="373"/>
      <x:c r="P361" s="373"/>
      <x:c r="Q361" s="373"/>
      <x:c r="R361" s="373"/>
      <x:c r="S361" s="373"/>
      <x:c r="T361" s="373"/>
      <x:c r="U361" s="373"/>
      <x:c r="V361" s="373"/>
      <x:c r="W361" s="373"/>
      <x:c r="X361" s="373"/>
      <x:c r="Y361" s="373"/>
      <x:c r="Z361" s="373"/>
    </x:row>
    <x:row r="362">
      <x:c r="A362" s="373"/>
      <x:c r="B362" s="373"/>
      <x:c r="C362" s="373"/>
      <x:c r="D362" s="373"/>
      <x:c r="E362" s="373"/>
      <x:c r="F362" s="373"/>
      <x:c r="G362" s="373"/>
      <x:c r="H362" s="373"/>
      <x:c r="I362" s="373"/>
      <x:c r="J362" s="373"/>
      <x:c r="K362" s="373"/>
      <x:c r="L362" s="373"/>
      <x:c r="M362" s="373"/>
      <x:c r="N362" s="373"/>
      <x:c r="O362" s="373"/>
      <x:c r="P362" s="373"/>
      <x:c r="Q362" s="373"/>
      <x:c r="R362" s="373"/>
      <x:c r="S362" s="373"/>
      <x:c r="T362" s="373"/>
      <x:c r="U362" s="373"/>
      <x:c r="V362" s="373"/>
      <x:c r="W362" s="373"/>
      <x:c r="X362" s="373"/>
      <x:c r="Y362" s="373"/>
      <x:c r="Z362" s="373"/>
    </x:row>
    <x:row r="363">
      <x:c r="A363" s="373"/>
      <x:c r="B363" s="373"/>
      <x:c r="C363" s="373"/>
      <x:c r="D363" s="373"/>
      <x:c r="E363" s="373"/>
      <x:c r="F363" s="373"/>
      <x:c r="G363" s="373"/>
      <x:c r="H363" s="373"/>
      <x:c r="I363" s="373"/>
      <x:c r="J363" s="373"/>
      <x:c r="K363" s="373"/>
      <x:c r="L363" s="373"/>
      <x:c r="M363" s="373"/>
      <x:c r="N363" s="373"/>
      <x:c r="O363" s="373"/>
      <x:c r="P363" s="373"/>
      <x:c r="Q363" s="373"/>
      <x:c r="R363" s="373"/>
      <x:c r="S363" s="373"/>
      <x:c r="T363" s="373"/>
      <x:c r="U363" s="373"/>
      <x:c r="V363" s="373"/>
      <x:c r="W363" s="373"/>
      <x:c r="X363" s="373"/>
      <x:c r="Y363" s="373"/>
      <x:c r="Z363" s="373"/>
    </x:row>
    <x:row r="364">
      <x:c r="A364" s="373"/>
      <x:c r="B364" s="373"/>
      <x:c r="C364" s="373"/>
      <x:c r="D364" s="373"/>
      <x:c r="E364" s="373"/>
      <x:c r="F364" s="373"/>
      <x:c r="G364" s="373"/>
      <x:c r="H364" s="373"/>
      <x:c r="I364" s="373"/>
      <x:c r="J364" s="373"/>
      <x:c r="K364" s="373"/>
      <x:c r="L364" s="373"/>
      <x:c r="M364" s="373"/>
      <x:c r="N364" s="373"/>
      <x:c r="O364" s="373"/>
      <x:c r="P364" s="373"/>
      <x:c r="Q364" s="373"/>
      <x:c r="R364" s="373"/>
      <x:c r="S364" s="373"/>
      <x:c r="T364" s="373"/>
      <x:c r="U364" s="373"/>
      <x:c r="V364" s="373"/>
      <x:c r="W364" s="373"/>
      <x:c r="X364" s="373"/>
      <x:c r="Y364" s="373"/>
      <x:c r="Z364" s="373"/>
    </x:row>
    <x:row r="365">
      <x:c r="A365" s="373"/>
      <x:c r="B365" s="373"/>
      <x:c r="C365" s="373"/>
      <x:c r="D365" s="373"/>
      <x:c r="E365" s="373"/>
      <x:c r="F365" s="373"/>
      <x:c r="G365" s="373"/>
      <x:c r="H365" s="373"/>
      <x:c r="I365" s="373"/>
      <x:c r="J365" s="373"/>
      <x:c r="K365" s="373"/>
      <x:c r="L365" s="373"/>
      <x:c r="M365" s="373"/>
      <x:c r="N365" s="373"/>
      <x:c r="O365" s="373"/>
      <x:c r="P365" s="373"/>
      <x:c r="Q365" s="373"/>
      <x:c r="R365" s="373"/>
      <x:c r="S365" s="373"/>
      <x:c r="T365" s="373"/>
      <x:c r="U365" s="373"/>
      <x:c r="V365" s="373"/>
      <x:c r="W365" s="373"/>
      <x:c r="X365" s="373"/>
      <x:c r="Y365" s="373"/>
      <x:c r="Z365" s="373"/>
    </x:row>
    <x:row r="366">
      <x:c r="A366" s="373"/>
      <x:c r="B366" s="373"/>
      <x:c r="C366" s="373"/>
      <x:c r="D366" s="373"/>
      <x:c r="E366" s="373"/>
      <x:c r="F366" s="373"/>
      <x:c r="G366" s="373"/>
      <x:c r="H366" s="373"/>
      <x:c r="I366" s="373"/>
      <x:c r="J366" s="373"/>
      <x:c r="K366" s="373"/>
      <x:c r="L366" s="373"/>
      <x:c r="M366" s="373"/>
      <x:c r="N366" s="373"/>
      <x:c r="O366" s="373"/>
      <x:c r="P366" s="373"/>
      <x:c r="Q366" s="373"/>
      <x:c r="R366" s="373"/>
      <x:c r="S366" s="373"/>
      <x:c r="T366" s="373"/>
      <x:c r="U366" s="373"/>
      <x:c r="V366" s="373"/>
      <x:c r="W366" s="373"/>
      <x:c r="X366" s="373"/>
      <x:c r="Y366" s="373"/>
      <x:c r="Z366" s="373"/>
    </x:row>
    <x:row r="367">
      <x:c r="A367" s="373"/>
      <x:c r="B367" s="373"/>
      <x:c r="C367" s="373"/>
      <x:c r="D367" s="373"/>
      <x:c r="E367" s="373"/>
      <x:c r="F367" s="373"/>
      <x:c r="G367" s="373"/>
      <x:c r="H367" s="373"/>
      <x:c r="I367" s="373"/>
      <x:c r="J367" s="373"/>
      <x:c r="K367" s="373"/>
      <x:c r="L367" s="373"/>
      <x:c r="M367" s="373"/>
      <x:c r="N367" s="373"/>
      <x:c r="O367" s="373"/>
      <x:c r="P367" s="373"/>
      <x:c r="Q367" s="373"/>
      <x:c r="R367" s="373"/>
      <x:c r="S367" s="373"/>
      <x:c r="T367" s="373"/>
      <x:c r="U367" s="373"/>
      <x:c r="V367" s="373"/>
      <x:c r="W367" s="373"/>
      <x:c r="X367" s="373"/>
      <x:c r="Y367" s="373"/>
      <x:c r="Z367" s="373"/>
    </x:row>
    <x:row r="368">
      <x:c r="A368" s="373"/>
      <x:c r="B368" s="373"/>
      <x:c r="C368" s="373"/>
      <x:c r="D368" s="373"/>
      <x:c r="E368" s="373"/>
      <x:c r="F368" s="373"/>
      <x:c r="G368" s="373"/>
      <x:c r="H368" s="373"/>
      <x:c r="I368" s="373"/>
      <x:c r="J368" s="373"/>
      <x:c r="K368" s="373"/>
      <x:c r="L368" s="373"/>
      <x:c r="M368" s="373"/>
      <x:c r="N368" s="373"/>
      <x:c r="O368" s="373"/>
      <x:c r="P368" s="373"/>
      <x:c r="Q368" s="373"/>
      <x:c r="R368" s="373"/>
      <x:c r="S368" s="373"/>
      <x:c r="T368" s="373"/>
      <x:c r="U368" s="373"/>
      <x:c r="V368" s="373"/>
      <x:c r="W368" s="373"/>
      <x:c r="X368" s="373"/>
      <x:c r="Y368" s="373"/>
      <x:c r="Z368" s="373"/>
    </x:row>
    <x:row r="369">
      <x:c r="A369" s="373"/>
      <x:c r="B369" s="373"/>
      <x:c r="C369" s="373"/>
      <x:c r="D369" s="373"/>
      <x:c r="E369" s="373"/>
      <x:c r="F369" s="373"/>
      <x:c r="G369" s="373"/>
      <x:c r="H369" s="373"/>
      <x:c r="I369" s="373"/>
      <x:c r="J369" s="373"/>
      <x:c r="K369" s="373"/>
      <x:c r="L369" s="373"/>
      <x:c r="M369" s="373"/>
      <x:c r="N369" s="373"/>
      <x:c r="O369" s="373"/>
      <x:c r="P369" s="373"/>
      <x:c r="Q369" s="373"/>
      <x:c r="R369" s="373"/>
      <x:c r="S369" s="373"/>
      <x:c r="T369" s="373"/>
      <x:c r="U369" s="373"/>
      <x:c r="V369" s="373"/>
      <x:c r="W369" s="373"/>
      <x:c r="X369" s="373"/>
      <x:c r="Y369" s="373"/>
      <x:c r="Z369" s="373"/>
    </x:row>
    <x:row r="370">
      <x:c r="A370" s="373"/>
      <x:c r="B370" s="373"/>
      <x:c r="C370" s="373"/>
      <x:c r="D370" s="373"/>
      <x:c r="E370" s="373"/>
      <x:c r="F370" s="373"/>
      <x:c r="G370" s="373"/>
      <x:c r="H370" s="373"/>
      <x:c r="I370" s="373"/>
      <x:c r="J370" s="373"/>
      <x:c r="K370" s="373"/>
      <x:c r="L370" s="373"/>
      <x:c r="M370" s="373"/>
      <x:c r="N370" s="373"/>
      <x:c r="O370" s="373"/>
      <x:c r="P370" s="373"/>
      <x:c r="Q370" s="373"/>
      <x:c r="R370" s="373"/>
      <x:c r="S370" s="373"/>
      <x:c r="T370" s="373"/>
      <x:c r="U370" s="373"/>
      <x:c r="V370" s="373"/>
      <x:c r="W370" s="373"/>
      <x:c r="X370" s="373"/>
      <x:c r="Y370" s="373"/>
      <x:c r="Z370" s="373"/>
    </x:row>
    <x:row r="371">
      <x:c r="A371" s="373"/>
      <x:c r="B371" s="373"/>
      <x:c r="C371" s="373"/>
      <x:c r="D371" s="373"/>
      <x:c r="E371" s="373"/>
      <x:c r="F371" s="373"/>
      <x:c r="G371" s="373"/>
      <x:c r="H371" s="373"/>
      <x:c r="I371" s="373"/>
      <x:c r="J371" s="373"/>
      <x:c r="K371" s="373"/>
      <x:c r="L371" s="373"/>
      <x:c r="M371" s="373"/>
      <x:c r="N371" s="373"/>
      <x:c r="O371" s="373"/>
      <x:c r="P371" s="373"/>
      <x:c r="Q371" s="373"/>
      <x:c r="R371" s="373"/>
      <x:c r="S371" s="373"/>
      <x:c r="T371" s="373"/>
      <x:c r="U371" s="373"/>
      <x:c r="V371" s="373"/>
      <x:c r="W371" s="373"/>
      <x:c r="X371" s="373"/>
      <x:c r="Y371" s="373"/>
      <x:c r="Z371" s="373"/>
    </x:row>
    <x:row r="372">
      <x:c r="A372" s="373"/>
      <x:c r="B372" s="373"/>
      <x:c r="C372" s="373"/>
      <x:c r="D372" s="373"/>
      <x:c r="E372" s="373"/>
      <x:c r="F372" s="373"/>
      <x:c r="G372" s="373"/>
      <x:c r="H372" s="373"/>
      <x:c r="I372" s="373"/>
      <x:c r="J372" s="373"/>
      <x:c r="K372" s="373"/>
      <x:c r="L372" s="373"/>
      <x:c r="M372" s="373"/>
      <x:c r="N372" s="373"/>
      <x:c r="O372" s="373"/>
      <x:c r="P372" s="373"/>
      <x:c r="Q372" s="373"/>
      <x:c r="R372" s="373"/>
      <x:c r="S372" s="373"/>
      <x:c r="T372" s="373"/>
      <x:c r="U372" s="373"/>
      <x:c r="V372" s="373"/>
      <x:c r="W372" s="373"/>
      <x:c r="X372" s="373"/>
      <x:c r="Y372" s="373"/>
      <x:c r="Z372" s="373"/>
    </x:row>
    <x:row r="373">
      <x:c r="A373" s="373"/>
      <x:c r="B373" s="373"/>
      <x:c r="C373" s="373"/>
      <x:c r="D373" s="373"/>
      <x:c r="E373" s="373"/>
      <x:c r="F373" s="373"/>
      <x:c r="G373" s="373"/>
      <x:c r="H373" s="373"/>
      <x:c r="I373" s="373"/>
      <x:c r="J373" s="373"/>
      <x:c r="K373" s="373"/>
      <x:c r="L373" s="373"/>
      <x:c r="M373" s="373"/>
      <x:c r="N373" s="373"/>
      <x:c r="O373" s="373"/>
      <x:c r="P373" s="373"/>
      <x:c r="Q373" s="373"/>
      <x:c r="R373" s="373"/>
      <x:c r="S373" s="373"/>
      <x:c r="T373" s="373"/>
      <x:c r="U373" s="373"/>
      <x:c r="V373" s="373"/>
      <x:c r="W373" s="373"/>
      <x:c r="X373" s="373"/>
      <x:c r="Y373" s="373"/>
      <x:c r="Z373" s="373"/>
    </x:row>
    <x:row r="374">
      <x:c r="A374" s="373"/>
      <x:c r="B374" s="373"/>
      <x:c r="C374" s="373"/>
      <x:c r="D374" s="373"/>
      <x:c r="E374" s="373"/>
      <x:c r="F374" s="373"/>
      <x:c r="G374" s="373"/>
      <x:c r="H374" s="373"/>
      <x:c r="I374" s="373"/>
      <x:c r="J374" s="373"/>
      <x:c r="K374" s="373"/>
      <x:c r="L374" s="373"/>
      <x:c r="M374" s="373"/>
      <x:c r="N374" s="373"/>
      <x:c r="O374" s="373"/>
      <x:c r="P374" s="373"/>
      <x:c r="Q374" s="373"/>
      <x:c r="R374" s="373"/>
      <x:c r="S374" s="373"/>
      <x:c r="T374" s="373"/>
      <x:c r="U374" s="373"/>
      <x:c r="V374" s="373"/>
      <x:c r="W374" s="373"/>
      <x:c r="X374" s="373"/>
      <x:c r="Y374" s="373"/>
      <x:c r="Z374" s="373"/>
    </x:row>
    <x:row r="375">
      <x:c r="A375" s="373"/>
      <x:c r="B375" s="373"/>
      <x:c r="C375" s="373"/>
      <x:c r="D375" s="373"/>
      <x:c r="E375" s="373"/>
      <x:c r="F375" s="373"/>
      <x:c r="G375" s="373"/>
      <x:c r="H375" s="373"/>
      <x:c r="I375" s="373"/>
      <x:c r="J375" s="373"/>
      <x:c r="K375" s="373"/>
      <x:c r="L375" s="373"/>
      <x:c r="M375" s="373"/>
      <x:c r="N375" s="373"/>
      <x:c r="O375" s="373"/>
      <x:c r="P375" s="373"/>
      <x:c r="Q375" s="373"/>
      <x:c r="R375" s="373"/>
      <x:c r="S375" s="373"/>
      <x:c r="T375" s="373"/>
      <x:c r="U375" s="373"/>
      <x:c r="V375" s="373"/>
      <x:c r="W375" s="373"/>
      <x:c r="X375" s="373"/>
      <x:c r="Y375" s="373"/>
      <x:c r="Z375" s="373"/>
    </x:row>
    <x:row r="376">
      <x:c r="A376" s="373"/>
      <x:c r="B376" s="373"/>
      <x:c r="C376" s="373"/>
      <x:c r="D376" s="373"/>
      <x:c r="E376" s="373"/>
      <x:c r="F376" s="373"/>
      <x:c r="G376" s="373"/>
      <x:c r="H376" s="373"/>
      <x:c r="I376" s="373"/>
      <x:c r="J376" s="373"/>
      <x:c r="K376" s="373"/>
      <x:c r="L376" s="373"/>
      <x:c r="M376" s="373"/>
      <x:c r="N376" s="373"/>
      <x:c r="O376" s="373"/>
      <x:c r="P376" s="373"/>
      <x:c r="Q376" s="373"/>
      <x:c r="R376" s="373"/>
      <x:c r="S376" s="373"/>
      <x:c r="T376" s="373"/>
      <x:c r="U376" s="373"/>
      <x:c r="V376" s="373"/>
      <x:c r="W376" s="373"/>
      <x:c r="X376" s="373"/>
      <x:c r="Y376" s="373"/>
      <x:c r="Z376" s="373"/>
    </x:row>
    <x:row r="377">
      <x:c r="A377" s="373"/>
      <x:c r="B377" s="373"/>
      <x:c r="C377" s="373"/>
      <x:c r="D377" s="373"/>
      <x:c r="E377" s="373"/>
      <x:c r="F377" s="373"/>
      <x:c r="G377" s="373"/>
      <x:c r="H377" s="373"/>
      <x:c r="I377" s="373"/>
      <x:c r="J377" s="373"/>
      <x:c r="K377" s="373"/>
      <x:c r="L377" s="373"/>
      <x:c r="M377" s="373"/>
      <x:c r="N377" s="373"/>
      <x:c r="O377" s="373"/>
      <x:c r="P377" s="373"/>
      <x:c r="Q377" s="373"/>
      <x:c r="R377" s="373"/>
      <x:c r="S377" s="373"/>
      <x:c r="T377" s="373"/>
      <x:c r="U377" s="373"/>
      <x:c r="V377" s="373"/>
      <x:c r="W377" s="373"/>
      <x:c r="X377" s="373"/>
      <x:c r="Y377" s="373"/>
      <x:c r="Z377" s="373"/>
    </x:row>
    <x:row r="378">
      <x:c r="A378" s="373"/>
      <x:c r="B378" s="373"/>
      <x:c r="C378" s="373"/>
      <x:c r="D378" s="373"/>
      <x:c r="E378" s="373"/>
      <x:c r="F378" s="373"/>
      <x:c r="G378" s="373"/>
      <x:c r="H378" s="373"/>
      <x:c r="I378" s="373"/>
      <x:c r="J378" s="373"/>
      <x:c r="K378" s="373"/>
      <x:c r="L378" s="373"/>
      <x:c r="M378" s="373"/>
      <x:c r="N378" s="373"/>
      <x:c r="O378" s="373"/>
      <x:c r="P378" s="373"/>
      <x:c r="Q378" s="373"/>
      <x:c r="R378" s="373"/>
      <x:c r="S378" s="373"/>
      <x:c r="T378" s="373"/>
      <x:c r="U378" s="373"/>
      <x:c r="V378" s="373"/>
      <x:c r="W378" s="373"/>
      <x:c r="X378" s="373"/>
      <x:c r="Y378" s="373"/>
      <x:c r="Z378" s="373"/>
    </x:row>
    <x:row r="379">
      <x:c r="A379" s="373"/>
      <x:c r="B379" s="373"/>
      <x:c r="C379" s="373"/>
      <x:c r="D379" s="373"/>
      <x:c r="E379" s="373"/>
      <x:c r="F379" s="373"/>
      <x:c r="G379" s="373"/>
      <x:c r="H379" s="373"/>
      <x:c r="I379" s="373"/>
      <x:c r="J379" s="373"/>
      <x:c r="K379" s="373"/>
      <x:c r="L379" s="373"/>
      <x:c r="M379" s="373"/>
      <x:c r="N379" s="373"/>
      <x:c r="O379" s="373"/>
      <x:c r="P379" s="373"/>
      <x:c r="Q379" s="373"/>
      <x:c r="R379" s="373"/>
      <x:c r="S379" s="373"/>
      <x:c r="T379" s="373"/>
      <x:c r="U379" s="373"/>
      <x:c r="V379" s="373"/>
      <x:c r="W379" s="373"/>
      <x:c r="X379" s="373"/>
      <x:c r="Y379" s="373"/>
      <x:c r="Z379" s="373"/>
    </x:row>
    <x:row r="380">
      <x:c r="A380" s="373"/>
      <x:c r="B380" s="373"/>
      <x:c r="C380" s="373"/>
      <x:c r="D380" s="373"/>
      <x:c r="E380" s="373"/>
      <x:c r="F380" s="373"/>
      <x:c r="G380" s="373"/>
      <x:c r="H380" s="373"/>
      <x:c r="I380" s="373"/>
      <x:c r="J380" s="373"/>
      <x:c r="K380" s="373"/>
      <x:c r="L380" s="373"/>
      <x:c r="M380" s="373"/>
      <x:c r="N380" s="373"/>
      <x:c r="O380" s="373"/>
      <x:c r="P380" s="373"/>
      <x:c r="Q380" s="373"/>
      <x:c r="R380" s="373"/>
      <x:c r="S380" s="373"/>
      <x:c r="T380" s="373"/>
      <x:c r="U380" s="373"/>
      <x:c r="V380" s="373"/>
      <x:c r="W380" s="373"/>
      <x:c r="X380" s="373"/>
      <x:c r="Y380" s="373"/>
      <x:c r="Z380" s="373"/>
    </x:row>
    <x:row r="381">
      <x:c r="A381" s="373"/>
      <x:c r="B381" s="373"/>
      <x:c r="C381" s="373"/>
      <x:c r="D381" s="373"/>
      <x:c r="E381" s="373"/>
      <x:c r="F381" s="373"/>
      <x:c r="G381" s="373"/>
      <x:c r="H381" s="373"/>
      <x:c r="I381" s="373"/>
      <x:c r="J381" s="373"/>
      <x:c r="K381" s="373"/>
      <x:c r="L381" s="373"/>
      <x:c r="M381" s="373"/>
      <x:c r="N381" s="373"/>
      <x:c r="O381" s="373"/>
      <x:c r="P381" s="373"/>
      <x:c r="Q381" s="373"/>
      <x:c r="R381" s="373"/>
      <x:c r="S381" s="373"/>
      <x:c r="T381" s="373"/>
      <x:c r="U381" s="373"/>
      <x:c r="V381" s="373"/>
      <x:c r="W381" s="373"/>
      <x:c r="X381" s="373"/>
      <x:c r="Y381" s="373"/>
      <x:c r="Z381" s="373"/>
    </x:row>
    <x:row r="382">
      <x:c r="A382" s="373"/>
      <x:c r="B382" s="373"/>
      <x:c r="C382" s="373"/>
      <x:c r="D382" s="373"/>
      <x:c r="E382" s="373"/>
      <x:c r="F382" s="373"/>
      <x:c r="G382" s="373"/>
      <x:c r="H382" s="373"/>
      <x:c r="I382" s="373"/>
      <x:c r="J382" s="373"/>
      <x:c r="K382" s="373"/>
      <x:c r="L382" s="373"/>
      <x:c r="M382" s="373"/>
      <x:c r="N382" s="373"/>
      <x:c r="O382" s="373"/>
      <x:c r="P382" s="373"/>
      <x:c r="Q382" s="373"/>
      <x:c r="R382" s="373"/>
      <x:c r="S382" s="373"/>
      <x:c r="T382" s="373"/>
      <x:c r="U382" s="373"/>
      <x:c r="V382" s="373"/>
      <x:c r="W382" s="373"/>
      <x:c r="X382" s="373"/>
      <x:c r="Y382" s="373"/>
      <x:c r="Z382" s="373"/>
    </x:row>
    <x:row r="383">
      <x:c r="A383" s="373"/>
      <x:c r="B383" s="373"/>
      <x:c r="C383" s="373"/>
      <x:c r="D383" s="373"/>
      <x:c r="E383" s="373"/>
      <x:c r="F383" s="373"/>
      <x:c r="G383" s="373"/>
      <x:c r="H383" s="373"/>
      <x:c r="I383" s="373"/>
      <x:c r="J383" s="373"/>
      <x:c r="K383" s="373"/>
      <x:c r="L383" s="373"/>
      <x:c r="M383" s="373"/>
      <x:c r="N383" s="373"/>
      <x:c r="O383" s="373"/>
      <x:c r="P383" s="373"/>
      <x:c r="Q383" s="373"/>
      <x:c r="R383" s="373"/>
      <x:c r="S383" s="373"/>
      <x:c r="T383" s="373"/>
      <x:c r="U383" s="373"/>
      <x:c r="V383" s="373"/>
      <x:c r="W383" s="373"/>
      <x:c r="X383" s="373"/>
      <x:c r="Y383" s="373"/>
      <x:c r="Z383" s="373"/>
    </x:row>
    <x:row r="384">
      <x:c r="A384" s="373"/>
      <x:c r="B384" s="373"/>
      <x:c r="C384" s="373"/>
      <x:c r="D384" s="373"/>
      <x:c r="E384" s="373"/>
      <x:c r="F384" s="373"/>
      <x:c r="G384" s="373"/>
      <x:c r="H384" s="373"/>
      <x:c r="I384" s="373"/>
      <x:c r="J384" s="373"/>
      <x:c r="K384" s="373"/>
      <x:c r="L384" s="373"/>
      <x:c r="M384" s="373"/>
      <x:c r="N384" s="373"/>
      <x:c r="O384" s="373"/>
      <x:c r="P384" s="373"/>
      <x:c r="Q384" s="373"/>
      <x:c r="R384" s="373"/>
      <x:c r="S384" s="373"/>
      <x:c r="T384" s="373"/>
      <x:c r="U384" s="373"/>
      <x:c r="V384" s="373"/>
      <x:c r="W384" s="373"/>
      <x:c r="X384" s="373"/>
      <x:c r="Y384" s="373"/>
      <x:c r="Z384" s="373"/>
    </x:row>
    <x:row r="385">
      <x:c r="A385" s="373"/>
      <x:c r="B385" s="373"/>
      <x:c r="C385" s="373"/>
      <x:c r="D385" s="373"/>
      <x:c r="E385" s="373"/>
      <x:c r="F385" s="373"/>
      <x:c r="G385" s="373"/>
      <x:c r="H385" s="373"/>
      <x:c r="I385" s="373"/>
      <x:c r="J385" s="373"/>
      <x:c r="K385" s="373"/>
      <x:c r="L385" s="373"/>
      <x:c r="M385" s="373"/>
      <x:c r="N385" s="373"/>
      <x:c r="O385" s="373"/>
      <x:c r="P385" s="373"/>
      <x:c r="Q385" s="373"/>
      <x:c r="R385" s="373"/>
      <x:c r="S385" s="373"/>
      <x:c r="T385" s="373"/>
      <x:c r="U385" s="373"/>
      <x:c r="V385" s="373"/>
      <x:c r="W385" s="373"/>
      <x:c r="X385" s="373"/>
      <x:c r="Y385" s="373"/>
      <x:c r="Z385" s="373"/>
    </x:row>
    <x:row r="386">
      <x:c r="A386" s="373"/>
      <x:c r="B386" s="373"/>
      <x:c r="C386" s="373"/>
      <x:c r="D386" s="373"/>
      <x:c r="E386" s="373"/>
      <x:c r="F386" s="373"/>
      <x:c r="G386" s="373"/>
      <x:c r="H386" s="373"/>
      <x:c r="I386" s="373"/>
      <x:c r="J386" s="373"/>
      <x:c r="K386" s="373"/>
      <x:c r="L386" s="373"/>
      <x:c r="M386" s="373"/>
      <x:c r="N386" s="373"/>
      <x:c r="O386" s="373"/>
      <x:c r="P386" s="373"/>
      <x:c r="Q386" s="373"/>
      <x:c r="R386" s="373"/>
      <x:c r="S386" s="373"/>
      <x:c r="T386" s="373"/>
      <x:c r="U386" s="373"/>
      <x:c r="V386" s="373"/>
      <x:c r="W386" s="373"/>
      <x:c r="X386" s="373"/>
      <x:c r="Y386" s="373"/>
      <x:c r="Z386" s="373"/>
    </x:row>
    <x:row r="387">
      <x:c r="A387" s="373"/>
      <x:c r="B387" s="373"/>
      <x:c r="C387" s="373"/>
      <x:c r="D387" s="373"/>
      <x:c r="E387" s="373"/>
      <x:c r="F387" s="373"/>
      <x:c r="G387" s="373"/>
      <x:c r="H387" s="373"/>
      <x:c r="I387" s="373"/>
      <x:c r="J387" s="373"/>
      <x:c r="K387" s="373"/>
      <x:c r="L387" s="373"/>
      <x:c r="M387" s="373"/>
      <x:c r="N387" s="373"/>
      <x:c r="O387" s="373"/>
      <x:c r="P387" s="373"/>
      <x:c r="Q387" s="373"/>
      <x:c r="R387" s="373"/>
      <x:c r="S387" s="373"/>
      <x:c r="T387" s="373"/>
      <x:c r="U387" s="373"/>
      <x:c r="V387" s="373"/>
      <x:c r="W387" s="373"/>
      <x:c r="X387" s="373"/>
      <x:c r="Y387" s="373"/>
      <x:c r="Z387" s="373"/>
    </x:row>
    <x:row r="388">
      <x:c r="A388" s="373"/>
      <x:c r="B388" s="373"/>
      <x:c r="C388" s="373"/>
      <x:c r="D388" s="373"/>
      <x:c r="E388" s="373"/>
      <x:c r="F388" s="373"/>
      <x:c r="G388" s="373"/>
      <x:c r="H388" s="373"/>
      <x:c r="I388" s="373"/>
      <x:c r="J388" s="373"/>
      <x:c r="K388" s="373"/>
      <x:c r="L388" s="373"/>
      <x:c r="M388" s="373"/>
      <x:c r="N388" s="373"/>
      <x:c r="O388" s="373"/>
      <x:c r="P388" s="373"/>
      <x:c r="Q388" s="373"/>
      <x:c r="R388" s="373"/>
      <x:c r="S388" s="373"/>
      <x:c r="T388" s="373"/>
      <x:c r="U388" s="373"/>
      <x:c r="V388" s="373"/>
      <x:c r="W388" s="373"/>
      <x:c r="X388" s="373"/>
      <x:c r="Y388" s="373"/>
      <x:c r="Z388" s="373"/>
    </x:row>
    <x:row r="389">
      <x:c r="A389" s="373"/>
      <x:c r="B389" s="373"/>
      <x:c r="C389" s="373"/>
      <x:c r="D389" s="373"/>
      <x:c r="E389" s="373"/>
      <x:c r="F389" s="373"/>
      <x:c r="G389" s="373"/>
      <x:c r="H389" s="373"/>
      <x:c r="I389" s="373"/>
      <x:c r="J389" s="373"/>
      <x:c r="K389" s="373"/>
      <x:c r="L389" s="373"/>
      <x:c r="M389" s="373"/>
      <x:c r="N389" s="373"/>
      <x:c r="O389" s="373"/>
      <x:c r="P389" s="373"/>
      <x:c r="Q389" s="373"/>
      <x:c r="R389" s="373"/>
      <x:c r="S389" s="373"/>
      <x:c r="T389" s="373"/>
      <x:c r="U389" s="373"/>
      <x:c r="V389" s="373"/>
      <x:c r="W389" s="373"/>
      <x:c r="X389" s="373"/>
      <x:c r="Y389" s="373"/>
      <x:c r="Z389" s="373"/>
    </x:row>
    <x:row r="390">
      <x:c r="A390" s="373"/>
      <x:c r="B390" s="373"/>
      <x:c r="C390" s="373"/>
      <x:c r="D390" s="373"/>
      <x:c r="E390" s="373"/>
      <x:c r="F390" s="373"/>
      <x:c r="G390" s="373"/>
      <x:c r="H390" s="373"/>
      <x:c r="I390" s="373"/>
      <x:c r="J390" s="373"/>
      <x:c r="K390" s="373"/>
      <x:c r="L390" s="373"/>
      <x:c r="M390" s="373"/>
      <x:c r="N390" s="373"/>
      <x:c r="O390" s="373"/>
      <x:c r="P390" s="373"/>
      <x:c r="Q390" s="373"/>
      <x:c r="R390" s="373"/>
      <x:c r="S390" s="373"/>
      <x:c r="T390" s="373"/>
      <x:c r="U390" s="373"/>
      <x:c r="V390" s="373"/>
      <x:c r="W390" s="373"/>
      <x:c r="X390" s="373"/>
      <x:c r="Y390" s="373"/>
      <x:c r="Z390" s="373"/>
    </x:row>
    <x:row r="391">
      <x:c r="A391" s="373"/>
      <x:c r="B391" s="373"/>
      <x:c r="C391" s="373"/>
      <x:c r="D391" s="373"/>
      <x:c r="E391" s="373"/>
      <x:c r="F391" s="373"/>
      <x:c r="G391" s="373"/>
      <x:c r="H391" s="373"/>
      <x:c r="I391" s="373"/>
      <x:c r="J391" s="373"/>
      <x:c r="K391" s="373"/>
      <x:c r="L391" s="373"/>
      <x:c r="M391" s="373"/>
      <x:c r="N391" s="373"/>
      <x:c r="O391" s="373"/>
      <x:c r="P391" s="373"/>
      <x:c r="Q391" s="373"/>
      <x:c r="R391" s="373"/>
      <x:c r="S391" s="373"/>
      <x:c r="T391" s="373"/>
      <x:c r="U391" s="373"/>
      <x:c r="V391" s="373"/>
      <x:c r="W391" s="373"/>
      <x:c r="X391" s="373"/>
      <x:c r="Y391" s="373"/>
      <x:c r="Z391" s="373"/>
    </x:row>
    <x:row r="392">
      <x:c r="A392" s="373"/>
      <x:c r="B392" s="373"/>
      <x:c r="C392" s="373"/>
      <x:c r="D392" s="373"/>
      <x:c r="E392" s="373"/>
      <x:c r="F392" s="373"/>
      <x:c r="G392" s="373"/>
      <x:c r="H392" s="373"/>
      <x:c r="I392" s="373"/>
      <x:c r="J392" s="373"/>
      <x:c r="K392" s="373"/>
      <x:c r="L392" s="373"/>
      <x:c r="M392" s="373"/>
      <x:c r="N392" s="373"/>
      <x:c r="O392" s="373"/>
      <x:c r="P392" s="373"/>
      <x:c r="Q392" s="373"/>
      <x:c r="R392" s="373"/>
      <x:c r="S392" s="373"/>
      <x:c r="T392" s="373"/>
      <x:c r="U392" s="373"/>
      <x:c r="V392" s="373"/>
      <x:c r="W392" s="373"/>
      <x:c r="X392" s="373"/>
      <x:c r="Y392" s="373"/>
      <x:c r="Z392" s="373"/>
    </x:row>
    <x:row r="393">
      <x:c r="A393" s="373"/>
      <x:c r="B393" s="373"/>
      <x:c r="C393" s="373"/>
      <x:c r="D393" s="373"/>
      <x:c r="E393" s="373"/>
      <x:c r="F393" s="373"/>
      <x:c r="G393" s="373"/>
      <x:c r="H393" s="373"/>
      <x:c r="I393" s="373"/>
      <x:c r="J393" s="373"/>
      <x:c r="K393" s="373"/>
      <x:c r="L393" s="373"/>
      <x:c r="M393" s="373"/>
      <x:c r="N393" s="373"/>
      <x:c r="O393" s="373"/>
      <x:c r="P393" s="373"/>
      <x:c r="Q393" s="373"/>
      <x:c r="R393" s="373"/>
      <x:c r="S393" s="373"/>
      <x:c r="T393" s="373"/>
      <x:c r="U393" s="373"/>
      <x:c r="V393" s="373"/>
      <x:c r="W393" s="373"/>
      <x:c r="X393" s="373"/>
      <x:c r="Y393" s="373"/>
      <x:c r="Z393" s="373"/>
    </x:row>
    <x:row r="394">
      <x:c r="A394" s="373"/>
      <x:c r="B394" s="373"/>
      <x:c r="C394" s="373"/>
      <x:c r="D394" s="373"/>
      <x:c r="E394" s="373"/>
      <x:c r="F394" s="373"/>
      <x:c r="G394" s="373"/>
      <x:c r="H394" s="373"/>
      <x:c r="I394" s="373"/>
      <x:c r="J394" s="373"/>
      <x:c r="K394" s="373"/>
      <x:c r="L394" s="373"/>
      <x:c r="M394" s="373"/>
      <x:c r="N394" s="373"/>
      <x:c r="O394" s="373"/>
      <x:c r="P394" s="373"/>
      <x:c r="Q394" s="373"/>
      <x:c r="R394" s="373"/>
      <x:c r="S394" s="373"/>
      <x:c r="T394" s="373"/>
      <x:c r="U394" s="373"/>
      <x:c r="V394" s="373"/>
      <x:c r="W394" s="373"/>
      <x:c r="X394" s="373"/>
      <x:c r="Y394" s="373"/>
      <x:c r="Z394" s="373"/>
    </x:row>
    <x:row r="395">
      <x:c r="A395" s="373"/>
      <x:c r="B395" s="373"/>
      <x:c r="C395" s="373"/>
      <x:c r="D395" s="373"/>
      <x:c r="E395" s="373"/>
      <x:c r="F395" s="373"/>
      <x:c r="G395" s="373"/>
      <x:c r="H395" s="373"/>
      <x:c r="I395" s="373"/>
      <x:c r="J395" s="373"/>
      <x:c r="K395" s="373"/>
      <x:c r="L395" s="373"/>
      <x:c r="M395" s="373"/>
      <x:c r="N395" s="373"/>
      <x:c r="O395" s="373"/>
      <x:c r="P395" s="373"/>
      <x:c r="Q395" s="373"/>
      <x:c r="R395" s="373"/>
      <x:c r="S395" s="373"/>
      <x:c r="T395" s="373"/>
      <x:c r="U395" s="373"/>
      <x:c r="V395" s="373"/>
      <x:c r="W395" s="373"/>
      <x:c r="X395" s="373"/>
      <x:c r="Y395" s="373"/>
      <x:c r="Z395" s="373"/>
    </x:row>
    <x:row r="396">
      <x:c r="A396" s="373"/>
      <x:c r="B396" s="373"/>
      <x:c r="C396" s="373"/>
      <x:c r="D396" s="373"/>
      <x:c r="E396" s="373"/>
      <x:c r="F396" s="373"/>
      <x:c r="G396" s="373"/>
      <x:c r="H396" s="373"/>
      <x:c r="I396" s="373"/>
      <x:c r="J396" s="373"/>
      <x:c r="K396" s="373"/>
      <x:c r="L396" s="373"/>
      <x:c r="M396" s="373"/>
      <x:c r="N396" s="373"/>
      <x:c r="O396" s="373"/>
      <x:c r="P396" s="373"/>
      <x:c r="Q396" s="373"/>
      <x:c r="R396" s="373"/>
      <x:c r="S396" s="373"/>
      <x:c r="T396" s="373"/>
      <x:c r="U396" s="373"/>
      <x:c r="V396" s="373"/>
      <x:c r="W396" s="373"/>
      <x:c r="X396" s="373"/>
      <x:c r="Y396" s="373"/>
      <x:c r="Z396" s="373"/>
    </x:row>
    <x:row r="397">
      <x:c r="A397" s="373"/>
      <x:c r="B397" s="373"/>
      <x:c r="C397" s="373"/>
      <x:c r="D397" s="373"/>
      <x:c r="E397" s="373"/>
      <x:c r="F397" s="373"/>
      <x:c r="G397" s="373"/>
      <x:c r="H397" s="373"/>
      <x:c r="I397" s="373"/>
      <x:c r="J397" s="373"/>
      <x:c r="K397" s="373"/>
      <x:c r="L397" s="373"/>
      <x:c r="M397" s="373"/>
      <x:c r="N397" s="373"/>
      <x:c r="O397" s="373"/>
      <x:c r="P397" s="373"/>
      <x:c r="Q397" s="373"/>
      <x:c r="R397" s="373"/>
      <x:c r="S397" s="373"/>
      <x:c r="T397" s="373"/>
      <x:c r="U397" s="373"/>
      <x:c r="V397" s="373"/>
      <x:c r="W397" s="373"/>
      <x:c r="X397" s="373"/>
      <x:c r="Y397" s="373"/>
      <x:c r="Z397" s="373"/>
    </x:row>
    <x:row r="398">
      <x:c r="A398" s="373"/>
      <x:c r="B398" s="373"/>
      <x:c r="C398" s="373"/>
      <x:c r="D398" s="373"/>
      <x:c r="E398" s="373"/>
      <x:c r="F398" s="373"/>
      <x:c r="G398" s="373"/>
      <x:c r="H398" s="373"/>
      <x:c r="I398" s="373"/>
      <x:c r="J398" s="373"/>
      <x:c r="K398" s="373"/>
      <x:c r="L398" s="373"/>
      <x:c r="M398" s="373"/>
      <x:c r="N398" s="373"/>
      <x:c r="O398" s="373"/>
      <x:c r="P398" s="373"/>
      <x:c r="Q398" s="373"/>
      <x:c r="R398" s="373"/>
      <x:c r="S398" s="373"/>
      <x:c r="T398" s="373"/>
      <x:c r="U398" s="373"/>
      <x:c r="V398" s="373"/>
      <x:c r="W398" s="373"/>
      <x:c r="X398" s="373"/>
      <x:c r="Y398" s="373"/>
      <x:c r="Z398" s="373"/>
    </x:row>
    <x:row r="399">
      <x:c r="A399" s="373"/>
      <x:c r="B399" s="373"/>
      <x:c r="C399" s="373"/>
      <x:c r="D399" s="373"/>
      <x:c r="E399" s="373"/>
      <x:c r="F399" s="373"/>
      <x:c r="G399" s="373"/>
      <x:c r="H399" s="373"/>
      <x:c r="I399" s="373"/>
      <x:c r="J399" s="373"/>
      <x:c r="K399" s="373"/>
      <x:c r="L399" s="373"/>
      <x:c r="M399" s="373"/>
      <x:c r="N399" s="373"/>
      <x:c r="O399" s="373"/>
      <x:c r="P399" s="373"/>
      <x:c r="Q399" s="373"/>
      <x:c r="R399" s="373"/>
      <x:c r="S399" s="373"/>
      <x:c r="T399" s="373"/>
      <x:c r="U399" s="373"/>
      <x:c r="V399" s="373"/>
      <x:c r="W399" s="373"/>
      <x:c r="X399" s="373"/>
      <x:c r="Y399" s="373"/>
      <x:c r="Z399" s="373"/>
    </x:row>
    <x:row r="400">
      <x:c r="A400" s="373"/>
      <x:c r="B400" s="373"/>
      <x:c r="C400" s="373"/>
      <x:c r="D400" s="373"/>
      <x:c r="E400" s="373"/>
      <x:c r="F400" s="373"/>
      <x:c r="G400" s="373"/>
      <x:c r="H400" s="373"/>
      <x:c r="I400" s="373"/>
      <x:c r="J400" s="373"/>
      <x:c r="K400" s="373"/>
      <x:c r="L400" s="373"/>
      <x:c r="M400" s="373"/>
      <x:c r="N400" s="373"/>
      <x:c r="O400" s="373"/>
      <x:c r="P400" s="373"/>
      <x:c r="Q400" s="373"/>
      <x:c r="R400" s="373"/>
      <x:c r="S400" s="373"/>
      <x:c r="T400" s="373"/>
      <x:c r="U400" s="373"/>
      <x:c r="V400" s="373"/>
      <x:c r="W400" s="373"/>
      <x:c r="X400" s="373"/>
      <x:c r="Y400" s="373"/>
      <x:c r="Z400" s="373"/>
    </x:row>
    <x:row r="401">
      <x:c r="A401" s="373"/>
      <x:c r="B401" s="373"/>
      <x:c r="C401" s="373"/>
      <x:c r="D401" s="373"/>
      <x:c r="E401" s="373"/>
      <x:c r="F401" s="373"/>
      <x:c r="G401" s="373"/>
      <x:c r="H401" s="373"/>
      <x:c r="I401" s="373"/>
      <x:c r="J401" s="373"/>
      <x:c r="K401" s="373"/>
      <x:c r="L401" s="373"/>
      <x:c r="M401" s="373"/>
      <x:c r="N401" s="373"/>
      <x:c r="O401" s="373"/>
      <x:c r="P401" s="373"/>
      <x:c r="Q401" s="373"/>
      <x:c r="R401" s="373"/>
      <x:c r="S401" s="373"/>
      <x:c r="T401" s="373"/>
      <x:c r="U401" s="373"/>
      <x:c r="V401" s="373"/>
      <x:c r="W401" s="373"/>
      <x:c r="X401" s="373"/>
      <x:c r="Y401" s="373"/>
      <x:c r="Z401" s="373"/>
    </x:row>
    <x:row r="402">
      <x:c r="A402" s="373"/>
      <x:c r="B402" s="373"/>
      <x:c r="C402" s="373"/>
      <x:c r="D402" s="373"/>
      <x:c r="E402" s="373"/>
      <x:c r="F402" s="373"/>
      <x:c r="G402" s="373"/>
      <x:c r="H402" s="373"/>
      <x:c r="I402" s="373"/>
      <x:c r="J402" s="373"/>
      <x:c r="K402" s="373"/>
      <x:c r="L402" s="373"/>
      <x:c r="M402" s="373"/>
      <x:c r="N402" s="373"/>
      <x:c r="O402" s="373"/>
      <x:c r="P402" s="373"/>
      <x:c r="Q402" s="373"/>
      <x:c r="R402" s="373"/>
      <x:c r="S402" s="373"/>
      <x:c r="T402" s="373"/>
      <x:c r="U402" s="373"/>
      <x:c r="V402" s="373"/>
      <x:c r="W402" s="373"/>
      <x:c r="X402" s="373"/>
      <x:c r="Y402" s="373"/>
      <x:c r="Z402" s="373"/>
    </x:row>
    <x:row r="403">
      <x:c r="A403" s="373"/>
      <x:c r="B403" s="373"/>
      <x:c r="C403" s="373"/>
      <x:c r="D403" s="373"/>
      <x:c r="E403" s="373"/>
      <x:c r="F403" s="373"/>
      <x:c r="G403" s="373"/>
      <x:c r="H403" s="373"/>
      <x:c r="I403" s="373"/>
      <x:c r="J403" s="373"/>
      <x:c r="K403" s="373"/>
      <x:c r="L403" s="373"/>
      <x:c r="M403" s="373"/>
      <x:c r="N403" s="373"/>
      <x:c r="O403" s="373"/>
      <x:c r="P403" s="373"/>
      <x:c r="Q403" s="373"/>
      <x:c r="R403" s="373"/>
      <x:c r="S403" s="373"/>
      <x:c r="T403" s="373"/>
      <x:c r="U403" s="373"/>
      <x:c r="V403" s="373"/>
      <x:c r="W403" s="373"/>
      <x:c r="X403" s="373"/>
      <x:c r="Y403" s="373"/>
      <x:c r="Z403" s="373"/>
    </x:row>
    <x:row r="404">
      <x:c r="A404" s="373"/>
      <x:c r="B404" s="373"/>
      <x:c r="C404" s="373"/>
      <x:c r="D404" s="373"/>
      <x:c r="E404" s="373"/>
      <x:c r="F404" s="373"/>
      <x:c r="G404" s="373"/>
      <x:c r="H404" s="373"/>
      <x:c r="I404" s="373"/>
      <x:c r="J404" s="373"/>
      <x:c r="K404" s="373"/>
      <x:c r="L404" s="373"/>
      <x:c r="M404" s="373"/>
      <x:c r="N404" s="373"/>
      <x:c r="O404" s="373"/>
      <x:c r="P404" s="373"/>
      <x:c r="Q404" s="373"/>
      <x:c r="R404" s="373"/>
      <x:c r="S404" s="373"/>
      <x:c r="T404" s="373"/>
      <x:c r="U404" s="373"/>
      <x:c r="V404" s="373"/>
      <x:c r="W404" s="373"/>
      <x:c r="X404" s="373"/>
      <x:c r="Y404" s="373"/>
      <x:c r="Z404" s="373"/>
    </x:row>
    <x:row r="405">
      <x:c r="A405" s="373"/>
      <x:c r="B405" s="373"/>
      <x:c r="C405" s="373"/>
      <x:c r="D405" s="373"/>
      <x:c r="E405" s="373"/>
      <x:c r="F405" s="373"/>
      <x:c r="G405" s="373"/>
      <x:c r="H405" s="373"/>
      <x:c r="I405" s="373"/>
      <x:c r="J405" s="373"/>
      <x:c r="K405" s="373"/>
      <x:c r="L405" s="373"/>
      <x:c r="M405" s="373"/>
      <x:c r="N405" s="373"/>
      <x:c r="O405" s="373"/>
      <x:c r="P405" s="373"/>
      <x:c r="Q405" s="373"/>
      <x:c r="R405" s="373"/>
      <x:c r="S405" s="373"/>
      <x:c r="T405" s="373"/>
      <x:c r="U405" s="373"/>
      <x:c r="V405" s="373"/>
      <x:c r="W405" s="373"/>
      <x:c r="X405" s="373"/>
      <x:c r="Y405" s="373"/>
      <x:c r="Z405" s="373"/>
    </x:row>
    <x:row r="406">
      <x:c r="A406" s="373"/>
      <x:c r="B406" s="373"/>
      <x:c r="C406" s="373"/>
      <x:c r="D406" s="373"/>
      <x:c r="E406" s="373"/>
      <x:c r="F406" s="373"/>
      <x:c r="G406" s="373"/>
      <x:c r="H406" s="373"/>
      <x:c r="I406" s="373"/>
      <x:c r="J406" s="373"/>
      <x:c r="K406" s="373"/>
      <x:c r="L406" s="373"/>
      <x:c r="M406" s="373"/>
      <x:c r="N406" s="373"/>
      <x:c r="O406" s="373"/>
      <x:c r="P406" s="373"/>
      <x:c r="Q406" s="373"/>
      <x:c r="R406" s="373"/>
      <x:c r="S406" s="373"/>
      <x:c r="T406" s="373"/>
      <x:c r="U406" s="373"/>
      <x:c r="V406" s="373"/>
      <x:c r="W406" s="373"/>
      <x:c r="X406" s="373"/>
      <x:c r="Y406" s="373"/>
      <x:c r="Z406" s="373"/>
    </x:row>
    <x:row r="407">
      <x:c r="A407" s="373"/>
      <x:c r="B407" s="373"/>
      <x:c r="C407" s="373"/>
      <x:c r="D407" s="373"/>
      <x:c r="E407" s="373"/>
      <x:c r="F407" s="373"/>
      <x:c r="G407" s="373"/>
      <x:c r="H407" s="373"/>
      <x:c r="I407" s="373"/>
      <x:c r="J407" s="373"/>
      <x:c r="K407" s="373"/>
      <x:c r="L407" s="373"/>
      <x:c r="M407" s="373"/>
      <x:c r="N407" s="373"/>
      <x:c r="O407" s="373"/>
      <x:c r="P407" s="373"/>
      <x:c r="Q407" s="373"/>
      <x:c r="R407" s="373"/>
      <x:c r="S407" s="373"/>
      <x:c r="T407" s="373"/>
      <x:c r="U407" s="373"/>
      <x:c r="V407" s="373"/>
      <x:c r="W407" s="373"/>
      <x:c r="X407" s="373"/>
      <x:c r="Y407" s="373"/>
      <x:c r="Z407" s="373"/>
    </x:row>
    <x:row r="408">
      <x:c r="A408" s="373"/>
      <x:c r="B408" s="373"/>
      <x:c r="C408" s="373"/>
      <x:c r="D408" s="373"/>
      <x:c r="E408" s="373"/>
      <x:c r="F408" s="373"/>
      <x:c r="G408" s="373"/>
      <x:c r="H408" s="373"/>
      <x:c r="I408" s="373"/>
      <x:c r="J408" s="373"/>
      <x:c r="K408" s="373"/>
      <x:c r="L408" s="373"/>
      <x:c r="M408" s="373"/>
      <x:c r="N408" s="373"/>
      <x:c r="O408" s="373"/>
      <x:c r="P408" s="373"/>
      <x:c r="Q408" s="373"/>
      <x:c r="R408" s="373"/>
      <x:c r="S408" s="373"/>
      <x:c r="T408" s="373"/>
      <x:c r="U408" s="373"/>
      <x:c r="V408" s="373"/>
      <x:c r="W408" s="373"/>
      <x:c r="X408" s="373"/>
      <x:c r="Y408" s="373"/>
      <x:c r="Z408" s="373"/>
    </x:row>
    <x:row r="409">
      <x:c r="A409" s="373"/>
      <x:c r="B409" s="373"/>
      <x:c r="C409" s="373"/>
      <x:c r="D409" s="373"/>
      <x:c r="E409" s="373"/>
      <x:c r="F409" s="373"/>
      <x:c r="G409" s="373"/>
      <x:c r="H409" s="373"/>
      <x:c r="I409" s="373"/>
      <x:c r="J409" s="373"/>
      <x:c r="K409" s="373"/>
      <x:c r="L409" s="373"/>
      <x:c r="M409" s="373"/>
      <x:c r="N409" s="373"/>
      <x:c r="O409" s="373"/>
      <x:c r="P409" s="373"/>
      <x:c r="Q409" s="373"/>
      <x:c r="R409" s="373"/>
      <x:c r="S409" s="373"/>
      <x:c r="T409" s="373"/>
      <x:c r="U409" s="373"/>
      <x:c r="V409" s="373"/>
      <x:c r="W409" s="373"/>
      <x:c r="X409" s="373"/>
      <x:c r="Y409" s="373"/>
      <x:c r="Z409" s="373"/>
    </x:row>
    <x:row r="410">
      <x:c r="A410" s="373"/>
      <x:c r="B410" s="373"/>
      <x:c r="C410" s="373"/>
      <x:c r="D410" s="373"/>
      <x:c r="E410" s="373"/>
      <x:c r="F410" s="373"/>
      <x:c r="G410" s="373"/>
      <x:c r="H410" s="373"/>
      <x:c r="I410" s="373"/>
      <x:c r="J410" s="373"/>
      <x:c r="K410" s="373"/>
      <x:c r="L410" s="373"/>
      <x:c r="M410" s="373"/>
      <x:c r="N410" s="373"/>
      <x:c r="O410" s="373"/>
      <x:c r="P410" s="373"/>
      <x:c r="Q410" s="373"/>
      <x:c r="R410" s="373"/>
      <x:c r="S410" s="373"/>
      <x:c r="T410" s="373"/>
      <x:c r="U410" s="373"/>
      <x:c r="V410" s="373"/>
      <x:c r="W410" s="373"/>
      <x:c r="X410" s="373"/>
      <x:c r="Y410" s="373"/>
      <x:c r="Z410" s="373"/>
    </x:row>
    <x:row r="411">
      <x:c r="A411" s="373"/>
      <x:c r="B411" s="373"/>
      <x:c r="C411" s="373"/>
      <x:c r="D411" s="373"/>
      <x:c r="E411" s="373"/>
      <x:c r="F411" s="373"/>
      <x:c r="G411" s="373"/>
      <x:c r="H411" s="373"/>
      <x:c r="I411" s="373"/>
      <x:c r="J411" s="373"/>
      <x:c r="K411" s="373"/>
      <x:c r="L411" s="373"/>
      <x:c r="M411" s="373"/>
      <x:c r="N411" s="373"/>
      <x:c r="O411" s="373"/>
      <x:c r="P411" s="373"/>
      <x:c r="Q411" s="373"/>
      <x:c r="R411" s="373"/>
      <x:c r="S411" s="373"/>
      <x:c r="T411" s="373"/>
      <x:c r="U411" s="373"/>
      <x:c r="V411" s="373"/>
      <x:c r="W411" s="373"/>
      <x:c r="X411" s="373"/>
      <x:c r="Y411" s="373"/>
      <x:c r="Z411" s="373"/>
    </x:row>
    <x:row r="412">
      <x:c r="A412" s="373"/>
      <x:c r="B412" s="373"/>
      <x:c r="C412" s="373"/>
      <x:c r="D412" s="373"/>
      <x:c r="E412" s="373"/>
      <x:c r="F412" s="373"/>
      <x:c r="G412" s="373"/>
      <x:c r="H412" s="373"/>
      <x:c r="I412" s="373"/>
      <x:c r="J412" s="373"/>
      <x:c r="K412" s="373"/>
      <x:c r="L412" s="373"/>
      <x:c r="M412" s="373"/>
      <x:c r="N412" s="373"/>
      <x:c r="O412" s="373"/>
      <x:c r="P412" s="373"/>
      <x:c r="Q412" s="373"/>
      <x:c r="R412" s="373"/>
      <x:c r="S412" s="373"/>
      <x:c r="T412" s="373"/>
      <x:c r="U412" s="373"/>
      <x:c r="V412" s="373"/>
      <x:c r="W412" s="373"/>
      <x:c r="X412" s="373"/>
      <x:c r="Y412" s="373"/>
      <x:c r="Z412" s="373"/>
    </x:row>
    <x:row r="413">
      <x:c r="A413" s="373"/>
      <x:c r="B413" s="373"/>
      <x:c r="C413" s="373"/>
      <x:c r="D413" s="373"/>
      <x:c r="E413" s="373"/>
      <x:c r="F413" s="373"/>
      <x:c r="G413" s="373"/>
      <x:c r="H413" s="373"/>
      <x:c r="I413" s="373"/>
      <x:c r="J413" s="373"/>
      <x:c r="K413" s="373"/>
      <x:c r="L413" s="373"/>
      <x:c r="M413" s="373"/>
      <x:c r="N413" s="373"/>
      <x:c r="O413" s="373"/>
      <x:c r="P413" s="373"/>
      <x:c r="Q413" s="373"/>
      <x:c r="R413" s="373"/>
      <x:c r="S413" s="373"/>
      <x:c r="T413" s="373"/>
      <x:c r="U413" s="373"/>
      <x:c r="V413" s="373"/>
      <x:c r="W413" s="373"/>
      <x:c r="X413" s="373"/>
      <x:c r="Y413" s="373"/>
      <x:c r="Z413" s="373"/>
    </x:row>
    <x:row r="414">
      <x:c r="A414" s="373"/>
      <x:c r="B414" s="373"/>
      <x:c r="C414" s="373"/>
      <x:c r="D414" s="373"/>
      <x:c r="E414" s="373"/>
      <x:c r="F414" s="373"/>
      <x:c r="G414" s="373"/>
      <x:c r="H414" s="373"/>
      <x:c r="I414" s="373"/>
      <x:c r="J414" s="373"/>
      <x:c r="K414" s="373"/>
      <x:c r="L414" s="373"/>
      <x:c r="M414" s="373"/>
      <x:c r="N414" s="373"/>
      <x:c r="O414" s="373"/>
      <x:c r="P414" s="373"/>
      <x:c r="Q414" s="373"/>
      <x:c r="R414" s="373"/>
      <x:c r="S414" s="373"/>
      <x:c r="T414" s="373"/>
      <x:c r="U414" s="373"/>
      <x:c r="V414" s="373"/>
      <x:c r="W414" s="373"/>
      <x:c r="X414" s="373"/>
      <x:c r="Y414" s="373"/>
      <x:c r="Z414" s="373"/>
    </x:row>
    <x:row r="415">
      <x:c r="A415" s="373"/>
      <x:c r="B415" s="373"/>
      <x:c r="C415" s="373"/>
      <x:c r="D415" s="373"/>
      <x:c r="E415" s="373"/>
      <x:c r="F415" s="373"/>
      <x:c r="G415" s="373"/>
      <x:c r="H415" s="373"/>
      <x:c r="I415" s="373"/>
      <x:c r="J415" s="373"/>
      <x:c r="K415" s="373"/>
      <x:c r="L415" s="373"/>
      <x:c r="M415" s="373"/>
      <x:c r="N415" s="373"/>
      <x:c r="O415" s="373"/>
      <x:c r="P415" s="373"/>
      <x:c r="Q415" s="373"/>
      <x:c r="R415" s="373"/>
      <x:c r="S415" s="373"/>
      <x:c r="T415" s="373"/>
      <x:c r="U415" s="373"/>
      <x:c r="V415" s="373"/>
      <x:c r="W415" s="373"/>
      <x:c r="X415" s="373"/>
      <x:c r="Y415" s="373"/>
      <x:c r="Z415" s="373"/>
    </x:row>
    <x:row r="416">
      <x:c r="A416" s="373"/>
      <x:c r="B416" s="373"/>
      <x:c r="C416" s="373"/>
      <x:c r="D416" s="373"/>
      <x:c r="E416" s="373"/>
      <x:c r="F416" s="373"/>
      <x:c r="G416" s="373"/>
      <x:c r="H416" s="373"/>
      <x:c r="I416" s="373"/>
      <x:c r="J416" s="373"/>
      <x:c r="K416" s="373"/>
      <x:c r="L416" s="373"/>
      <x:c r="M416" s="373"/>
      <x:c r="N416" s="373"/>
      <x:c r="O416" s="373"/>
      <x:c r="P416" s="373"/>
      <x:c r="Q416" s="373"/>
      <x:c r="R416" s="373"/>
      <x:c r="S416" s="373"/>
      <x:c r="T416" s="373"/>
      <x:c r="U416" s="373"/>
      <x:c r="V416" s="373"/>
      <x:c r="W416" s="373"/>
      <x:c r="X416" s="373"/>
      <x:c r="Y416" s="373"/>
      <x:c r="Z416" s="373"/>
    </x:row>
    <x:row r="417">
      <x:c r="A417" s="373"/>
      <x:c r="B417" s="373"/>
      <x:c r="C417" s="373"/>
      <x:c r="D417" s="373"/>
      <x:c r="E417" s="373"/>
      <x:c r="F417" s="373"/>
      <x:c r="G417" s="373"/>
      <x:c r="H417" s="373"/>
      <x:c r="I417" s="373"/>
      <x:c r="J417" s="373"/>
      <x:c r="K417" s="373"/>
      <x:c r="L417" s="373"/>
      <x:c r="M417" s="373"/>
      <x:c r="N417" s="373"/>
      <x:c r="O417" s="373"/>
      <x:c r="P417" s="373"/>
      <x:c r="Q417" s="373"/>
      <x:c r="R417" s="373"/>
      <x:c r="S417" s="373"/>
      <x:c r="T417" s="373"/>
      <x:c r="U417" s="373"/>
      <x:c r="V417" s="373"/>
      <x:c r="W417" s="373"/>
      <x:c r="X417" s="373"/>
      <x:c r="Y417" s="373"/>
      <x:c r="Z417" s="373"/>
    </x:row>
    <x:row r="418">
      <x:c r="A418" s="373"/>
      <x:c r="B418" s="373"/>
      <x:c r="C418" s="373"/>
      <x:c r="D418" s="373"/>
      <x:c r="E418" s="373"/>
      <x:c r="F418" s="373"/>
      <x:c r="G418" s="373"/>
      <x:c r="H418" s="373"/>
      <x:c r="I418" s="373"/>
      <x:c r="J418" s="373"/>
      <x:c r="K418" s="373"/>
      <x:c r="L418" s="373"/>
      <x:c r="M418" s="373"/>
      <x:c r="N418" s="373"/>
      <x:c r="O418" s="373"/>
      <x:c r="P418" s="373"/>
      <x:c r="Q418" s="373"/>
      <x:c r="R418" s="373"/>
      <x:c r="S418" s="373"/>
      <x:c r="T418" s="373"/>
      <x:c r="U418" s="373"/>
      <x:c r="V418" s="373"/>
      <x:c r="W418" s="373"/>
      <x:c r="X418" s="373"/>
      <x:c r="Y418" s="373"/>
      <x:c r="Z418" s="373"/>
    </x:row>
    <x:row r="419">
      <x:c r="A419" s="373"/>
      <x:c r="B419" s="373"/>
      <x:c r="C419" s="373"/>
      <x:c r="D419" s="373"/>
      <x:c r="E419" s="373"/>
      <x:c r="F419" s="373"/>
      <x:c r="G419" s="373"/>
      <x:c r="H419" s="373"/>
      <x:c r="I419" s="373"/>
      <x:c r="J419" s="373"/>
      <x:c r="K419" s="373"/>
      <x:c r="L419" s="373"/>
      <x:c r="M419" s="373"/>
      <x:c r="N419" s="373"/>
      <x:c r="O419" s="373"/>
      <x:c r="P419" s="373"/>
      <x:c r="Q419" s="373"/>
      <x:c r="R419" s="373"/>
      <x:c r="S419" s="373"/>
      <x:c r="T419" s="373"/>
      <x:c r="U419" s="373"/>
      <x:c r="V419" s="373"/>
      <x:c r="W419" s="373"/>
      <x:c r="X419" s="373"/>
      <x:c r="Y419" s="373"/>
      <x:c r="Z419" s="373"/>
    </x:row>
    <x:row r="420">
      <x:c r="A420" s="373"/>
      <x:c r="B420" s="373"/>
      <x:c r="C420" s="373"/>
      <x:c r="D420" s="373"/>
      <x:c r="E420" s="373"/>
      <x:c r="F420" s="373"/>
      <x:c r="G420" s="373"/>
      <x:c r="H420" s="373"/>
      <x:c r="I420" s="373"/>
      <x:c r="J420" s="373"/>
      <x:c r="K420" s="373"/>
      <x:c r="L420" s="373"/>
      <x:c r="M420" s="373"/>
      <x:c r="N420" s="373"/>
      <x:c r="O420" s="373"/>
      <x:c r="P420" s="373"/>
      <x:c r="Q420" s="373"/>
      <x:c r="R420" s="373"/>
      <x:c r="S420" s="373"/>
      <x:c r="T420" s="373"/>
      <x:c r="U420" s="373"/>
      <x:c r="V420" s="373"/>
      <x:c r="W420" s="373"/>
      <x:c r="X420" s="373"/>
      <x:c r="Y420" s="373"/>
      <x:c r="Z420" s="373"/>
    </x:row>
    <x:row r="421">
      <x:c r="A421" s="373"/>
      <x:c r="B421" s="373"/>
      <x:c r="C421" s="373"/>
      <x:c r="D421" s="373"/>
      <x:c r="E421" s="373"/>
      <x:c r="F421" s="373"/>
      <x:c r="G421" s="373"/>
      <x:c r="H421" s="373"/>
      <x:c r="I421" s="373"/>
      <x:c r="J421" s="373"/>
      <x:c r="K421" s="373"/>
      <x:c r="L421" s="373"/>
      <x:c r="M421" s="373"/>
      <x:c r="N421" s="373"/>
      <x:c r="O421" s="373"/>
      <x:c r="P421" s="373"/>
      <x:c r="Q421" s="373"/>
      <x:c r="R421" s="373"/>
      <x:c r="S421" s="373"/>
      <x:c r="T421" s="373"/>
      <x:c r="U421" s="373"/>
      <x:c r="V421" s="373"/>
      <x:c r="W421" s="373"/>
      <x:c r="X421" s="373"/>
      <x:c r="Y421" s="373"/>
      <x:c r="Z421" s="373"/>
    </x:row>
    <x:row r="422">
      <x:c r="A422" s="373"/>
      <x:c r="B422" s="373"/>
      <x:c r="C422" s="373"/>
      <x:c r="D422" s="373"/>
      <x:c r="E422" s="373"/>
      <x:c r="F422" s="373"/>
      <x:c r="G422" s="373"/>
      <x:c r="H422" s="373"/>
      <x:c r="I422" s="373"/>
      <x:c r="J422" s="373"/>
      <x:c r="K422" s="373"/>
      <x:c r="L422" s="373"/>
      <x:c r="M422" s="373"/>
      <x:c r="N422" s="373"/>
      <x:c r="O422" s="373"/>
      <x:c r="P422" s="373"/>
      <x:c r="Q422" s="373"/>
      <x:c r="R422" s="373"/>
      <x:c r="S422" s="373"/>
      <x:c r="T422" s="373"/>
      <x:c r="U422" s="373"/>
      <x:c r="V422" s="373"/>
      <x:c r="W422" s="373"/>
      <x:c r="X422" s="373"/>
      <x:c r="Y422" s="373"/>
      <x:c r="Z422" s="373"/>
    </x:row>
    <x:row r="423">
      <x:c r="A423" s="373"/>
      <x:c r="B423" s="373"/>
      <x:c r="C423" s="373"/>
      <x:c r="D423" s="373"/>
      <x:c r="E423" s="373"/>
      <x:c r="F423" s="373"/>
      <x:c r="G423" s="373"/>
      <x:c r="H423" s="373"/>
      <x:c r="I423" s="373"/>
      <x:c r="J423" s="373"/>
      <x:c r="K423" s="373"/>
      <x:c r="L423" s="373"/>
      <x:c r="M423" s="373"/>
      <x:c r="N423" s="373"/>
      <x:c r="O423" s="373"/>
      <x:c r="P423" s="373"/>
      <x:c r="Q423" s="373"/>
      <x:c r="R423" s="373"/>
      <x:c r="S423" s="373"/>
      <x:c r="T423" s="373"/>
      <x:c r="U423" s="373"/>
      <x:c r="V423" s="373"/>
      <x:c r="W423" s="373"/>
      <x:c r="X423" s="373"/>
      <x:c r="Y423" s="373"/>
      <x:c r="Z423" s="373"/>
    </x:row>
    <x:row r="424">
      <x:c r="A424" s="373"/>
      <x:c r="B424" s="373"/>
      <x:c r="C424" s="373"/>
      <x:c r="D424" s="373"/>
      <x:c r="E424" s="373"/>
      <x:c r="F424" s="373"/>
      <x:c r="G424" s="373"/>
      <x:c r="H424" s="373"/>
      <x:c r="I424" s="373"/>
      <x:c r="J424" s="373"/>
      <x:c r="K424" s="373"/>
      <x:c r="L424" s="373"/>
      <x:c r="M424" s="373"/>
      <x:c r="N424" s="373"/>
      <x:c r="O424" s="373"/>
      <x:c r="P424" s="373"/>
      <x:c r="Q424" s="373"/>
      <x:c r="R424" s="373"/>
      <x:c r="S424" s="373"/>
      <x:c r="T424" s="373"/>
      <x:c r="U424" s="373"/>
      <x:c r="V424" s="373"/>
      <x:c r="W424" s="373"/>
      <x:c r="X424" s="373"/>
      <x:c r="Y424" s="373"/>
      <x:c r="Z424" s="373"/>
    </x:row>
    <x:row r="425">
      <x:c r="A425" s="373"/>
      <x:c r="B425" s="373"/>
      <x:c r="C425" s="373"/>
      <x:c r="D425" s="373"/>
      <x:c r="E425" s="373"/>
      <x:c r="F425" s="373"/>
      <x:c r="G425" s="373"/>
      <x:c r="H425" s="373"/>
      <x:c r="I425" s="373"/>
      <x:c r="J425" s="373"/>
      <x:c r="K425" s="373"/>
      <x:c r="L425" s="373"/>
      <x:c r="M425" s="373"/>
      <x:c r="N425" s="373"/>
      <x:c r="O425" s="373"/>
      <x:c r="P425" s="373"/>
      <x:c r="Q425" s="373"/>
      <x:c r="R425" s="373"/>
      <x:c r="S425" s="373"/>
      <x:c r="T425" s="373"/>
      <x:c r="U425" s="373"/>
      <x:c r="V425" s="373"/>
      <x:c r="W425" s="373"/>
      <x:c r="X425" s="373"/>
      <x:c r="Y425" s="373"/>
      <x:c r="Z425" s="373"/>
    </x:row>
    <x:row r="426">
      <x:c r="A426" s="373"/>
      <x:c r="B426" s="373"/>
      <x:c r="C426" s="373"/>
      <x:c r="D426" s="373"/>
      <x:c r="E426" s="373"/>
      <x:c r="F426" s="373"/>
      <x:c r="G426" s="373"/>
      <x:c r="H426" s="373"/>
      <x:c r="I426" s="373"/>
      <x:c r="J426" s="373"/>
      <x:c r="K426" s="373"/>
      <x:c r="L426" s="373"/>
      <x:c r="M426" s="373"/>
      <x:c r="N426" s="373"/>
      <x:c r="O426" s="373"/>
      <x:c r="P426" s="373"/>
      <x:c r="Q426" s="373"/>
      <x:c r="R426" s="373"/>
      <x:c r="S426" s="373"/>
      <x:c r="T426" s="373"/>
      <x:c r="U426" s="373"/>
      <x:c r="V426" s="373"/>
      <x:c r="W426" s="373"/>
      <x:c r="X426" s="373"/>
      <x:c r="Y426" s="373"/>
      <x:c r="Z426" s="373"/>
    </x:row>
    <x:row r="427">
      <x:c r="A427" s="373"/>
      <x:c r="B427" s="373"/>
      <x:c r="C427" s="373"/>
      <x:c r="D427" s="373"/>
      <x:c r="E427" s="373"/>
      <x:c r="F427" s="373"/>
      <x:c r="G427" s="373"/>
      <x:c r="H427" s="373"/>
      <x:c r="I427" s="373"/>
      <x:c r="J427" s="373"/>
      <x:c r="K427" s="373"/>
      <x:c r="L427" s="373"/>
      <x:c r="M427" s="373"/>
      <x:c r="N427" s="373"/>
      <x:c r="O427" s="373"/>
      <x:c r="P427" s="373"/>
      <x:c r="Q427" s="373"/>
      <x:c r="R427" s="373"/>
      <x:c r="S427" s="373"/>
      <x:c r="T427" s="373"/>
      <x:c r="U427" s="373"/>
      <x:c r="V427" s="373"/>
      <x:c r="W427" s="373"/>
      <x:c r="X427" s="373"/>
      <x:c r="Y427" s="373"/>
      <x:c r="Z427" s="373"/>
    </x:row>
    <x:row r="428">
      <x:c r="A428" s="373"/>
      <x:c r="B428" s="373"/>
      <x:c r="C428" s="373"/>
      <x:c r="D428" s="373"/>
      <x:c r="E428" s="373"/>
      <x:c r="F428" s="373"/>
      <x:c r="G428" s="373"/>
      <x:c r="H428" s="373"/>
      <x:c r="I428" s="373"/>
      <x:c r="J428" s="373"/>
      <x:c r="K428" s="373"/>
      <x:c r="L428" s="373"/>
      <x:c r="M428" s="373"/>
      <x:c r="N428" s="373"/>
      <x:c r="O428" s="373"/>
      <x:c r="P428" s="373"/>
      <x:c r="Q428" s="373"/>
      <x:c r="R428" s="373"/>
      <x:c r="S428" s="373"/>
      <x:c r="T428" s="373"/>
      <x:c r="U428" s="373"/>
      <x:c r="V428" s="373"/>
      <x:c r="W428" s="373"/>
      <x:c r="X428" s="373"/>
      <x:c r="Y428" s="373"/>
      <x:c r="Z428" s="373"/>
    </x:row>
    <x:row r="429">
      <x:c r="A429" s="373"/>
      <x:c r="B429" s="373"/>
      <x:c r="C429" s="373"/>
      <x:c r="D429" s="373"/>
      <x:c r="E429" s="373"/>
      <x:c r="F429" s="373"/>
      <x:c r="G429" s="373"/>
      <x:c r="H429" s="373"/>
      <x:c r="I429" s="373"/>
      <x:c r="J429" s="373"/>
      <x:c r="K429" s="373"/>
      <x:c r="L429" s="373"/>
      <x:c r="M429" s="373"/>
      <x:c r="N429" s="373"/>
      <x:c r="O429" s="373"/>
      <x:c r="P429" s="373"/>
      <x:c r="Q429" s="373"/>
      <x:c r="R429" s="373"/>
      <x:c r="S429" s="373"/>
      <x:c r="T429" s="373"/>
      <x:c r="U429" s="373"/>
      <x:c r="V429" s="373"/>
      <x:c r="W429" s="373"/>
      <x:c r="X429" s="373"/>
      <x:c r="Y429" s="373"/>
      <x:c r="Z429" s="373"/>
    </x:row>
    <x:row r="430">
      <x:c r="A430" s="373"/>
      <x:c r="B430" s="373"/>
      <x:c r="C430" s="373"/>
      <x:c r="D430" s="373"/>
      <x:c r="E430" s="373"/>
      <x:c r="F430" s="373"/>
      <x:c r="G430" s="373"/>
      <x:c r="H430" s="373"/>
      <x:c r="I430" s="373"/>
      <x:c r="J430" s="373"/>
      <x:c r="K430" s="373"/>
      <x:c r="L430" s="373"/>
      <x:c r="M430" s="373"/>
      <x:c r="N430" s="373"/>
      <x:c r="O430" s="373"/>
      <x:c r="P430" s="373"/>
      <x:c r="Q430" s="373"/>
      <x:c r="R430" s="373"/>
      <x:c r="S430" s="373"/>
      <x:c r="T430" s="373"/>
      <x:c r="U430" s="373"/>
      <x:c r="V430" s="373"/>
      <x:c r="W430" s="373"/>
      <x:c r="X430" s="373"/>
      <x:c r="Y430" s="373"/>
      <x:c r="Z430" s="373"/>
    </x:row>
    <x:row r="431">
      <x:c r="A431" s="373"/>
      <x:c r="B431" s="373"/>
      <x:c r="C431" s="373"/>
      <x:c r="D431" s="373"/>
      <x:c r="E431" s="373"/>
      <x:c r="F431" s="373"/>
      <x:c r="G431" s="373"/>
      <x:c r="H431" s="373"/>
      <x:c r="I431" s="373"/>
      <x:c r="J431" s="373"/>
      <x:c r="K431" s="373"/>
      <x:c r="L431" s="373"/>
      <x:c r="M431" s="373"/>
      <x:c r="N431" s="373"/>
      <x:c r="O431" s="373"/>
      <x:c r="P431" s="373"/>
      <x:c r="Q431" s="373"/>
      <x:c r="R431" s="373"/>
      <x:c r="S431" s="373"/>
      <x:c r="T431" s="373"/>
      <x:c r="U431" s="373"/>
      <x:c r="V431" s="373"/>
      <x:c r="W431" s="373"/>
      <x:c r="X431" s="373"/>
      <x:c r="Y431" s="373"/>
      <x:c r="Z431" s="373"/>
    </x:row>
    <x:row r="432">
      <x:c r="A432" s="373"/>
      <x:c r="B432" s="373"/>
      <x:c r="C432" s="373"/>
      <x:c r="D432" s="373"/>
      <x:c r="E432" s="373"/>
      <x:c r="F432" s="373"/>
      <x:c r="G432" s="373"/>
      <x:c r="H432" s="373"/>
      <x:c r="I432" s="373"/>
      <x:c r="J432" s="373"/>
      <x:c r="K432" s="373"/>
      <x:c r="L432" s="373"/>
      <x:c r="M432" s="373"/>
      <x:c r="N432" s="373"/>
      <x:c r="O432" s="373"/>
      <x:c r="P432" s="373"/>
      <x:c r="Q432" s="373"/>
      <x:c r="R432" s="373"/>
      <x:c r="S432" s="373"/>
      <x:c r="T432" s="373"/>
      <x:c r="U432" s="373"/>
      <x:c r="V432" s="373"/>
      <x:c r="W432" s="373"/>
      <x:c r="X432" s="373"/>
      <x:c r="Y432" s="373"/>
      <x:c r="Z432" s="373"/>
    </x:row>
    <x:row r="433">
      <x:c r="A433" s="373"/>
      <x:c r="B433" s="373"/>
      <x:c r="C433" s="373"/>
      <x:c r="D433" s="373"/>
      <x:c r="E433" s="373"/>
      <x:c r="F433" s="373"/>
      <x:c r="G433" s="373"/>
      <x:c r="H433" s="373"/>
      <x:c r="I433" s="373"/>
      <x:c r="J433" s="373"/>
      <x:c r="K433" s="373"/>
      <x:c r="L433" s="373"/>
      <x:c r="M433" s="373"/>
      <x:c r="N433" s="373"/>
      <x:c r="O433" s="373"/>
      <x:c r="P433" s="373"/>
      <x:c r="Q433" s="373"/>
      <x:c r="R433" s="373"/>
      <x:c r="S433" s="373"/>
      <x:c r="T433" s="373"/>
      <x:c r="U433" s="373"/>
      <x:c r="V433" s="373"/>
      <x:c r="W433" s="373"/>
      <x:c r="X433" s="373"/>
      <x:c r="Y433" s="373"/>
      <x:c r="Z433" s="373"/>
    </x:row>
    <x:row r="434">
      <x:c r="A434" s="373"/>
      <x:c r="B434" s="373"/>
      <x:c r="C434" s="373"/>
      <x:c r="D434" s="373"/>
      <x:c r="E434" s="373"/>
      <x:c r="F434" s="373"/>
      <x:c r="G434" s="373"/>
      <x:c r="H434" s="373"/>
      <x:c r="I434" s="373"/>
      <x:c r="J434" s="373"/>
      <x:c r="K434" s="373"/>
      <x:c r="L434" s="373"/>
      <x:c r="M434" s="373"/>
      <x:c r="N434" s="373"/>
      <x:c r="O434" s="373"/>
      <x:c r="P434" s="373"/>
      <x:c r="Q434" s="373"/>
      <x:c r="R434" s="373"/>
      <x:c r="S434" s="373"/>
      <x:c r="T434" s="373"/>
      <x:c r="U434" s="373"/>
      <x:c r="V434" s="373"/>
      <x:c r="W434" s="373"/>
      <x:c r="X434" s="373"/>
      <x:c r="Y434" s="373"/>
      <x:c r="Z434" s="373"/>
    </x:row>
    <x:row r="435">
      <x:c r="A435" s="373"/>
      <x:c r="B435" s="373"/>
      <x:c r="C435" s="373"/>
      <x:c r="D435" s="373"/>
      <x:c r="E435" s="373"/>
      <x:c r="F435" s="373"/>
      <x:c r="G435" s="373"/>
      <x:c r="H435" s="373"/>
      <x:c r="I435" s="373"/>
      <x:c r="J435" s="373"/>
      <x:c r="K435" s="373"/>
      <x:c r="L435" s="373"/>
      <x:c r="M435" s="373"/>
      <x:c r="N435" s="373"/>
      <x:c r="O435" s="373"/>
      <x:c r="P435" s="373"/>
      <x:c r="Q435" s="373"/>
      <x:c r="R435" s="373"/>
      <x:c r="S435" s="373"/>
      <x:c r="T435" s="373"/>
      <x:c r="U435" s="373"/>
      <x:c r="V435" s="373"/>
      <x:c r="W435" s="373"/>
      <x:c r="X435" s="373"/>
      <x:c r="Y435" s="373"/>
      <x:c r="Z435" s="373"/>
    </x:row>
    <x:row r="436">
      <x:c r="A436" s="373"/>
      <x:c r="B436" s="373"/>
      <x:c r="C436" s="373"/>
      <x:c r="D436" s="373"/>
      <x:c r="E436" s="373"/>
      <x:c r="F436" s="373"/>
      <x:c r="G436" s="373"/>
      <x:c r="H436" s="373"/>
      <x:c r="I436" s="373"/>
      <x:c r="J436" s="373"/>
      <x:c r="K436" s="373"/>
      <x:c r="L436" s="373"/>
      <x:c r="M436" s="373"/>
      <x:c r="N436" s="373"/>
      <x:c r="O436" s="373"/>
      <x:c r="P436" s="373"/>
      <x:c r="Q436" s="373"/>
      <x:c r="R436" s="373"/>
      <x:c r="S436" s="373"/>
      <x:c r="T436" s="373"/>
      <x:c r="U436" s="373"/>
      <x:c r="V436" s="373"/>
      <x:c r="W436" s="373"/>
      <x:c r="X436" s="373"/>
      <x:c r="Y436" s="373"/>
      <x:c r="Z436" s="373"/>
    </x:row>
    <x:row r="437">
      <x:c r="A437" s="373"/>
      <x:c r="B437" s="373"/>
      <x:c r="C437" s="373"/>
      <x:c r="D437" s="373"/>
      <x:c r="E437" s="373"/>
      <x:c r="F437" s="373"/>
      <x:c r="G437" s="373"/>
      <x:c r="H437" s="373"/>
      <x:c r="I437" s="373"/>
      <x:c r="J437" s="373"/>
      <x:c r="K437" s="373"/>
      <x:c r="L437" s="373"/>
      <x:c r="M437" s="373"/>
      <x:c r="N437" s="373"/>
      <x:c r="O437" s="373"/>
      <x:c r="P437" s="373"/>
      <x:c r="Q437" s="373"/>
      <x:c r="R437" s="373"/>
      <x:c r="S437" s="373"/>
      <x:c r="T437" s="373"/>
      <x:c r="U437" s="373"/>
      <x:c r="V437" s="373"/>
      <x:c r="W437" s="373"/>
      <x:c r="X437" s="373"/>
      <x:c r="Y437" s="373"/>
      <x:c r="Z437" s="373"/>
    </x:row>
    <x:row r="438">
      <x:c r="A438" s="373"/>
      <x:c r="B438" s="373"/>
      <x:c r="C438" s="373"/>
      <x:c r="D438" s="373"/>
      <x:c r="E438" s="373"/>
      <x:c r="F438" s="373"/>
      <x:c r="G438" s="373"/>
      <x:c r="H438" s="373"/>
      <x:c r="I438" s="373"/>
      <x:c r="J438" s="373"/>
      <x:c r="K438" s="373"/>
      <x:c r="L438" s="373"/>
      <x:c r="M438" s="373"/>
      <x:c r="N438" s="373"/>
      <x:c r="O438" s="373"/>
      <x:c r="P438" s="373"/>
      <x:c r="Q438" s="373"/>
      <x:c r="R438" s="373"/>
      <x:c r="S438" s="373"/>
      <x:c r="T438" s="373"/>
      <x:c r="U438" s="373"/>
      <x:c r="V438" s="373"/>
      <x:c r="W438" s="373"/>
      <x:c r="X438" s="373"/>
      <x:c r="Y438" s="373"/>
      <x:c r="Z438" s="373"/>
    </x:row>
    <x:row r="439">
      <x:c r="A439" s="373"/>
      <x:c r="B439" s="373"/>
      <x:c r="C439" s="373"/>
      <x:c r="D439" s="373"/>
      <x:c r="E439" s="373"/>
      <x:c r="F439" s="373"/>
      <x:c r="G439" s="373"/>
      <x:c r="H439" s="373"/>
      <x:c r="I439" s="373"/>
      <x:c r="J439" s="373"/>
      <x:c r="K439" s="373"/>
      <x:c r="L439" s="373"/>
      <x:c r="M439" s="373"/>
      <x:c r="N439" s="373"/>
      <x:c r="O439" s="373"/>
      <x:c r="P439" s="373"/>
      <x:c r="Q439" s="373"/>
      <x:c r="R439" s="373"/>
      <x:c r="S439" s="373"/>
      <x:c r="T439" s="373"/>
      <x:c r="U439" s="373"/>
      <x:c r="V439" s="373"/>
      <x:c r="W439" s="373"/>
      <x:c r="X439" s="373"/>
      <x:c r="Y439" s="373"/>
      <x:c r="Z439" s="373"/>
    </x:row>
    <x:row r="440">
      <x:c r="A440" s="373"/>
      <x:c r="B440" s="373"/>
      <x:c r="C440" s="373"/>
      <x:c r="D440" s="373"/>
      <x:c r="E440" s="373"/>
      <x:c r="F440" s="373"/>
      <x:c r="G440" s="373"/>
      <x:c r="H440" s="373"/>
      <x:c r="I440" s="373"/>
      <x:c r="J440" s="373"/>
      <x:c r="K440" s="373"/>
      <x:c r="L440" s="373"/>
      <x:c r="M440" s="373"/>
      <x:c r="N440" s="373"/>
      <x:c r="O440" s="373"/>
      <x:c r="P440" s="373"/>
      <x:c r="Q440" s="373"/>
      <x:c r="R440" s="373"/>
      <x:c r="S440" s="373"/>
      <x:c r="T440" s="373"/>
      <x:c r="U440" s="373"/>
      <x:c r="V440" s="373"/>
      <x:c r="W440" s="373"/>
      <x:c r="X440" s="373"/>
      <x:c r="Y440" s="373"/>
      <x:c r="Z440" s="373"/>
    </x:row>
    <x:row r="441">
      <x:c r="A441" s="373"/>
      <x:c r="B441" s="373"/>
      <x:c r="C441" s="373"/>
      <x:c r="D441" s="373"/>
      <x:c r="E441" s="373"/>
      <x:c r="F441" s="373"/>
      <x:c r="G441" s="373"/>
      <x:c r="H441" s="373"/>
      <x:c r="I441" s="373"/>
      <x:c r="J441" s="373"/>
      <x:c r="K441" s="373"/>
      <x:c r="L441" s="373"/>
      <x:c r="M441" s="373"/>
      <x:c r="N441" s="373"/>
      <x:c r="O441" s="373"/>
      <x:c r="P441" s="373"/>
      <x:c r="Q441" s="373"/>
      <x:c r="R441" s="373"/>
      <x:c r="S441" s="373"/>
      <x:c r="T441" s="373"/>
      <x:c r="U441" s="373"/>
      <x:c r="V441" s="373"/>
      <x:c r="W441" s="373"/>
      <x:c r="X441" s="373"/>
      <x:c r="Y441" s="373"/>
      <x:c r="Z441" s="373"/>
    </x:row>
    <x:row r="442">
      <x:c r="A442" s="373"/>
      <x:c r="B442" s="373"/>
      <x:c r="C442" s="373"/>
      <x:c r="D442" s="373"/>
      <x:c r="E442" s="373"/>
      <x:c r="F442" s="373"/>
      <x:c r="G442" s="373"/>
      <x:c r="H442" s="373"/>
      <x:c r="I442" s="373"/>
      <x:c r="J442" s="373"/>
      <x:c r="K442" s="373"/>
      <x:c r="L442" s="373"/>
      <x:c r="M442" s="373"/>
      <x:c r="N442" s="373"/>
      <x:c r="O442" s="373"/>
      <x:c r="P442" s="373"/>
      <x:c r="Q442" s="373"/>
      <x:c r="R442" s="373"/>
      <x:c r="S442" s="373"/>
      <x:c r="T442" s="373"/>
      <x:c r="U442" s="373"/>
      <x:c r="V442" s="373"/>
      <x:c r="W442" s="373"/>
      <x:c r="X442" s="373"/>
      <x:c r="Y442" s="373"/>
      <x:c r="Z442" s="373"/>
    </x:row>
    <x:row r="443">
      <x:c r="A443" s="373"/>
      <x:c r="B443" s="373"/>
      <x:c r="C443" s="373"/>
      <x:c r="D443" s="373"/>
      <x:c r="E443" s="373"/>
      <x:c r="F443" s="373"/>
      <x:c r="G443" s="373"/>
      <x:c r="H443" s="373"/>
      <x:c r="I443" s="373"/>
      <x:c r="J443" s="373"/>
      <x:c r="K443" s="373"/>
      <x:c r="L443" s="373"/>
      <x:c r="M443" s="373"/>
      <x:c r="N443" s="373"/>
      <x:c r="O443" s="373"/>
      <x:c r="P443" s="373"/>
      <x:c r="Q443" s="373"/>
      <x:c r="R443" s="373"/>
      <x:c r="S443" s="373"/>
      <x:c r="T443" s="373"/>
      <x:c r="U443" s="373"/>
      <x:c r="V443" s="373"/>
      <x:c r="W443" s="373"/>
      <x:c r="X443" s="373"/>
      <x:c r="Y443" s="373"/>
      <x:c r="Z443" s="373"/>
    </x:row>
    <x:row r="444">
      <x:c r="A444" s="373"/>
      <x:c r="B444" s="373"/>
      <x:c r="C444" s="373"/>
      <x:c r="D444" s="373"/>
      <x:c r="E444" s="373"/>
      <x:c r="F444" s="373"/>
      <x:c r="G444" s="373"/>
      <x:c r="H444" s="373"/>
      <x:c r="I444" s="373"/>
      <x:c r="J444" s="373"/>
      <x:c r="K444" s="373"/>
      <x:c r="L444" s="373"/>
      <x:c r="M444" s="373"/>
      <x:c r="N444" s="373"/>
      <x:c r="O444" s="373"/>
      <x:c r="P444" s="373"/>
      <x:c r="Q444" s="373"/>
      <x:c r="R444" s="373"/>
      <x:c r="S444" s="373"/>
      <x:c r="T444" s="373"/>
      <x:c r="U444" s="373"/>
      <x:c r="V444" s="373"/>
      <x:c r="W444" s="373"/>
      <x:c r="X444" s="373"/>
      <x:c r="Y444" s="373"/>
      <x:c r="Z444" s="373"/>
    </x:row>
    <x:row r="445">
      <x:c r="A445" s="373"/>
      <x:c r="B445" s="373"/>
      <x:c r="C445" s="373"/>
      <x:c r="D445" s="373"/>
      <x:c r="E445" s="373"/>
      <x:c r="F445" s="373"/>
      <x:c r="G445" s="373"/>
      <x:c r="H445" s="373"/>
      <x:c r="I445" s="373"/>
      <x:c r="J445" s="373"/>
      <x:c r="K445" s="373"/>
      <x:c r="L445" s="373"/>
      <x:c r="M445" s="373"/>
      <x:c r="N445" s="373"/>
      <x:c r="O445" s="373"/>
      <x:c r="P445" s="373"/>
      <x:c r="Q445" s="373"/>
      <x:c r="R445" s="373"/>
      <x:c r="S445" s="373"/>
      <x:c r="T445" s="373"/>
      <x:c r="U445" s="373"/>
      <x:c r="V445" s="373"/>
      <x:c r="W445" s="373"/>
      <x:c r="X445" s="373"/>
      <x:c r="Y445" s="373"/>
      <x:c r="Z445" s="373"/>
    </x:row>
    <x:row r="446">
      <x:c r="A446" s="373"/>
      <x:c r="B446" s="373"/>
      <x:c r="C446" s="373"/>
      <x:c r="D446" s="373"/>
      <x:c r="E446" s="373"/>
      <x:c r="F446" s="373"/>
      <x:c r="G446" s="373"/>
      <x:c r="H446" s="373"/>
      <x:c r="I446" s="373"/>
      <x:c r="J446" s="373"/>
      <x:c r="K446" s="373"/>
      <x:c r="L446" s="373"/>
      <x:c r="M446" s="373"/>
      <x:c r="N446" s="373"/>
      <x:c r="O446" s="373"/>
      <x:c r="P446" s="373"/>
      <x:c r="Q446" s="373"/>
      <x:c r="R446" s="373"/>
      <x:c r="S446" s="373"/>
      <x:c r="T446" s="373"/>
      <x:c r="U446" s="373"/>
      <x:c r="V446" s="373"/>
      <x:c r="W446" s="373"/>
      <x:c r="X446" s="373"/>
      <x:c r="Y446" s="373"/>
      <x:c r="Z446" s="373"/>
    </x:row>
    <x:row r="447">
      <x:c r="A447" s="373"/>
      <x:c r="B447" s="373"/>
      <x:c r="C447" s="373"/>
      <x:c r="D447" s="373"/>
      <x:c r="E447" s="373"/>
      <x:c r="F447" s="373"/>
      <x:c r="G447" s="373"/>
      <x:c r="H447" s="373"/>
      <x:c r="I447" s="373"/>
      <x:c r="J447" s="373"/>
      <x:c r="K447" s="373"/>
      <x:c r="L447" s="373"/>
      <x:c r="M447" s="373"/>
      <x:c r="N447" s="373"/>
      <x:c r="O447" s="373"/>
      <x:c r="P447" s="373"/>
      <x:c r="Q447" s="373"/>
      <x:c r="R447" s="373"/>
      <x:c r="S447" s="373"/>
      <x:c r="T447" s="373"/>
      <x:c r="U447" s="373"/>
      <x:c r="V447" s="373"/>
      <x:c r="W447" s="373"/>
      <x:c r="X447" s="373"/>
      <x:c r="Y447" s="373"/>
      <x:c r="Z447" s="373"/>
    </x:row>
    <x:row r="448">
      <x:c r="A448" s="373"/>
      <x:c r="B448" s="373"/>
      <x:c r="C448" s="373"/>
      <x:c r="D448" s="373"/>
      <x:c r="E448" s="373"/>
      <x:c r="F448" s="373"/>
      <x:c r="G448" s="373"/>
      <x:c r="H448" s="373"/>
      <x:c r="I448" s="373"/>
      <x:c r="J448" s="373"/>
      <x:c r="K448" s="373"/>
      <x:c r="L448" s="373"/>
      <x:c r="M448" s="373"/>
      <x:c r="N448" s="373"/>
      <x:c r="O448" s="373"/>
      <x:c r="P448" s="373"/>
      <x:c r="Q448" s="373"/>
      <x:c r="R448" s="373"/>
      <x:c r="S448" s="373"/>
      <x:c r="T448" s="373"/>
      <x:c r="U448" s="373"/>
      <x:c r="V448" s="373"/>
      <x:c r="W448" s="373"/>
      <x:c r="X448" s="373"/>
      <x:c r="Y448" s="373"/>
      <x:c r="Z448" s="373"/>
    </x:row>
    <x:row r="449">
      <x:c r="A449" s="373"/>
      <x:c r="B449" s="373"/>
      <x:c r="C449" s="373"/>
      <x:c r="D449" s="373"/>
      <x:c r="E449" s="373"/>
      <x:c r="F449" s="373"/>
      <x:c r="G449" s="373"/>
      <x:c r="H449" s="373"/>
      <x:c r="I449" s="373"/>
      <x:c r="J449" s="373"/>
      <x:c r="K449" s="373"/>
      <x:c r="L449" s="373"/>
      <x:c r="M449" s="373"/>
      <x:c r="N449" s="373"/>
      <x:c r="O449" s="373"/>
      <x:c r="P449" s="373"/>
      <x:c r="Q449" s="373"/>
      <x:c r="R449" s="373"/>
      <x:c r="S449" s="373"/>
      <x:c r="T449" s="373"/>
      <x:c r="U449" s="373"/>
      <x:c r="V449" s="373"/>
      <x:c r="W449" s="373"/>
      <x:c r="X449" s="373"/>
      <x:c r="Y449" s="373"/>
      <x:c r="Z449" s="373"/>
    </x:row>
    <x:row r="450">
      <x:c r="A450" s="373"/>
      <x:c r="B450" s="373"/>
      <x:c r="C450" s="373"/>
      <x:c r="D450" s="373"/>
      <x:c r="E450" s="373"/>
      <x:c r="F450" s="373"/>
      <x:c r="G450" s="373"/>
      <x:c r="H450" s="373"/>
      <x:c r="I450" s="373"/>
      <x:c r="J450" s="373"/>
      <x:c r="K450" s="373"/>
      <x:c r="L450" s="373"/>
      <x:c r="M450" s="373"/>
      <x:c r="N450" s="373"/>
      <x:c r="O450" s="373"/>
      <x:c r="P450" s="373"/>
      <x:c r="Q450" s="373"/>
      <x:c r="R450" s="373"/>
      <x:c r="S450" s="373"/>
      <x:c r="T450" s="373"/>
      <x:c r="U450" s="373"/>
      <x:c r="V450" s="373"/>
      <x:c r="W450" s="373"/>
      <x:c r="X450" s="373"/>
      <x:c r="Y450" s="373"/>
      <x:c r="Z450" s="373"/>
    </x:row>
    <x:row r="451">
      <x:c r="A451" s="373"/>
      <x:c r="B451" s="373"/>
      <x:c r="C451" s="373"/>
      <x:c r="D451" s="373"/>
      <x:c r="E451" s="373"/>
      <x:c r="F451" s="373"/>
      <x:c r="G451" s="373"/>
      <x:c r="H451" s="373"/>
      <x:c r="I451" s="373"/>
      <x:c r="J451" s="373"/>
      <x:c r="K451" s="373"/>
      <x:c r="L451" s="373"/>
      <x:c r="M451" s="373"/>
      <x:c r="N451" s="373"/>
      <x:c r="O451" s="373"/>
      <x:c r="P451" s="373"/>
      <x:c r="Q451" s="373"/>
      <x:c r="R451" s="373"/>
      <x:c r="S451" s="373"/>
      <x:c r="T451" s="373"/>
      <x:c r="U451" s="373"/>
      <x:c r="V451" s="373"/>
      <x:c r="W451" s="373"/>
      <x:c r="X451" s="373"/>
      <x:c r="Y451" s="373"/>
      <x:c r="Z451" s="373"/>
    </x:row>
    <x:row r="452">
      <x:c r="A452" s="373"/>
      <x:c r="B452" s="373"/>
      <x:c r="C452" s="373"/>
      <x:c r="D452" s="373"/>
      <x:c r="E452" s="373"/>
      <x:c r="F452" s="373"/>
      <x:c r="G452" s="373"/>
      <x:c r="H452" s="373"/>
      <x:c r="I452" s="373"/>
      <x:c r="J452" s="373"/>
      <x:c r="K452" s="373"/>
      <x:c r="L452" s="373"/>
      <x:c r="M452" s="373"/>
      <x:c r="N452" s="373"/>
      <x:c r="O452" s="373"/>
      <x:c r="P452" s="373"/>
      <x:c r="Q452" s="373"/>
      <x:c r="R452" s="373"/>
      <x:c r="S452" s="373"/>
      <x:c r="T452" s="373"/>
      <x:c r="U452" s="373"/>
      <x:c r="V452" s="373"/>
      <x:c r="W452" s="373"/>
      <x:c r="X452" s="373"/>
      <x:c r="Y452" s="373"/>
      <x:c r="Z452" s="373"/>
    </x:row>
    <x:row r="453">
      <x:c r="A453" s="373"/>
      <x:c r="B453" s="373"/>
      <x:c r="C453" s="373"/>
      <x:c r="D453" s="373"/>
      <x:c r="E453" s="373"/>
      <x:c r="F453" s="373"/>
      <x:c r="G453" s="373"/>
      <x:c r="H453" s="373"/>
      <x:c r="I453" s="373"/>
      <x:c r="J453" s="373"/>
      <x:c r="K453" s="373"/>
      <x:c r="L453" s="373"/>
      <x:c r="M453" s="373"/>
      <x:c r="N453" s="373"/>
      <x:c r="O453" s="373"/>
      <x:c r="P453" s="373"/>
      <x:c r="Q453" s="373"/>
      <x:c r="R453" s="373"/>
      <x:c r="S453" s="373"/>
      <x:c r="T453" s="373"/>
      <x:c r="U453" s="373"/>
      <x:c r="V453" s="373"/>
      <x:c r="W453" s="373"/>
      <x:c r="X453" s="373"/>
      <x:c r="Y453" s="373"/>
      <x:c r="Z453" s="373"/>
    </x:row>
    <x:row r="454">
      <x:c r="A454" s="373"/>
      <x:c r="B454" s="373"/>
      <x:c r="C454" s="373"/>
      <x:c r="D454" s="373"/>
      <x:c r="E454" s="373"/>
      <x:c r="F454" s="373"/>
      <x:c r="G454" s="373"/>
      <x:c r="H454" s="373"/>
      <x:c r="I454" s="373"/>
      <x:c r="J454" s="373"/>
      <x:c r="K454" s="373"/>
      <x:c r="L454" s="373"/>
      <x:c r="M454" s="373"/>
      <x:c r="N454" s="373"/>
      <x:c r="O454" s="373"/>
      <x:c r="P454" s="373"/>
      <x:c r="Q454" s="373"/>
      <x:c r="R454" s="373"/>
      <x:c r="S454" s="373"/>
      <x:c r="T454" s="373"/>
      <x:c r="U454" s="373"/>
      <x:c r="V454" s="373"/>
      <x:c r="W454" s="373"/>
      <x:c r="X454" s="373"/>
      <x:c r="Y454" s="373"/>
      <x:c r="Z454" s="373"/>
    </x:row>
    <x:row r="455">
      <x:c r="A455" s="373"/>
      <x:c r="B455" s="373"/>
      <x:c r="C455" s="373"/>
      <x:c r="D455" s="373"/>
      <x:c r="E455" s="373"/>
      <x:c r="F455" s="373"/>
      <x:c r="G455" s="373"/>
      <x:c r="H455" s="373"/>
      <x:c r="I455" s="373"/>
      <x:c r="J455" s="373"/>
      <x:c r="K455" s="373"/>
      <x:c r="L455" s="373"/>
      <x:c r="M455" s="373"/>
      <x:c r="N455" s="373"/>
      <x:c r="O455" s="373"/>
      <x:c r="P455" s="373"/>
      <x:c r="Q455" s="373"/>
      <x:c r="R455" s="373"/>
      <x:c r="S455" s="373"/>
      <x:c r="T455" s="373"/>
      <x:c r="U455" s="373"/>
      <x:c r="V455" s="373"/>
      <x:c r="W455" s="373"/>
      <x:c r="X455" s="373"/>
      <x:c r="Y455" s="373"/>
      <x:c r="Z455" s="373"/>
    </x:row>
    <x:row r="456">
      <x:c r="A456" s="373"/>
      <x:c r="B456" s="373"/>
      <x:c r="C456" s="373"/>
      <x:c r="D456" s="373"/>
      <x:c r="E456" s="373"/>
      <x:c r="F456" s="373"/>
      <x:c r="G456" s="373"/>
      <x:c r="H456" s="373"/>
      <x:c r="I456" s="373"/>
      <x:c r="J456" s="373"/>
      <x:c r="K456" s="373"/>
      <x:c r="L456" s="373"/>
      <x:c r="M456" s="373"/>
      <x:c r="N456" s="373"/>
      <x:c r="O456" s="373"/>
      <x:c r="P456" s="373"/>
      <x:c r="Q456" s="373"/>
      <x:c r="R456" s="373"/>
      <x:c r="S456" s="373"/>
      <x:c r="T456" s="373"/>
      <x:c r="U456" s="373"/>
      <x:c r="V456" s="373"/>
      <x:c r="W456" s="373"/>
      <x:c r="X456" s="373"/>
      <x:c r="Y456" s="373"/>
      <x:c r="Z456" s="373"/>
    </x:row>
    <x:row r="457">
      <x:c r="A457" s="373"/>
      <x:c r="B457" s="373"/>
      <x:c r="C457" s="373"/>
      <x:c r="D457" s="373"/>
      <x:c r="E457" s="373"/>
      <x:c r="F457" s="373"/>
      <x:c r="G457" s="373"/>
      <x:c r="H457" s="373"/>
      <x:c r="I457" s="373"/>
      <x:c r="J457" s="373"/>
      <x:c r="K457" s="373"/>
      <x:c r="L457" s="373"/>
      <x:c r="M457" s="373"/>
      <x:c r="N457" s="373"/>
      <x:c r="O457" s="373"/>
      <x:c r="P457" s="373"/>
      <x:c r="Q457" s="373"/>
      <x:c r="R457" s="373"/>
      <x:c r="S457" s="373"/>
      <x:c r="T457" s="373"/>
      <x:c r="U457" s="373"/>
      <x:c r="V457" s="373"/>
      <x:c r="W457" s="373"/>
      <x:c r="X457" s="373"/>
      <x:c r="Y457" s="373"/>
      <x:c r="Z457" s="373"/>
    </x:row>
    <x:row r="458">
      <x:c r="A458" s="373"/>
      <x:c r="B458" s="373"/>
      <x:c r="C458" s="373"/>
      <x:c r="D458" s="373"/>
      <x:c r="E458" s="373"/>
      <x:c r="F458" s="373"/>
      <x:c r="G458" s="373"/>
      <x:c r="H458" s="373"/>
      <x:c r="I458" s="373"/>
      <x:c r="J458" s="373"/>
      <x:c r="K458" s="373"/>
      <x:c r="L458" s="373"/>
      <x:c r="M458" s="373"/>
      <x:c r="N458" s="373"/>
      <x:c r="O458" s="373"/>
      <x:c r="P458" s="373"/>
      <x:c r="Q458" s="373"/>
      <x:c r="R458" s="373"/>
      <x:c r="S458" s="373"/>
      <x:c r="T458" s="373"/>
      <x:c r="U458" s="373"/>
      <x:c r="V458" s="373"/>
      <x:c r="W458" s="373"/>
      <x:c r="X458" s="373"/>
      <x:c r="Y458" s="373"/>
      <x:c r="Z458" s="373"/>
    </x:row>
    <x:row r="459">
      <x:c r="A459" s="373"/>
      <x:c r="B459" s="373"/>
      <x:c r="C459" s="373"/>
      <x:c r="D459" s="373"/>
      <x:c r="E459" s="373"/>
      <x:c r="F459" s="373"/>
      <x:c r="G459" s="373"/>
      <x:c r="H459" s="373"/>
      <x:c r="I459" s="373"/>
      <x:c r="J459" s="373"/>
      <x:c r="K459" s="373"/>
      <x:c r="L459" s="373"/>
      <x:c r="M459" s="373"/>
      <x:c r="N459" s="373"/>
      <x:c r="O459" s="373"/>
      <x:c r="P459" s="373"/>
      <x:c r="Q459" s="373"/>
      <x:c r="R459" s="373"/>
      <x:c r="S459" s="373"/>
      <x:c r="T459" s="373"/>
      <x:c r="U459" s="373"/>
      <x:c r="V459" s="373"/>
      <x:c r="W459" s="373"/>
      <x:c r="X459" s="373"/>
      <x:c r="Y459" s="373"/>
      <x:c r="Z459" s="373"/>
    </x:row>
    <x:row r="460">
      <x:c r="A460" s="373"/>
      <x:c r="B460" s="373"/>
      <x:c r="C460" s="373"/>
      <x:c r="D460" s="373"/>
      <x:c r="E460" s="373"/>
      <x:c r="F460" s="373"/>
      <x:c r="G460" s="373"/>
      <x:c r="H460" s="373"/>
      <x:c r="I460" s="373"/>
      <x:c r="J460" s="373"/>
      <x:c r="K460" s="373"/>
      <x:c r="L460" s="373"/>
      <x:c r="M460" s="373"/>
      <x:c r="N460" s="373"/>
      <x:c r="O460" s="373"/>
      <x:c r="P460" s="373"/>
      <x:c r="Q460" s="373"/>
      <x:c r="R460" s="373"/>
      <x:c r="S460" s="373"/>
      <x:c r="T460" s="373"/>
      <x:c r="U460" s="373"/>
      <x:c r="V460" s="373"/>
      <x:c r="W460" s="373"/>
      <x:c r="X460" s="373"/>
      <x:c r="Y460" s="373"/>
      <x:c r="Z460" s="373"/>
    </x:row>
    <x:row r="461">
      <x:c r="A461" s="373"/>
      <x:c r="B461" s="373"/>
      <x:c r="C461" s="373"/>
      <x:c r="D461" s="373"/>
      <x:c r="E461" s="373"/>
      <x:c r="F461" s="373"/>
      <x:c r="G461" s="373"/>
      <x:c r="H461" s="373"/>
      <x:c r="I461" s="373"/>
      <x:c r="J461" s="373"/>
      <x:c r="K461" s="373"/>
      <x:c r="L461" s="373"/>
      <x:c r="M461" s="373"/>
      <x:c r="N461" s="373"/>
      <x:c r="O461" s="373"/>
      <x:c r="P461" s="373"/>
      <x:c r="Q461" s="373"/>
      <x:c r="R461" s="373"/>
      <x:c r="S461" s="373"/>
      <x:c r="T461" s="373"/>
      <x:c r="U461" s="373"/>
      <x:c r="V461" s="373"/>
      <x:c r="W461" s="373"/>
      <x:c r="X461" s="373"/>
      <x:c r="Y461" s="373"/>
      <x:c r="Z461" s="373"/>
    </x:row>
    <x:row r="462">
      <x:c r="A462" s="373"/>
      <x:c r="B462" s="373"/>
      <x:c r="C462" s="373"/>
      <x:c r="D462" s="373"/>
      <x:c r="E462" s="373"/>
      <x:c r="F462" s="373"/>
      <x:c r="G462" s="373"/>
      <x:c r="H462" s="373"/>
      <x:c r="I462" s="373"/>
      <x:c r="J462" s="373"/>
      <x:c r="K462" s="373"/>
      <x:c r="L462" s="373"/>
      <x:c r="M462" s="373"/>
      <x:c r="N462" s="373"/>
      <x:c r="O462" s="373"/>
      <x:c r="P462" s="373"/>
      <x:c r="Q462" s="373"/>
      <x:c r="R462" s="373"/>
      <x:c r="S462" s="373"/>
      <x:c r="T462" s="373"/>
      <x:c r="U462" s="373"/>
      <x:c r="V462" s="373"/>
      <x:c r="W462" s="373"/>
      <x:c r="X462" s="373"/>
      <x:c r="Y462" s="373"/>
      <x:c r="Z462" s="373"/>
    </x:row>
    <x:row r="463">
      <x:c r="A463" s="373"/>
      <x:c r="B463" s="373"/>
      <x:c r="C463" s="373"/>
      <x:c r="D463" s="373"/>
      <x:c r="E463" s="373"/>
      <x:c r="F463" s="373"/>
      <x:c r="G463" s="373"/>
      <x:c r="H463" s="373"/>
      <x:c r="I463" s="373"/>
      <x:c r="J463" s="373"/>
      <x:c r="K463" s="373"/>
      <x:c r="L463" s="373"/>
      <x:c r="M463" s="373"/>
      <x:c r="N463" s="373"/>
      <x:c r="O463" s="373"/>
      <x:c r="P463" s="373"/>
      <x:c r="Q463" s="373"/>
      <x:c r="R463" s="373"/>
      <x:c r="S463" s="373"/>
      <x:c r="T463" s="373"/>
      <x:c r="U463" s="373"/>
      <x:c r="V463" s="373"/>
      <x:c r="W463" s="373"/>
      <x:c r="X463" s="373"/>
      <x:c r="Y463" s="373"/>
      <x:c r="Z463" s="373"/>
    </x:row>
    <x:row r="464">
      <x:c r="A464" s="373"/>
      <x:c r="B464" s="373"/>
      <x:c r="C464" s="373"/>
      <x:c r="D464" s="373"/>
      <x:c r="E464" s="373"/>
      <x:c r="F464" s="373"/>
      <x:c r="G464" s="373"/>
      <x:c r="H464" s="373"/>
      <x:c r="I464" s="373"/>
      <x:c r="J464" s="373"/>
      <x:c r="K464" s="373"/>
      <x:c r="L464" s="373"/>
      <x:c r="M464" s="373"/>
      <x:c r="N464" s="373"/>
      <x:c r="O464" s="373"/>
      <x:c r="P464" s="373"/>
      <x:c r="Q464" s="373"/>
      <x:c r="R464" s="373"/>
      <x:c r="S464" s="373"/>
      <x:c r="T464" s="373"/>
      <x:c r="U464" s="373"/>
      <x:c r="V464" s="373"/>
      <x:c r="W464" s="373"/>
      <x:c r="X464" s="373"/>
      <x:c r="Y464" s="373"/>
      <x:c r="Z464" s="373"/>
    </x:row>
    <x:row r="465">
      <x:c r="A465" s="373"/>
      <x:c r="B465" s="373"/>
      <x:c r="C465" s="373"/>
      <x:c r="D465" s="373"/>
      <x:c r="E465" s="373"/>
      <x:c r="F465" s="373"/>
      <x:c r="G465" s="373"/>
      <x:c r="H465" s="373"/>
      <x:c r="I465" s="373"/>
      <x:c r="J465" s="373"/>
      <x:c r="K465" s="373"/>
      <x:c r="L465" s="373"/>
      <x:c r="M465" s="373"/>
      <x:c r="N465" s="373"/>
      <x:c r="O465" s="373"/>
      <x:c r="P465" s="373"/>
      <x:c r="Q465" s="373"/>
      <x:c r="R465" s="373"/>
      <x:c r="S465" s="373"/>
      <x:c r="T465" s="373"/>
      <x:c r="U465" s="373"/>
      <x:c r="V465" s="373"/>
      <x:c r="W465" s="373"/>
      <x:c r="X465" s="373"/>
      <x:c r="Y465" s="373"/>
      <x:c r="Z465" s="373"/>
    </x:row>
    <x:row r="466">
      <x:c r="A466" s="373"/>
      <x:c r="B466" s="373"/>
      <x:c r="C466" s="373"/>
      <x:c r="D466" s="373"/>
      <x:c r="E466" s="373"/>
      <x:c r="F466" s="373"/>
      <x:c r="G466" s="373"/>
      <x:c r="H466" s="373"/>
      <x:c r="I466" s="373"/>
      <x:c r="J466" s="373"/>
      <x:c r="K466" s="373"/>
      <x:c r="L466" s="373"/>
      <x:c r="M466" s="373"/>
      <x:c r="N466" s="373"/>
      <x:c r="O466" s="373"/>
      <x:c r="P466" s="373"/>
      <x:c r="Q466" s="373"/>
      <x:c r="R466" s="373"/>
      <x:c r="S466" s="373"/>
      <x:c r="T466" s="373"/>
      <x:c r="U466" s="373"/>
      <x:c r="V466" s="373"/>
      <x:c r="W466" s="373"/>
      <x:c r="X466" s="373"/>
      <x:c r="Y466" s="373"/>
      <x:c r="Z466" s="373"/>
    </x:row>
    <x:row r="467">
      <x:c r="A467" s="373"/>
      <x:c r="B467" s="373"/>
      <x:c r="C467" s="373"/>
      <x:c r="D467" s="373"/>
      <x:c r="E467" s="373"/>
      <x:c r="F467" s="373"/>
      <x:c r="G467" s="373"/>
      <x:c r="H467" s="373"/>
      <x:c r="I467" s="373"/>
      <x:c r="J467" s="373"/>
      <x:c r="K467" s="373"/>
      <x:c r="L467" s="373"/>
      <x:c r="M467" s="373"/>
      <x:c r="N467" s="373"/>
      <x:c r="O467" s="373"/>
      <x:c r="P467" s="373"/>
      <x:c r="Q467" s="373"/>
      <x:c r="R467" s="373"/>
      <x:c r="S467" s="373"/>
      <x:c r="T467" s="373"/>
      <x:c r="U467" s="373"/>
      <x:c r="V467" s="373"/>
      <x:c r="W467" s="373"/>
      <x:c r="X467" s="373"/>
      <x:c r="Y467" s="373"/>
      <x:c r="Z467" s="373"/>
    </x:row>
    <x:row r="468">
      <x:c r="A468" s="373"/>
      <x:c r="B468" s="373"/>
      <x:c r="C468" s="373"/>
      <x:c r="D468" s="373"/>
      <x:c r="E468" s="373"/>
      <x:c r="F468" s="373"/>
      <x:c r="G468" s="373"/>
      <x:c r="H468" s="373"/>
      <x:c r="I468" s="373"/>
      <x:c r="J468" s="373"/>
      <x:c r="K468" s="373"/>
      <x:c r="L468" s="373"/>
      <x:c r="M468" s="373"/>
      <x:c r="N468" s="373"/>
      <x:c r="O468" s="373"/>
      <x:c r="P468" s="373"/>
      <x:c r="Q468" s="373"/>
      <x:c r="R468" s="373"/>
      <x:c r="S468" s="373"/>
      <x:c r="T468" s="373"/>
      <x:c r="U468" s="373"/>
      <x:c r="V468" s="373"/>
      <x:c r="W468" s="373"/>
      <x:c r="X468" s="373"/>
      <x:c r="Y468" s="373"/>
      <x:c r="Z468" s="373"/>
    </x:row>
    <x:row r="469">
      <x:c r="A469" s="373"/>
      <x:c r="B469" s="373"/>
      <x:c r="C469" s="373"/>
      <x:c r="D469" s="373"/>
      <x:c r="E469" s="373"/>
      <x:c r="F469" s="373"/>
      <x:c r="G469" s="373"/>
      <x:c r="H469" s="373"/>
      <x:c r="I469" s="373"/>
      <x:c r="J469" s="373"/>
      <x:c r="K469" s="373"/>
      <x:c r="L469" s="373"/>
      <x:c r="M469" s="373"/>
      <x:c r="N469" s="373"/>
      <x:c r="O469" s="373"/>
      <x:c r="P469" s="373"/>
      <x:c r="Q469" s="373"/>
      <x:c r="R469" s="373"/>
      <x:c r="S469" s="373"/>
      <x:c r="T469" s="373"/>
      <x:c r="U469" s="373"/>
      <x:c r="V469" s="373"/>
      <x:c r="W469" s="373"/>
      <x:c r="X469" s="373"/>
      <x:c r="Y469" s="373"/>
      <x:c r="Z469" s="373"/>
    </x:row>
    <x:row r="470">
      <x:c r="A470" s="373"/>
      <x:c r="B470" s="373"/>
      <x:c r="C470" s="373"/>
      <x:c r="D470" s="373"/>
      <x:c r="E470" s="373"/>
      <x:c r="F470" s="373"/>
      <x:c r="G470" s="373"/>
      <x:c r="H470" s="373"/>
      <x:c r="I470" s="373"/>
      <x:c r="J470" s="373"/>
      <x:c r="K470" s="373"/>
      <x:c r="L470" s="373"/>
      <x:c r="M470" s="373"/>
      <x:c r="N470" s="373"/>
      <x:c r="O470" s="373"/>
      <x:c r="P470" s="373"/>
      <x:c r="Q470" s="373"/>
      <x:c r="R470" s="373"/>
      <x:c r="S470" s="373"/>
      <x:c r="T470" s="373"/>
      <x:c r="U470" s="373"/>
      <x:c r="V470" s="373"/>
      <x:c r="W470" s="373"/>
      <x:c r="X470" s="373"/>
      <x:c r="Y470" s="373"/>
      <x:c r="Z470" s="373"/>
    </x:row>
    <x:row r="471">
      <x:c r="A471" s="373"/>
      <x:c r="B471" s="373"/>
      <x:c r="C471" s="373"/>
      <x:c r="D471" s="373"/>
      <x:c r="E471" s="373"/>
      <x:c r="F471" s="373"/>
      <x:c r="G471" s="373"/>
      <x:c r="H471" s="373"/>
      <x:c r="I471" s="373"/>
      <x:c r="J471" s="373"/>
      <x:c r="K471" s="373"/>
      <x:c r="L471" s="373"/>
      <x:c r="M471" s="373"/>
      <x:c r="N471" s="373"/>
      <x:c r="O471" s="373"/>
      <x:c r="P471" s="373"/>
      <x:c r="Q471" s="373"/>
      <x:c r="R471" s="373"/>
      <x:c r="S471" s="373"/>
      <x:c r="T471" s="373"/>
      <x:c r="U471" s="373"/>
      <x:c r="V471" s="373"/>
      <x:c r="W471" s="373"/>
      <x:c r="X471" s="373"/>
      <x:c r="Y471" s="373"/>
      <x:c r="Z471" s="373"/>
    </x:row>
    <x:row r="472">
      <x:c r="A472" s="373"/>
      <x:c r="B472" s="373"/>
      <x:c r="C472" s="373"/>
      <x:c r="D472" s="373"/>
      <x:c r="E472" s="373"/>
      <x:c r="F472" s="373"/>
      <x:c r="G472" s="373"/>
      <x:c r="H472" s="373"/>
      <x:c r="I472" s="373"/>
      <x:c r="J472" s="373"/>
      <x:c r="K472" s="373"/>
      <x:c r="L472" s="373"/>
      <x:c r="M472" s="373"/>
      <x:c r="N472" s="373"/>
      <x:c r="O472" s="373"/>
      <x:c r="P472" s="373"/>
      <x:c r="Q472" s="373"/>
      <x:c r="R472" s="373"/>
      <x:c r="S472" s="373"/>
      <x:c r="T472" s="373"/>
      <x:c r="U472" s="373"/>
      <x:c r="V472" s="373"/>
      <x:c r="W472" s="373"/>
      <x:c r="X472" s="373"/>
      <x:c r="Y472" s="373"/>
      <x:c r="Z472" s="373"/>
    </x:row>
    <x:row r="473">
      <x:c r="A473" s="373"/>
      <x:c r="B473" s="373"/>
      <x:c r="C473" s="373"/>
      <x:c r="D473" s="373"/>
      <x:c r="E473" s="373"/>
      <x:c r="F473" s="373"/>
      <x:c r="G473" s="373"/>
      <x:c r="H473" s="373"/>
      <x:c r="I473" s="373"/>
      <x:c r="J473" s="373"/>
      <x:c r="K473" s="373"/>
      <x:c r="L473" s="373"/>
      <x:c r="M473" s="373"/>
      <x:c r="N473" s="373"/>
      <x:c r="O473" s="373"/>
      <x:c r="P473" s="373"/>
      <x:c r="Q473" s="373"/>
      <x:c r="R473" s="373"/>
      <x:c r="S473" s="373"/>
      <x:c r="T473" s="373"/>
      <x:c r="U473" s="373"/>
      <x:c r="V473" s="373"/>
      <x:c r="W473" s="373"/>
      <x:c r="X473" s="373"/>
      <x:c r="Y473" s="373"/>
      <x:c r="Z473" s="373"/>
    </x:row>
    <x:row r="474">
      <x:c r="A474" s="373"/>
      <x:c r="B474" s="373"/>
      <x:c r="C474" s="373"/>
      <x:c r="D474" s="373"/>
      <x:c r="E474" s="373"/>
      <x:c r="F474" s="373"/>
      <x:c r="G474" s="373"/>
      <x:c r="H474" s="373"/>
      <x:c r="I474" s="373"/>
      <x:c r="J474" s="373"/>
      <x:c r="K474" s="373"/>
      <x:c r="L474" s="373"/>
      <x:c r="M474" s="373"/>
      <x:c r="N474" s="373"/>
      <x:c r="O474" s="373"/>
      <x:c r="P474" s="373"/>
      <x:c r="Q474" s="373"/>
      <x:c r="R474" s="373"/>
      <x:c r="S474" s="373"/>
      <x:c r="T474" s="373"/>
      <x:c r="U474" s="373"/>
      <x:c r="V474" s="373"/>
      <x:c r="W474" s="373"/>
      <x:c r="X474" s="373"/>
      <x:c r="Y474" s="373"/>
      <x:c r="Z474" s="373"/>
    </x:row>
    <x:row r="475">
      <x:c r="A475" s="373"/>
      <x:c r="B475" s="373"/>
      <x:c r="C475" s="373"/>
      <x:c r="D475" s="373"/>
      <x:c r="E475" s="373"/>
      <x:c r="F475" s="373"/>
      <x:c r="G475" s="373"/>
      <x:c r="H475" s="373"/>
      <x:c r="I475" s="373"/>
      <x:c r="J475" s="373"/>
      <x:c r="K475" s="373"/>
      <x:c r="L475" s="373"/>
      <x:c r="M475" s="373"/>
      <x:c r="N475" s="373"/>
      <x:c r="O475" s="373"/>
      <x:c r="P475" s="373"/>
      <x:c r="Q475" s="373"/>
      <x:c r="R475" s="373"/>
      <x:c r="S475" s="373"/>
      <x:c r="T475" s="373"/>
      <x:c r="U475" s="373"/>
      <x:c r="V475" s="373"/>
      <x:c r="W475" s="373"/>
      <x:c r="X475" s="373"/>
      <x:c r="Y475" s="373"/>
      <x:c r="Z475" s="373"/>
    </x:row>
    <x:row r="476">
      <x:c r="A476" s="373"/>
      <x:c r="B476" s="373"/>
      <x:c r="C476" s="373"/>
      <x:c r="D476" s="373"/>
      <x:c r="E476" s="373"/>
      <x:c r="F476" s="373"/>
      <x:c r="G476" s="373"/>
      <x:c r="H476" s="373"/>
      <x:c r="I476" s="373"/>
      <x:c r="J476" s="373"/>
      <x:c r="K476" s="373"/>
      <x:c r="L476" s="373"/>
      <x:c r="M476" s="373"/>
      <x:c r="N476" s="373"/>
      <x:c r="O476" s="373"/>
      <x:c r="P476" s="373"/>
      <x:c r="Q476" s="373"/>
      <x:c r="R476" s="373"/>
      <x:c r="S476" s="373"/>
      <x:c r="T476" s="373"/>
      <x:c r="U476" s="373"/>
      <x:c r="V476" s="373"/>
      <x:c r="W476" s="373"/>
      <x:c r="X476" s="373"/>
      <x:c r="Y476" s="373"/>
      <x:c r="Z476" s="373"/>
    </x:row>
    <x:row r="477">
      <x:c r="A477" s="373"/>
      <x:c r="B477" s="373"/>
      <x:c r="C477" s="373"/>
      <x:c r="D477" s="373"/>
      <x:c r="E477" s="373"/>
      <x:c r="F477" s="373"/>
      <x:c r="G477" s="373"/>
      <x:c r="H477" s="373"/>
      <x:c r="I477" s="373"/>
      <x:c r="J477" s="373"/>
      <x:c r="K477" s="373"/>
      <x:c r="L477" s="373"/>
      <x:c r="M477" s="373"/>
      <x:c r="N477" s="373"/>
      <x:c r="O477" s="373"/>
      <x:c r="P477" s="373"/>
      <x:c r="Q477" s="373"/>
      <x:c r="R477" s="373"/>
      <x:c r="S477" s="373"/>
      <x:c r="T477" s="373"/>
      <x:c r="U477" s="373"/>
      <x:c r="V477" s="373"/>
      <x:c r="W477" s="373"/>
      <x:c r="X477" s="373"/>
      <x:c r="Y477" s="373"/>
      <x:c r="Z477" s="373"/>
    </x:row>
    <x:row r="478">
      <x:c r="A478" s="373"/>
      <x:c r="B478" s="373"/>
      <x:c r="C478" s="373"/>
      <x:c r="D478" s="373"/>
      <x:c r="E478" s="373"/>
      <x:c r="F478" s="373"/>
      <x:c r="G478" s="373"/>
      <x:c r="H478" s="373"/>
      <x:c r="I478" s="373"/>
      <x:c r="J478" s="373"/>
      <x:c r="K478" s="373"/>
      <x:c r="L478" s="373"/>
      <x:c r="M478" s="373"/>
      <x:c r="N478" s="373"/>
      <x:c r="O478" s="373"/>
      <x:c r="P478" s="373"/>
      <x:c r="Q478" s="373"/>
      <x:c r="R478" s="373"/>
      <x:c r="S478" s="373"/>
      <x:c r="T478" s="373"/>
      <x:c r="U478" s="373"/>
      <x:c r="V478" s="373"/>
      <x:c r="W478" s="373"/>
      <x:c r="X478" s="373"/>
      <x:c r="Y478" s="373"/>
      <x:c r="Z478" s="373"/>
    </x:row>
    <x:row r="479">
      <x:c r="A479" s="373"/>
      <x:c r="B479" s="373"/>
      <x:c r="C479" s="373"/>
      <x:c r="D479" s="373"/>
      <x:c r="E479" s="373"/>
      <x:c r="F479" s="373"/>
      <x:c r="G479" s="373"/>
      <x:c r="H479" s="373"/>
      <x:c r="I479" s="373"/>
      <x:c r="J479" s="373"/>
      <x:c r="K479" s="373"/>
      <x:c r="L479" s="373"/>
      <x:c r="M479" s="373"/>
      <x:c r="N479" s="373"/>
      <x:c r="O479" s="373"/>
      <x:c r="P479" s="373"/>
      <x:c r="Q479" s="373"/>
      <x:c r="R479" s="373"/>
      <x:c r="S479" s="373"/>
      <x:c r="T479" s="373"/>
      <x:c r="U479" s="373"/>
      <x:c r="V479" s="373"/>
      <x:c r="W479" s="373"/>
      <x:c r="X479" s="373"/>
      <x:c r="Y479" s="373"/>
      <x:c r="Z479" s="373"/>
    </x:row>
    <x:row r="480">
      <x:c r="A480" s="373"/>
      <x:c r="B480" s="373"/>
      <x:c r="C480" s="373"/>
      <x:c r="D480" s="373"/>
      <x:c r="E480" s="373"/>
      <x:c r="F480" s="373"/>
      <x:c r="G480" s="373"/>
      <x:c r="H480" s="373"/>
      <x:c r="I480" s="373"/>
      <x:c r="J480" s="373"/>
      <x:c r="K480" s="373"/>
      <x:c r="L480" s="373"/>
      <x:c r="M480" s="373"/>
      <x:c r="N480" s="373"/>
      <x:c r="O480" s="373"/>
      <x:c r="P480" s="373"/>
      <x:c r="Q480" s="373"/>
      <x:c r="R480" s="373"/>
      <x:c r="S480" s="373"/>
      <x:c r="T480" s="373"/>
      <x:c r="U480" s="373"/>
      <x:c r="V480" s="373"/>
      <x:c r="W480" s="373"/>
      <x:c r="X480" s="373"/>
      <x:c r="Y480" s="373"/>
      <x:c r="Z480" s="373"/>
    </x:row>
    <x:row r="481">
      <x:c r="A481" s="373"/>
      <x:c r="B481" s="373"/>
      <x:c r="C481" s="373"/>
      <x:c r="D481" s="373"/>
      <x:c r="E481" s="373"/>
      <x:c r="F481" s="373"/>
      <x:c r="G481" s="373"/>
      <x:c r="H481" s="373"/>
      <x:c r="I481" s="373"/>
      <x:c r="J481" s="373"/>
      <x:c r="K481" s="373"/>
      <x:c r="L481" s="373"/>
      <x:c r="M481" s="373"/>
      <x:c r="N481" s="373"/>
      <x:c r="O481" s="373"/>
      <x:c r="P481" s="373"/>
      <x:c r="Q481" s="373"/>
      <x:c r="R481" s="373"/>
      <x:c r="S481" s="373"/>
      <x:c r="T481" s="373"/>
      <x:c r="U481" s="373"/>
      <x:c r="V481" s="373"/>
      <x:c r="W481" s="373"/>
      <x:c r="X481" s="373"/>
      <x:c r="Y481" s="373"/>
      <x:c r="Z481" s="373"/>
    </x:row>
    <x:row r="482">
      <x:c r="A482" s="373"/>
      <x:c r="B482" s="373"/>
      <x:c r="C482" s="373"/>
      <x:c r="D482" s="373"/>
      <x:c r="E482" s="373"/>
      <x:c r="F482" s="373"/>
      <x:c r="G482" s="373"/>
      <x:c r="H482" s="373"/>
      <x:c r="I482" s="373"/>
      <x:c r="J482" s="373"/>
      <x:c r="K482" s="373"/>
      <x:c r="L482" s="373"/>
      <x:c r="M482" s="373"/>
      <x:c r="N482" s="373"/>
      <x:c r="O482" s="373"/>
      <x:c r="P482" s="373"/>
      <x:c r="Q482" s="373"/>
      <x:c r="R482" s="373"/>
      <x:c r="S482" s="373"/>
      <x:c r="T482" s="373"/>
      <x:c r="U482" s="373"/>
      <x:c r="V482" s="373"/>
      <x:c r="W482" s="373"/>
      <x:c r="X482" s="373"/>
      <x:c r="Y482" s="373"/>
      <x:c r="Z482" s="373"/>
    </x:row>
    <x:row r="483">
      <x:c r="A483" s="373"/>
      <x:c r="B483" s="373"/>
      <x:c r="C483" s="373"/>
      <x:c r="D483" s="373"/>
      <x:c r="E483" s="373"/>
      <x:c r="F483" s="373"/>
      <x:c r="G483" s="373"/>
      <x:c r="H483" s="373"/>
      <x:c r="I483" s="373"/>
      <x:c r="J483" s="373"/>
      <x:c r="K483" s="373"/>
      <x:c r="L483" s="373"/>
      <x:c r="M483" s="373"/>
      <x:c r="N483" s="373"/>
      <x:c r="O483" s="373"/>
      <x:c r="P483" s="373"/>
      <x:c r="Q483" s="373"/>
      <x:c r="R483" s="373"/>
      <x:c r="S483" s="373"/>
      <x:c r="T483" s="373"/>
      <x:c r="U483" s="373"/>
      <x:c r="V483" s="373"/>
      <x:c r="W483" s="373"/>
      <x:c r="X483" s="373"/>
      <x:c r="Y483" s="373"/>
      <x:c r="Z483" s="373"/>
    </x:row>
    <x:row r="484">
      <x:c r="A484" s="373"/>
      <x:c r="B484" s="373"/>
      <x:c r="C484" s="373"/>
      <x:c r="D484" s="373"/>
      <x:c r="E484" s="373"/>
      <x:c r="F484" s="373"/>
      <x:c r="G484" s="373"/>
      <x:c r="H484" s="373"/>
      <x:c r="I484" s="373"/>
      <x:c r="J484" s="373"/>
      <x:c r="K484" s="373"/>
      <x:c r="L484" s="373"/>
      <x:c r="M484" s="373"/>
      <x:c r="N484" s="373"/>
      <x:c r="O484" s="373"/>
      <x:c r="P484" s="373"/>
      <x:c r="Q484" s="373"/>
      <x:c r="R484" s="373"/>
      <x:c r="S484" s="373"/>
      <x:c r="T484" s="373"/>
      <x:c r="U484" s="373"/>
      <x:c r="V484" s="373"/>
      <x:c r="W484" s="373"/>
      <x:c r="X484" s="373"/>
      <x:c r="Y484" s="373"/>
      <x:c r="Z484" s="373"/>
    </x:row>
    <x:row r="485">
      <x:c r="A485" s="373"/>
      <x:c r="B485" s="373"/>
      <x:c r="C485" s="373"/>
      <x:c r="D485" s="373"/>
      <x:c r="E485" s="373"/>
      <x:c r="F485" s="373"/>
      <x:c r="G485" s="373"/>
      <x:c r="H485" s="373"/>
      <x:c r="I485" s="373"/>
      <x:c r="J485" s="373"/>
      <x:c r="K485" s="373"/>
      <x:c r="L485" s="373"/>
      <x:c r="M485" s="373"/>
      <x:c r="N485" s="373"/>
      <x:c r="O485" s="373"/>
      <x:c r="P485" s="373"/>
      <x:c r="Q485" s="373"/>
      <x:c r="R485" s="373"/>
      <x:c r="S485" s="373"/>
      <x:c r="T485" s="373"/>
      <x:c r="U485" s="373"/>
      <x:c r="V485" s="373"/>
      <x:c r="W485" s="373"/>
      <x:c r="X485" s="373"/>
      <x:c r="Y485" s="373"/>
      <x:c r="Z485" s="373"/>
    </x:row>
    <x:row r="486">
      <x:c r="A486" s="373"/>
      <x:c r="B486" s="373"/>
      <x:c r="C486" s="373"/>
      <x:c r="D486" s="373"/>
      <x:c r="E486" s="373"/>
      <x:c r="F486" s="373"/>
      <x:c r="G486" s="373"/>
      <x:c r="H486" s="373"/>
      <x:c r="I486" s="373"/>
      <x:c r="J486" s="373"/>
      <x:c r="K486" s="373"/>
      <x:c r="L486" s="373"/>
      <x:c r="M486" s="373"/>
      <x:c r="N486" s="373"/>
      <x:c r="O486" s="373"/>
      <x:c r="P486" s="373"/>
      <x:c r="Q486" s="373"/>
      <x:c r="R486" s="373"/>
      <x:c r="S486" s="373"/>
      <x:c r="T486" s="373"/>
      <x:c r="U486" s="373"/>
      <x:c r="V486" s="373"/>
      <x:c r="W486" s="373"/>
      <x:c r="X486" s="373"/>
      <x:c r="Y486" s="373"/>
      <x:c r="Z486" s="373"/>
    </x:row>
    <x:row r="487">
      <x:c r="A487" s="373"/>
      <x:c r="B487" s="373"/>
      <x:c r="C487" s="373"/>
      <x:c r="D487" s="373"/>
      <x:c r="E487" s="373"/>
      <x:c r="F487" s="373"/>
      <x:c r="G487" s="373"/>
      <x:c r="H487" s="373"/>
      <x:c r="I487" s="373"/>
      <x:c r="J487" s="373"/>
      <x:c r="K487" s="373"/>
      <x:c r="L487" s="373"/>
      <x:c r="M487" s="373"/>
      <x:c r="N487" s="373"/>
      <x:c r="O487" s="373"/>
      <x:c r="P487" s="373"/>
      <x:c r="Q487" s="373"/>
      <x:c r="R487" s="373"/>
      <x:c r="S487" s="373"/>
      <x:c r="T487" s="373"/>
      <x:c r="U487" s="373"/>
      <x:c r="V487" s="373"/>
      <x:c r="W487" s="373"/>
      <x:c r="X487" s="373"/>
      <x:c r="Y487" s="373"/>
      <x:c r="Z487" s="373"/>
    </x:row>
    <x:row r="488">
      <x:c r="A488" s="373"/>
      <x:c r="B488" s="373"/>
      <x:c r="C488" s="373"/>
      <x:c r="D488" s="373"/>
      <x:c r="E488" s="373"/>
      <x:c r="F488" s="373"/>
      <x:c r="G488" s="373"/>
      <x:c r="H488" s="373"/>
      <x:c r="I488" s="373"/>
      <x:c r="J488" s="373"/>
      <x:c r="K488" s="373"/>
      <x:c r="L488" s="373"/>
      <x:c r="M488" s="373"/>
      <x:c r="N488" s="373"/>
      <x:c r="O488" s="373"/>
      <x:c r="P488" s="373"/>
      <x:c r="Q488" s="373"/>
      <x:c r="R488" s="373"/>
      <x:c r="S488" s="373"/>
      <x:c r="T488" s="373"/>
      <x:c r="U488" s="373"/>
      <x:c r="V488" s="373"/>
      <x:c r="W488" s="373"/>
      <x:c r="X488" s="373"/>
      <x:c r="Y488" s="373"/>
      <x:c r="Z488" s="373"/>
    </x:row>
    <x:row r="489">
      <x:c r="A489" s="373"/>
      <x:c r="B489" s="373"/>
      <x:c r="C489" s="373"/>
      <x:c r="D489" s="373"/>
      <x:c r="E489" s="373"/>
      <x:c r="F489" s="373"/>
      <x:c r="G489" s="373"/>
      <x:c r="H489" s="373"/>
      <x:c r="I489" s="373"/>
      <x:c r="J489" s="373"/>
      <x:c r="K489" s="373"/>
      <x:c r="L489" s="373"/>
      <x:c r="M489" s="373"/>
      <x:c r="N489" s="373"/>
      <x:c r="O489" s="373"/>
      <x:c r="P489" s="373"/>
      <x:c r="Q489" s="373"/>
      <x:c r="R489" s="373"/>
      <x:c r="S489" s="373"/>
      <x:c r="T489" s="373"/>
      <x:c r="U489" s="373"/>
      <x:c r="V489" s="373"/>
      <x:c r="W489" s="373"/>
      <x:c r="X489" s="373"/>
      <x:c r="Y489" s="373"/>
      <x:c r="Z489" s="373"/>
    </x:row>
    <x:row r="490">
      <x:c r="A490" s="373"/>
      <x:c r="B490" s="373"/>
      <x:c r="C490" s="373"/>
      <x:c r="D490" s="373"/>
      <x:c r="E490" s="373"/>
      <x:c r="F490" s="373"/>
      <x:c r="G490" s="373"/>
      <x:c r="H490" s="373"/>
      <x:c r="I490" s="373"/>
      <x:c r="J490" s="373"/>
      <x:c r="K490" s="373"/>
      <x:c r="L490" s="373"/>
      <x:c r="M490" s="373"/>
      <x:c r="N490" s="373"/>
      <x:c r="O490" s="373"/>
      <x:c r="P490" s="373"/>
      <x:c r="Q490" s="373"/>
      <x:c r="R490" s="373"/>
      <x:c r="S490" s="373"/>
      <x:c r="T490" s="373"/>
      <x:c r="U490" s="373"/>
      <x:c r="V490" s="373"/>
      <x:c r="W490" s="373"/>
      <x:c r="X490" s="373"/>
      <x:c r="Y490" s="373"/>
      <x:c r="Z490" s="373"/>
    </x:row>
    <x:row r="491">
      <x:c r="A491" s="373"/>
      <x:c r="B491" s="373"/>
      <x:c r="C491" s="373"/>
      <x:c r="D491" s="373"/>
      <x:c r="E491" s="373"/>
      <x:c r="F491" s="373"/>
      <x:c r="G491" s="373"/>
      <x:c r="H491" s="373"/>
      <x:c r="I491" s="373"/>
      <x:c r="J491" s="373"/>
      <x:c r="K491" s="373"/>
      <x:c r="L491" s="373"/>
      <x:c r="M491" s="373"/>
      <x:c r="N491" s="373"/>
      <x:c r="O491" s="373"/>
      <x:c r="P491" s="373"/>
      <x:c r="Q491" s="373"/>
      <x:c r="R491" s="373"/>
      <x:c r="S491" s="373"/>
      <x:c r="T491" s="373"/>
      <x:c r="U491" s="373"/>
      <x:c r="V491" s="373"/>
      <x:c r="W491" s="373"/>
      <x:c r="X491" s="373"/>
      <x:c r="Y491" s="373"/>
      <x:c r="Z491" s="373"/>
    </x:row>
    <x:row r="492">
      <x:c r="A492" s="373"/>
      <x:c r="B492" s="373"/>
      <x:c r="C492" s="373"/>
      <x:c r="D492" s="373"/>
      <x:c r="E492" s="373"/>
      <x:c r="F492" s="373"/>
      <x:c r="G492" s="373"/>
      <x:c r="H492" s="373"/>
      <x:c r="I492" s="373"/>
      <x:c r="J492" s="373"/>
      <x:c r="K492" s="373"/>
      <x:c r="L492" s="373"/>
      <x:c r="M492" s="373"/>
      <x:c r="N492" s="373"/>
      <x:c r="O492" s="373"/>
      <x:c r="P492" s="373"/>
      <x:c r="Q492" s="373"/>
      <x:c r="R492" s="373"/>
      <x:c r="S492" s="373"/>
      <x:c r="T492" s="373"/>
      <x:c r="U492" s="373"/>
      <x:c r="V492" s="373"/>
      <x:c r="W492" s="373"/>
      <x:c r="X492" s="373"/>
      <x:c r="Y492" s="373"/>
      <x:c r="Z492" s="373"/>
    </x:row>
    <x:row r="493">
      <x:c r="A493" s="373"/>
      <x:c r="B493" s="373"/>
      <x:c r="C493" s="373"/>
      <x:c r="D493" s="373"/>
      <x:c r="E493" s="373"/>
      <x:c r="F493" s="373"/>
      <x:c r="G493" s="373"/>
      <x:c r="H493" s="373"/>
      <x:c r="I493" s="373"/>
      <x:c r="J493" s="373"/>
      <x:c r="K493" s="373"/>
      <x:c r="L493" s="373"/>
      <x:c r="M493" s="373"/>
      <x:c r="N493" s="373"/>
      <x:c r="O493" s="373"/>
      <x:c r="P493" s="373"/>
      <x:c r="Q493" s="373"/>
      <x:c r="R493" s="373"/>
      <x:c r="S493" s="373"/>
      <x:c r="T493" s="373"/>
      <x:c r="U493" s="373"/>
      <x:c r="V493" s="373"/>
      <x:c r="W493" s="373"/>
      <x:c r="X493" s="373"/>
      <x:c r="Y493" s="373"/>
      <x:c r="Z493" s="373"/>
    </x:row>
    <x:row r="494">
      <x:c r="A494" s="373"/>
      <x:c r="B494" s="373"/>
      <x:c r="C494" s="373"/>
      <x:c r="D494" s="373"/>
      <x:c r="E494" s="373"/>
      <x:c r="F494" s="373"/>
      <x:c r="G494" s="373"/>
      <x:c r="H494" s="373"/>
      <x:c r="I494" s="373"/>
      <x:c r="J494" s="373"/>
      <x:c r="K494" s="373"/>
      <x:c r="L494" s="373"/>
      <x:c r="M494" s="373"/>
      <x:c r="N494" s="373"/>
      <x:c r="O494" s="373"/>
      <x:c r="P494" s="373"/>
      <x:c r="Q494" s="373"/>
      <x:c r="R494" s="373"/>
      <x:c r="S494" s="373"/>
      <x:c r="T494" s="373"/>
      <x:c r="U494" s="373"/>
      <x:c r="V494" s="373"/>
      <x:c r="W494" s="373"/>
      <x:c r="X494" s="373"/>
      <x:c r="Y494" s="373"/>
      <x:c r="Z494" s="373"/>
    </x:row>
    <x:row r="495">
      <x:c r="A495" s="373"/>
      <x:c r="B495" s="373"/>
      <x:c r="C495" s="373"/>
      <x:c r="D495" s="373"/>
      <x:c r="E495" s="373"/>
      <x:c r="F495" s="373"/>
      <x:c r="G495" s="373"/>
      <x:c r="H495" s="373"/>
      <x:c r="I495" s="373"/>
      <x:c r="J495" s="373"/>
      <x:c r="K495" s="373"/>
      <x:c r="L495" s="373"/>
      <x:c r="M495" s="373"/>
      <x:c r="N495" s="373"/>
      <x:c r="O495" s="373"/>
      <x:c r="P495" s="373"/>
      <x:c r="Q495" s="373"/>
      <x:c r="R495" s="373"/>
      <x:c r="S495" s="373"/>
      <x:c r="T495" s="373"/>
      <x:c r="U495" s="373"/>
      <x:c r="V495" s="373"/>
      <x:c r="W495" s="373"/>
      <x:c r="X495" s="373"/>
      <x:c r="Y495" s="373"/>
      <x:c r="Z495" s="373"/>
    </x:row>
    <x:row r="496">
      <x:c r="A496" s="373"/>
      <x:c r="B496" s="373"/>
      <x:c r="C496" s="373"/>
      <x:c r="D496" s="373"/>
      <x:c r="E496" s="373"/>
      <x:c r="F496" s="373"/>
      <x:c r="G496" s="373"/>
      <x:c r="H496" s="373"/>
      <x:c r="I496" s="373"/>
      <x:c r="J496" s="373"/>
      <x:c r="K496" s="373"/>
      <x:c r="L496" s="373"/>
      <x:c r="M496" s="373"/>
      <x:c r="N496" s="373"/>
      <x:c r="O496" s="373"/>
      <x:c r="P496" s="373"/>
      <x:c r="Q496" s="373"/>
      <x:c r="R496" s="373"/>
      <x:c r="S496" s="373"/>
      <x:c r="T496" s="373"/>
      <x:c r="U496" s="373"/>
      <x:c r="V496" s="373"/>
      <x:c r="W496" s="373"/>
      <x:c r="X496" s="373"/>
      <x:c r="Y496" s="373"/>
      <x:c r="Z496" s="373"/>
    </x:row>
    <x:row r="497">
      <x:c r="A497" s="373"/>
      <x:c r="B497" s="373"/>
      <x:c r="C497" s="373"/>
      <x:c r="D497" s="373"/>
      <x:c r="E497" s="373"/>
      <x:c r="F497" s="373"/>
      <x:c r="G497" s="373"/>
      <x:c r="H497" s="373"/>
      <x:c r="I497" s="373"/>
      <x:c r="J497" s="373"/>
      <x:c r="K497" s="373"/>
      <x:c r="L497" s="373"/>
      <x:c r="M497" s="373"/>
      <x:c r="N497" s="373"/>
      <x:c r="O497" s="373"/>
      <x:c r="P497" s="373"/>
      <x:c r="Q497" s="373"/>
      <x:c r="R497" s="373"/>
      <x:c r="S497" s="373"/>
      <x:c r="T497" s="373"/>
      <x:c r="U497" s="373"/>
      <x:c r="V497" s="373"/>
      <x:c r="W497" s="373"/>
      <x:c r="X497" s="373"/>
      <x:c r="Y497" s="373"/>
      <x:c r="Z497" s="373"/>
    </x:row>
    <x:row r="498">
      <x:c r="A498" s="373"/>
      <x:c r="B498" s="373"/>
      <x:c r="C498" s="373"/>
      <x:c r="D498" s="373"/>
      <x:c r="E498" s="373"/>
      <x:c r="F498" s="373"/>
      <x:c r="G498" s="373"/>
      <x:c r="H498" s="373"/>
      <x:c r="I498" s="373"/>
      <x:c r="J498" s="373"/>
      <x:c r="K498" s="373"/>
      <x:c r="L498" s="373"/>
      <x:c r="M498" s="373"/>
      <x:c r="N498" s="373"/>
      <x:c r="O498" s="373"/>
      <x:c r="P498" s="373"/>
      <x:c r="Q498" s="373"/>
      <x:c r="R498" s="373"/>
      <x:c r="S498" s="373"/>
      <x:c r="T498" s="373"/>
      <x:c r="U498" s="373"/>
      <x:c r="V498" s="373"/>
      <x:c r="W498" s="373"/>
      <x:c r="X498" s="373"/>
      <x:c r="Y498" s="373"/>
      <x:c r="Z498" s="373"/>
    </x:row>
    <x:row r="499">
      <x:c r="A499" s="373"/>
      <x:c r="B499" s="373"/>
      <x:c r="C499" s="373"/>
      <x:c r="D499" s="373"/>
      <x:c r="E499" s="373"/>
      <x:c r="F499" s="373"/>
      <x:c r="G499" s="373"/>
      <x:c r="H499" s="373"/>
      <x:c r="I499" s="373"/>
      <x:c r="J499" s="373"/>
      <x:c r="K499" s="373"/>
      <x:c r="L499" s="373"/>
      <x:c r="M499" s="373"/>
      <x:c r="N499" s="373"/>
      <x:c r="O499" s="373"/>
      <x:c r="P499" s="373"/>
      <x:c r="Q499" s="373"/>
      <x:c r="R499" s="373"/>
      <x:c r="S499" s="373"/>
      <x:c r="T499" s="373"/>
      <x:c r="U499" s="373"/>
      <x:c r="V499" s="373"/>
      <x:c r="W499" s="373"/>
      <x:c r="X499" s="373"/>
      <x:c r="Y499" s="373"/>
      <x:c r="Z499" s="373"/>
    </x:row>
    <x:row r="500">
      <x:c r="A500" s="373"/>
      <x:c r="B500" s="373"/>
      <x:c r="C500" s="373"/>
      <x:c r="D500" s="373"/>
      <x:c r="E500" s="373"/>
      <x:c r="F500" s="373"/>
      <x:c r="G500" s="373"/>
      <x:c r="H500" s="373"/>
      <x:c r="I500" s="373"/>
      <x:c r="J500" s="373"/>
      <x:c r="K500" s="373"/>
      <x:c r="L500" s="373"/>
      <x:c r="M500" s="373"/>
      <x:c r="N500" s="373"/>
      <x:c r="O500" s="373"/>
      <x:c r="P500" s="373"/>
      <x:c r="Q500" s="373"/>
      <x:c r="R500" s="373"/>
      <x:c r="S500" s="373"/>
      <x:c r="T500" s="373"/>
      <x:c r="U500" s="373"/>
      <x:c r="V500" s="373"/>
      <x:c r="W500" s="373"/>
      <x:c r="X500" s="373"/>
      <x:c r="Y500" s="373"/>
      <x:c r="Z500" s="373"/>
    </x:row>
  </x:sheetData>
  <x:mergeCells>
    <x:mergeCell ref="A1:Q1"/>
    <x:mergeCell ref="A2:Q2"/>
  </x:mergeCells>
  <x:conditionalFormatting sqref="L5:L24">
    <x:cfRule type="expression" dxfId="40" priority="1">
      <x:formula>L5="Done"</x:formula>
    </x:cfRule>
    <x:cfRule type="expression" dxfId="41" priority="2">
      <x:formula>L5="Passed"</x:formula>
    </x:cfRule>
    <x:cfRule type="expression" dxfId="42" priority="3">
      <x:formula>L5="In Progress"</x:formula>
    </x:cfRule>
    <x:cfRule type="expression" dxfId="43" priority="4">
      <x:formula>L5="In Review"</x:formula>
    </x:cfRule>
    <x:cfRule type="expression" dxfId="44" priority="5">
      <x:formula>L5="Blocked"</x:formula>
    </x:cfRule>
    <x:cfRule type="expression" dxfId="45" priority="6">
      <x:formula>L5="Failed"</x:formula>
    </x:cfRule>
    <x:cfRule type="expression" dxfId="46" priority="7">
      <x:formula>L5="Not Run"</x:formula>
    </x:cfRule>
    <x:cfRule type="expression" dxfId="47" priority="8">
      <x:formula>L5="Backlog"</x:formula>
    </x:cfRule>
  </x:conditionalFormatting>
  <x:dataValidations count="1">
    <x:dataValidation type="list" sqref="G5:G24">
      <x:formula1>"Higher,Lower,Equal"</x:formula1>
    </x:dataValidation>
  </x:dataValidations>
  <x:pageMargins left="0.7" right="0.7" top="0.75" bottom="0.75" header="0.3" footer="0.3"/>
  <x:tableParts count="1">
    <x:tablePart xmlns:r="http://schemas.openxmlformats.org/officeDocument/2006/relationships" r:id="Re464e29851484953"/>
  </x:tableParts>
</x:worksheet>
</file>

<file path=xl/worksheets/sheet10.xml><?xml version="1.0" encoding="utf-8"?>
<x:worksheet xmlns:x="http://schemas.openxmlformats.org/spreadsheetml/2006/main">
  <x:sheetFormatPr defaultRowHeight="15"/>
  <x:cols>
    <x:col min="1" max="1" width="12" hidden="0" customWidth="1"/>
    <x:col min="2" max="2" width="10" hidden="0" customWidth="1"/>
    <x:col min="3" max="3" width="24" hidden="0" customWidth="1"/>
    <x:col min="4" max="4" width="50" hidden="0" customWidth="1"/>
    <x:col min="5" max="5" width="20" hidden="0" customWidth="1"/>
    <x:col min="6" max="6" width="12" hidden="0" customWidth="1"/>
    <x:col min="7" max="7" width="13" hidden="0" customWidth="1"/>
    <x:col min="8" max="8" width="12" hidden="0" customWidth="1"/>
    <x:col min="9" max="9" width="15" hidden="0" customWidth="1"/>
    <x:col min="10" max="10" width="32" hidden="0" customWidth="1"/>
    <x:col min="11" max="11" width="12" hidden="0" customWidth="1"/>
    <x:col min="12" max="12" width="28" hidden="0" customWidth="1"/>
  </x:cols>
  <x:sheetData>
    <x:row r="1" ht="32" customHeight="1">
      <x:c r="A1" s="486" t="str">
        <x:v>Release Gates</x:v>
      </x:c>
      <x:c r="B1" s="486"/>
      <x:c r="C1" s="486"/>
      <x:c r="D1" s="486"/>
      <x:c r="E1" s="486"/>
      <x:c r="F1" s="486"/>
      <x:c r="G1" s="486"/>
      <x:c r="H1" s="486"/>
      <x:c r="I1" s="486"/>
      <x:c r="J1" s="486"/>
      <x:c r="K1" s="486"/>
      <x:c r="L1" s="486"/>
      <x:c r="M1" s="373"/>
      <x:c r="N1" s="373"/>
      <x:c r="O1" s="373"/>
      <x:c r="P1" s="373"/>
      <x:c r="Q1" s="373"/>
      <x:c r="R1" s="373"/>
      <x:c r="S1" s="373"/>
      <x:c r="T1" s="373"/>
      <x:c r="U1" s="373"/>
      <x:c r="V1" s="373"/>
      <x:c r="W1" s="373"/>
      <x:c r="X1" s="373"/>
      <x:c r="Y1" s="373"/>
      <x:c r="Z1" s="373"/>
    </x:row>
    <x:row r="2" ht="22" customHeight="1">
      <x:c r="A2" s="374" t="str">
        <x:v>A version is tagged only after all mandatory gates pass or have an explicitly approved waiver.</x:v>
      </x:c>
      <x:c r="B2" s="374"/>
      <x:c r="C2" s="374"/>
      <x:c r="D2" s="374"/>
      <x:c r="E2" s="374"/>
      <x:c r="F2" s="374"/>
      <x:c r="G2" s="374"/>
      <x:c r="H2" s="374"/>
      <x:c r="I2" s="374"/>
      <x:c r="J2" s="374"/>
      <x:c r="K2" s="374"/>
      <x:c r="L2" s="374"/>
      <x:c r="M2" s="373"/>
      <x:c r="N2" s="373"/>
      <x:c r="O2" s="373"/>
      <x:c r="P2" s="373"/>
      <x:c r="Q2" s="373"/>
      <x:c r="R2" s="373"/>
      <x:c r="S2" s="373"/>
      <x:c r="T2" s="373"/>
      <x:c r="U2" s="373"/>
      <x:c r="V2" s="373"/>
      <x:c r="W2" s="373"/>
      <x:c r="X2" s="373"/>
      <x:c r="Y2" s="373"/>
      <x:c r="Z2" s="373"/>
    </x:row>
    <x:row r="3">
      <x:c r="A3" s="373"/>
      <x:c r="B3" s="373"/>
      <x:c r="C3" s="373"/>
      <x:c r="D3" s="373"/>
      <x:c r="E3" s="373"/>
      <x:c r="F3" s="373"/>
      <x:c r="G3" s="373"/>
      <x:c r="H3" s="373"/>
      <x:c r="I3" s="373"/>
      <x:c r="J3" s="373"/>
      <x:c r="K3" s="373"/>
      <x:c r="L3" s="373"/>
      <x:c r="M3" s="373"/>
      <x:c r="N3" s="373"/>
      <x:c r="O3" s="373"/>
      <x:c r="P3" s="373"/>
      <x:c r="Q3" s="373"/>
      <x:c r="R3" s="373"/>
      <x:c r="S3" s="373"/>
      <x:c r="T3" s="373"/>
      <x:c r="U3" s="373"/>
      <x:c r="V3" s="373"/>
      <x:c r="W3" s="373"/>
      <x:c r="X3" s="373"/>
      <x:c r="Y3" s="373"/>
      <x:c r="Z3" s="373"/>
    </x:row>
    <x:row r="4">
      <x:c r="A4" s="409" t="str">
        <x:v>Gate ID</x:v>
      </x:c>
      <x:c r="B4" s="413" t="str">
        <x:v>Release</x:v>
      </x:c>
      <x:c r="C4" s="413" t="str">
        <x:v>Gate</x:v>
      </x:c>
      <x:c r="D4" s="413" t="str">
        <x:v>Acceptance Rule</x:v>
      </x:c>
      <x:c r="E4" s="413" t="str">
        <x:v>Metric Source</x:v>
      </x:c>
      <x:c r="F4" s="413" t="str">
        <x:v>Target</x:v>
      </x:c>
      <x:c r="G4" s="413" t="str">
        <x:v>Unit</x:v>
      </x:c>
      <x:c r="H4" s="413" t="str">
        <x:v>Current</x:v>
      </x:c>
      <x:c r="I4" s="413" t="str">
        <x:v>Status</x:v>
      </x:c>
      <x:c r="J4" s="413" t="str">
        <x:v>Evidence</x:v>
      </x:c>
      <x:c r="K4" s="413" t="str">
        <x:v>Owner</x:v>
      </x:c>
      <x:c r="L4" s="410" t="str">
        <x:v>Notes</x:v>
      </x:c>
      <x:c r="M4" s="373"/>
      <x:c r="N4" s="373"/>
      <x:c r="O4" s="373"/>
      <x:c r="P4" s="373"/>
      <x:c r="Q4" s="373"/>
      <x:c r="R4" s="373"/>
      <x:c r="S4" s="373"/>
      <x:c r="T4" s="373"/>
      <x:c r="U4" s="373"/>
      <x:c r="V4" s="373"/>
      <x:c r="W4" s="373"/>
      <x:c r="X4" s="373"/>
      <x:c r="Y4" s="373"/>
      <x:c r="Z4" s="373"/>
    </x:row>
    <x:row r="5">
      <x:c r="A5" s="411" t="str">
        <x:v>GATE-001</x:v>
      </x:c>
      <x:c r="B5" s="411" t="str">
        <x:v>v0.1.1</x:v>
      </x:c>
      <x:c r="C5" s="411" t="str">
        <x:v>Feature acceptance</x:v>
      </x:c>
      <x:c r="D5" s="411" t="str">
        <x:v>All Critical features complete; no unapproved blocked Critical item.</x:v>
      </x:c>
      <x:c r="E5" s="411" t="str">
        <x:v>Features</x:v>
      </x:c>
      <x:c r="F5" s="411" t="n">
        <x:v>100</x:v>
      </x:c>
      <x:c r="G5" s="411" t="str">
        <x:v>%</x:v>
      </x:c>
      <x:c r="H5" s="488"/>
      <x:c r="I5" s="488" t="str">
        <x:v>Not Evaluated</x:v>
      </x:c>
      <x:c r="J5" s="411" t="str"/>
      <x:c r="K5" s="411" t="str">
        <x:v>Devansh</x:v>
      </x:c>
      <x:c r="L5" s="411" t="str"/>
      <x:c r="M5" s="373"/>
      <x:c r="N5" s="373"/>
      <x:c r="O5" s="373"/>
      <x:c r="P5" s="373"/>
      <x:c r="Q5" s="373"/>
      <x:c r="R5" s="373"/>
      <x:c r="S5" s="373"/>
      <x:c r="T5" s="373"/>
      <x:c r="U5" s="373"/>
      <x:c r="V5" s="373"/>
      <x:c r="W5" s="373"/>
      <x:c r="X5" s="373"/>
      <x:c r="Y5" s="373"/>
      <x:c r="Z5" s="373"/>
    </x:row>
    <x:row r="6">
      <x:c r="A6" s="411" t="str">
        <x:v>GATE-002</x:v>
      </x:c>
      <x:c r="B6" s="411" t="str">
        <x:v>v0.1.1</x:v>
      </x:c>
      <x:c r="C6" s="411" t="str">
        <x:v>Verification</x:v>
      </x:c>
      <x:c r="D6" s="411" t="str">
        <x:v>All executed Critical tests pass and planned coverage is complete for release scope.</x:v>
      </x:c>
      <x:c r="E6" s="411" t="str">
        <x:v>Test_Cases</x:v>
      </x:c>
      <x:c r="F6" s="411" t="n">
        <x:v>100</x:v>
      </x:c>
      <x:c r="G6" s="411" t="str">
        <x:v>%</x:v>
      </x:c>
      <x:c r="H6" s="488"/>
      <x:c r="I6" s="488" t="str">
        <x:v>Not Evaluated</x:v>
      </x:c>
      <x:c r="J6" s="411" t="str"/>
      <x:c r="K6" s="411" t="str">
        <x:v>Devansh</x:v>
      </x:c>
      <x:c r="L6" s="411" t="str"/>
      <x:c r="M6" s="373"/>
      <x:c r="N6" s="373"/>
      <x:c r="O6" s="373"/>
      <x:c r="P6" s="373"/>
      <x:c r="Q6" s="373"/>
      <x:c r="R6" s="373"/>
      <x:c r="S6" s="373"/>
      <x:c r="T6" s="373"/>
      <x:c r="U6" s="373"/>
      <x:c r="V6" s="373"/>
      <x:c r="W6" s="373"/>
      <x:c r="X6" s="373"/>
      <x:c r="Y6" s="373"/>
      <x:c r="Z6" s="373"/>
    </x:row>
    <x:row r="7">
      <x:c r="A7" s="411" t="str">
        <x:v>GATE-003</x:v>
      </x:c>
      <x:c r="B7" s="411" t="str">
        <x:v>v0.1.1</x:v>
      </x:c>
      <x:c r="C7" s="411" t="str">
        <x:v>Defect control</x:v>
      </x:c>
      <x:c r="D7" s="411" t="str">
        <x:v>No open Critical defect and accepted disposition for remaining defects.</x:v>
      </x:c>
      <x:c r="E7" s="411" t="str">
        <x:v>Defects</x:v>
      </x:c>
      <x:c r="F7" s="411" t="n">
        <x:v>0</x:v>
      </x:c>
      <x:c r="G7" s="411" t="str">
        <x:v>open critical</x:v>
      </x:c>
      <x:c r="H7" s="488"/>
      <x:c r="I7" s="488" t="str">
        <x:v>Not Evaluated</x:v>
      </x:c>
      <x:c r="J7" s="411" t="str"/>
      <x:c r="K7" s="411" t="str">
        <x:v>Devansh</x:v>
      </x:c>
      <x:c r="L7" s="411" t="str"/>
      <x:c r="M7" s="373"/>
      <x:c r="N7" s="373"/>
      <x:c r="O7" s="373"/>
      <x:c r="P7" s="373"/>
      <x:c r="Q7" s="373"/>
      <x:c r="R7" s="373"/>
      <x:c r="S7" s="373"/>
      <x:c r="T7" s="373"/>
      <x:c r="U7" s="373"/>
      <x:c r="V7" s="373"/>
      <x:c r="W7" s="373"/>
      <x:c r="X7" s="373"/>
      <x:c r="Y7" s="373"/>
      <x:c r="Z7" s="373"/>
    </x:row>
    <x:row r="8">
      <x:c r="A8" s="411" t="str">
        <x:v>GATE-004</x:v>
      </x:c>
      <x:c r="B8" s="411" t="str">
        <x:v>v0.1.1</x:v>
      </x:c>
      <x:c r="C8" s="411" t="str">
        <x:v>Documentation/evidence</x:v>
      </x:c>
      <x:c r="D8" s="411" t="str">
        <x:v>Release notes, known limitations, evidence, and traceability are updated.</x:v>
      </x:c>
      <x:c r="E8" s="411" t="str">
        <x:v>Evidence</x:v>
      </x:c>
      <x:c r="F8" s="411" t="n">
        <x:v>100</x:v>
      </x:c>
      <x:c r="G8" s="411" t="str">
        <x:v>%</x:v>
      </x:c>
      <x:c r="H8" s="488"/>
      <x:c r="I8" s="488" t="str">
        <x:v>Not Evaluated</x:v>
      </x:c>
      <x:c r="J8" s="411" t="str"/>
      <x:c r="K8" s="411" t="str">
        <x:v>Devansh</x:v>
      </x:c>
      <x:c r="L8" s="411" t="str"/>
      <x:c r="M8" s="373"/>
      <x:c r="N8" s="373"/>
      <x:c r="O8" s="373"/>
      <x:c r="P8" s="373"/>
      <x:c r="Q8" s="373"/>
      <x:c r="R8" s="373"/>
      <x:c r="S8" s="373"/>
      <x:c r="T8" s="373"/>
      <x:c r="U8" s="373"/>
      <x:c r="V8" s="373"/>
      <x:c r="W8" s="373"/>
      <x:c r="X8" s="373"/>
      <x:c r="Y8" s="373"/>
      <x:c r="Z8" s="373"/>
    </x:row>
    <x:row r="9">
      <x:c r="A9" s="411" t="str">
        <x:v>GATE-005</x:v>
      </x:c>
      <x:c r="B9" s="411" t="str">
        <x:v>v0.1.2</x:v>
      </x:c>
      <x:c r="C9" s="411" t="str">
        <x:v>Feature acceptance</x:v>
      </x:c>
      <x:c r="D9" s="411" t="str">
        <x:v>All Critical features complete; no unapproved blocked Critical item.</x:v>
      </x:c>
      <x:c r="E9" s="411" t="str">
        <x:v>Features</x:v>
      </x:c>
      <x:c r="F9" s="411" t="n">
        <x:v>100</x:v>
      </x:c>
      <x:c r="G9" s="411" t="str">
        <x:v>%</x:v>
      </x:c>
      <x:c r="H9" s="488"/>
      <x:c r="I9" s="488" t="str">
        <x:v>Not Evaluated</x:v>
      </x:c>
      <x:c r="J9" s="411" t="str"/>
      <x:c r="K9" s="411" t="str">
        <x:v>Devansh</x:v>
      </x:c>
      <x:c r="L9" s="411" t="str"/>
      <x:c r="M9" s="373"/>
      <x:c r="N9" s="373"/>
      <x:c r="O9" s="373"/>
      <x:c r="P9" s="373"/>
      <x:c r="Q9" s="373"/>
      <x:c r="R9" s="373"/>
      <x:c r="S9" s="373"/>
      <x:c r="T9" s="373"/>
      <x:c r="U9" s="373"/>
      <x:c r="V9" s="373"/>
      <x:c r="W9" s="373"/>
      <x:c r="X9" s="373"/>
      <x:c r="Y9" s="373"/>
      <x:c r="Z9" s="373"/>
    </x:row>
    <x:row r="10">
      <x:c r="A10" s="411" t="str">
        <x:v>GATE-006</x:v>
      </x:c>
      <x:c r="B10" s="411" t="str">
        <x:v>v0.1.2</x:v>
      </x:c>
      <x:c r="C10" s="411" t="str">
        <x:v>Verification</x:v>
      </x:c>
      <x:c r="D10" s="411" t="str">
        <x:v>All executed Critical tests pass and planned coverage is complete for release scope.</x:v>
      </x:c>
      <x:c r="E10" s="411" t="str">
        <x:v>Test_Cases</x:v>
      </x:c>
      <x:c r="F10" s="411" t="n">
        <x:v>100</x:v>
      </x:c>
      <x:c r="G10" s="411" t="str">
        <x:v>%</x:v>
      </x:c>
      <x:c r="H10" s="488"/>
      <x:c r="I10" s="488" t="str">
        <x:v>Not Evaluated</x:v>
      </x:c>
      <x:c r="J10" s="411" t="str"/>
      <x:c r="K10" s="411" t="str">
        <x:v>Devansh</x:v>
      </x:c>
      <x:c r="L10" s="411" t="str"/>
      <x:c r="M10" s="373"/>
      <x:c r="N10" s="373"/>
      <x:c r="O10" s="373"/>
      <x:c r="P10" s="373"/>
      <x:c r="Q10" s="373"/>
      <x:c r="R10" s="373"/>
      <x:c r="S10" s="373"/>
      <x:c r="T10" s="373"/>
      <x:c r="U10" s="373"/>
      <x:c r="V10" s="373"/>
      <x:c r="W10" s="373"/>
      <x:c r="X10" s="373"/>
      <x:c r="Y10" s="373"/>
      <x:c r="Z10" s="373"/>
    </x:row>
    <x:row r="11">
      <x:c r="A11" s="411" t="str">
        <x:v>GATE-007</x:v>
      </x:c>
      <x:c r="B11" s="411" t="str">
        <x:v>v0.1.2</x:v>
      </x:c>
      <x:c r="C11" s="411" t="str">
        <x:v>Defect control</x:v>
      </x:c>
      <x:c r="D11" s="411" t="str">
        <x:v>No open Critical defect and accepted disposition for remaining defects.</x:v>
      </x:c>
      <x:c r="E11" s="411" t="str">
        <x:v>Defects</x:v>
      </x:c>
      <x:c r="F11" s="411" t="n">
        <x:v>0</x:v>
      </x:c>
      <x:c r="G11" s="411" t="str">
        <x:v>open critical</x:v>
      </x:c>
      <x:c r="H11" s="488"/>
      <x:c r="I11" s="488" t="str">
        <x:v>Not Evaluated</x:v>
      </x:c>
      <x:c r="J11" s="411" t="str"/>
      <x:c r="K11" s="411" t="str">
        <x:v>Devansh</x:v>
      </x:c>
      <x:c r="L11" s="411" t="str"/>
      <x:c r="M11" s="373"/>
      <x:c r="N11" s="373"/>
      <x:c r="O11" s="373"/>
      <x:c r="P11" s="373"/>
      <x:c r="Q11" s="373"/>
      <x:c r="R11" s="373"/>
      <x:c r="S11" s="373"/>
      <x:c r="T11" s="373"/>
      <x:c r="U11" s="373"/>
      <x:c r="V11" s="373"/>
      <x:c r="W11" s="373"/>
      <x:c r="X11" s="373"/>
      <x:c r="Y11" s="373"/>
      <x:c r="Z11" s="373"/>
    </x:row>
    <x:row r="12">
      <x:c r="A12" s="411" t="str">
        <x:v>GATE-008</x:v>
      </x:c>
      <x:c r="B12" s="411" t="str">
        <x:v>v0.1.2</x:v>
      </x:c>
      <x:c r="C12" s="411" t="str">
        <x:v>Documentation/evidence</x:v>
      </x:c>
      <x:c r="D12" s="411" t="str">
        <x:v>Release notes, known limitations, evidence, and traceability are updated.</x:v>
      </x:c>
      <x:c r="E12" s="411" t="str">
        <x:v>Evidence</x:v>
      </x:c>
      <x:c r="F12" s="411" t="n">
        <x:v>100</x:v>
      </x:c>
      <x:c r="G12" s="411" t="str">
        <x:v>%</x:v>
      </x:c>
      <x:c r="H12" s="488"/>
      <x:c r="I12" s="488" t="str">
        <x:v>Not Evaluated</x:v>
      </x:c>
      <x:c r="J12" s="411" t="str"/>
      <x:c r="K12" s="411" t="str">
        <x:v>Devansh</x:v>
      </x:c>
      <x:c r="L12" s="411" t="str"/>
      <x:c r="M12" s="373"/>
      <x:c r="N12" s="373"/>
      <x:c r="O12" s="373"/>
      <x:c r="P12" s="373"/>
      <x:c r="Q12" s="373"/>
      <x:c r="R12" s="373"/>
      <x:c r="S12" s="373"/>
      <x:c r="T12" s="373"/>
      <x:c r="U12" s="373"/>
      <x:c r="V12" s="373"/>
      <x:c r="W12" s="373"/>
      <x:c r="X12" s="373"/>
      <x:c r="Y12" s="373"/>
      <x:c r="Z12" s="373"/>
    </x:row>
    <x:row r="13">
      <x:c r="A13" s="411" t="str">
        <x:v>GATE-009</x:v>
      </x:c>
      <x:c r="B13" s="411" t="str">
        <x:v>v0.1.3</x:v>
      </x:c>
      <x:c r="C13" s="411" t="str">
        <x:v>Feature acceptance</x:v>
      </x:c>
      <x:c r="D13" s="411" t="str">
        <x:v>All Critical features complete; no unapproved blocked Critical item.</x:v>
      </x:c>
      <x:c r="E13" s="411" t="str">
        <x:v>Features</x:v>
      </x:c>
      <x:c r="F13" s="411" t="n">
        <x:v>100</x:v>
      </x:c>
      <x:c r="G13" s="411" t="str">
        <x:v>%</x:v>
      </x:c>
      <x:c r="H13" s="488"/>
      <x:c r="I13" s="488" t="str">
        <x:v>Not Evaluated</x:v>
      </x:c>
      <x:c r="J13" s="411" t="str"/>
      <x:c r="K13" s="411" t="str">
        <x:v>Devansh</x:v>
      </x:c>
      <x:c r="L13" s="411" t="str"/>
      <x:c r="M13" s="373"/>
      <x:c r="N13" s="373"/>
      <x:c r="O13" s="373"/>
      <x:c r="P13" s="373"/>
      <x:c r="Q13" s="373"/>
      <x:c r="R13" s="373"/>
      <x:c r="S13" s="373"/>
      <x:c r="T13" s="373"/>
      <x:c r="U13" s="373"/>
      <x:c r="V13" s="373"/>
      <x:c r="W13" s="373"/>
      <x:c r="X13" s="373"/>
      <x:c r="Y13" s="373"/>
      <x:c r="Z13" s="373"/>
    </x:row>
    <x:row r="14">
      <x:c r="A14" s="411" t="str">
        <x:v>GATE-010</x:v>
      </x:c>
      <x:c r="B14" s="411" t="str">
        <x:v>v0.1.3</x:v>
      </x:c>
      <x:c r="C14" s="411" t="str">
        <x:v>Verification</x:v>
      </x:c>
      <x:c r="D14" s="411" t="str">
        <x:v>All executed Critical tests pass and planned coverage is complete for release scope.</x:v>
      </x:c>
      <x:c r="E14" s="411" t="str">
        <x:v>Test_Cases</x:v>
      </x:c>
      <x:c r="F14" s="411" t="n">
        <x:v>100</x:v>
      </x:c>
      <x:c r="G14" s="411" t="str">
        <x:v>%</x:v>
      </x:c>
      <x:c r="H14" s="488"/>
      <x:c r="I14" s="488" t="str">
        <x:v>Not Evaluated</x:v>
      </x:c>
      <x:c r="J14" s="411" t="str"/>
      <x:c r="K14" s="411" t="str">
        <x:v>Devansh</x:v>
      </x:c>
      <x:c r="L14" s="411" t="str"/>
      <x:c r="M14" s="373"/>
      <x:c r="N14" s="373"/>
      <x:c r="O14" s="373"/>
      <x:c r="P14" s="373"/>
      <x:c r="Q14" s="373"/>
      <x:c r="R14" s="373"/>
      <x:c r="S14" s="373"/>
      <x:c r="T14" s="373"/>
      <x:c r="U14" s="373"/>
      <x:c r="V14" s="373"/>
      <x:c r="W14" s="373"/>
      <x:c r="X14" s="373"/>
      <x:c r="Y14" s="373"/>
      <x:c r="Z14" s="373"/>
    </x:row>
    <x:row r="15">
      <x:c r="A15" s="411" t="str">
        <x:v>GATE-011</x:v>
      </x:c>
      <x:c r="B15" s="411" t="str">
        <x:v>v0.1.3</x:v>
      </x:c>
      <x:c r="C15" s="411" t="str">
        <x:v>Defect control</x:v>
      </x:c>
      <x:c r="D15" s="411" t="str">
        <x:v>No open Critical defect and accepted disposition for remaining defects.</x:v>
      </x:c>
      <x:c r="E15" s="411" t="str">
        <x:v>Defects</x:v>
      </x:c>
      <x:c r="F15" s="411" t="n">
        <x:v>0</x:v>
      </x:c>
      <x:c r="G15" s="411" t="str">
        <x:v>open critical</x:v>
      </x:c>
      <x:c r="H15" s="488"/>
      <x:c r="I15" s="488" t="str">
        <x:v>Not Evaluated</x:v>
      </x:c>
      <x:c r="J15" s="411" t="str"/>
      <x:c r="K15" s="411" t="str">
        <x:v>Devansh</x:v>
      </x:c>
      <x:c r="L15" s="411" t="str"/>
      <x:c r="M15" s="373"/>
      <x:c r="N15" s="373"/>
      <x:c r="O15" s="373"/>
      <x:c r="P15" s="373"/>
      <x:c r="Q15" s="373"/>
      <x:c r="R15" s="373"/>
      <x:c r="S15" s="373"/>
      <x:c r="T15" s="373"/>
      <x:c r="U15" s="373"/>
      <x:c r="V15" s="373"/>
      <x:c r="W15" s="373"/>
      <x:c r="X15" s="373"/>
      <x:c r="Y15" s="373"/>
      <x:c r="Z15" s="373"/>
    </x:row>
    <x:row r="16">
      <x:c r="A16" s="411" t="str">
        <x:v>GATE-012</x:v>
      </x:c>
      <x:c r="B16" s="411" t="str">
        <x:v>v0.1.3</x:v>
      </x:c>
      <x:c r="C16" s="411" t="str">
        <x:v>Documentation/evidence</x:v>
      </x:c>
      <x:c r="D16" s="411" t="str">
        <x:v>Release notes, known limitations, evidence, and traceability are updated.</x:v>
      </x:c>
      <x:c r="E16" s="411" t="str">
        <x:v>Evidence</x:v>
      </x:c>
      <x:c r="F16" s="411" t="n">
        <x:v>100</x:v>
      </x:c>
      <x:c r="G16" s="411" t="str">
        <x:v>%</x:v>
      </x:c>
      <x:c r="H16" s="488"/>
      <x:c r="I16" s="488" t="str">
        <x:v>Not Evaluated</x:v>
      </x:c>
      <x:c r="J16" s="411" t="str"/>
      <x:c r="K16" s="411" t="str">
        <x:v>Devansh</x:v>
      </x:c>
      <x:c r="L16" s="411" t="str"/>
      <x:c r="M16" s="373"/>
      <x:c r="N16" s="373"/>
      <x:c r="O16" s="373"/>
      <x:c r="P16" s="373"/>
      <x:c r="Q16" s="373"/>
      <x:c r="R16" s="373"/>
      <x:c r="S16" s="373"/>
      <x:c r="T16" s="373"/>
      <x:c r="U16" s="373"/>
      <x:c r="V16" s="373"/>
      <x:c r="W16" s="373"/>
      <x:c r="X16" s="373"/>
      <x:c r="Y16" s="373"/>
      <x:c r="Z16" s="373"/>
    </x:row>
    <x:row r="17">
      <x:c r="A17" s="411" t="str">
        <x:v>GATE-013</x:v>
      </x:c>
      <x:c r="B17" s="411" t="str">
        <x:v>v0.1.4</x:v>
      </x:c>
      <x:c r="C17" s="411" t="str">
        <x:v>Feature acceptance</x:v>
      </x:c>
      <x:c r="D17" s="411" t="str">
        <x:v>All Critical features complete; no unapproved blocked Critical item.</x:v>
      </x:c>
      <x:c r="E17" s="411" t="str">
        <x:v>Features</x:v>
      </x:c>
      <x:c r="F17" s="411" t="n">
        <x:v>100</x:v>
      </x:c>
      <x:c r="G17" s="411" t="str">
        <x:v>%</x:v>
      </x:c>
      <x:c r="H17" s="488"/>
      <x:c r="I17" s="488" t="str">
        <x:v>Not Evaluated</x:v>
      </x:c>
      <x:c r="J17" s="411" t="str"/>
      <x:c r="K17" s="411" t="str">
        <x:v>Devansh</x:v>
      </x:c>
      <x:c r="L17" s="411" t="str"/>
      <x:c r="M17" s="373"/>
      <x:c r="N17" s="373"/>
      <x:c r="O17" s="373"/>
      <x:c r="P17" s="373"/>
      <x:c r="Q17" s="373"/>
      <x:c r="R17" s="373"/>
      <x:c r="S17" s="373"/>
      <x:c r="T17" s="373"/>
      <x:c r="U17" s="373"/>
      <x:c r="V17" s="373"/>
      <x:c r="W17" s="373"/>
      <x:c r="X17" s="373"/>
      <x:c r="Y17" s="373"/>
      <x:c r="Z17" s="373"/>
    </x:row>
    <x:row r="18">
      <x:c r="A18" s="411" t="str">
        <x:v>GATE-014</x:v>
      </x:c>
      <x:c r="B18" s="411" t="str">
        <x:v>v0.1.4</x:v>
      </x:c>
      <x:c r="C18" s="411" t="str">
        <x:v>Verification</x:v>
      </x:c>
      <x:c r="D18" s="411" t="str">
        <x:v>All executed Critical tests pass and planned coverage is complete for release scope.</x:v>
      </x:c>
      <x:c r="E18" s="411" t="str">
        <x:v>Test_Cases</x:v>
      </x:c>
      <x:c r="F18" s="411" t="n">
        <x:v>100</x:v>
      </x:c>
      <x:c r="G18" s="411" t="str">
        <x:v>%</x:v>
      </x:c>
      <x:c r="H18" s="488"/>
      <x:c r="I18" s="488" t="str">
        <x:v>Not Evaluated</x:v>
      </x:c>
      <x:c r="J18" s="411" t="str"/>
      <x:c r="K18" s="411" t="str">
        <x:v>Devansh</x:v>
      </x:c>
      <x:c r="L18" s="411" t="str"/>
      <x:c r="M18" s="373"/>
      <x:c r="N18" s="373"/>
      <x:c r="O18" s="373"/>
      <x:c r="P18" s="373"/>
      <x:c r="Q18" s="373"/>
      <x:c r="R18" s="373"/>
      <x:c r="S18" s="373"/>
      <x:c r="T18" s="373"/>
      <x:c r="U18" s="373"/>
      <x:c r="V18" s="373"/>
      <x:c r="W18" s="373"/>
      <x:c r="X18" s="373"/>
      <x:c r="Y18" s="373"/>
      <x:c r="Z18" s="373"/>
    </x:row>
    <x:row r="19">
      <x:c r="A19" s="411" t="str">
        <x:v>GATE-015</x:v>
      </x:c>
      <x:c r="B19" s="411" t="str">
        <x:v>v0.1.4</x:v>
      </x:c>
      <x:c r="C19" s="411" t="str">
        <x:v>Defect control</x:v>
      </x:c>
      <x:c r="D19" s="411" t="str">
        <x:v>No open Critical defect and accepted disposition for remaining defects.</x:v>
      </x:c>
      <x:c r="E19" s="411" t="str">
        <x:v>Defects</x:v>
      </x:c>
      <x:c r="F19" s="411" t="n">
        <x:v>0</x:v>
      </x:c>
      <x:c r="G19" s="411" t="str">
        <x:v>open critical</x:v>
      </x:c>
      <x:c r="H19" s="488"/>
      <x:c r="I19" s="488" t="str">
        <x:v>Not Evaluated</x:v>
      </x:c>
      <x:c r="J19" s="411" t="str"/>
      <x:c r="K19" s="411" t="str">
        <x:v>Devansh</x:v>
      </x:c>
      <x:c r="L19" s="411" t="str"/>
      <x:c r="M19" s="373"/>
      <x:c r="N19" s="373"/>
      <x:c r="O19" s="373"/>
      <x:c r="P19" s="373"/>
      <x:c r="Q19" s="373"/>
      <x:c r="R19" s="373"/>
      <x:c r="S19" s="373"/>
      <x:c r="T19" s="373"/>
      <x:c r="U19" s="373"/>
      <x:c r="V19" s="373"/>
      <x:c r="W19" s="373"/>
      <x:c r="X19" s="373"/>
      <x:c r="Y19" s="373"/>
      <x:c r="Z19" s="373"/>
    </x:row>
    <x:row r="20">
      <x:c r="A20" s="411" t="str">
        <x:v>GATE-016</x:v>
      </x:c>
      <x:c r="B20" s="411" t="str">
        <x:v>v0.1.4</x:v>
      </x:c>
      <x:c r="C20" s="411" t="str">
        <x:v>Documentation/evidence</x:v>
      </x:c>
      <x:c r="D20" s="411" t="str">
        <x:v>Release notes, known limitations, evidence, and traceability are updated.</x:v>
      </x:c>
      <x:c r="E20" s="411" t="str">
        <x:v>Evidence</x:v>
      </x:c>
      <x:c r="F20" s="411" t="n">
        <x:v>100</x:v>
      </x:c>
      <x:c r="G20" s="411" t="str">
        <x:v>%</x:v>
      </x:c>
      <x:c r="H20" s="488"/>
      <x:c r="I20" s="488" t="str">
        <x:v>Not Evaluated</x:v>
      </x:c>
      <x:c r="J20" s="411" t="str"/>
      <x:c r="K20" s="411" t="str">
        <x:v>Devansh</x:v>
      </x:c>
      <x:c r="L20" s="411" t="str"/>
      <x:c r="M20" s="373"/>
      <x:c r="N20" s="373"/>
      <x:c r="O20" s="373"/>
      <x:c r="P20" s="373"/>
      <x:c r="Q20" s="373"/>
      <x:c r="R20" s="373"/>
      <x:c r="S20" s="373"/>
      <x:c r="T20" s="373"/>
      <x:c r="U20" s="373"/>
      <x:c r="V20" s="373"/>
      <x:c r="W20" s="373"/>
      <x:c r="X20" s="373"/>
      <x:c r="Y20" s="373"/>
      <x:c r="Z20" s="373"/>
    </x:row>
    <x:row r="21">
      <x:c r="A21" s="411" t="str">
        <x:v>GATE-017</x:v>
      </x:c>
      <x:c r="B21" s="411" t="str">
        <x:v>v0.1.5</x:v>
      </x:c>
      <x:c r="C21" s="411" t="str">
        <x:v>Feature acceptance</x:v>
      </x:c>
      <x:c r="D21" s="411" t="str">
        <x:v>All Critical features complete; no unapproved blocked Critical item.</x:v>
      </x:c>
      <x:c r="E21" s="411" t="str">
        <x:v>Features</x:v>
      </x:c>
      <x:c r="F21" s="411" t="n">
        <x:v>100</x:v>
      </x:c>
      <x:c r="G21" s="411" t="str">
        <x:v>%</x:v>
      </x:c>
      <x:c r="H21" s="488"/>
      <x:c r="I21" s="488" t="str">
        <x:v>Not Evaluated</x:v>
      </x:c>
      <x:c r="J21" s="411" t="str"/>
      <x:c r="K21" s="411" t="str">
        <x:v>Devansh</x:v>
      </x:c>
      <x:c r="L21" s="411" t="str"/>
      <x:c r="M21" s="373"/>
      <x:c r="N21" s="373"/>
      <x:c r="O21" s="373"/>
      <x:c r="P21" s="373"/>
      <x:c r="Q21" s="373"/>
      <x:c r="R21" s="373"/>
      <x:c r="S21" s="373"/>
      <x:c r="T21" s="373"/>
      <x:c r="U21" s="373"/>
      <x:c r="V21" s="373"/>
      <x:c r="W21" s="373"/>
      <x:c r="X21" s="373"/>
      <x:c r="Y21" s="373"/>
      <x:c r="Z21" s="373"/>
    </x:row>
    <x:row r="22">
      <x:c r="A22" s="411" t="str">
        <x:v>GATE-018</x:v>
      </x:c>
      <x:c r="B22" s="411" t="str">
        <x:v>v0.1.5</x:v>
      </x:c>
      <x:c r="C22" s="411" t="str">
        <x:v>Verification</x:v>
      </x:c>
      <x:c r="D22" s="411" t="str">
        <x:v>All executed Critical tests pass and planned coverage is complete for release scope.</x:v>
      </x:c>
      <x:c r="E22" s="411" t="str">
        <x:v>Test_Cases</x:v>
      </x:c>
      <x:c r="F22" s="411" t="n">
        <x:v>100</x:v>
      </x:c>
      <x:c r="G22" s="411" t="str">
        <x:v>%</x:v>
      </x:c>
      <x:c r="H22" s="488"/>
      <x:c r="I22" s="488" t="str">
        <x:v>Not Evaluated</x:v>
      </x:c>
      <x:c r="J22" s="411" t="str"/>
      <x:c r="K22" s="411" t="str">
        <x:v>Devansh</x:v>
      </x:c>
      <x:c r="L22" s="411" t="str"/>
      <x:c r="M22" s="373"/>
      <x:c r="N22" s="373"/>
      <x:c r="O22" s="373"/>
      <x:c r="P22" s="373"/>
      <x:c r="Q22" s="373"/>
      <x:c r="R22" s="373"/>
      <x:c r="S22" s="373"/>
      <x:c r="T22" s="373"/>
      <x:c r="U22" s="373"/>
      <x:c r="V22" s="373"/>
      <x:c r="W22" s="373"/>
      <x:c r="X22" s="373"/>
      <x:c r="Y22" s="373"/>
      <x:c r="Z22" s="373"/>
    </x:row>
    <x:row r="23">
      <x:c r="A23" s="411" t="str">
        <x:v>GATE-019</x:v>
      </x:c>
      <x:c r="B23" s="411" t="str">
        <x:v>v0.1.5</x:v>
      </x:c>
      <x:c r="C23" s="411" t="str">
        <x:v>Defect control</x:v>
      </x:c>
      <x:c r="D23" s="411" t="str">
        <x:v>No open Critical defect and accepted disposition for remaining defects.</x:v>
      </x:c>
      <x:c r="E23" s="411" t="str">
        <x:v>Defects</x:v>
      </x:c>
      <x:c r="F23" s="411" t="n">
        <x:v>0</x:v>
      </x:c>
      <x:c r="G23" s="411" t="str">
        <x:v>open critical</x:v>
      </x:c>
      <x:c r="H23" s="488"/>
      <x:c r="I23" s="488" t="str">
        <x:v>Not Evaluated</x:v>
      </x:c>
      <x:c r="J23" s="411" t="str"/>
      <x:c r="K23" s="411" t="str">
        <x:v>Devansh</x:v>
      </x:c>
      <x:c r="L23" s="411" t="str"/>
      <x:c r="M23" s="373"/>
      <x:c r="N23" s="373"/>
      <x:c r="O23" s="373"/>
      <x:c r="P23" s="373"/>
      <x:c r="Q23" s="373"/>
      <x:c r="R23" s="373"/>
      <x:c r="S23" s="373"/>
      <x:c r="T23" s="373"/>
      <x:c r="U23" s="373"/>
      <x:c r="V23" s="373"/>
      <x:c r="W23" s="373"/>
      <x:c r="X23" s="373"/>
      <x:c r="Y23" s="373"/>
      <x:c r="Z23" s="373"/>
    </x:row>
    <x:row r="24">
      <x:c r="A24" s="411" t="str">
        <x:v>GATE-020</x:v>
      </x:c>
      <x:c r="B24" s="411" t="str">
        <x:v>v0.1.5</x:v>
      </x:c>
      <x:c r="C24" s="411" t="str">
        <x:v>Documentation/evidence</x:v>
      </x:c>
      <x:c r="D24" s="411" t="str">
        <x:v>Release notes, known limitations, evidence, and traceability are updated.</x:v>
      </x:c>
      <x:c r="E24" s="411" t="str">
        <x:v>Evidence</x:v>
      </x:c>
      <x:c r="F24" s="411" t="n">
        <x:v>100</x:v>
      </x:c>
      <x:c r="G24" s="411" t="str">
        <x:v>%</x:v>
      </x:c>
      <x:c r="H24" s="488"/>
      <x:c r="I24" s="488" t="str">
        <x:v>Not Evaluated</x:v>
      </x:c>
      <x:c r="J24" s="411" t="str"/>
      <x:c r="K24" s="411" t="str">
        <x:v>Devansh</x:v>
      </x:c>
      <x:c r="L24" s="411" t="str"/>
      <x:c r="M24" s="373"/>
      <x:c r="N24" s="373"/>
      <x:c r="O24" s="373"/>
      <x:c r="P24" s="373"/>
      <x:c r="Q24" s="373"/>
      <x:c r="R24" s="373"/>
      <x:c r="S24" s="373"/>
      <x:c r="T24" s="373"/>
      <x:c r="U24" s="373"/>
      <x:c r="V24" s="373"/>
      <x:c r="W24" s="373"/>
      <x:c r="X24" s="373"/>
      <x:c r="Y24" s="373"/>
      <x:c r="Z24" s="373"/>
    </x:row>
    <x:row r="25">
      <x:c r="A25" s="411" t="str">
        <x:v>GATE-021</x:v>
      </x:c>
      <x:c r="B25" s="411" t="str">
        <x:v>v0.1.6</x:v>
      </x:c>
      <x:c r="C25" s="411" t="str">
        <x:v>Feature acceptance</x:v>
      </x:c>
      <x:c r="D25" s="411" t="str">
        <x:v>All Critical features complete; no unapproved blocked Critical item.</x:v>
      </x:c>
      <x:c r="E25" s="411" t="str">
        <x:v>Features</x:v>
      </x:c>
      <x:c r="F25" s="411" t="n">
        <x:v>100</x:v>
      </x:c>
      <x:c r="G25" s="411" t="str">
        <x:v>%</x:v>
      </x:c>
      <x:c r="H25" s="488"/>
      <x:c r="I25" s="488" t="str">
        <x:v>Not Evaluated</x:v>
      </x:c>
      <x:c r="J25" s="411" t="str"/>
      <x:c r="K25" s="411" t="str">
        <x:v>Devansh</x:v>
      </x:c>
      <x:c r="L25" s="411" t="str"/>
      <x:c r="M25" s="373"/>
      <x:c r="N25" s="373"/>
      <x:c r="O25" s="373"/>
      <x:c r="P25" s="373"/>
      <x:c r="Q25" s="373"/>
      <x:c r="R25" s="373"/>
      <x:c r="S25" s="373"/>
      <x:c r="T25" s="373"/>
      <x:c r="U25" s="373"/>
      <x:c r="V25" s="373"/>
      <x:c r="W25" s="373"/>
      <x:c r="X25" s="373"/>
      <x:c r="Y25" s="373"/>
      <x:c r="Z25" s="373"/>
    </x:row>
    <x:row r="26">
      <x:c r="A26" s="411" t="str">
        <x:v>GATE-022</x:v>
      </x:c>
      <x:c r="B26" s="411" t="str">
        <x:v>v0.1.6</x:v>
      </x:c>
      <x:c r="C26" s="411" t="str">
        <x:v>Verification</x:v>
      </x:c>
      <x:c r="D26" s="411" t="str">
        <x:v>All executed Critical tests pass and planned coverage is complete for release scope.</x:v>
      </x:c>
      <x:c r="E26" s="411" t="str">
        <x:v>Test_Cases</x:v>
      </x:c>
      <x:c r="F26" s="411" t="n">
        <x:v>100</x:v>
      </x:c>
      <x:c r="G26" s="411" t="str">
        <x:v>%</x:v>
      </x:c>
      <x:c r="H26" s="488"/>
      <x:c r="I26" s="488" t="str">
        <x:v>Not Evaluated</x:v>
      </x:c>
      <x:c r="J26" s="411" t="str"/>
      <x:c r="K26" s="411" t="str">
        <x:v>Devansh</x:v>
      </x:c>
      <x:c r="L26" s="411" t="str"/>
      <x:c r="M26" s="373"/>
      <x:c r="N26" s="373"/>
      <x:c r="O26" s="373"/>
      <x:c r="P26" s="373"/>
      <x:c r="Q26" s="373"/>
      <x:c r="R26" s="373"/>
      <x:c r="S26" s="373"/>
      <x:c r="T26" s="373"/>
      <x:c r="U26" s="373"/>
      <x:c r="V26" s="373"/>
      <x:c r="W26" s="373"/>
      <x:c r="X26" s="373"/>
      <x:c r="Y26" s="373"/>
      <x:c r="Z26" s="373"/>
    </x:row>
    <x:row r="27">
      <x:c r="A27" s="411" t="str">
        <x:v>GATE-023</x:v>
      </x:c>
      <x:c r="B27" s="411" t="str">
        <x:v>v0.1.6</x:v>
      </x:c>
      <x:c r="C27" s="411" t="str">
        <x:v>Defect control</x:v>
      </x:c>
      <x:c r="D27" s="411" t="str">
        <x:v>No open Critical defect and accepted disposition for remaining defects.</x:v>
      </x:c>
      <x:c r="E27" s="411" t="str">
        <x:v>Defects</x:v>
      </x:c>
      <x:c r="F27" s="411" t="n">
        <x:v>0</x:v>
      </x:c>
      <x:c r="G27" s="411" t="str">
        <x:v>open critical</x:v>
      </x:c>
      <x:c r="H27" s="488"/>
      <x:c r="I27" s="488" t="str">
        <x:v>Not Evaluated</x:v>
      </x:c>
      <x:c r="J27" s="411" t="str"/>
      <x:c r="K27" s="411" t="str">
        <x:v>Devansh</x:v>
      </x:c>
      <x:c r="L27" s="411" t="str"/>
      <x:c r="M27" s="373"/>
      <x:c r="N27" s="373"/>
      <x:c r="O27" s="373"/>
      <x:c r="P27" s="373"/>
      <x:c r="Q27" s="373"/>
      <x:c r="R27" s="373"/>
      <x:c r="S27" s="373"/>
      <x:c r="T27" s="373"/>
      <x:c r="U27" s="373"/>
      <x:c r="V27" s="373"/>
      <x:c r="W27" s="373"/>
      <x:c r="X27" s="373"/>
      <x:c r="Y27" s="373"/>
      <x:c r="Z27" s="373"/>
    </x:row>
    <x:row r="28">
      <x:c r="A28" s="411" t="str">
        <x:v>GATE-024</x:v>
      </x:c>
      <x:c r="B28" s="411" t="str">
        <x:v>v0.1.6</x:v>
      </x:c>
      <x:c r="C28" s="411" t="str">
        <x:v>Documentation/evidence</x:v>
      </x:c>
      <x:c r="D28" s="411" t="str">
        <x:v>Release notes, known limitations, evidence, and traceability are updated.</x:v>
      </x:c>
      <x:c r="E28" s="411" t="str">
        <x:v>Evidence</x:v>
      </x:c>
      <x:c r="F28" s="411" t="n">
        <x:v>100</x:v>
      </x:c>
      <x:c r="G28" s="411" t="str">
        <x:v>%</x:v>
      </x:c>
      <x:c r="H28" s="488"/>
      <x:c r="I28" s="488" t="str">
        <x:v>Not Evaluated</x:v>
      </x:c>
      <x:c r="J28" s="411" t="str"/>
      <x:c r="K28" s="411" t="str">
        <x:v>Devansh</x:v>
      </x:c>
      <x:c r="L28" s="411" t="str"/>
      <x:c r="M28" s="373"/>
      <x:c r="N28" s="373"/>
      <x:c r="O28" s="373"/>
      <x:c r="P28" s="373"/>
      <x:c r="Q28" s="373"/>
      <x:c r="R28" s="373"/>
      <x:c r="S28" s="373"/>
      <x:c r="T28" s="373"/>
      <x:c r="U28" s="373"/>
      <x:c r="V28" s="373"/>
      <x:c r="W28" s="373"/>
      <x:c r="X28" s="373"/>
      <x:c r="Y28" s="373"/>
      <x:c r="Z28" s="373"/>
    </x:row>
    <x:row r="29">
      <x:c r="A29" s="411" t="str">
        <x:v>GATE-025</x:v>
      </x:c>
      <x:c r="B29" s="411" t="str">
        <x:v>v0.1.7</x:v>
      </x:c>
      <x:c r="C29" s="411" t="str">
        <x:v>Feature acceptance</x:v>
      </x:c>
      <x:c r="D29" s="411" t="str">
        <x:v>All Critical features complete; no unapproved blocked Critical item.</x:v>
      </x:c>
      <x:c r="E29" s="411" t="str">
        <x:v>Features</x:v>
      </x:c>
      <x:c r="F29" s="411" t="n">
        <x:v>100</x:v>
      </x:c>
      <x:c r="G29" s="411" t="str">
        <x:v>%</x:v>
      </x:c>
      <x:c r="H29" s="488"/>
      <x:c r="I29" s="488" t="str">
        <x:v>Not Evaluated</x:v>
      </x:c>
      <x:c r="J29" s="411" t="str"/>
      <x:c r="K29" s="411" t="str">
        <x:v>Devansh</x:v>
      </x:c>
      <x:c r="L29" s="411" t="str"/>
      <x:c r="M29" s="373"/>
      <x:c r="N29" s="373"/>
      <x:c r="O29" s="373"/>
      <x:c r="P29" s="373"/>
      <x:c r="Q29" s="373"/>
      <x:c r="R29" s="373"/>
      <x:c r="S29" s="373"/>
      <x:c r="T29" s="373"/>
      <x:c r="U29" s="373"/>
      <x:c r="V29" s="373"/>
      <x:c r="W29" s="373"/>
      <x:c r="X29" s="373"/>
      <x:c r="Y29" s="373"/>
      <x:c r="Z29" s="373"/>
    </x:row>
    <x:row r="30">
      <x:c r="A30" s="411" t="str">
        <x:v>GATE-026</x:v>
      </x:c>
      <x:c r="B30" s="411" t="str">
        <x:v>v0.1.7</x:v>
      </x:c>
      <x:c r="C30" s="411" t="str">
        <x:v>Verification</x:v>
      </x:c>
      <x:c r="D30" s="411" t="str">
        <x:v>All executed Critical tests pass and planned coverage is complete for release scope.</x:v>
      </x:c>
      <x:c r="E30" s="411" t="str">
        <x:v>Test_Cases</x:v>
      </x:c>
      <x:c r="F30" s="411" t="n">
        <x:v>100</x:v>
      </x:c>
      <x:c r="G30" s="411" t="str">
        <x:v>%</x:v>
      </x:c>
      <x:c r="H30" s="488"/>
      <x:c r="I30" s="488" t="str">
        <x:v>Not Evaluated</x:v>
      </x:c>
      <x:c r="J30" s="411" t="str"/>
      <x:c r="K30" s="411" t="str">
        <x:v>Devansh</x:v>
      </x:c>
      <x:c r="L30" s="411" t="str"/>
      <x:c r="M30" s="373"/>
      <x:c r="N30" s="373"/>
      <x:c r="O30" s="373"/>
      <x:c r="P30" s="373"/>
      <x:c r="Q30" s="373"/>
      <x:c r="R30" s="373"/>
      <x:c r="S30" s="373"/>
      <x:c r="T30" s="373"/>
      <x:c r="U30" s="373"/>
      <x:c r="V30" s="373"/>
      <x:c r="W30" s="373"/>
      <x:c r="X30" s="373"/>
      <x:c r="Y30" s="373"/>
      <x:c r="Z30" s="373"/>
    </x:row>
    <x:row r="31">
      <x:c r="A31" s="411" t="str">
        <x:v>GATE-027</x:v>
      </x:c>
      <x:c r="B31" s="411" t="str">
        <x:v>v0.1.7</x:v>
      </x:c>
      <x:c r="C31" s="411" t="str">
        <x:v>Defect control</x:v>
      </x:c>
      <x:c r="D31" s="411" t="str">
        <x:v>No open Critical defect and accepted disposition for remaining defects.</x:v>
      </x:c>
      <x:c r="E31" s="411" t="str">
        <x:v>Defects</x:v>
      </x:c>
      <x:c r="F31" s="411" t="n">
        <x:v>0</x:v>
      </x:c>
      <x:c r="G31" s="411" t="str">
        <x:v>open critical</x:v>
      </x:c>
      <x:c r="H31" s="488"/>
      <x:c r="I31" s="488" t="str">
        <x:v>Not Evaluated</x:v>
      </x:c>
      <x:c r="J31" s="411" t="str"/>
      <x:c r="K31" s="411" t="str">
        <x:v>Devansh</x:v>
      </x:c>
      <x:c r="L31" s="411" t="str"/>
      <x:c r="M31" s="373"/>
      <x:c r="N31" s="373"/>
      <x:c r="O31" s="373"/>
      <x:c r="P31" s="373"/>
      <x:c r="Q31" s="373"/>
      <x:c r="R31" s="373"/>
      <x:c r="S31" s="373"/>
      <x:c r="T31" s="373"/>
      <x:c r="U31" s="373"/>
      <x:c r="V31" s="373"/>
      <x:c r="W31" s="373"/>
      <x:c r="X31" s="373"/>
      <x:c r="Y31" s="373"/>
      <x:c r="Z31" s="373"/>
    </x:row>
    <x:row r="32">
      <x:c r="A32" s="411" t="str">
        <x:v>GATE-028</x:v>
      </x:c>
      <x:c r="B32" s="411" t="str">
        <x:v>v0.1.7</x:v>
      </x:c>
      <x:c r="C32" s="411" t="str">
        <x:v>Documentation/evidence</x:v>
      </x:c>
      <x:c r="D32" s="411" t="str">
        <x:v>Release notes, known limitations, evidence, and traceability are updated.</x:v>
      </x:c>
      <x:c r="E32" s="411" t="str">
        <x:v>Evidence</x:v>
      </x:c>
      <x:c r="F32" s="411" t="n">
        <x:v>100</x:v>
      </x:c>
      <x:c r="G32" s="411" t="str">
        <x:v>%</x:v>
      </x:c>
      <x:c r="H32" s="488"/>
      <x:c r="I32" s="488" t="str">
        <x:v>Not Evaluated</x:v>
      </x:c>
      <x:c r="J32" s="411" t="str"/>
      <x:c r="K32" s="411" t="str">
        <x:v>Devansh</x:v>
      </x:c>
      <x:c r="L32" s="411" t="str"/>
      <x:c r="M32" s="373"/>
      <x:c r="N32" s="373"/>
      <x:c r="O32" s="373"/>
      <x:c r="P32" s="373"/>
      <x:c r="Q32" s="373"/>
      <x:c r="R32" s="373"/>
      <x:c r="S32" s="373"/>
      <x:c r="T32" s="373"/>
      <x:c r="U32" s="373"/>
      <x:c r="V32" s="373"/>
      <x:c r="W32" s="373"/>
      <x:c r="X32" s="373"/>
      <x:c r="Y32" s="373"/>
      <x:c r="Z32" s="373"/>
    </x:row>
    <x:row r="33">
      <x:c r="A33" s="411" t="str">
        <x:v>GATE-029</x:v>
      </x:c>
      <x:c r="B33" s="411" t="str">
        <x:v>v0.1.8</x:v>
      </x:c>
      <x:c r="C33" s="411" t="str">
        <x:v>Feature acceptance</x:v>
      </x:c>
      <x:c r="D33" s="411" t="str">
        <x:v>All Critical features complete; no unapproved blocked Critical item.</x:v>
      </x:c>
      <x:c r="E33" s="411" t="str">
        <x:v>Features</x:v>
      </x:c>
      <x:c r="F33" s="411" t="n">
        <x:v>100</x:v>
      </x:c>
      <x:c r="G33" s="411" t="str">
        <x:v>%</x:v>
      </x:c>
      <x:c r="H33" s="488"/>
      <x:c r="I33" s="488" t="str">
        <x:v>Not Evaluated</x:v>
      </x:c>
      <x:c r="J33" s="411" t="str"/>
      <x:c r="K33" s="411" t="str">
        <x:v>Devansh</x:v>
      </x:c>
      <x:c r="L33" s="411" t="str"/>
      <x:c r="M33" s="373"/>
      <x:c r="N33" s="373"/>
      <x:c r="O33" s="373"/>
      <x:c r="P33" s="373"/>
      <x:c r="Q33" s="373"/>
      <x:c r="R33" s="373"/>
      <x:c r="S33" s="373"/>
      <x:c r="T33" s="373"/>
      <x:c r="U33" s="373"/>
      <x:c r="V33" s="373"/>
      <x:c r="W33" s="373"/>
      <x:c r="X33" s="373"/>
      <x:c r="Y33" s="373"/>
      <x:c r="Z33" s="373"/>
    </x:row>
    <x:row r="34">
      <x:c r="A34" s="411" t="str">
        <x:v>GATE-030</x:v>
      </x:c>
      <x:c r="B34" s="411" t="str">
        <x:v>v0.1.8</x:v>
      </x:c>
      <x:c r="C34" s="411" t="str">
        <x:v>Verification</x:v>
      </x:c>
      <x:c r="D34" s="411" t="str">
        <x:v>All executed Critical tests pass and planned coverage is complete for release scope.</x:v>
      </x:c>
      <x:c r="E34" s="411" t="str">
        <x:v>Test_Cases</x:v>
      </x:c>
      <x:c r="F34" s="411" t="n">
        <x:v>100</x:v>
      </x:c>
      <x:c r="G34" s="411" t="str">
        <x:v>%</x:v>
      </x:c>
      <x:c r="H34" s="488"/>
      <x:c r="I34" s="488" t="str">
        <x:v>Not Evaluated</x:v>
      </x:c>
      <x:c r="J34" s="411" t="str"/>
      <x:c r="K34" s="411" t="str">
        <x:v>Devansh</x:v>
      </x:c>
      <x:c r="L34" s="411" t="str"/>
      <x:c r="M34" s="373"/>
      <x:c r="N34" s="373"/>
      <x:c r="O34" s="373"/>
      <x:c r="P34" s="373"/>
      <x:c r="Q34" s="373"/>
      <x:c r="R34" s="373"/>
      <x:c r="S34" s="373"/>
      <x:c r="T34" s="373"/>
      <x:c r="U34" s="373"/>
      <x:c r="V34" s="373"/>
      <x:c r="W34" s="373"/>
      <x:c r="X34" s="373"/>
      <x:c r="Y34" s="373"/>
      <x:c r="Z34" s="373"/>
    </x:row>
    <x:row r="35">
      <x:c r="A35" s="411" t="str">
        <x:v>GATE-031</x:v>
      </x:c>
      <x:c r="B35" s="411" t="str">
        <x:v>v0.1.8</x:v>
      </x:c>
      <x:c r="C35" s="411" t="str">
        <x:v>Defect control</x:v>
      </x:c>
      <x:c r="D35" s="411" t="str">
        <x:v>No open Critical defect and accepted disposition for remaining defects.</x:v>
      </x:c>
      <x:c r="E35" s="411" t="str">
        <x:v>Defects</x:v>
      </x:c>
      <x:c r="F35" s="411" t="n">
        <x:v>0</x:v>
      </x:c>
      <x:c r="G35" s="411" t="str">
        <x:v>open critical</x:v>
      </x:c>
      <x:c r="H35" s="488"/>
      <x:c r="I35" s="488" t="str">
        <x:v>Not Evaluated</x:v>
      </x:c>
      <x:c r="J35" s="411" t="str"/>
      <x:c r="K35" s="411" t="str">
        <x:v>Devansh</x:v>
      </x:c>
      <x:c r="L35" s="411" t="str"/>
      <x:c r="M35" s="373"/>
      <x:c r="N35" s="373"/>
      <x:c r="O35" s="373"/>
      <x:c r="P35" s="373"/>
      <x:c r="Q35" s="373"/>
      <x:c r="R35" s="373"/>
      <x:c r="S35" s="373"/>
      <x:c r="T35" s="373"/>
      <x:c r="U35" s="373"/>
      <x:c r="V35" s="373"/>
      <x:c r="W35" s="373"/>
      <x:c r="X35" s="373"/>
      <x:c r="Y35" s="373"/>
      <x:c r="Z35" s="373"/>
    </x:row>
    <x:row r="36">
      <x:c r="A36" s="411" t="str">
        <x:v>GATE-032</x:v>
      </x:c>
      <x:c r="B36" s="411" t="str">
        <x:v>v0.1.8</x:v>
      </x:c>
      <x:c r="C36" s="411" t="str">
        <x:v>Documentation/evidence</x:v>
      </x:c>
      <x:c r="D36" s="411" t="str">
        <x:v>Release notes, known limitations, evidence, and traceability are updated.</x:v>
      </x:c>
      <x:c r="E36" s="411" t="str">
        <x:v>Evidence</x:v>
      </x:c>
      <x:c r="F36" s="411" t="n">
        <x:v>100</x:v>
      </x:c>
      <x:c r="G36" s="411" t="str">
        <x:v>%</x:v>
      </x:c>
      <x:c r="H36" s="488"/>
      <x:c r="I36" s="488" t="str">
        <x:v>Not Evaluated</x:v>
      </x:c>
      <x:c r="J36" s="411" t="str"/>
      <x:c r="K36" s="411" t="str">
        <x:v>Devansh</x:v>
      </x:c>
      <x:c r="L36" s="411" t="str"/>
      <x:c r="M36" s="373"/>
      <x:c r="N36" s="373"/>
      <x:c r="O36" s="373"/>
      <x:c r="P36" s="373"/>
      <x:c r="Q36" s="373"/>
      <x:c r="R36" s="373"/>
      <x:c r="S36" s="373"/>
      <x:c r="T36" s="373"/>
      <x:c r="U36" s="373"/>
      <x:c r="V36" s="373"/>
      <x:c r="W36" s="373"/>
      <x:c r="X36" s="373"/>
      <x:c r="Y36" s="373"/>
      <x:c r="Z36" s="373"/>
    </x:row>
    <x:row r="37">
      <x:c r="A37" s="411" t="str">
        <x:v>GATE-033</x:v>
      </x:c>
      <x:c r="B37" s="411" t="str">
        <x:v>v0.1.9</x:v>
      </x:c>
      <x:c r="C37" s="411" t="str">
        <x:v>Feature acceptance</x:v>
      </x:c>
      <x:c r="D37" s="411" t="str">
        <x:v>All Critical features complete; no unapproved blocked Critical item.</x:v>
      </x:c>
      <x:c r="E37" s="411" t="str">
        <x:v>Features</x:v>
      </x:c>
      <x:c r="F37" s="411" t="n">
        <x:v>100</x:v>
      </x:c>
      <x:c r="G37" s="411" t="str">
        <x:v>%</x:v>
      </x:c>
      <x:c r="H37" s="488"/>
      <x:c r="I37" s="488" t="str">
        <x:v>Not Evaluated</x:v>
      </x:c>
      <x:c r="J37" s="411" t="str"/>
      <x:c r="K37" s="411" t="str">
        <x:v>Devansh</x:v>
      </x:c>
      <x:c r="L37" s="411" t="str"/>
      <x:c r="M37" s="373"/>
      <x:c r="N37" s="373"/>
      <x:c r="O37" s="373"/>
      <x:c r="P37" s="373"/>
      <x:c r="Q37" s="373"/>
      <x:c r="R37" s="373"/>
      <x:c r="S37" s="373"/>
      <x:c r="T37" s="373"/>
      <x:c r="U37" s="373"/>
      <x:c r="V37" s="373"/>
      <x:c r="W37" s="373"/>
      <x:c r="X37" s="373"/>
      <x:c r="Y37" s="373"/>
      <x:c r="Z37" s="373"/>
    </x:row>
    <x:row r="38">
      <x:c r="A38" s="411" t="str">
        <x:v>GATE-034</x:v>
      </x:c>
      <x:c r="B38" s="411" t="str">
        <x:v>v0.1.9</x:v>
      </x:c>
      <x:c r="C38" s="411" t="str">
        <x:v>Verification</x:v>
      </x:c>
      <x:c r="D38" s="411" t="str">
        <x:v>All executed Critical tests pass and planned coverage is complete for release scope.</x:v>
      </x:c>
      <x:c r="E38" s="411" t="str">
        <x:v>Test_Cases</x:v>
      </x:c>
      <x:c r="F38" s="411" t="n">
        <x:v>100</x:v>
      </x:c>
      <x:c r="G38" s="411" t="str">
        <x:v>%</x:v>
      </x:c>
      <x:c r="H38" s="488"/>
      <x:c r="I38" s="488" t="str">
        <x:v>Not Evaluated</x:v>
      </x:c>
      <x:c r="J38" s="411" t="str"/>
      <x:c r="K38" s="411" t="str">
        <x:v>Devansh</x:v>
      </x:c>
      <x:c r="L38" s="411" t="str"/>
      <x:c r="M38" s="373"/>
      <x:c r="N38" s="373"/>
      <x:c r="O38" s="373"/>
      <x:c r="P38" s="373"/>
      <x:c r="Q38" s="373"/>
      <x:c r="R38" s="373"/>
      <x:c r="S38" s="373"/>
      <x:c r="T38" s="373"/>
      <x:c r="U38" s="373"/>
      <x:c r="V38" s="373"/>
      <x:c r="W38" s="373"/>
      <x:c r="X38" s="373"/>
      <x:c r="Y38" s="373"/>
      <x:c r="Z38" s="373"/>
    </x:row>
    <x:row r="39">
      <x:c r="A39" s="411" t="str">
        <x:v>GATE-035</x:v>
      </x:c>
      <x:c r="B39" s="411" t="str">
        <x:v>v0.1.9</x:v>
      </x:c>
      <x:c r="C39" s="411" t="str">
        <x:v>Defect control</x:v>
      </x:c>
      <x:c r="D39" s="411" t="str">
        <x:v>No open Critical defect and accepted disposition for remaining defects.</x:v>
      </x:c>
      <x:c r="E39" s="411" t="str">
        <x:v>Defects</x:v>
      </x:c>
      <x:c r="F39" s="411" t="n">
        <x:v>0</x:v>
      </x:c>
      <x:c r="G39" s="411" t="str">
        <x:v>open critical</x:v>
      </x:c>
      <x:c r="H39" s="488"/>
      <x:c r="I39" s="488" t="str">
        <x:v>Not Evaluated</x:v>
      </x:c>
      <x:c r="J39" s="411" t="str"/>
      <x:c r="K39" s="411" t="str">
        <x:v>Devansh</x:v>
      </x:c>
      <x:c r="L39" s="411" t="str"/>
      <x:c r="M39" s="373"/>
      <x:c r="N39" s="373"/>
      <x:c r="O39" s="373"/>
      <x:c r="P39" s="373"/>
      <x:c r="Q39" s="373"/>
      <x:c r="R39" s="373"/>
      <x:c r="S39" s="373"/>
      <x:c r="T39" s="373"/>
      <x:c r="U39" s="373"/>
      <x:c r="V39" s="373"/>
      <x:c r="W39" s="373"/>
      <x:c r="X39" s="373"/>
      <x:c r="Y39" s="373"/>
      <x:c r="Z39" s="373"/>
    </x:row>
    <x:row r="40">
      <x:c r="A40" s="411" t="str">
        <x:v>GATE-036</x:v>
      </x:c>
      <x:c r="B40" s="411" t="str">
        <x:v>v0.1.9</x:v>
      </x:c>
      <x:c r="C40" s="411" t="str">
        <x:v>Documentation/evidence</x:v>
      </x:c>
      <x:c r="D40" s="411" t="str">
        <x:v>Release notes, known limitations, evidence, and traceability are updated.</x:v>
      </x:c>
      <x:c r="E40" s="411" t="str">
        <x:v>Evidence</x:v>
      </x:c>
      <x:c r="F40" s="411" t="n">
        <x:v>100</x:v>
      </x:c>
      <x:c r="G40" s="411" t="str">
        <x:v>%</x:v>
      </x:c>
      <x:c r="H40" s="488"/>
      <x:c r="I40" s="488" t="str">
        <x:v>Not Evaluated</x:v>
      </x:c>
      <x:c r="J40" s="411" t="str"/>
      <x:c r="K40" s="411" t="str">
        <x:v>Devansh</x:v>
      </x:c>
      <x:c r="L40" s="411" t="str"/>
      <x:c r="M40" s="373"/>
      <x:c r="N40" s="373"/>
      <x:c r="O40" s="373"/>
      <x:c r="P40" s="373"/>
      <x:c r="Q40" s="373"/>
      <x:c r="R40" s="373"/>
      <x:c r="S40" s="373"/>
      <x:c r="T40" s="373"/>
      <x:c r="U40" s="373"/>
      <x:c r="V40" s="373"/>
      <x:c r="W40" s="373"/>
      <x:c r="X40" s="373"/>
      <x:c r="Y40" s="373"/>
      <x:c r="Z40" s="373"/>
    </x:row>
    <x:row r="41">
      <x:c r="A41" s="411" t="str">
        <x:v>GATE-037</x:v>
      </x:c>
      <x:c r="B41" s="411" t="str">
        <x:v>v0.1.10</x:v>
      </x:c>
      <x:c r="C41" s="411" t="str">
        <x:v>Feature acceptance</x:v>
      </x:c>
      <x:c r="D41" s="411" t="str">
        <x:v>All Critical features complete; no unapproved blocked Critical item.</x:v>
      </x:c>
      <x:c r="E41" s="411" t="str">
        <x:v>Features</x:v>
      </x:c>
      <x:c r="F41" s="411" t="n">
        <x:v>100</x:v>
      </x:c>
      <x:c r="G41" s="411" t="str">
        <x:v>%</x:v>
      </x:c>
      <x:c r="H41" s="488"/>
      <x:c r="I41" s="488" t="str">
        <x:v>Not Evaluated</x:v>
      </x:c>
      <x:c r="J41" s="411" t="str"/>
      <x:c r="K41" s="411" t="str">
        <x:v>Devansh</x:v>
      </x:c>
      <x:c r="L41" s="411" t="str"/>
      <x:c r="M41" s="373"/>
      <x:c r="N41" s="373"/>
      <x:c r="O41" s="373"/>
      <x:c r="P41" s="373"/>
      <x:c r="Q41" s="373"/>
      <x:c r="R41" s="373"/>
      <x:c r="S41" s="373"/>
      <x:c r="T41" s="373"/>
      <x:c r="U41" s="373"/>
      <x:c r="V41" s="373"/>
      <x:c r="W41" s="373"/>
      <x:c r="X41" s="373"/>
      <x:c r="Y41" s="373"/>
      <x:c r="Z41" s="373"/>
    </x:row>
    <x:row r="42">
      <x:c r="A42" s="411" t="str">
        <x:v>GATE-038</x:v>
      </x:c>
      <x:c r="B42" s="411" t="str">
        <x:v>v0.1.10</x:v>
      </x:c>
      <x:c r="C42" s="411" t="str">
        <x:v>Verification</x:v>
      </x:c>
      <x:c r="D42" s="411" t="str">
        <x:v>All executed Critical tests pass and planned coverage is complete for release scope.</x:v>
      </x:c>
      <x:c r="E42" s="411" t="str">
        <x:v>Test_Cases</x:v>
      </x:c>
      <x:c r="F42" s="411" t="n">
        <x:v>100</x:v>
      </x:c>
      <x:c r="G42" s="411" t="str">
        <x:v>%</x:v>
      </x:c>
      <x:c r="H42" s="488"/>
      <x:c r="I42" s="488" t="str">
        <x:v>Not Evaluated</x:v>
      </x:c>
      <x:c r="J42" s="411" t="str"/>
      <x:c r="K42" s="411" t="str">
        <x:v>Devansh</x:v>
      </x:c>
      <x:c r="L42" s="411" t="str"/>
      <x:c r="M42" s="373"/>
      <x:c r="N42" s="373"/>
      <x:c r="O42" s="373"/>
      <x:c r="P42" s="373"/>
      <x:c r="Q42" s="373"/>
      <x:c r="R42" s="373"/>
      <x:c r="S42" s="373"/>
      <x:c r="T42" s="373"/>
      <x:c r="U42" s="373"/>
      <x:c r="V42" s="373"/>
      <x:c r="W42" s="373"/>
      <x:c r="X42" s="373"/>
      <x:c r="Y42" s="373"/>
      <x:c r="Z42" s="373"/>
    </x:row>
    <x:row r="43">
      <x:c r="A43" s="411" t="str">
        <x:v>GATE-039</x:v>
      </x:c>
      <x:c r="B43" s="411" t="str">
        <x:v>v0.1.10</x:v>
      </x:c>
      <x:c r="C43" s="411" t="str">
        <x:v>Defect control</x:v>
      </x:c>
      <x:c r="D43" s="411" t="str">
        <x:v>No open Critical defect and accepted disposition for remaining defects.</x:v>
      </x:c>
      <x:c r="E43" s="411" t="str">
        <x:v>Defects</x:v>
      </x:c>
      <x:c r="F43" s="411" t="n">
        <x:v>0</x:v>
      </x:c>
      <x:c r="G43" s="411" t="str">
        <x:v>open critical</x:v>
      </x:c>
      <x:c r="H43" s="488"/>
      <x:c r="I43" s="488" t="str">
        <x:v>Not Evaluated</x:v>
      </x:c>
      <x:c r="J43" s="411" t="str"/>
      <x:c r="K43" s="411" t="str">
        <x:v>Devansh</x:v>
      </x:c>
      <x:c r="L43" s="411" t="str"/>
      <x:c r="M43" s="373"/>
      <x:c r="N43" s="373"/>
      <x:c r="O43" s="373"/>
      <x:c r="P43" s="373"/>
      <x:c r="Q43" s="373"/>
      <x:c r="R43" s="373"/>
      <x:c r="S43" s="373"/>
      <x:c r="T43" s="373"/>
      <x:c r="U43" s="373"/>
      <x:c r="V43" s="373"/>
      <x:c r="W43" s="373"/>
      <x:c r="X43" s="373"/>
      <x:c r="Y43" s="373"/>
      <x:c r="Z43" s="373"/>
    </x:row>
    <x:row r="44">
      <x:c r="A44" s="411" t="str">
        <x:v>GATE-040</x:v>
      </x:c>
      <x:c r="B44" s="411" t="str">
        <x:v>v0.1.10</x:v>
      </x:c>
      <x:c r="C44" s="411" t="str">
        <x:v>Documentation/evidence</x:v>
      </x:c>
      <x:c r="D44" s="411" t="str">
        <x:v>Release notes, known limitations, evidence, and traceability are updated.</x:v>
      </x:c>
      <x:c r="E44" s="411" t="str">
        <x:v>Evidence</x:v>
      </x:c>
      <x:c r="F44" s="411" t="n">
        <x:v>100</x:v>
      </x:c>
      <x:c r="G44" s="411" t="str">
        <x:v>%</x:v>
      </x:c>
      <x:c r="H44" s="488"/>
      <x:c r="I44" s="488" t="str">
        <x:v>Not Evaluated</x:v>
      </x:c>
      <x:c r="J44" s="411" t="str"/>
      <x:c r="K44" s="411" t="str">
        <x:v>Devansh</x:v>
      </x:c>
      <x:c r="L44" s="411" t="str"/>
      <x:c r="M44" s="373"/>
      <x:c r="N44" s="373"/>
      <x:c r="O44" s="373"/>
      <x:c r="P44" s="373"/>
      <x:c r="Q44" s="373"/>
      <x:c r="R44" s="373"/>
      <x:c r="S44" s="373"/>
      <x:c r="T44" s="373"/>
      <x:c r="U44" s="373"/>
      <x:c r="V44" s="373"/>
      <x:c r="W44" s="373"/>
      <x:c r="X44" s="373"/>
      <x:c r="Y44" s="373"/>
      <x:c r="Z44" s="373"/>
    </x:row>
    <x:row r="45">
      <x:c r="A45" s="411" t="str">
        <x:v>GATE-041</x:v>
      </x:c>
      <x:c r="B45" s="411" t="str">
        <x:v>v0.1.11</x:v>
      </x:c>
      <x:c r="C45" s="411" t="str">
        <x:v>Feature acceptance</x:v>
      </x:c>
      <x:c r="D45" s="411" t="str">
        <x:v>All Critical features complete; no unapproved blocked Critical item.</x:v>
      </x:c>
      <x:c r="E45" s="411" t="str">
        <x:v>Features</x:v>
      </x:c>
      <x:c r="F45" s="411" t="n">
        <x:v>100</x:v>
      </x:c>
      <x:c r="G45" s="411" t="str">
        <x:v>%</x:v>
      </x:c>
      <x:c r="H45" s="488"/>
      <x:c r="I45" s="488" t="str">
        <x:v>Not Evaluated</x:v>
      </x:c>
      <x:c r="J45" s="411" t="str"/>
      <x:c r="K45" s="411" t="str">
        <x:v>Devansh</x:v>
      </x:c>
      <x:c r="L45" s="411" t="str"/>
      <x:c r="M45" s="373"/>
      <x:c r="N45" s="373"/>
      <x:c r="O45" s="373"/>
      <x:c r="P45" s="373"/>
      <x:c r="Q45" s="373"/>
      <x:c r="R45" s="373"/>
      <x:c r="S45" s="373"/>
      <x:c r="T45" s="373"/>
      <x:c r="U45" s="373"/>
      <x:c r="V45" s="373"/>
      <x:c r="W45" s="373"/>
      <x:c r="X45" s="373"/>
      <x:c r="Y45" s="373"/>
      <x:c r="Z45" s="373"/>
    </x:row>
    <x:row r="46">
      <x:c r="A46" s="411" t="str">
        <x:v>GATE-042</x:v>
      </x:c>
      <x:c r="B46" s="411" t="str">
        <x:v>v0.1.11</x:v>
      </x:c>
      <x:c r="C46" s="411" t="str">
        <x:v>Verification</x:v>
      </x:c>
      <x:c r="D46" s="411" t="str">
        <x:v>All executed Critical tests pass and planned coverage is complete for release scope.</x:v>
      </x:c>
      <x:c r="E46" s="411" t="str">
        <x:v>Test_Cases</x:v>
      </x:c>
      <x:c r="F46" s="411" t="n">
        <x:v>100</x:v>
      </x:c>
      <x:c r="G46" s="411" t="str">
        <x:v>%</x:v>
      </x:c>
      <x:c r="H46" s="488"/>
      <x:c r="I46" s="488" t="str">
        <x:v>Not Evaluated</x:v>
      </x:c>
      <x:c r="J46" s="411" t="str"/>
      <x:c r="K46" s="411" t="str">
        <x:v>Devansh</x:v>
      </x:c>
      <x:c r="L46" s="411" t="str"/>
      <x:c r="M46" s="373"/>
      <x:c r="N46" s="373"/>
      <x:c r="O46" s="373"/>
      <x:c r="P46" s="373"/>
      <x:c r="Q46" s="373"/>
      <x:c r="R46" s="373"/>
      <x:c r="S46" s="373"/>
      <x:c r="T46" s="373"/>
      <x:c r="U46" s="373"/>
      <x:c r="V46" s="373"/>
      <x:c r="W46" s="373"/>
      <x:c r="X46" s="373"/>
      <x:c r="Y46" s="373"/>
      <x:c r="Z46" s="373"/>
    </x:row>
    <x:row r="47">
      <x:c r="A47" s="411" t="str">
        <x:v>GATE-043</x:v>
      </x:c>
      <x:c r="B47" s="411" t="str">
        <x:v>v0.1.11</x:v>
      </x:c>
      <x:c r="C47" s="411" t="str">
        <x:v>Defect control</x:v>
      </x:c>
      <x:c r="D47" s="411" t="str">
        <x:v>No open Critical defect and accepted disposition for remaining defects.</x:v>
      </x:c>
      <x:c r="E47" s="411" t="str">
        <x:v>Defects</x:v>
      </x:c>
      <x:c r="F47" s="411" t="n">
        <x:v>0</x:v>
      </x:c>
      <x:c r="G47" s="411" t="str">
        <x:v>open critical</x:v>
      </x:c>
      <x:c r="H47" s="488"/>
      <x:c r="I47" s="488" t="str">
        <x:v>Not Evaluated</x:v>
      </x:c>
      <x:c r="J47" s="411" t="str"/>
      <x:c r="K47" s="411" t="str">
        <x:v>Devansh</x:v>
      </x:c>
      <x:c r="L47" s="411" t="str"/>
      <x:c r="M47" s="373"/>
      <x:c r="N47" s="373"/>
      <x:c r="O47" s="373"/>
      <x:c r="P47" s="373"/>
      <x:c r="Q47" s="373"/>
      <x:c r="R47" s="373"/>
      <x:c r="S47" s="373"/>
      <x:c r="T47" s="373"/>
      <x:c r="U47" s="373"/>
      <x:c r="V47" s="373"/>
      <x:c r="W47" s="373"/>
      <x:c r="X47" s="373"/>
      <x:c r="Y47" s="373"/>
      <x:c r="Z47" s="373"/>
    </x:row>
    <x:row r="48">
      <x:c r="A48" s="411" t="str">
        <x:v>GATE-044</x:v>
      </x:c>
      <x:c r="B48" s="411" t="str">
        <x:v>v0.1.11</x:v>
      </x:c>
      <x:c r="C48" s="411" t="str">
        <x:v>Documentation/evidence</x:v>
      </x:c>
      <x:c r="D48" s="411" t="str">
        <x:v>Release notes, known limitations, evidence, and traceability are updated.</x:v>
      </x:c>
      <x:c r="E48" s="411" t="str">
        <x:v>Evidence</x:v>
      </x:c>
      <x:c r="F48" s="411" t="n">
        <x:v>100</x:v>
      </x:c>
      <x:c r="G48" s="411" t="str">
        <x:v>%</x:v>
      </x:c>
      <x:c r="H48" s="488"/>
      <x:c r="I48" s="488" t="str">
        <x:v>Not Evaluated</x:v>
      </x:c>
      <x:c r="J48" s="411" t="str"/>
      <x:c r="K48" s="411" t="str">
        <x:v>Devansh</x:v>
      </x:c>
      <x:c r="L48" s="411" t="str"/>
      <x:c r="M48" s="373"/>
      <x:c r="N48" s="373"/>
      <x:c r="O48" s="373"/>
      <x:c r="P48" s="373"/>
      <x:c r="Q48" s="373"/>
      <x:c r="R48" s="373"/>
      <x:c r="S48" s="373"/>
      <x:c r="T48" s="373"/>
      <x:c r="U48" s="373"/>
      <x:c r="V48" s="373"/>
      <x:c r="W48" s="373"/>
      <x:c r="X48" s="373"/>
      <x:c r="Y48" s="373"/>
      <x:c r="Z48" s="373"/>
    </x:row>
    <x:row r="49">
      <x:c r="A49" s="411" t="str">
        <x:v>GATE-045</x:v>
      </x:c>
      <x:c r="B49" s="411" t="str">
        <x:v>v0.1.12</x:v>
      </x:c>
      <x:c r="C49" s="411" t="str">
        <x:v>Feature acceptance</x:v>
      </x:c>
      <x:c r="D49" s="411" t="str">
        <x:v>All Critical features complete; no unapproved blocked Critical item.</x:v>
      </x:c>
      <x:c r="E49" s="411" t="str">
        <x:v>Features</x:v>
      </x:c>
      <x:c r="F49" s="411" t="n">
        <x:v>100</x:v>
      </x:c>
      <x:c r="G49" s="411" t="str">
        <x:v>%</x:v>
      </x:c>
      <x:c r="H49" s="488"/>
      <x:c r="I49" s="488" t="str">
        <x:v>Not Evaluated</x:v>
      </x:c>
      <x:c r="J49" s="411" t="str"/>
      <x:c r="K49" s="411" t="str">
        <x:v>Devansh</x:v>
      </x:c>
      <x:c r="L49" s="411" t="str"/>
      <x:c r="M49" s="373"/>
      <x:c r="N49" s="373"/>
      <x:c r="O49" s="373"/>
      <x:c r="P49" s="373"/>
      <x:c r="Q49" s="373"/>
      <x:c r="R49" s="373"/>
      <x:c r="S49" s="373"/>
      <x:c r="T49" s="373"/>
      <x:c r="U49" s="373"/>
      <x:c r="V49" s="373"/>
      <x:c r="W49" s="373"/>
      <x:c r="X49" s="373"/>
      <x:c r="Y49" s="373"/>
      <x:c r="Z49" s="373"/>
    </x:row>
    <x:row r="50">
      <x:c r="A50" s="411" t="str">
        <x:v>GATE-046</x:v>
      </x:c>
      <x:c r="B50" s="411" t="str">
        <x:v>v0.1.12</x:v>
      </x:c>
      <x:c r="C50" s="411" t="str">
        <x:v>Verification</x:v>
      </x:c>
      <x:c r="D50" s="411" t="str">
        <x:v>All executed Critical tests pass and planned coverage is complete for release scope.</x:v>
      </x:c>
      <x:c r="E50" s="411" t="str">
        <x:v>Test_Cases</x:v>
      </x:c>
      <x:c r="F50" s="411" t="n">
        <x:v>100</x:v>
      </x:c>
      <x:c r="G50" s="411" t="str">
        <x:v>%</x:v>
      </x:c>
      <x:c r="H50" s="488"/>
      <x:c r="I50" s="488" t="str">
        <x:v>Not Evaluated</x:v>
      </x:c>
      <x:c r="J50" s="411" t="str"/>
      <x:c r="K50" s="411" t="str">
        <x:v>Devansh</x:v>
      </x:c>
      <x:c r="L50" s="411" t="str"/>
      <x:c r="M50" s="373"/>
      <x:c r="N50" s="373"/>
      <x:c r="O50" s="373"/>
      <x:c r="P50" s="373"/>
      <x:c r="Q50" s="373"/>
      <x:c r="R50" s="373"/>
      <x:c r="S50" s="373"/>
      <x:c r="T50" s="373"/>
      <x:c r="U50" s="373"/>
      <x:c r="V50" s="373"/>
      <x:c r="W50" s="373"/>
      <x:c r="X50" s="373"/>
      <x:c r="Y50" s="373"/>
      <x:c r="Z50" s="373"/>
    </x:row>
    <x:row r="51">
      <x:c r="A51" s="411" t="str">
        <x:v>GATE-047</x:v>
      </x:c>
      <x:c r="B51" s="411" t="str">
        <x:v>v0.1.12</x:v>
      </x:c>
      <x:c r="C51" s="411" t="str">
        <x:v>Defect control</x:v>
      </x:c>
      <x:c r="D51" s="411" t="str">
        <x:v>No open Critical defect and accepted disposition for remaining defects.</x:v>
      </x:c>
      <x:c r="E51" s="411" t="str">
        <x:v>Defects</x:v>
      </x:c>
      <x:c r="F51" s="411" t="n">
        <x:v>0</x:v>
      </x:c>
      <x:c r="G51" s="411" t="str">
        <x:v>open critical</x:v>
      </x:c>
      <x:c r="H51" s="488"/>
      <x:c r="I51" s="488" t="str">
        <x:v>Not Evaluated</x:v>
      </x:c>
      <x:c r="J51" s="411" t="str"/>
      <x:c r="K51" s="411" t="str">
        <x:v>Devansh</x:v>
      </x:c>
      <x:c r="L51" s="411" t="str"/>
      <x:c r="M51" s="373"/>
      <x:c r="N51" s="373"/>
      <x:c r="O51" s="373"/>
      <x:c r="P51" s="373"/>
      <x:c r="Q51" s="373"/>
      <x:c r="R51" s="373"/>
      <x:c r="S51" s="373"/>
      <x:c r="T51" s="373"/>
      <x:c r="U51" s="373"/>
      <x:c r="V51" s="373"/>
      <x:c r="W51" s="373"/>
      <x:c r="X51" s="373"/>
      <x:c r="Y51" s="373"/>
      <x:c r="Z51" s="373"/>
    </x:row>
    <x:row r="52">
      <x:c r="A52" s="411" t="str">
        <x:v>GATE-048</x:v>
      </x:c>
      <x:c r="B52" s="411" t="str">
        <x:v>v0.1.12</x:v>
      </x:c>
      <x:c r="C52" s="411" t="str">
        <x:v>Documentation/evidence</x:v>
      </x:c>
      <x:c r="D52" s="411" t="str">
        <x:v>Release notes, known limitations, evidence, and traceability are updated.</x:v>
      </x:c>
      <x:c r="E52" s="411" t="str">
        <x:v>Evidence</x:v>
      </x:c>
      <x:c r="F52" s="411" t="n">
        <x:v>100</x:v>
      </x:c>
      <x:c r="G52" s="411" t="str">
        <x:v>%</x:v>
      </x:c>
      <x:c r="H52" s="488"/>
      <x:c r="I52" s="488" t="str">
        <x:v>Not Evaluated</x:v>
      </x:c>
      <x:c r="J52" s="411" t="str"/>
      <x:c r="K52" s="411" t="str">
        <x:v>Devansh</x:v>
      </x:c>
      <x:c r="L52" s="411" t="str"/>
      <x:c r="M52" s="373"/>
      <x:c r="N52" s="373"/>
      <x:c r="O52" s="373"/>
      <x:c r="P52" s="373"/>
      <x:c r="Q52" s="373"/>
      <x:c r="R52" s="373"/>
      <x:c r="S52" s="373"/>
      <x:c r="T52" s="373"/>
      <x:c r="U52" s="373"/>
      <x:c r="V52" s="373"/>
      <x:c r="W52" s="373"/>
      <x:c r="X52" s="373"/>
      <x:c r="Y52" s="373"/>
      <x:c r="Z52" s="373"/>
    </x:row>
    <x:row r="53">
      <x:c r="A53" s="411" t="str">
        <x:v>GATE-049</x:v>
      </x:c>
      <x:c r="B53" s="411" t="str">
        <x:v>v0.2.0</x:v>
      </x:c>
      <x:c r="C53" s="411" t="str">
        <x:v>Feature acceptance</x:v>
      </x:c>
      <x:c r="D53" s="411" t="str">
        <x:v>All Critical features complete; no unapproved blocked Critical item.</x:v>
      </x:c>
      <x:c r="E53" s="411" t="str">
        <x:v>Features</x:v>
      </x:c>
      <x:c r="F53" s="411" t="n">
        <x:v>100</x:v>
      </x:c>
      <x:c r="G53" s="411" t="str">
        <x:v>%</x:v>
      </x:c>
      <x:c r="H53" s="488"/>
      <x:c r="I53" s="488" t="str">
        <x:v>Not Evaluated</x:v>
      </x:c>
      <x:c r="J53" s="411" t="str"/>
      <x:c r="K53" s="411" t="str">
        <x:v>Devansh</x:v>
      </x:c>
      <x:c r="L53" s="411" t="str"/>
      <x:c r="M53" s="373"/>
      <x:c r="N53" s="373"/>
      <x:c r="O53" s="373"/>
      <x:c r="P53" s="373"/>
      <x:c r="Q53" s="373"/>
      <x:c r="R53" s="373"/>
      <x:c r="S53" s="373"/>
      <x:c r="T53" s="373"/>
      <x:c r="U53" s="373"/>
      <x:c r="V53" s="373"/>
      <x:c r="W53" s="373"/>
      <x:c r="X53" s="373"/>
      <x:c r="Y53" s="373"/>
      <x:c r="Z53" s="373"/>
    </x:row>
    <x:row r="54">
      <x:c r="A54" s="411" t="str">
        <x:v>GATE-050</x:v>
      </x:c>
      <x:c r="B54" s="411" t="str">
        <x:v>v0.2.0</x:v>
      </x:c>
      <x:c r="C54" s="411" t="str">
        <x:v>Verification</x:v>
      </x:c>
      <x:c r="D54" s="411" t="str">
        <x:v>All executed Critical tests pass and planned coverage is complete for release scope.</x:v>
      </x:c>
      <x:c r="E54" s="411" t="str">
        <x:v>Test_Cases</x:v>
      </x:c>
      <x:c r="F54" s="411" t="n">
        <x:v>100</x:v>
      </x:c>
      <x:c r="G54" s="411" t="str">
        <x:v>%</x:v>
      </x:c>
      <x:c r="H54" s="488"/>
      <x:c r="I54" s="488" t="str">
        <x:v>Not Evaluated</x:v>
      </x:c>
      <x:c r="J54" s="411" t="str"/>
      <x:c r="K54" s="411" t="str">
        <x:v>Devansh</x:v>
      </x:c>
      <x:c r="L54" s="411" t="str"/>
      <x:c r="M54" s="373"/>
      <x:c r="N54" s="373"/>
      <x:c r="O54" s="373"/>
      <x:c r="P54" s="373"/>
      <x:c r="Q54" s="373"/>
      <x:c r="R54" s="373"/>
      <x:c r="S54" s="373"/>
      <x:c r="T54" s="373"/>
      <x:c r="U54" s="373"/>
      <x:c r="V54" s="373"/>
      <x:c r="W54" s="373"/>
      <x:c r="X54" s="373"/>
      <x:c r="Y54" s="373"/>
      <x:c r="Z54" s="373"/>
    </x:row>
    <x:row r="55">
      <x:c r="A55" s="411" t="str">
        <x:v>GATE-051</x:v>
      </x:c>
      <x:c r="B55" s="411" t="str">
        <x:v>v0.2.0</x:v>
      </x:c>
      <x:c r="C55" s="411" t="str">
        <x:v>Defect control</x:v>
      </x:c>
      <x:c r="D55" s="411" t="str">
        <x:v>No open Critical defect and accepted disposition for remaining defects.</x:v>
      </x:c>
      <x:c r="E55" s="411" t="str">
        <x:v>Defects</x:v>
      </x:c>
      <x:c r="F55" s="411" t="n">
        <x:v>0</x:v>
      </x:c>
      <x:c r="G55" s="411" t="str">
        <x:v>open critical</x:v>
      </x:c>
      <x:c r="H55" s="488"/>
      <x:c r="I55" s="488" t="str">
        <x:v>Not Evaluated</x:v>
      </x:c>
      <x:c r="J55" s="411" t="str"/>
      <x:c r="K55" s="411" t="str">
        <x:v>Devansh</x:v>
      </x:c>
      <x:c r="L55" s="411" t="str"/>
      <x:c r="M55" s="373"/>
      <x:c r="N55" s="373"/>
      <x:c r="O55" s="373"/>
      <x:c r="P55" s="373"/>
      <x:c r="Q55" s="373"/>
      <x:c r="R55" s="373"/>
      <x:c r="S55" s="373"/>
      <x:c r="T55" s="373"/>
      <x:c r="U55" s="373"/>
      <x:c r="V55" s="373"/>
      <x:c r="W55" s="373"/>
      <x:c r="X55" s="373"/>
      <x:c r="Y55" s="373"/>
      <x:c r="Z55" s="373"/>
    </x:row>
    <x:row r="56">
      <x:c r="A56" s="411" t="str">
        <x:v>GATE-052</x:v>
      </x:c>
      <x:c r="B56" s="411" t="str">
        <x:v>v0.2.0</x:v>
      </x:c>
      <x:c r="C56" s="411" t="str">
        <x:v>Documentation/evidence</x:v>
      </x:c>
      <x:c r="D56" s="411" t="str">
        <x:v>Release notes, known limitations, evidence, and traceability are updated.</x:v>
      </x:c>
      <x:c r="E56" s="411" t="str">
        <x:v>Evidence</x:v>
      </x:c>
      <x:c r="F56" s="411" t="n">
        <x:v>100</x:v>
      </x:c>
      <x:c r="G56" s="411" t="str">
        <x:v>%</x:v>
      </x:c>
      <x:c r="H56" s="488"/>
      <x:c r="I56" s="488" t="str">
        <x:v>Not Evaluated</x:v>
      </x:c>
      <x:c r="J56" s="411" t="str"/>
      <x:c r="K56" s="411" t="str">
        <x:v>Devansh</x:v>
      </x:c>
      <x:c r="L56" s="411" t="str"/>
      <x:c r="M56" s="373"/>
      <x:c r="N56" s="373"/>
      <x:c r="O56" s="373"/>
      <x:c r="P56" s="373"/>
      <x:c r="Q56" s="373"/>
      <x:c r="R56" s="373"/>
      <x:c r="S56" s="373"/>
      <x:c r="T56" s="373"/>
      <x:c r="U56" s="373"/>
      <x:c r="V56" s="373"/>
      <x:c r="W56" s="373"/>
      <x:c r="X56" s="373"/>
      <x:c r="Y56" s="373"/>
      <x:c r="Z56" s="373"/>
    </x:row>
    <x:row r="57">
      <x:c r="A57" s="411" t="str">
        <x:v>GATE-053</x:v>
      </x:c>
      <x:c r="B57" s="411" t="str">
        <x:v>v0.2.1</x:v>
      </x:c>
      <x:c r="C57" s="411" t="str">
        <x:v>Feature acceptance</x:v>
      </x:c>
      <x:c r="D57" s="411" t="str">
        <x:v>All Critical features complete; no unapproved blocked Critical item.</x:v>
      </x:c>
      <x:c r="E57" s="411" t="str">
        <x:v>Features</x:v>
      </x:c>
      <x:c r="F57" s="411" t="n">
        <x:v>100</x:v>
      </x:c>
      <x:c r="G57" s="411" t="str">
        <x:v>%</x:v>
      </x:c>
      <x:c r="H57" s="488"/>
      <x:c r="I57" s="488" t="str">
        <x:v>Not Evaluated</x:v>
      </x:c>
      <x:c r="J57" s="411" t="str"/>
      <x:c r="K57" s="411" t="str">
        <x:v>Devansh</x:v>
      </x:c>
      <x:c r="L57" s="411" t="str"/>
      <x:c r="M57" s="373"/>
      <x:c r="N57" s="373"/>
      <x:c r="O57" s="373"/>
      <x:c r="P57" s="373"/>
      <x:c r="Q57" s="373"/>
      <x:c r="R57" s="373"/>
      <x:c r="S57" s="373"/>
      <x:c r="T57" s="373"/>
      <x:c r="U57" s="373"/>
      <x:c r="V57" s="373"/>
      <x:c r="W57" s="373"/>
      <x:c r="X57" s="373"/>
      <x:c r="Y57" s="373"/>
      <x:c r="Z57" s="373"/>
    </x:row>
    <x:row r="58">
      <x:c r="A58" s="411" t="str">
        <x:v>GATE-054</x:v>
      </x:c>
      <x:c r="B58" s="411" t="str">
        <x:v>v0.2.1</x:v>
      </x:c>
      <x:c r="C58" s="411" t="str">
        <x:v>Verification</x:v>
      </x:c>
      <x:c r="D58" s="411" t="str">
        <x:v>All executed Critical tests pass and planned coverage is complete for release scope.</x:v>
      </x:c>
      <x:c r="E58" s="411" t="str">
        <x:v>Test_Cases</x:v>
      </x:c>
      <x:c r="F58" s="411" t="n">
        <x:v>100</x:v>
      </x:c>
      <x:c r="G58" s="411" t="str">
        <x:v>%</x:v>
      </x:c>
      <x:c r="H58" s="488"/>
      <x:c r="I58" s="488" t="str">
        <x:v>Not Evaluated</x:v>
      </x:c>
      <x:c r="J58" s="411" t="str"/>
      <x:c r="K58" s="411" t="str">
        <x:v>Devansh</x:v>
      </x:c>
      <x:c r="L58" s="411" t="str"/>
      <x:c r="M58" s="373"/>
      <x:c r="N58" s="373"/>
      <x:c r="O58" s="373"/>
      <x:c r="P58" s="373"/>
      <x:c r="Q58" s="373"/>
      <x:c r="R58" s="373"/>
      <x:c r="S58" s="373"/>
      <x:c r="T58" s="373"/>
      <x:c r="U58" s="373"/>
      <x:c r="V58" s="373"/>
      <x:c r="W58" s="373"/>
      <x:c r="X58" s="373"/>
      <x:c r="Y58" s="373"/>
      <x:c r="Z58" s="373"/>
    </x:row>
    <x:row r="59">
      <x:c r="A59" s="411" t="str">
        <x:v>GATE-055</x:v>
      </x:c>
      <x:c r="B59" s="411" t="str">
        <x:v>v0.2.1</x:v>
      </x:c>
      <x:c r="C59" s="411" t="str">
        <x:v>Defect control</x:v>
      </x:c>
      <x:c r="D59" s="411" t="str">
        <x:v>No open Critical defect and accepted disposition for remaining defects.</x:v>
      </x:c>
      <x:c r="E59" s="411" t="str">
        <x:v>Defects</x:v>
      </x:c>
      <x:c r="F59" s="411" t="n">
        <x:v>0</x:v>
      </x:c>
      <x:c r="G59" s="411" t="str">
        <x:v>open critical</x:v>
      </x:c>
      <x:c r="H59" s="488"/>
      <x:c r="I59" s="488" t="str">
        <x:v>Not Evaluated</x:v>
      </x:c>
      <x:c r="J59" s="411" t="str"/>
      <x:c r="K59" s="411" t="str">
        <x:v>Devansh</x:v>
      </x:c>
      <x:c r="L59" s="411" t="str"/>
      <x:c r="M59" s="373"/>
      <x:c r="N59" s="373"/>
      <x:c r="O59" s="373"/>
      <x:c r="P59" s="373"/>
      <x:c r="Q59" s="373"/>
      <x:c r="R59" s="373"/>
      <x:c r="S59" s="373"/>
      <x:c r="T59" s="373"/>
      <x:c r="U59" s="373"/>
      <x:c r="V59" s="373"/>
      <x:c r="W59" s="373"/>
      <x:c r="X59" s="373"/>
      <x:c r="Y59" s="373"/>
      <x:c r="Z59" s="373"/>
    </x:row>
    <x:row r="60">
      <x:c r="A60" s="411" t="str">
        <x:v>GATE-056</x:v>
      </x:c>
      <x:c r="B60" s="411" t="str">
        <x:v>v0.2.1</x:v>
      </x:c>
      <x:c r="C60" s="411" t="str">
        <x:v>Documentation/evidence</x:v>
      </x:c>
      <x:c r="D60" s="411" t="str">
        <x:v>Release notes, known limitations, evidence, and traceability are updated.</x:v>
      </x:c>
      <x:c r="E60" s="411" t="str">
        <x:v>Evidence</x:v>
      </x:c>
      <x:c r="F60" s="411" t="n">
        <x:v>100</x:v>
      </x:c>
      <x:c r="G60" s="411" t="str">
        <x:v>%</x:v>
      </x:c>
      <x:c r="H60" s="488"/>
      <x:c r="I60" s="488" t="str">
        <x:v>Not Evaluated</x:v>
      </x:c>
      <x:c r="J60" s="411" t="str"/>
      <x:c r="K60" s="411" t="str">
        <x:v>Devansh</x:v>
      </x:c>
      <x:c r="L60" s="411" t="str"/>
      <x:c r="M60" s="373"/>
      <x:c r="N60" s="373"/>
      <x:c r="O60" s="373"/>
      <x:c r="P60" s="373"/>
      <x:c r="Q60" s="373"/>
      <x:c r="R60" s="373"/>
      <x:c r="S60" s="373"/>
      <x:c r="T60" s="373"/>
      <x:c r="U60" s="373"/>
      <x:c r="V60" s="373"/>
      <x:c r="W60" s="373"/>
      <x:c r="X60" s="373"/>
      <x:c r="Y60" s="373"/>
      <x:c r="Z60" s="373"/>
    </x:row>
    <x:row r="61">
      <x:c r="A61" s="411" t="str">
        <x:v>GATE-057</x:v>
      </x:c>
      <x:c r="B61" s="411" t="str">
        <x:v>v0.2.2</x:v>
      </x:c>
      <x:c r="C61" s="411" t="str">
        <x:v>Feature acceptance</x:v>
      </x:c>
      <x:c r="D61" s="411" t="str">
        <x:v>All Critical features complete; no unapproved blocked Critical item.</x:v>
      </x:c>
      <x:c r="E61" s="411" t="str">
        <x:v>Features</x:v>
      </x:c>
      <x:c r="F61" s="411" t="n">
        <x:v>100</x:v>
      </x:c>
      <x:c r="G61" s="411" t="str">
        <x:v>%</x:v>
      </x:c>
      <x:c r="H61" s="488"/>
      <x:c r="I61" s="488" t="str">
        <x:v>Not Evaluated</x:v>
      </x:c>
      <x:c r="J61" s="411" t="str"/>
      <x:c r="K61" s="411" t="str">
        <x:v>Devansh</x:v>
      </x:c>
      <x:c r="L61" s="411" t="str"/>
      <x:c r="M61" s="373"/>
      <x:c r="N61" s="373"/>
      <x:c r="O61" s="373"/>
      <x:c r="P61" s="373"/>
      <x:c r="Q61" s="373"/>
      <x:c r="R61" s="373"/>
      <x:c r="S61" s="373"/>
      <x:c r="T61" s="373"/>
      <x:c r="U61" s="373"/>
      <x:c r="V61" s="373"/>
      <x:c r="W61" s="373"/>
      <x:c r="X61" s="373"/>
      <x:c r="Y61" s="373"/>
      <x:c r="Z61" s="373"/>
    </x:row>
    <x:row r="62">
      <x:c r="A62" s="411" t="str">
        <x:v>GATE-058</x:v>
      </x:c>
      <x:c r="B62" s="411" t="str">
        <x:v>v0.2.2</x:v>
      </x:c>
      <x:c r="C62" s="411" t="str">
        <x:v>Verification</x:v>
      </x:c>
      <x:c r="D62" s="411" t="str">
        <x:v>All executed Critical tests pass and planned coverage is complete for release scope.</x:v>
      </x:c>
      <x:c r="E62" s="411" t="str">
        <x:v>Test_Cases</x:v>
      </x:c>
      <x:c r="F62" s="411" t="n">
        <x:v>100</x:v>
      </x:c>
      <x:c r="G62" s="411" t="str">
        <x:v>%</x:v>
      </x:c>
      <x:c r="H62" s="488"/>
      <x:c r="I62" s="488" t="str">
        <x:v>Not Evaluated</x:v>
      </x:c>
      <x:c r="J62" s="411" t="str"/>
      <x:c r="K62" s="411" t="str">
        <x:v>Devansh</x:v>
      </x:c>
      <x:c r="L62" s="411" t="str"/>
      <x:c r="M62" s="373"/>
      <x:c r="N62" s="373"/>
      <x:c r="O62" s="373"/>
      <x:c r="P62" s="373"/>
      <x:c r="Q62" s="373"/>
      <x:c r="R62" s="373"/>
      <x:c r="S62" s="373"/>
      <x:c r="T62" s="373"/>
      <x:c r="U62" s="373"/>
      <x:c r="V62" s="373"/>
      <x:c r="W62" s="373"/>
      <x:c r="X62" s="373"/>
      <x:c r="Y62" s="373"/>
      <x:c r="Z62" s="373"/>
    </x:row>
    <x:row r="63">
      <x:c r="A63" s="411" t="str">
        <x:v>GATE-059</x:v>
      </x:c>
      <x:c r="B63" s="411" t="str">
        <x:v>v0.2.2</x:v>
      </x:c>
      <x:c r="C63" s="411" t="str">
        <x:v>Defect control</x:v>
      </x:c>
      <x:c r="D63" s="411" t="str">
        <x:v>No open Critical defect and accepted disposition for remaining defects.</x:v>
      </x:c>
      <x:c r="E63" s="411" t="str">
        <x:v>Defects</x:v>
      </x:c>
      <x:c r="F63" s="411" t="n">
        <x:v>0</x:v>
      </x:c>
      <x:c r="G63" s="411" t="str">
        <x:v>open critical</x:v>
      </x:c>
      <x:c r="H63" s="488"/>
      <x:c r="I63" s="488" t="str">
        <x:v>Not Evaluated</x:v>
      </x:c>
      <x:c r="J63" s="411" t="str"/>
      <x:c r="K63" s="411" t="str">
        <x:v>Devansh</x:v>
      </x:c>
      <x:c r="L63" s="411" t="str"/>
      <x:c r="M63" s="373"/>
      <x:c r="N63" s="373"/>
      <x:c r="O63" s="373"/>
      <x:c r="P63" s="373"/>
      <x:c r="Q63" s="373"/>
      <x:c r="R63" s="373"/>
      <x:c r="S63" s="373"/>
      <x:c r="T63" s="373"/>
      <x:c r="U63" s="373"/>
      <x:c r="V63" s="373"/>
      <x:c r="W63" s="373"/>
      <x:c r="X63" s="373"/>
      <x:c r="Y63" s="373"/>
      <x:c r="Z63" s="373"/>
    </x:row>
    <x:row r="64">
      <x:c r="A64" s="411" t="str">
        <x:v>GATE-060</x:v>
      </x:c>
      <x:c r="B64" s="411" t="str">
        <x:v>v0.2.2</x:v>
      </x:c>
      <x:c r="C64" s="411" t="str">
        <x:v>Documentation/evidence</x:v>
      </x:c>
      <x:c r="D64" s="411" t="str">
        <x:v>Release notes, known limitations, evidence, and traceability are updated.</x:v>
      </x:c>
      <x:c r="E64" s="411" t="str">
        <x:v>Evidence</x:v>
      </x:c>
      <x:c r="F64" s="411" t="n">
        <x:v>100</x:v>
      </x:c>
      <x:c r="G64" s="411" t="str">
        <x:v>%</x:v>
      </x:c>
      <x:c r="H64" s="488"/>
      <x:c r="I64" s="488" t="str">
        <x:v>Not Evaluated</x:v>
      </x:c>
      <x:c r="J64" s="411" t="str"/>
      <x:c r="K64" s="411" t="str">
        <x:v>Devansh</x:v>
      </x:c>
      <x:c r="L64" s="411" t="str"/>
      <x:c r="M64" s="373"/>
      <x:c r="N64" s="373"/>
      <x:c r="O64" s="373"/>
      <x:c r="P64" s="373"/>
      <x:c r="Q64" s="373"/>
      <x:c r="R64" s="373"/>
      <x:c r="S64" s="373"/>
      <x:c r="T64" s="373"/>
      <x:c r="U64" s="373"/>
      <x:c r="V64" s="373"/>
      <x:c r="W64" s="373"/>
      <x:c r="X64" s="373"/>
      <x:c r="Y64" s="373"/>
      <x:c r="Z64" s="373"/>
    </x:row>
    <x:row r="65">
      <x:c r="A65" s="411" t="str">
        <x:v>GATE-061</x:v>
      </x:c>
      <x:c r="B65" s="411" t="str">
        <x:v>v0.2.3</x:v>
      </x:c>
      <x:c r="C65" s="411" t="str">
        <x:v>Feature acceptance</x:v>
      </x:c>
      <x:c r="D65" s="411" t="str">
        <x:v>All Critical features complete; no unapproved blocked Critical item.</x:v>
      </x:c>
      <x:c r="E65" s="411" t="str">
        <x:v>Features</x:v>
      </x:c>
      <x:c r="F65" s="411" t="n">
        <x:v>100</x:v>
      </x:c>
      <x:c r="G65" s="411" t="str">
        <x:v>%</x:v>
      </x:c>
      <x:c r="H65" s="488"/>
      <x:c r="I65" s="488" t="str">
        <x:v>Not Evaluated</x:v>
      </x:c>
      <x:c r="J65" s="411" t="str"/>
      <x:c r="K65" s="411" t="str">
        <x:v>Devansh</x:v>
      </x:c>
      <x:c r="L65" s="411" t="str"/>
      <x:c r="M65" s="373"/>
      <x:c r="N65" s="373"/>
      <x:c r="O65" s="373"/>
      <x:c r="P65" s="373"/>
      <x:c r="Q65" s="373"/>
      <x:c r="R65" s="373"/>
      <x:c r="S65" s="373"/>
      <x:c r="T65" s="373"/>
      <x:c r="U65" s="373"/>
      <x:c r="V65" s="373"/>
      <x:c r="W65" s="373"/>
      <x:c r="X65" s="373"/>
      <x:c r="Y65" s="373"/>
      <x:c r="Z65" s="373"/>
    </x:row>
    <x:row r="66">
      <x:c r="A66" s="411" t="str">
        <x:v>GATE-062</x:v>
      </x:c>
      <x:c r="B66" s="411" t="str">
        <x:v>v0.2.3</x:v>
      </x:c>
      <x:c r="C66" s="411" t="str">
        <x:v>Verification</x:v>
      </x:c>
      <x:c r="D66" s="411" t="str">
        <x:v>All executed Critical tests pass and planned coverage is complete for release scope.</x:v>
      </x:c>
      <x:c r="E66" s="411" t="str">
        <x:v>Test_Cases</x:v>
      </x:c>
      <x:c r="F66" s="411" t="n">
        <x:v>100</x:v>
      </x:c>
      <x:c r="G66" s="411" t="str">
        <x:v>%</x:v>
      </x:c>
      <x:c r="H66" s="488"/>
      <x:c r="I66" s="488" t="str">
        <x:v>Not Evaluated</x:v>
      </x:c>
      <x:c r="J66" s="411" t="str"/>
      <x:c r="K66" s="411" t="str">
        <x:v>Devansh</x:v>
      </x:c>
      <x:c r="L66" s="411" t="str"/>
      <x:c r="M66" s="373"/>
      <x:c r="N66" s="373"/>
      <x:c r="O66" s="373"/>
      <x:c r="P66" s="373"/>
      <x:c r="Q66" s="373"/>
      <x:c r="R66" s="373"/>
      <x:c r="S66" s="373"/>
      <x:c r="T66" s="373"/>
      <x:c r="U66" s="373"/>
      <x:c r="V66" s="373"/>
      <x:c r="W66" s="373"/>
      <x:c r="X66" s="373"/>
      <x:c r="Y66" s="373"/>
      <x:c r="Z66" s="373"/>
    </x:row>
    <x:row r="67">
      <x:c r="A67" s="411" t="str">
        <x:v>GATE-063</x:v>
      </x:c>
      <x:c r="B67" s="411" t="str">
        <x:v>v0.2.3</x:v>
      </x:c>
      <x:c r="C67" s="411" t="str">
        <x:v>Defect control</x:v>
      </x:c>
      <x:c r="D67" s="411" t="str">
        <x:v>No open Critical defect and accepted disposition for remaining defects.</x:v>
      </x:c>
      <x:c r="E67" s="411" t="str">
        <x:v>Defects</x:v>
      </x:c>
      <x:c r="F67" s="411" t="n">
        <x:v>0</x:v>
      </x:c>
      <x:c r="G67" s="411" t="str">
        <x:v>open critical</x:v>
      </x:c>
      <x:c r="H67" s="488"/>
      <x:c r="I67" s="488" t="str">
        <x:v>Not Evaluated</x:v>
      </x:c>
      <x:c r="J67" s="411" t="str"/>
      <x:c r="K67" s="411" t="str">
        <x:v>Devansh</x:v>
      </x:c>
      <x:c r="L67" s="411" t="str"/>
      <x:c r="M67" s="373"/>
      <x:c r="N67" s="373"/>
      <x:c r="O67" s="373"/>
      <x:c r="P67" s="373"/>
      <x:c r="Q67" s="373"/>
      <x:c r="R67" s="373"/>
      <x:c r="S67" s="373"/>
      <x:c r="T67" s="373"/>
      <x:c r="U67" s="373"/>
      <x:c r="V67" s="373"/>
      <x:c r="W67" s="373"/>
      <x:c r="X67" s="373"/>
      <x:c r="Y67" s="373"/>
      <x:c r="Z67" s="373"/>
    </x:row>
    <x:row r="68">
      <x:c r="A68" s="411" t="str">
        <x:v>GATE-064</x:v>
      </x:c>
      <x:c r="B68" s="411" t="str">
        <x:v>v0.2.3</x:v>
      </x:c>
      <x:c r="C68" s="411" t="str">
        <x:v>Documentation/evidence</x:v>
      </x:c>
      <x:c r="D68" s="411" t="str">
        <x:v>Release notes, known limitations, evidence, and traceability are updated.</x:v>
      </x:c>
      <x:c r="E68" s="411" t="str">
        <x:v>Evidence</x:v>
      </x:c>
      <x:c r="F68" s="411" t="n">
        <x:v>100</x:v>
      </x:c>
      <x:c r="G68" s="411" t="str">
        <x:v>%</x:v>
      </x:c>
      <x:c r="H68" s="488"/>
      <x:c r="I68" s="488" t="str">
        <x:v>Not Evaluated</x:v>
      </x:c>
      <x:c r="J68" s="411" t="str"/>
      <x:c r="K68" s="411" t="str">
        <x:v>Devansh</x:v>
      </x:c>
      <x:c r="L68" s="411" t="str"/>
      <x:c r="M68" s="373"/>
      <x:c r="N68" s="373"/>
      <x:c r="O68" s="373"/>
      <x:c r="P68" s="373"/>
      <x:c r="Q68" s="373"/>
      <x:c r="R68" s="373"/>
      <x:c r="S68" s="373"/>
      <x:c r="T68" s="373"/>
      <x:c r="U68" s="373"/>
      <x:c r="V68" s="373"/>
      <x:c r="W68" s="373"/>
      <x:c r="X68" s="373"/>
      <x:c r="Y68" s="373"/>
      <x:c r="Z68" s="373"/>
    </x:row>
    <x:row r="69">
      <x:c r="A69" s="411" t="str">
        <x:v>GATE-065</x:v>
      </x:c>
      <x:c r="B69" s="411" t="str">
        <x:v>v0.2.4</x:v>
      </x:c>
      <x:c r="C69" s="411" t="str">
        <x:v>Feature acceptance</x:v>
      </x:c>
      <x:c r="D69" s="411" t="str">
        <x:v>All Critical features complete; no unapproved blocked Critical item.</x:v>
      </x:c>
      <x:c r="E69" s="411" t="str">
        <x:v>Features</x:v>
      </x:c>
      <x:c r="F69" s="411" t="n">
        <x:v>100</x:v>
      </x:c>
      <x:c r="G69" s="411" t="str">
        <x:v>%</x:v>
      </x:c>
      <x:c r="H69" s="488"/>
      <x:c r="I69" s="488" t="str">
        <x:v>Not Evaluated</x:v>
      </x:c>
      <x:c r="J69" s="411" t="str"/>
      <x:c r="K69" s="411" t="str">
        <x:v>Devansh</x:v>
      </x:c>
      <x:c r="L69" s="411" t="str"/>
      <x:c r="M69" s="373"/>
      <x:c r="N69" s="373"/>
      <x:c r="O69" s="373"/>
      <x:c r="P69" s="373"/>
      <x:c r="Q69" s="373"/>
      <x:c r="R69" s="373"/>
      <x:c r="S69" s="373"/>
      <x:c r="T69" s="373"/>
      <x:c r="U69" s="373"/>
      <x:c r="V69" s="373"/>
      <x:c r="W69" s="373"/>
      <x:c r="X69" s="373"/>
      <x:c r="Y69" s="373"/>
      <x:c r="Z69" s="373"/>
    </x:row>
    <x:row r="70">
      <x:c r="A70" s="411" t="str">
        <x:v>GATE-066</x:v>
      </x:c>
      <x:c r="B70" s="411" t="str">
        <x:v>v0.2.4</x:v>
      </x:c>
      <x:c r="C70" s="411" t="str">
        <x:v>Verification</x:v>
      </x:c>
      <x:c r="D70" s="411" t="str">
        <x:v>All executed Critical tests pass and planned coverage is complete for release scope.</x:v>
      </x:c>
      <x:c r="E70" s="411" t="str">
        <x:v>Test_Cases</x:v>
      </x:c>
      <x:c r="F70" s="411" t="n">
        <x:v>100</x:v>
      </x:c>
      <x:c r="G70" s="411" t="str">
        <x:v>%</x:v>
      </x:c>
      <x:c r="H70" s="488"/>
      <x:c r="I70" s="488" t="str">
        <x:v>Not Evaluated</x:v>
      </x:c>
      <x:c r="J70" s="411" t="str"/>
      <x:c r="K70" s="411" t="str">
        <x:v>Devansh</x:v>
      </x:c>
      <x:c r="L70" s="411" t="str"/>
      <x:c r="M70" s="373"/>
      <x:c r="N70" s="373"/>
      <x:c r="O70" s="373"/>
      <x:c r="P70" s="373"/>
      <x:c r="Q70" s="373"/>
      <x:c r="R70" s="373"/>
      <x:c r="S70" s="373"/>
      <x:c r="T70" s="373"/>
      <x:c r="U70" s="373"/>
      <x:c r="V70" s="373"/>
      <x:c r="W70" s="373"/>
      <x:c r="X70" s="373"/>
      <x:c r="Y70" s="373"/>
      <x:c r="Z70" s="373"/>
    </x:row>
    <x:row r="71">
      <x:c r="A71" s="411" t="str">
        <x:v>GATE-067</x:v>
      </x:c>
      <x:c r="B71" s="411" t="str">
        <x:v>v0.2.4</x:v>
      </x:c>
      <x:c r="C71" s="411" t="str">
        <x:v>Defect control</x:v>
      </x:c>
      <x:c r="D71" s="411" t="str">
        <x:v>No open Critical defect and accepted disposition for remaining defects.</x:v>
      </x:c>
      <x:c r="E71" s="411" t="str">
        <x:v>Defects</x:v>
      </x:c>
      <x:c r="F71" s="411" t="n">
        <x:v>0</x:v>
      </x:c>
      <x:c r="G71" s="411" t="str">
        <x:v>open critical</x:v>
      </x:c>
      <x:c r="H71" s="488"/>
      <x:c r="I71" s="488" t="str">
        <x:v>Not Evaluated</x:v>
      </x:c>
      <x:c r="J71" s="411" t="str"/>
      <x:c r="K71" s="411" t="str">
        <x:v>Devansh</x:v>
      </x:c>
      <x:c r="L71" s="411" t="str"/>
      <x:c r="M71" s="373"/>
      <x:c r="N71" s="373"/>
      <x:c r="O71" s="373"/>
      <x:c r="P71" s="373"/>
      <x:c r="Q71" s="373"/>
      <x:c r="R71" s="373"/>
      <x:c r="S71" s="373"/>
      <x:c r="T71" s="373"/>
      <x:c r="U71" s="373"/>
      <x:c r="V71" s="373"/>
      <x:c r="W71" s="373"/>
      <x:c r="X71" s="373"/>
      <x:c r="Y71" s="373"/>
      <x:c r="Z71" s="373"/>
    </x:row>
    <x:row r="72">
      <x:c r="A72" s="411" t="str">
        <x:v>GATE-068</x:v>
      </x:c>
      <x:c r="B72" s="411" t="str">
        <x:v>v0.2.4</x:v>
      </x:c>
      <x:c r="C72" s="411" t="str">
        <x:v>Documentation/evidence</x:v>
      </x:c>
      <x:c r="D72" s="411" t="str">
        <x:v>Release notes, known limitations, evidence, and traceability are updated.</x:v>
      </x:c>
      <x:c r="E72" s="411" t="str">
        <x:v>Evidence</x:v>
      </x:c>
      <x:c r="F72" s="411" t="n">
        <x:v>100</x:v>
      </x:c>
      <x:c r="G72" s="411" t="str">
        <x:v>%</x:v>
      </x:c>
      <x:c r="H72" s="488"/>
      <x:c r="I72" s="488" t="str">
        <x:v>Not Evaluated</x:v>
      </x:c>
      <x:c r="J72" s="411" t="str"/>
      <x:c r="K72" s="411" t="str">
        <x:v>Devansh</x:v>
      </x:c>
      <x:c r="L72" s="411" t="str"/>
      <x:c r="M72" s="373"/>
      <x:c r="N72" s="373"/>
      <x:c r="O72" s="373"/>
      <x:c r="P72" s="373"/>
      <x:c r="Q72" s="373"/>
      <x:c r="R72" s="373"/>
      <x:c r="S72" s="373"/>
      <x:c r="T72" s="373"/>
      <x:c r="U72" s="373"/>
      <x:c r="V72" s="373"/>
      <x:c r="W72" s="373"/>
      <x:c r="X72" s="373"/>
      <x:c r="Y72" s="373"/>
      <x:c r="Z72" s="373"/>
    </x:row>
    <x:row r="73">
      <x:c r="A73" s="411" t="str">
        <x:v>GATE-069</x:v>
      </x:c>
      <x:c r="B73" s="411" t="str">
        <x:v>v0.2.5</x:v>
      </x:c>
      <x:c r="C73" s="411" t="str">
        <x:v>Feature acceptance</x:v>
      </x:c>
      <x:c r="D73" s="411" t="str">
        <x:v>All Critical features complete; no unapproved blocked Critical item.</x:v>
      </x:c>
      <x:c r="E73" s="411" t="str">
        <x:v>Features</x:v>
      </x:c>
      <x:c r="F73" s="411" t="n">
        <x:v>100</x:v>
      </x:c>
      <x:c r="G73" s="411" t="str">
        <x:v>%</x:v>
      </x:c>
      <x:c r="H73" s="488"/>
      <x:c r="I73" s="488" t="str">
        <x:v>Not Evaluated</x:v>
      </x:c>
      <x:c r="J73" s="411" t="str"/>
      <x:c r="K73" s="411" t="str">
        <x:v>Devansh</x:v>
      </x:c>
      <x:c r="L73" s="411" t="str"/>
      <x:c r="M73" s="373"/>
      <x:c r="N73" s="373"/>
      <x:c r="O73" s="373"/>
      <x:c r="P73" s="373"/>
      <x:c r="Q73" s="373"/>
      <x:c r="R73" s="373"/>
      <x:c r="S73" s="373"/>
      <x:c r="T73" s="373"/>
      <x:c r="U73" s="373"/>
      <x:c r="V73" s="373"/>
      <x:c r="W73" s="373"/>
      <x:c r="X73" s="373"/>
      <x:c r="Y73" s="373"/>
      <x:c r="Z73" s="373"/>
    </x:row>
    <x:row r="74">
      <x:c r="A74" s="411" t="str">
        <x:v>GATE-070</x:v>
      </x:c>
      <x:c r="B74" s="411" t="str">
        <x:v>v0.2.5</x:v>
      </x:c>
      <x:c r="C74" s="411" t="str">
        <x:v>Verification</x:v>
      </x:c>
      <x:c r="D74" s="411" t="str">
        <x:v>All executed Critical tests pass and planned coverage is complete for release scope.</x:v>
      </x:c>
      <x:c r="E74" s="411" t="str">
        <x:v>Test_Cases</x:v>
      </x:c>
      <x:c r="F74" s="411" t="n">
        <x:v>100</x:v>
      </x:c>
      <x:c r="G74" s="411" t="str">
        <x:v>%</x:v>
      </x:c>
      <x:c r="H74" s="488"/>
      <x:c r="I74" s="488" t="str">
        <x:v>Not Evaluated</x:v>
      </x:c>
      <x:c r="J74" s="411" t="str"/>
      <x:c r="K74" s="411" t="str">
        <x:v>Devansh</x:v>
      </x:c>
      <x:c r="L74" s="411" t="str"/>
      <x:c r="M74" s="373"/>
      <x:c r="N74" s="373"/>
      <x:c r="O74" s="373"/>
      <x:c r="P74" s="373"/>
      <x:c r="Q74" s="373"/>
      <x:c r="R74" s="373"/>
      <x:c r="S74" s="373"/>
      <x:c r="T74" s="373"/>
      <x:c r="U74" s="373"/>
      <x:c r="V74" s="373"/>
      <x:c r="W74" s="373"/>
      <x:c r="X74" s="373"/>
      <x:c r="Y74" s="373"/>
      <x:c r="Z74" s="373"/>
    </x:row>
    <x:row r="75">
      <x:c r="A75" s="411" t="str">
        <x:v>GATE-071</x:v>
      </x:c>
      <x:c r="B75" s="411" t="str">
        <x:v>v0.2.5</x:v>
      </x:c>
      <x:c r="C75" s="411" t="str">
        <x:v>Defect control</x:v>
      </x:c>
      <x:c r="D75" s="411" t="str">
        <x:v>No open Critical defect and accepted disposition for remaining defects.</x:v>
      </x:c>
      <x:c r="E75" s="411" t="str">
        <x:v>Defects</x:v>
      </x:c>
      <x:c r="F75" s="411" t="n">
        <x:v>0</x:v>
      </x:c>
      <x:c r="G75" s="411" t="str">
        <x:v>open critical</x:v>
      </x:c>
      <x:c r="H75" s="488"/>
      <x:c r="I75" s="488" t="str">
        <x:v>Not Evaluated</x:v>
      </x:c>
      <x:c r="J75" s="411" t="str"/>
      <x:c r="K75" s="411" t="str">
        <x:v>Devansh</x:v>
      </x:c>
      <x:c r="L75" s="411" t="str"/>
      <x:c r="M75" s="373"/>
      <x:c r="N75" s="373"/>
      <x:c r="O75" s="373"/>
      <x:c r="P75" s="373"/>
      <x:c r="Q75" s="373"/>
      <x:c r="R75" s="373"/>
      <x:c r="S75" s="373"/>
      <x:c r="T75" s="373"/>
      <x:c r="U75" s="373"/>
      <x:c r="V75" s="373"/>
      <x:c r="W75" s="373"/>
      <x:c r="X75" s="373"/>
      <x:c r="Y75" s="373"/>
      <x:c r="Z75" s="373"/>
    </x:row>
    <x:row r="76">
      <x:c r="A76" s="411" t="str">
        <x:v>GATE-072</x:v>
      </x:c>
      <x:c r="B76" s="411" t="str">
        <x:v>v0.2.5</x:v>
      </x:c>
      <x:c r="C76" s="411" t="str">
        <x:v>Documentation/evidence</x:v>
      </x:c>
      <x:c r="D76" s="411" t="str">
        <x:v>Release notes, known limitations, evidence, and traceability are updated.</x:v>
      </x:c>
      <x:c r="E76" s="411" t="str">
        <x:v>Evidence</x:v>
      </x:c>
      <x:c r="F76" s="411" t="n">
        <x:v>100</x:v>
      </x:c>
      <x:c r="G76" s="411" t="str">
        <x:v>%</x:v>
      </x:c>
      <x:c r="H76" s="488"/>
      <x:c r="I76" s="488" t="str">
        <x:v>Not Evaluated</x:v>
      </x:c>
      <x:c r="J76" s="411" t="str"/>
      <x:c r="K76" s="411" t="str">
        <x:v>Devansh</x:v>
      </x:c>
      <x:c r="L76" s="411" t="str"/>
      <x:c r="M76" s="373"/>
      <x:c r="N76" s="373"/>
      <x:c r="O76" s="373"/>
      <x:c r="P76" s="373"/>
      <x:c r="Q76" s="373"/>
      <x:c r="R76" s="373"/>
      <x:c r="S76" s="373"/>
      <x:c r="T76" s="373"/>
      <x:c r="U76" s="373"/>
      <x:c r="V76" s="373"/>
      <x:c r="W76" s="373"/>
      <x:c r="X76" s="373"/>
      <x:c r="Y76" s="373"/>
      <x:c r="Z76" s="373"/>
    </x:row>
    <x:row r="77">
      <x:c r="A77" s="411" t="str">
        <x:v>GATE-073</x:v>
      </x:c>
      <x:c r="B77" s="411" t="str">
        <x:v>v0.2.6</x:v>
      </x:c>
      <x:c r="C77" s="411" t="str">
        <x:v>Feature acceptance</x:v>
      </x:c>
      <x:c r="D77" s="411" t="str">
        <x:v>All Critical features complete; no unapproved blocked Critical item.</x:v>
      </x:c>
      <x:c r="E77" s="411" t="str">
        <x:v>Features</x:v>
      </x:c>
      <x:c r="F77" s="411" t="n">
        <x:v>100</x:v>
      </x:c>
      <x:c r="G77" s="411" t="str">
        <x:v>%</x:v>
      </x:c>
      <x:c r="H77" s="488"/>
      <x:c r="I77" s="488" t="str">
        <x:v>Not Evaluated</x:v>
      </x:c>
      <x:c r="J77" s="411" t="str"/>
      <x:c r="K77" s="411" t="str">
        <x:v>Devansh</x:v>
      </x:c>
      <x:c r="L77" s="411" t="str"/>
      <x:c r="M77" s="373"/>
      <x:c r="N77" s="373"/>
      <x:c r="O77" s="373"/>
      <x:c r="P77" s="373"/>
      <x:c r="Q77" s="373"/>
      <x:c r="R77" s="373"/>
      <x:c r="S77" s="373"/>
      <x:c r="T77" s="373"/>
      <x:c r="U77" s="373"/>
      <x:c r="V77" s="373"/>
      <x:c r="W77" s="373"/>
      <x:c r="X77" s="373"/>
      <x:c r="Y77" s="373"/>
      <x:c r="Z77" s="373"/>
    </x:row>
    <x:row r="78">
      <x:c r="A78" s="411" t="str">
        <x:v>GATE-074</x:v>
      </x:c>
      <x:c r="B78" s="411" t="str">
        <x:v>v0.2.6</x:v>
      </x:c>
      <x:c r="C78" s="411" t="str">
        <x:v>Verification</x:v>
      </x:c>
      <x:c r="D78" s="411" t="str">
        <x:v>All executed Critical tests pass and planned coverage is complete for release scope.</x:v>
      </x:c>
      <x:c r="E78" s="411" t="str">
        <x:v>Test_Cases</x:v>
      </x:c>
      <x:c r="F78" s="411" t="n">
        <x:v>100</x:v>
      </x:c>
      <x:c r="G78" s="411" t="str">
        <x:v>%</x:v>
      </x:c>
      <x:c r="H78" s="488"/>
      <x:c r="I78" s="488" t="str">
        <x:v>Not Evaluated</x:v>
      </x:c>
      <x:c r="J78" s="411" t="str"/>
      <x:c r="K78" s="411" t="str">
        <x:v>Devansh</x:v>
      </x:c>
      <x:c r="L78" s="411" t="str"/>
      <x:c r="M78" s="373"/>
      <x:c r="N78" s="373"/>
      <x:c r="O78" s="373"/>
      <x:c r="P78" s="373"/>
      <x:c r="Q78" s="373"/>
      <x:c r="R78" s="373"/>
      <x:c r="S78" s="373"/>
      <x:c r="T78" s="373"/>
      <x:c r="U78" s="373"/>
      <x:c r="V78" s="373"/>
      <x:c r="W78" s="373"/>
      <x:c r="X78" s="373"/>
      <x:c r="Y78" s="373"/>
      <x:c r="Z78" s="373"/>
    </x:row>
    <x:row r="79">
      <x:c r="A79" s="411" t="str">
        <x:v>GATE-075</x:v>
      </x:c>
      <x:c r="B79" s="411" t="str">
        <x:v>v0.2.6</x:v>
      </x:c>
      <x:c r="C79" s="411" t="str">
        <x:v>Defect control</x:v>
      </x:c>
      <x:c r="D79" s="411" t="str">
        <x:v>No open Critical defect and accepted disposition for remaining defects.</x:v>
      </x:c>
      <x:c r="E79" s="411" t="str">
        <x:v>Defects</x:v>
      </x:c>
      <x:c r="F79" s="411" t="n">
        <x:v>0</x:v>
      </x:c>
      <x:c r="G79" s="411" t="str">
        <x:v>open critical</x:v>
      </x:c>
      <x:c r="H79" s="488"/>
      <x:c r="I79" s="488" t="str">
        <x:v>Not Evaluated</x:v>
      </x:c>
      <x:c r="J79" s="411" t="str"/>
      <x:c r="K79" s="411" t="str">
        <x:v>Devansh</x:v>
      </x:c>
      <x:c r="L79" s="411" t="str"/>
      <x:c r="M79" s="373"/>
      <x:c r="N79" s="373"/>
      <x:c r="O79" s="373"/>
      <x:c r="P79" s="373"/>
      <x:c r="Q79" s="373"/>
      <x:c r="R79" s="373"/>
      <x:c r="S79" s="373"/>
      <x:c r="T79" s="373"/>
      <x:c r="U79" s="373"/>
      <x:c r="V79" s="373"/>
      <x:c r="W79" s="373"/>
      <x:c r="X79" s="373"/>
      <x:c r="Y79" s="373"/>
      <x:c r="Z79" s="373"/>
    </x:row>
    <x:row r="80">
      <x:c r="A80" s="411" t="str">
        <x:v>GATE-076</x:v>
      </x:c>
      <x:c r="B80" s="411" t="str">
        <x:v>v0.2.6</x:v>
      </x:c>
      <x:c r="C80" s="411" t="str">
        <x:v>Documentation/evidence</x:v>
      </x:c>
      <x:c r="D80" s="411" t="str">
        <x:v>Release notes, known limitations, evidence, and traceability are updated.</x:v>
      </x:c>
      <x:c r="E80" s="411" t="str">
        <x:v>Evidence</x:v>
      </x:c>
      <x:c r="F80" s="411" t="n">
        <x:v>100</x:v>
      </x:c>
      <x:c r="G80" s="411" t="str">
        <x:v>%</x:v>
      </x:c>
      <x:c r="H80" s="488"/>
      <x:c r="I80" s="488" t="str">
        <x:v>Not Evaluated</x:v>
      </x:c>
      <x:c r="J80" s="411" t="str"/>
      <x:c r="K80" s="411" t="str">
        <x:v>Devansh</x:v>
      </x:c>
      <x:c r="L80" s="411" t="str"/>
      <x:c r="M80" s="373"/>
      <x:c r="N80" s="373"/>
      <x:c r="O80" s="373"/>
      <x:c r="P80" s="373"/>
      <x:c r="Q80" s="373"/>
      <x:c r="R80" s="373"/>
      <x:c r="S80" s="373"/>
      <x:c r="T80" s="373"/>
      <x:c r="U80" s="373"/>
      <x:c r="V80" s="373"/>
      <x:c r="W80" s="373"/>
      <x:c r="X80" s="373"/>
      <x:c r="Y80" s="373"/>
      <x:c r="Z80" s="373"/>
    </x:row>
    <x:row r="81">
      <x:c r="A81" s="411" t="str">
        <x:v>GATE-077</x:v>
      </x:c>
      <x:c r="B81" s="411" t="str">
        <x:v>v0.2.7</x:v>
      </x:c>
      <x:c r="C81" s="411" t="str">
        <x:v>Feature acceptance</x:v>
      </x:c>
      <x:c r="D81" s="411" t="str">
        <x:v>All Critical features complete; no unapproved blocked Critical item.</x:v>
      </x:c>
      <x:c r="E81" s="411" t="str">
        <x:v>Features</x:v>
      </x:c>
      <x:c r="F81" s="411" t="n">
        <x:v>100</x:v>
      </x:c>
      <x:c r="G81" s="411" t="str">
        <x:v>%</x:v>
      </x:c>
      <x:c r="H81" s="488"/>
      <x:c r="I81" s="488" t="str">
        <x:v>Not Evaluated</x:v>
      </x:c>
      <x:c r="J81" s="411" t="str"/>
      <x:c r="K81" s="411" t="str">
        <x:v>Devansh</x:v>
      </x:c>
      <x:c r="L81" s="411" t="str"/>
      <x:c r="M81" s="373"/>
      <x:c r="N81" s="373"/>
      <x:c r="O81" s="373"/>
      <x:c r="P81" s="373"/>
      <x:c r="Q81" s="373"/>
      <x:c r="R81" s="373"/>
      <x:c r="S81" s="373"/>
      <x:c r="T81" s="373"/>
      <x:c r="U81" s="373"/>
      <x:c r="V81" s="373"/>
      <x:c r="W81" s="373"/>
      <x:c r="X81" s="373"/>
      <x:c r="Y81" s="373"/>
      <x:c r="Z81" s="373"/>
    </x:row>
    <x:row r="82">
      <x:c r="A82" s="411" t="str">
        <x:v>GATE-078</x:v>
      </x:c>
      <x:c r="B82" s="411" t="str">
        <x:v>v0.2.7</x:v>
      </x:c>
      <x:c r="C82" s="411" t="str">
        <x:v>Verification</x:v>
      </x:c>
      <x:c r="D82" s="411" t="str">
        <x:v>All executed Critical tests pass and planned coverage is complete for release scope.</x:v>
      </x:c>
      <x:c r="E82" s="411" t="str">
        <x:v>Test_Cases</x:v>
      </x:c>
      <x:c r="F82" s="411" t="n">
        <x:v>100</x:v>
      </x:c>
      <x:c r="G82" s="411" t="str">
        <x:v>%</x:v>
      </x:c>
      <x:c r="H82" s="488"/>
      <x:c r="I82" s="488" t="str">
        <x:v>Not Evaluated</x:v>
      </x:c>
      <x:c r="J82" s="411" t="str"/>
      <x:c r="K82" s="411" t="str">
        <x:v>Devansh</x:v>
      </x:c>
      <x:c r="L82" s="411" t="str"/>
      <x:c r="M82" s="373"/>
      <x:c r="N82" s="373"/>
      <x:c r="O82" s="373"/>
      <x:c r="P82" s="373"/>
      <x:c r="Q82" s="373"/>
      <x:c r="R82" s="373"/>
      <x:c r="S82" s="373"/>
      <x:c r="T82" s="373"/>
      <x:c r="U82" s="373"/>
      <x:c r="V82" s="373"/>
      <x:c r="W82" s="373"/>
      <x:c r="X82" s="373"/>
      <x:c r="Y82" s="373"/>
      <x:c r="Z82" s="373"/>
    </x:row>
    <x:row r="83">
      <x:c r="A83" s="411" t="str">
        <x:v>GATE-079</x:v>
      </x:c>
      <x:c r="B83" s="411" t="str">
        <x:v>v0.2.7</x:v>
      </x:c>
      <x:c r="C83" s="411" t="str">
        <x:v>Defect control</x:v>
      </x:c>
      <x:c r="D83" s="411" t="str">
        <x:v>No open Critical defect and accepted disposition for remaining defects.</x:v>
      </x:c>
      <x:c r="E83" s="411" t="str">
        <x:v>Defects</x:v>
      </x:c>
      <x:c r="F83" s="411" t="n">
        <x:v>0</x:v>
      </x:c>
      <x:c r="G83" s="411" t="str">
        <x:v>open critical</x:v>
      </x:c>
      <x:c r="H83" s="488"/>
      <x:c r="I83" s="488" t="str">
        <x:v>Not Evaluated</x:v>
      </x:c>
      <x:c r="J83" s="411" t="str"/>
      <x:c r="K83" s="411" t="str">
        <x:v>Devansh</x:v>
      </x:c>
      <x:c r="L83" s="411" t="str"/>
      <x:c r="M83" s="373"/>
      <x:c r="N83" s="373"/>
      <x:c r="O83" s="373"/>
      <x:c r="P83" s="373"/>
      <x:c r="Q83" s="373"/>
      <x:c r="R83" s="373"/>
      <x:c r="S83" s="373"/>
      <x:c r="T83" s="373"/>
      <x:c r="U83" s="373"/>
      <x:c r="V83" s="373"/>
      <x:c r="W83" s="373"/>
      <x:c r="X83" s="373"/>
      <x:c r="Y83" s="373"/>
      <x:c r="Z83" s="373"/>
    </x:row>
    <x:row r="84">
      <x:c r="A84" s="411" t="str">
        <x:v>GATE-080</x:v>
      </x:c>
      <x:c r="B84" s="411" t="str">
        <x:v>v0.2.7</x:v>
      </x:c>
      <x:c r="C84" s="411" t="str">
        <x:v>Documentation/evidence</x:v>
      </x:c>
      <x:c r="D84" s="411" t="str">
        <x:v>Release notes, known limitations, evidence, and traceability are updated.</x:v>
      </x:c>
      <x:c r="E84" s="411" t="str">
        <x:v>Evidence</x:v>
      </x:c>
      <x:c r="F84" s="411" t="n">
        <x:v>100</x:v>
      </x:c>
      <x:c r="G84" s="411" t="str">
        <x:v>%</x:v>
      </x:c>
      <x:c r="H84" s="488"/>
      <x:c r="I84" s="488" t="str">
        <x:v>Not Evaluated</x:v>
      </x:c>
      <x:c r="J84" s="411" t="str"/>
      <x:c r="K84" s="411" t="str">
        <x:v>Devansh</x:v>
      </x:c>
      <x:c r="L84" s="411" t="str"/>
      <x:c r="M84" s="373"/>
      <x:c r="N84" s="373"/>
      <x:c r="O84" s="373"/>
      <x:c r="P84" s="373"/>
      <x:c r="Q84" s="373"/>
      <x:c r="R84" s="373"/>
      <x:c r="S84" s="373"/>
      <x:c r="T84" s="373"/>
      <x:c r="U84" s="373"/>
      <x:c r="V84" s="373"/>
      <x:c r="W84" s="373"/>
      <x:c r="X84" s="373"/>
      <x:c r="Y84" s="373"/>
      <x:c r="Z84" s="373"/>
    </x:row>
    <x:row r="85">
      <x:c r="A85" s="411" t="str">
        <x:v>GATE-081</x:v>
      </x:c>
      <x:c r="B85" s="411" t="str">
        <x:v>v0.3.0</x:v>
      </x:c>
      <x:c r="C85" s="411" t="str">
        <x:v>Feature acceptance</x:v>
      </x:c>
      <x:c r="D85" s="411" t="str">
        <x:v>All Critical features complete; no unapproved blocked Critical item.</x:v>
      </x:c>
      <x:c r="E85" s="411" t="str">
        <x:v>Features</x:v>
      </x:c>
      <x:c r="F85" s="411" t="n">
        <x:v>100</x:v>
      </x:c>
      <x:c r="G85" s="411" t="str">
        <x:v>%</x:v>
      </x:c>
      <x:c r="H85" s="488"/>
      <x:c r="I85" s="488" t="str">
        <x:v>Not Evaluated</x:v>
      </x:c>
      <x:c r="J85" s="411" t="str"/>
      <x:c r="K85" s="411" t="str">
        <x:v>Devansh</x:v>
      </x:c>
      <x:c r="L85" s="411" t="str"/>
      <x:c r="M85" s="373"/>
      <x:c r="N85" s="373"/>
      <x:c r="O85" s="373"/>
      <x:c r="P85" s="373"/>
      <x:c r="Q85" s="373"/>
      <x:c r="R85" s="373"/>
      <x:c r="S85" s="373"/>
      <x:c r="T85" s="373"/>
      <x:c r="U85" s="373"/>
      <x:c r="V85" s="373"/>
      <x:c r="W85" s="373"/>
      <x:c r="X85" s="373"/>
      <x:c r="Y85" s="373"/>
      <x:c r="Z85" s="373"/>
    </x:row>
    <x:row r="86">
      <x:c r="A86" s="411" t="str">
        <x:v>GATE-082</x:v>
      </x:c>
      <x:c r="B86" s="411" t="str">
        <x:v>v0.3.0</x:v>
      </x:c>
      <x:c r="C86" s="411" t="str">
        <x:v>Verification</x:v>
      </x:c>
      <x:c r="D86" s="411" t="str">
        <x:v>All executed Critical tests pass and planned coverage is complete for release scope.</x:v>
      </x:c>
      <x:c r="E86" s="411" t="str">
        <x:v>Test_Cases</x:v>
      </x:c>
      <x:c r="F86" s="411" t="n">
        <x:v>100</x:v>
      </x:c>
      <x:c r="G86" s="411" t="str">
        <x:v>%</x:v>
      </x:c>
      <x:c r="H86" s="488"/>
      <x:c r="I86" s="488" t="str">
        <x:v>Not Evaluated</x:v>
      </x:c>
      <x:c r="J86" s="411" t="str"/>
      <x:c r="K86" s="411" t="str">
        <x:v>Devansh</x:v>
      </x:c>
      <x:c r="L86" s="411" t="str"/>
      <x:c r="M86" s="373"/>
      <x:c r="N86" s="373"/>
      <x:c r="O86" s="373"/>
      <x:c r="P86" s="373"/>
      <x:c r="Q86" s="373"/>
      <x:c r="R86" s="373"/>
      <x:c r="S86" s="373"/>
      <x:c r="T86" s="373"/>
      <x:c r="U86" s="373"/>
      <x:c r="V86" s="373"/>
      <x:c r="W86" s="373"/>
      <x:c r="X86" s="373"/>
      <x:c r="Y86" s="373"/>
      <x:c r="Z86" s="373"/>
    </x:row>
    <x:row r="87">
      <x:c r="A87" s="411" t="str">
        <x:v>GATE-083</x:v>
      </x:c>
      <x:c r="B87" s="411" t="str">
        <x:v>v0.3.0</x:v>
      </x:c>
      <x:c r="C87" s="411" t="str">
        <x:v>Defect control</x:v>
      </x:c>
      <x:c r="D87" s="411" t="str">
        <x:v>No open Critical defect and accepted disposition for remaining defects.</x:v>
      </x:c>
      <x:c r="E87" s="411" t="str">
        <x:v>Defects</x:v>
      </x:c>
      <x:c r="F87" s="411" t="n">
        <x:v>0</x:v>
      </x:c>
      <x:c r="G87" s="411" t="str">
        <x:v>open critical</x:v>
      </x:c>
      <x:c r="H87" s="488"/>
      <x:c r="I87" s="488" t="str">
        <x:v>Not Evaluated</x:v>
      </x:c>
      <x:c r="J87" s="411" t="str"/>
      <x:c r="K87" s="411" t="str">
        <x:v>Devansh</x:v>
      </x:c>
      <x:c r="L87" s="411" t="str"/>
      <x:c r="M87" s="373"/>
      <x:c r="N87" s="373"/>
      <x:c r="O87" s="373"/>
      <x:c r="P87" s="373"/>
      <x:c r="Q87" s="373"/>
      <x:c r="R87" s="373"/>
      <x:c r="S87" s="373"/>
      <x:c r="T87" s="373"/>
      <x:c r="U87" s="373"/>
      <x:c r="V87" s="373"/>
      <x:c r="W87" s="373"/>
      <x:c r="X87" s="373"/>
      <x:c r="Y87" s="373"/>
      <x:c r="Z87" s="373"/>
    </x:row>
    <x:row r="88">
      <x:c r="A88" s="412" t="str">
        <x:v>GATE-084</x:v>
      </x:c>
      <x:c r="B88" s="412" t="str">
        <x:v>v0.3.0</x:v>
      </x:c>
      <x:c r="C88" s="412" t="str">
        <x:v>Documentation/evidence</x:v>
      </x:c>
      <x:c r="D88" s="412" t="str">
        <x:v>Release notes, known limitations, evidence, and traceability are updated.</x:v>
      </x:c>
      <x:c r="E88" s="412" t="str">
        <x:v>Evidence</x:v>
      </x:c>
      <x:c r="F88" s="412" t="n">
        <x:v>100</x:v>
      </x:c>
      <x:c r="G88" s="412" t="str">
        <x:v>%</x:v>
      </x:c>
      <x:c r="H88" s="489"/>
      <x:c r="I88" s="489" t="str">
        <x:v>Not Evaluated</x:v>
      </x:c>
      <x:c r="J88" s="412" t="str"/>
      <x:c r="K88" s="412" t="str">
        <x:v>Devansh</x:v>
      </x:c>
      <x:c r="L88" s="412" t="str"/>
      <x:c r="M88" s="373"/>
      <x:c r="N88" s="373"/>
      <x:c r="O88" s="373"/>
      <x:c r="P88" s="373"/>
      <x:c r="Q88" s="373"/>
      <x:c r="R88" s="373"/>
      <x:c r="S88" s="373"/>
      <x:c r="T88" s="373"/>
      <x:c r="U88" s="373"/>
      <x:c r="V88" s="373"/>
      <x:c r="W88" s="373"/>
      <x:c r="X88" s="373"/>
      <x:c r="Y88" s="373"/>
      <x:c r="Z88" s="373"/>
    </x:row>
    <x:row r="89">
      <x:c r="A89" s="373"/>
      <x:c r="B89" s="373"/>
      <x:c r="C89" s="373"/>
      <x:c r="D89" s="373"/>
      <x:c r="E89" s="373"/>
      <x:c r="F89" s="373"/>
      <x:c r="G89" s="373"/>
      <x:c r="H89" s="373"/>
      <x:c r="I89" s="373"/>
      <x:c r="J89" s="373"/>
      <x:c r="K89" s="373"/>
      <x:c r="L89" s="373"/>
      <x:c r="M89" s="373"/>
      <x:c r="N89" s="373"/>
      <x:c r="O89" s="373"/>
      <x:c r="P89" s="373"/>
      <x:c r="Q89" s="373"/>
      <x:c r="R89" s="373"/>
      <x:c r="S89" s="373"/>
      <x:c r="T89" s="373"/>
      <x:c r="U89" s="373"/>
      <x:c r="V89" s="373"/>
      <x:c r="W89" s="373"/>
      <x:c r="X89" s="373"/>
      <x:c r="Y89" s="373"/>
      <x:c r="Z89" s="373"/>
    </x:row>
    <x:row r="90">
      <x:c r="A90" s="373"/>
      <x:c r="B90" s="373"/>
      <x:c r="C90" s="373"/>
      <x:c r="D90" s="373"/>
      <x:c r="E90" s="373"/>
      <x:c r="F90" s="373"/>
      <x:c r="G90" s="373"/>
      <x:c r="H90" s="373"/>
      <x:c r="I90" s="373"/>
      <x:c r="J90" s="373"/>
      <x:c r="K90" s="373"/>
      <x:c r="L90" s="373"/>
      <x:c r="M90" s="373"/>
      <x:c r="N90" s="373"/>
      <x:c r="O90" s="373"/>
      <x:c r="P90" s="373"/>
      <x:c r="Q90" s="373"/>
      <x:c r="R90" s="373"/>
      <x:c r="S90" s="373"/>
      <x:c r="T90" s="373"/>
      <x:c r="U90" s="373"/>
      <x:c r="V90" s="373"/>
      <x:c r="W90" s="373"/>
      <x:c r="X90" s="373"/>
      <x:c r="Y90" s="373"/>
      <x:c r="Z90" s="373"/>
    </x:row>
    <x:row r="91">
      <x:c r="A91" s="373"/>
      <x:c r="B91" s="373"/>
      <x:c r="C91" s="373"/>
      <x:c r="D91" s="373"/>
      <x:c r="E91" s="373"/>
      <x:c r="F91" s="373"/>
      <x:c r="G91" s="373"/>
      <x:c r="H91" s="373"/>
      <x:c r="I91" s="373"/>
      <x:c r="J91" s="373"/>
      <x:c r="K91" s="373"/>
      <x:c r="L91" s="373"/>
      <x:c r="M91" s="373"/>
      <x:c r="N91" s="373"/>
      <x:c r="O91" s="373"/>
      <x:c r="P91" s="373"/>
      <x:c r="Q91" s="373"/>
      <x:c r="R91" s="373"/>
      <x:c r="S91" s="373"/>
      <x:c r="T91" s="373"/>
      <x:c r="U91" s="373"/>
      <x:c r="V91" s="373"/>
      <x:c r="W91" s="373"/>
      <x:c r="X91" s="373"/>
      <x:c r="Y91" s="373"/>
      <x:c r="Z91" s="373"/>
    </x:row>
    <x:row r="92">
      <x:c r="A92" s="373"/>
      <x:c r="B92" s="373"/>
      <x:c r="C92" s="373"/>
      <x:c r="D92" s="373"/>
      <x:c r="E92" s="373"/>
      <x:c r="F92" s="373"/>
      <x:c r="G92" s="373"/>
      <x:c r="H92" s="373"/>
      <x:c r="I92" s="373"/>
      <x:c r="J92" s="373"/>
      <x:c r="K92" s="373"/>
      <x:c r="L92" s="373"/>
      <x:c r="M92" s="373"/>
      <x:c r="N92" s="373"/>
      <x:c r="O92" s="373"/>
      <x:c r="P92" s="373"/>
      <x:c r="Q92" s="373"/>
      <x:c r="R92" s="373"/>
      <x:c r="S92" s="373"/>
      <x:c r="T92" s="373"/>
      <x:c r="U92" s="373"/>
      <x:c r="V92" s="373"/>
      <x:c r="W92" s="373"/>
      <x:c r="X92" s="373"/>
      <x:c r="Y92" s="373"/>
      <x:c r="Z92" s="373"/>
    </x:row>
    <x:row r="93">
      <x:c r="A93" s="373"/>
      <x:c r="B93" s="373"/>
      <x:c r="C93" s="373"/>
      <x:c r="D93" s="373"/>
      <x:c r="E93" s="373"/>
      <x:c r="F93" s="373"/>
      <x:c r="G93" s="373"/>
      <x:c r="H93" s="373"/>
      <x:c r="I93" s="373"/>
      <x:c r="J93" s="373"/>
      <x:c r="K93" s="373"/>
      <x:c r="L93" s="373"/>
      <x:c r="M93" s="373"/>
      <x:c r="N93" s="373"/>
      <x:c r="O93" s="373"/>
      <x:c r="P93" s="373"/>
      <x:c r="Q93" s="373"/>
      <x:c r="R93" s="373"/>
      <x:c r="S93" s="373"/>
      <x:c r="T93" s="373"/>
      <x:c r="U93" s="373"/>
      <x:c r="V93" s="373"/>
      <x:c r="W93" s="373"/>
      <x:c r="X93" s="373"/>
      <x:c r="Y93" s="373"/>
      <x:c r="Z93" s="373"/>
    </x:row>
    <x:row r="94">
      <x:c r="A94" s="373"/>
      <x:c r="B94" s="373"/>
      <x:c r="C94" s="373"/>
      <x:c r="D94" s="373"/>
      <x:c r="E94" s="373"/>
      <x:c r="F94" s="373"/>
      <x:c r="G94" s="373"/>
      <x:c r="H94" s="373"/>
      <x:c r="I94" s="373"/>
      <x:c r="J94" s="373"/>
      <x:c r="K94" s="373"/>
      <x:c r="L94" s="373"/>
      <x:c r="M94" s="373"/>
      <x:c r="N94" s="373"/>
      <x:c r="O94" s="373"/>
      <x:c r="P94" s="373"/>
      <x:c r="Q94" s="373"/>
      <x:c r="R94" s="373"/>
      <x:c r="S94" s="373"/>
      <x:c r="T94" s="373"/>
      <x:c r="U94" s="373"/>
      <x:c r="V94" s="373"/>
      <x:c r="W94" s="373"/>
      <x:c r="X94" s="373"/>
      <x:c r="Y94" s="373"/>
      <x:c r="Z94" s="373"/>
    </x:row>
    <x:row r="95">
      <x:c r="A95" s="373"/>
      <x:c r="B95" s="373"/>
      <x:c r="C95" s="373"/>
      <x:c r="D95" s="373"/>
      <x:c r="E95" s="373"/>
      <x:c r="F95" s="373"/>
      <x:c r="G95" s="373"/>
      <x:c r="H95" s="373"/>
      <x:c r="I95" s="373"/>
      <x:c r="J95" s="373"/>
      <x:c r="K95" s="373"/>
      <x:c r="L95" s="373"/>
      <x:c r="M95" s="373"/>
      <x:c r="N95" s="373"/>
      <x:c r="O95" s="373"/>
      <x:c r="P95" s="373"/>
      <x:c r="Q95" s="373"/>
      <x:c r="R95" s="373"/>
      <x:c r="S95" s="373"/>
      <x:c r="T95" s="373"/>
      <x:c r="U95" s="373"/>
      <x:c r="V95" s="373"/>
      <x:c r="W95" s="373"/>
      <x:c r="X95" s="373"/>
      <x:c r="Y95" s="373"/>
      <x:c r="Z95" s="373"/>
    </x:row>
    <x:row r="96">
      <x:c r="A96" s="373"/>
      <x:c r="B96" s="373"/>
      <x:c r="C96" s="373"/>
      <x:c r="D96" s="373"/>
      <x:c r="E96" s="373"/>
      <x:c r="F96" s="373"/>
      <x:c r="G96" s="373"/>
      <x:c r="H96" s="373"/>
      <x:c r="I96" s="373"/>
      <x:c r="J96" s="373"/>
      <x:c r="K96" s="373"/>
      <x:c r="L96" s="373"/>
      <x:c r="M96" s="373"/>
      <x:c r="N96" s="373"/>
      <x:c r="O96" s="373"/>
      <x:c r="P96" s="373"/>
      <x:c r="Q96" s="373"/>
      <x:c r="R96" s="373"/>
      <x:c r="S96" s="373"/>
      <x:c r="T96" s="373"/>
      <x:c r="U96" s="373"/>
      <x:c r="V96" s="373"/>
      <x:c r="W96" s="373"/>
      <x:c r="X96" s="373"/>
      <x:c r="Y96" s="373"/>
      <x:c r="Z96" s="373"/>
    </x:row>
    <x:row r="97">
      <x:c r="A97" s="373"/>
      <x:c r="B97" s="373"/>
      <x:c r="C97" s="373"/>
      <x:c r="D97" s="373"/>
      <x:c r="E97" s="373"/>
      <x:c r="F97" s="373"/>
      <x:c r="G97" s="373"/>
      <x:c r="H97" s="373"/>
      <x:c r="I97" s="373"/>
      <x:c r="J97" s="373"/>
      <x:c r="K97" s="373"/>
      <x:c r="L97" s="373"/>
      <x:c r="M97" s="373"/>
      <x:c r="N97" s="373"/>
      <x:c r="O97" s="373"/>
      <x:c r="P97" s="373"/>
      <x:c r="Q97" s="373"/>
      <x:c r="R97" s="373"/>
      <x:c r="S97" s="373"/>
      <x:c r="T97" s="373"/>
      <x:c r="U97" s="373"/>
      <x:c r="V97" s="373"/>
      <x:c r="W97" s="373"/>
      <x:c r="X97" s="373"/>
      <x:c r="Y97" s="373"/>
      <x:c r="Z97" s="373"/>
    </x:row>
    <x:row r="98">
      <x:c r="A98" s="373"/>
      <x:c r="B98" s="373"/>
      <x:c r="C98" s="373"/>
      <x:c r="D98" s="373"/>
      <x:c r="E98" s="373"/>
      <x:c r="F98" s="373"/>
      <x:c r="G98" s="373"/>
      <x:c r="H98" s="373"/>
      <x:c r="I98" s="373"/>
      <x:c r="J98" s="373"/>
      <x:c r="K98" s="373"/>
      <x:c r="L98" s="373"/>
      <x:c r="M98" s="373"/>
      <x:c r="N98" s="373"/>
      <x:c r="O98" s="373"/>
      <x:c r="P98" s="373"/>
      <x:c r="Q98" s="373"/>
      <x:c r="R98" s="373"/>
      <x:c r="S98" s="373"/>
      <x:c r="T98" s="373"/>
      <x:c r="U98" s="373"/>
      <x:c r="V98" s="373"/>
      <x:c r="W98" s="373"/>
      <x:c r="X98" s="373"/>
      <x:c r="Y98" s="373"/>
      <x:c r="Z98" s="373"/>
    </x:row>
    <x:row r="99">
      <x:c r="A99" s="373"/>
      <x:c r="B99" s="373"/>
      <x:c r="C99" s="373"/>
      <x:c r="D99" s="373"/>
      <x:c r="E99" s="373"/>
      <x:c r="F99" s="373"/>
      <x:c r="G99" s="373"/>
      <x:c r="H99" s="373"/>
      <x:c r="I99" s="373"/>
      <x:c r="J99" s="373"/>
      <x:c r="K99" s="373"/>
      <x:c r="L99" s="373"/>
      <x:c r="M99" s="373"/>
      <x:c r="N99" s="373"/>
      <x:c r="O99" s="373"/>
      <x:c r="P99" s="373"/>
      <x:c r="Q99" s="373"/>
      <x:c r="R99" s="373"/>
      <x:c r="S99" s="373"/>
      <x:c r="T99" s="373"/>
      <x:c r="U99" s="373"/>
      <x:c r="V99" s="373"/>
      <x:c r="W99" s="373"/>
      <x:c r="X99" s="373"/>
      <x:c r="Y99" s="373"/>
      <x:c r="Z99" s="373"/>
    </x:row>
    <x:row r="100">
      <x:c r="A100" s="373"/>
      <x:c r="B100" s="373"/>
      <x:c r="C100" s="373"/>
      <x:c r="D100" s="373"/>
      <x:c r="E100" s="373"/>
      <x:c r="F100" s="373"/>
      <x:c r="G100" s="373"/>
      <x:c r="H100" s="373"/>
      <x:c r="I100" s="373"/>
      <x:c r="J100" s="373"/>
      <x:c r="K100" s="373"/>
      <x:c r="L100" s="373"/>
      <x:c r="M100" s="373"/>
      <x:c r="N100" s="373"/>
      <x:c r="O100" s="373"/>
      <x:c r="P100" s="373"/>
      <x:c r="Q100" s="373"/>
      <x:c r="R100" s="373"/>
      <x:c r="S100" s="373"/>
      <x:c r="T100" s="373"/>
      <x:c r="U100" s="373"/>
      <x:c r="V100" s="373"/>
      <x:c r="W100" s="373"/>
      <x:c r="X100" s="373"/>
      <x:c r="Y100" s="373"/>
      <x:c r="Z100" s="373"/>
    </x:row>
    <x:row r="101">
      <x:c r="A101" s="373"/>
      <x:c r="B101" s="373"/>
      <x:c r="C101" s="373"/>
      <x:c r="D101" s="373"/>
      <x:c r="E101" s="373"/>
      <x:c r="F101" s="373"/>
      <x:c r="G101" s="373"/>
      <x:c r="H101" s="373"/>
      <x:c r="I101" s="373"/>
      <x:c r="J101" s="373"/>
      <x:c r="K101" s="373"/>
      <x:c r="L101" s="373"/>
      <x:c r="M101" s="373"/>
      <x:c r="N101" s="373"/>
      <x:c r="O101" s="373"/>
      <x:c r="P101" s="373"/>
      <x:c r="Q101" s="373"/>
      <x:c r="R101" s="373"/>
      <x:c r="S101" s="373"/>
      <x:c r="T101" s="373"/>
      <x:c r="U101" s="373"/>
      <x:c r="V101" s="373"/>
      <x:c r="W101" s="373"/>
      <x:c r="X101" s="373"/>
      <x:c r="Y101" s="373"/>
      <x:c r="Z101" s="373"/>
    </x:row>
    <x:row r="102">
      <x:c r="A102" s="373"/>
      <x:c r="B102" s="373"/>
      <x:c r="C102" s="373"/>
      <x:c r="D102" s="373"/>
      <x:c r="E102" s="373"/>
      <x:c r="F102" s="373"/>
      <x:c r="G102" s="373"/>
      <x:c r="H102" s="373"/>
      <x:c r="I102" s="373"/>
      <x:c r="J102" s="373"/>
      <x:c r="K102" s="373"/>
      <x:c r="L102" s="373"/>
      <x:c r="M102" s="373"/>
      <x:c r="N102" s="373"/>
      <x:c r="O102" s="373"/>
      <x:c r="P102" s="373"/>
      <x:c r="Q102" s="373"/>
      <x:c r="R102" s="373"/>
      <x:c r="S102" s="373"/>
      <x:c r="T102" s="373"/>
      <x:c r="U102" s="373"/>
      <x:c r="V102" s="373"/>
      <x:c r="W102" s="373"/>
      <x:c r="X102" s="373"/>
      <x:c r="Y102" s="373"/>
      <x:c r="Z102" s="373"/>
    </x:row>
    <x:row r="103">
      <x:c r="A103" s="373"/>
      <x:c r="B103" s="373"/>
      <x:c r="C103" s="373"/>
      <x:c r="D103" s="373"/>
      <x:c r="E103" s="373"/>
      <x:c r="F103" s="373"/>
      <x:c r="G103" s="373"/>
      <x:c r="H103" s="373"/>
      <x:c r="I103" s="373"/>
      <x:c r="J103" s="373"/>
      <x:c r="K103" s="373"/>
      <x:c r="L103" s="373"/>
      <x:c r="M103" s="373"/>
      <x:c r="N103" s="373"/>
      <x:c r="O103" s="373"/>
      <x:c r="P103" s="373"/>
      <x:c r="Q103" s="373"/>
      <x:c r="R103" s="373"/>
      <x:c r="S103" s="373"/>
      <x:c r="T103" s="373"/>
      <x:c r="U103" s="373"/>
      <x:c r="V103" s="373"/>
      <x:c r="W103" s="373"/>
      <x:c r="X103" s="373"/>
      <x:c r="Y103" s="373"/>
      <x:c r="Z103" s="373"/>
    </x:row>
    <x:row r="104">
      <x:c r="A104" s="373"/>
      <x:c r="B104" s="373"/>
      <x:c r="C104" s="373"/>
      <x:c r="D104" s="373"/>
      <x:c r="E104" s="373"/>
      <x:c r="F104" s="373"/>
      <x:c r="G104" s="373"/>
      <x:c r="H104" s="373"/>
      <x:c r="I104" s="373"/>
      <x:c r="J104" s="373"/>
      <x:c r="K104" s="373"/>
      <x:c r="L104" s="373"/>
      <x:c r="M104" s="373"/>
      <x:c r="N104" s="373"/>
      <x:c r="O104" s="373"/>
      <x:c r="P104" s="373"/>
      <x:c r="Q104" s="373"/>
      <x:c r="R104" s="373"/>
      <x:c r="S104" s="373"/>
      <x:c r="T104" s="373"/>
      <x:c r="U104" s="373"/>
      <x:c r="V104" s="373"/>
      <x:c r="W104" s="373"/>
      <x:c r="X104" s="373"/>
      <x:c r="Y104" s="373"/>
      <x:c r="Z104" s="373"/>
    </x:row>
    <x:row r="105">
      <x:c r="A105" s="373"/>
      <x:c r="B105" s="373"/>
      <x:c r="C105" s="373"/>
      <x:c r="D105" s="373"/>
      <x:c r="E105" s="373"/>
      <x:c r="F105" s="373"/>
      <x:c r="G105" s="373"/>
      <x:c r="H105" s="373"/>
      <x:c r="I105" s="373"/>
      <x:c r="J105" s="373"/>
      <x:c r="K105" s="373"/>
      <x:c r="L105" s="373"/>
      <x:c r="M105" s="373"/>
      <x:c r="N105" s="373"/>
      <x:c r="O105" s="373"/>
      <x:c r="P105" s="373"/>
      <x:c r="Q105" s="373"/>
      <x:c r="R105" s="373"/>
      <x:c r="S105" s="373"/>
      <x:c r="T105" s="373"/>
      <x:c r="U105" s="373"/>
      <x:c r="V105" s="373"/>
      <x:c r="W105" s="373"/>
      <x:c r="X105" s="373"/>
      <x:c r="Y105" s="373"/>
      <x:c r="Z105" s="373"/>
    </x:row>
    <x:row r="106">
      <x:c r="A106" s="373"/>
      <x:c r="B106" s="373"/>
      <x:c r="C106" s="373"/>
      <x:c r="D106" s="373"/>
      <x:c r="E106" s="373"/>
      <x:c r="F106" s="373"/>
      <x:c r="G106" s="373"/>
      <x:c r="H106" s="373"/>
      <x:c r="I106" s="373"/>
      <x:c r="J106" s="373"/>
      <x:c r="K106" s="373"/>
      <x:c r="L106" s="373"/>
      <x:c r="M106" s="373"/>
      <x:c r="N106" s="373"/>
      <x:c r="O106" s="373"/>
      <x:c r="P106" s="373"/>
      <x:c r="Q106" s="373"/>
      <x:c r="R106" s="373"/>
      <x:c r="S106" s="373"/>
      <x:c r="T106" s="373"/>
      <x:c r="U106" s="373"/>
      <x:c r="V106" s="373"/>
      <x:c r="W106" s="373"/>
      <x:c r="X106" s="373"/>
      <x:c r="Y106" s="373"/>
      <x:c r="Z106" s="373"/>
    </x:row>
    <x:row r="107">
      <x:c r="A107" s="373"/>
      <x:c r="B107" s="373"/>
      <x:c r="C107" s="373"/>
      <x:c r="D107" s="373"/>
      <x:c r="E107" s="373"/>
      <x:c r="F107" s="373"/>
      <x:c r="G107" s="373"/>
      <x:c r="H107" s="373"/>
      <x:c r="I107" s="373"/>
      <x:c r="J107" s="373"/>
      <x:c r="K107" s="373"/>
      <x:c r="L107" s="373"/>
      <x:c r="M107" s="373"/>
      <x:c r="N107" s="373"/>
      <x:c r="O107" s="373"/>
      <x:c r="P107" s="373"/>
      <x:c r="Q107" s="373"/>
      <x:c r="R107" s="373"/>
      <x:c r="S107" s="373"/>
      <x:c r="T107" s="373"/>
      <x:c r="U107" s="373"/>
      <x:c r="V107" s="373"/>
      <x:c r="W107" s="373"/>
      <x:c r="X107" s="373"/>
      <x:c r="Y107" s="373"/>
      <x:c r="Z107" s="373"/>
    </x:row>
    <x:row r="108">
      <x:c r="A108" s="373"/>
      <x:c r="B108" s="373"/>
      <x:c r="C108" s="373"/>
      <x:c r="D108" s="373"/>
      <x:c r="E108" s="373"/>
      <x:c r="F108" s="373"/>
      <x:c r="G108" s="373"/>
      <x:c r="H108" s="373"/>
      <x:c r="I108" s="373"/>
      <x:c r="J108" s="373"/>
      <x:c r="K108" s="373"/>
      <x:c r="L108" s="373"/>
      <x:c r="M108" s="373"/>
      <x:c r="N108" s="373"/>
      <x:c r="O108" s="373"/>
      <x:c r="P108" s="373"/>
      <x:c r="Q108" s="373"/>
      <x:c r="R108" s="373"/>
      <x:c r="S108" s="373"/>
      <x:c r="T108" s="373"/>
      <x:c r="U108" s="373"/>
      <x:c r="V108" s="373"/>
      <x:c r="W108" s="373"/>
      <x:c r="X108" s="373"/>
      <x:c r="Y108" s="373"/>
      <x:c r="Z108" s="373"/>
    </x:row>
    <x:row r="109">
      <x:c r="A109" s="373"/>
      <x:c r="B109" s="373"/>
      <x:c r="C109" s="373"/>
      <x:c r="D109" s="373"/>
      <x:c r="E109" s="373"/>
      <x:c r="F109" s="373"/>
      <x:c r="G109" s="373"/>
      <x:c r="H109" s="373"/>
      <x:c r="I109" s="373"/>
      <x:c r="J109" s="373"/>
      <x:c r="K109" s="373"/>
      <x:c r="L109" s="373"/>
      <x:c r="M109" s="373"/>
      <x:c r="N109" s="373"/>
      <x:c r="O109" s="373"/>
      <x:c r="P109" s="373"/>
      <x:c r="Q109" s="373"/>
      <x:c r="R109" s="373"/>
      <x:c r="S109" s="373"/>
      <x:c r="T109" s="373"/>
      <x:c r="U109" s="373"/>
      <x:c r="V109" s="373"/>
      <x:c r="W109" s="373"/>
      <x:c r="X109" s="373"/>
      <x:c r="Y109" s="373"/>
      <x:c r="Z109" s="373"/>
    </x:row>
    <x:row r="110">
      <x:c r="A110" s="373"/>
      <x:c r="B110" s="373"/>
      <x:c r="C110" s="373"/>
      <x:c r="D110" s="373"/>
      <x:c r="E110" s="373"/>
      <x:c r="F110" s="373"/>
      <x:c r="G110" s="373"/>
      <x:c r="H110" s="373"/>
      <x:c r="I110" s="373"/>
      <x:c r="J110" s="373"/>
      <x:c r="K110" s="373"/>
      <x:c r="L110" s="373"/>
      <x:c r="M110" s="373"/>
      <x:c r="N110" s="373"/>
      <x:c r="O110" s="373"/>
      <x:c r="P110" s="373"/>
      <x:c r="Q110" s="373"/>
      <x:c r="R110" s="373"/>
      <x:c r="S110" s="373"/>
      <x:c r="T110" s="373"/>
      <x:c r="U110" s="373"/>
      <x:c r="V110" s="373"/>
      <x:c r="W110" s="373"/>
      <x:c r="X110" s="373"/>
      <x:c r="Y110" s="373"/>
      <x:c r="Z110" s="373"/>
    </x:row>
    <x:row r="111">
      <x:c r="A111" s="373"/>
      <x:c r="B111" s="373"/>
      <x:c r="C111" s="373"/>
      <x:c r="D111" s="373"/>
      <x:c r="E111" s="373"/>
      <x:c r="F111" s="373"/>
      <x:c r="G111" s="373"/>
      <x:c r="H111" s="373"/>
      <x:c r="I111" s="373"/>
      <x:c r="J111" s="373"/>
      <x:c r="K111" s="373"/>
      <x:c r="L111" s="373"/>
      <x:c r="M111" s="373"/>
      <x:c r="N111" s="373"/>
      <x:c r="O111" s="373"/>
      <x:c r="P111" s="373"/>
      <x:c r="Q111" s="373"/>
      <x:c r="R111" s="373"/>
      <x:c r="S111" s="373"/>
      <x:c r="T111" s="373"/>
      <x:c r="U111" s="373"/>
      <x:c r="V111" s="373"/>
      <x:c r="W111" s="373"/>
      <x:c r="X111" s="373"/>
      <x:c r="Y111" s="373"/>
      <x:c r="Z111" s="373"/>
    </x:row>
    <x:row r="112">
      <x:c r="A112" s="373"/>
      <x:c r="B112" s="373"/>
      <x:c r="C112" s="373"/>
      <x:c r="D112" s="373"/>
      <x:c r="E112" s="373"/>
      <x:c r="F112" s="373"/>
      <x:c r="G112" s="373"/>
      <x:c r="H112" s="373"/>
      <x:c r="I112" s="373"/>
      <x:c r="J112" s="373"/>
      <x:c r="K112" s="373"/>
      <x:c r="L112" s="373"/>
      <x:c r="M112" s="373"/>
      <x:c r="N112" s="373"/>
      <x:c r="O112" s="373"/>
      <x:c r="P112" s="373"/>
      <x:c r="Q112" s="373"/>
      <x:c r="R112" s="373"/>
      <x:c r="S112" s="373"/>
      <x:c r="T112" s="373"/>
      <x:c r="U112" s="373"/>
      <x:c r="V112" s="373"/>
      <x:c r="W112" s="373"/>
      <x:c r="X112" s="373"/>
      <x:c r="Y112" s="373"/>
      <x:c r="Z112" s="373"/>
    </x:row>
    <x:row r="113">
      <x:c r="A113" s="373"/>
      <x:c r="B113" s="373"/>
      <x:c r="C113" s="373"/>
      <x:c r="D113" s="373"/>
      <x:c r="E113" s="373"/>
      <x:c r="F113" s="373"/>
      <x:c r="G113" s="373"/>
      <x:c r="H113" s="373"/>
      <x:c r="I113" s="373"/>
      <x:c r="J113" s="373"/>
      <x:c r="K113" s="373"/>
      <x:c r="L113" s="373"/>
      <x:c r="M113" s="373"/>
      <x:c r="N113" s="373"/>
      <x:c r="O113" s="373"/>
      <x:c r="P113" s="373"/>
      <x:c r="Q113" s="373"/>
      <x:c r="R113" s="373"/>
      <x:c r="S113" s="373"/>
      <x:c r="T113" s="373"/>
      <x:c r="U113" s="373"/>
      <x:c r="V113" s="373"/>
      <x:c r="W113" s="373"/>
      <x:c r="X113" s="373"/>
      <x:c r="Y113" s="373"/>
      <x:c r="Z113" s="373"/>
    </x:row>
    <x:row r="114">
      <x:c r="A114" s="373"/>
      <x:c r="B114" s="373"/>
      <x:c r="C114" s="373"/>
      <x:c r="D114" s="373"/>
      <x:c r="E114" s="373"/>
      <x:c r="F114" s="373"/>
      <x:c r="G114" s="373"/>
      <x:c r="H114" s="373"/>
      <x:c r="I114" s="373"/>
      <x:c r="J114" s="373"/>
      <x:c r="K114" s="373"/>
      <x:c r="L114" s="373"/>
      <x:c r="M114" s="373"/>
      <x:c r="N114" s="373"/>
      <x:c r="O114" s="373"/>
      <x:c r="P114" s="373"/>
      <x:c r="Q114" s="373"/>
      <x:c r="R114" s="373"/>
      <x:c r="S114" s="373"/>
      <x:c r="T114" s="373"/>
      <x:c r="U114" s="373"/>
      <x:c r="V114" s="373"/>
      <x:c r="W114" s="373"/>
      <x:c r="X114" s="373"/>
      <x:c r="Y114" s="373"/>
      <x:c r="Z114" s="373"/>
    </x:row>
    <x:row r="115">
      <x:c r="A115" s="373"/>
      <x:c r="B115" s="373"/>
      <x:c r="C115" s="373"/>
      <x:c r="D115" s="373"/>
      <x:c r="E115" s="373"/>
      <x:c r="F115" s="373"/>
      <x:c r="G115" s="373"/>
      <x:c r="H115" s="373"/>
      <x:c r="I115" s="373"/>
      <x:c r="J115" s="373"/>
      <x:c r="K115" s="373"/>
      <x:c r="L115" s="373"/>
      <x:c r="M115" s="373"/>
      <x:c r="N115" s="373"/>
      <x:c r="O115" s="373"/>
      <x:c r="P115" s="373"/>
      <x:c r="Q115" s="373"/>
      <x:c r="R115" s="373"/>
      <x:c r="S115" s="373"/>
      <x:c r="T115" s="373"/>
      <x:c r="U115" s="373"/>
      <x:c r="V115" s="373"/>
      <x:c r="W115" s="373"/>
      <x:c r="X115" s="373"/>
      <x:c r="Y115" s="373"/>
      <x:c r="Z115" s="373"/>
    </x:row>
    <x:row r="116">
      <x:c r="A116" s="373"/>
      <x:c r="B116" s="373"/>
      <x:c r="C116" s="373"/>
      <x:c r="D116" s="373"/>
      <x:c r="E116" s="373"/>
      <x:c r="F116" s="373"/>
      <x:c r="G116" s="373"/>
      <x:c r="H116" s="373"/>
      <x:c r="I116" s="373"/>
      <x:c r="J116" s="373"/>
      <x:c r="K116" s="373"/>
      <x:c r="L116" s="373"/>
      <x:c r="M116" s="373"/>
      <x:c r="N116" s="373"/>
      <x:c r="O116" s="373"/>
      <x:c r="P116" s="373"/>
      <x:c r="Q116" s="373"/>
      <x:c r="R116" s="373"/>
      <x:c r="S116" s="373"/>
      <x:c r="T116" s="373"/>
      <x:c r="U116" s="373"/>
      <x:c r="V116" s="373"/>
      <x:c r="W116" s="373"/>
      <x:c r="X116" s="373"/>
      <x:c r="Y116" s="373"/>
      <x:c r="Z116" s="373"/>
    </x:row>
    <x:row r="117">
      <x:c r="A117" s="373"/>
      <x:c r="B117" s="373"/>
      <x:c r="C117" s="373"/>
      <x:c r="D117" s="373"/>
      <x:c r="E117" s="373"/>
      <x:c r="F117" s="373"/>
      <x:c r="G117" s="373"/>
      <x:c r="H117" s="373"/>
      <x:c r="I117" s="373"/>
      <x:c r="J117" s="373"/>
      <x:c r="K117" s="373"/>
      <x:c r="L117" s="373"/>
      <x:c r="M117" s="373"/>
      <x:c r="N117" s="373"/>
      <x:c r="O117" s="373"/>
      <x:c r="P117" s="373"/>
      <x:c r="Q117" s="373"/>
      <x:c r="R117" s="373"/>
      <x:c r="S117" s="373"/>
      <x:c r="T117" s="373"/>
      <x:c r="U117" s="373"/>
      <x:c r="V117" s="373"/>
      <x:c r="W117" s="373"/>
      <x:c r="X117" s="373"/>
      <x:c r="Y117" s="373"/>
      <x:c r="Z117" s="373"/>
    </x:row>
    <x:row r="118">
      <x:c r="A118" s="373"/>
      <x:c r="B118" s="373"/>
      <x:c r="C118" s="373"/>
      <x:c r="D118" s="373"/>
      <x:c r="E118" s="373"/>
      <x:c r="F118" s="373"/>
      <x:c r="G118" s="373"/>
      <x:c r="H118" s="373"/>
      <x:c r="I118" s="373"/>
      <x:c r="J118" s="373"/>
      <x:c r="K118" s="373"/>
      <x:c r="L118" s="373"/>
      <x:c r="M118" s="373"/>
      <x:c r="N118" s="373"/>
      <x:c r="O118" s="373"/>
      <x:c r="P118" s="373"/>
      <x:c r="Q118" s="373"/>
      <x:c r="R118" s="373"/>
      <x:c r="S118" s="373"/>
      <x:c r="T118" s="373"/>
      <x:c r="U118" s="373"/>
      <x:c r="V118" s="373"/>
      <x:c r="W118" s="373"/>
      <x:c r="X118" s="373"/>
      <x:c r="Y118" s="373"/>
      <x:c r="Z118" s="373"/>
    </x:row>
    <x:row r="119">
      <x:c r="A119" s="373"/>
      <x:c r="B119" s="373"/>
      <x:c r="C119" s="373"/>
      <x:c r="D119" s="373"/>
      <x:c r="E119" s="373"/>
      <x:c r="F119" s="373"/>
      <x:c r="G119" s="373"/>
      <x:c r="H119" s="373"/>
      <x:c r="I119" s="373"/>
      <x:c r="J119" s="373"/>
      <x:c r="K119" s="373"/>
      <x:c r="L119" s="373"/>
      <x:c r="M119" s="373"/>
      <x:c r="N119" s="373"/>
      <x:c r="O119" s="373"/>
      <x:c r="P119" s="373"/>
      <x:c r="Q119" s="373"/>
      <x:c r="R119" s="373"/>
      <x:c r="S119" s="373"/>
      <x:c r="T119" s="373"/>
      <x:c r="U119" s="373"/>
      <x:c r="V119" s="373"/>
      <x:c r="W119" s="373"/>
      <x:c r="X119" s="373"/>
      <x:c r="Y119" s="373"/>
      <x:c r="Z119" s="373"/>
    </x:row>
    <x:row r="120">
      <x:c r="A120" s="373"/>
      <x:c r="B120" s="373"/>
      <x:c r="C120" s="373"/>
      <x:c r="D120" s="373"/>
      <x:c r="E120" s="373"/>
      <x:c r="F120" s="373"/>
      <x:c r="G120" s="373"/>
      <x:c r="H120" s="373"/>
      <x:c r="I120" s="373"/>
      <x:c r="J120" s="373"/>
      <x:c r="K120" s="373"/>
      <x:c r="L120" s="373"/>
      <x:c r="M120" s="373"/>
      <x:c r="N120" s="373"/>
      <x:c r="O120" s="373"/>
      <x:c r="P120" s="373"/>
      <x:c r="Q120" s="373"/>
      <x:c r="R120" s="373"/>
      <x:c r="S120" s="373"/>
      <x:c r="T120" s="373"/>
      <x:c r="U120" s="373"/>
      <x:c r="V120" s="373"/>
      <x:c r="W120" s="373"/>
      <x:c r="X120" s="373"/>
      <x:c r="Y120" s="373"/>
      <x:c r="Z120" s="373"/>
    </x:row>
    <x:row r="121">
      <x:c r="A121" s="373"/>
      <x:c r="B121" s="373"/>
      <x:c r="C121" s="373"/>
      <x:c r="D121" s="373"/>
      <x:c r="E121" s="373"/>
      <x:c r="F121" s="373"/>
      <x:c r="G121" s="373"/>
      <x:c r="H121" s="373"/>
      <x:c r="I121" s="373"/>
      <x:c r="J121" s="373"/>
      <x:c r="K121" s="373"/>
      <x:c r="L121" s="373"/>
      <x:c r="M121" s="373"/>
      <x:c r="N121" s="373"/>
      <x:c r="O121" s="373"/>
      <x:c r="P121" s="373"/>
      <x:c r="Q121" s="373"/>
      <x:c r="R121" s="373"/>
      <x:c r="S121" s="373"/>
      <x:c r="T121" s="373"/>
      <x:c r="U121" s="373"/>
      <x:c r="V121" s="373"/>
      <x:c r="W121" s="373"/>
      <x:c r="X121" s="373"/>
      <x:c r="Y121" s="373"/>
      <x:c r="Z121" s="373"/>
    </x:row>
    <x:row r="122">
      <x:c r="A122" s="373"/>
      <x:c r="B122" s="373"/>
      <x:c r="C122" s="373"/>
      <x:c r="D122" s="373"/>
      <x:c r="E122" s="373"/>
      <x:c r="F122" s="373"/>
      <x:c r="G122" s="373"/>
      <x:c r="H122" s="373"/>
      <x:c r="I122" s="373"/>
      <x:c r="J122" s="373"/>
      <x:c r="K122" s="373"/>
      <x:c r="L122" s="373"/>
      <x:c r="M122" s="373"/>
      <x:c r="N122" s="373"/>
      <x:c r="O122" s="373"/>
      <x:c r="P122" s="373"/>
      <x:c r="Q122" s="373"/>
      <x:c r="R122" s="373"/>
      <x:c r="S122" s="373"/>
      <x:c r="T122" s="373"/>
      <x:c r="U122" s="373"/>
      <x:c r="V122" s="373"/>
      <x:c r="W122" s="373"/>
      <x:c r="X122" s="373"/>
      <x:c r="Y122" s="373"/>
      <x:c r="Z122" s="373"/>
    </x:row>
    <x:row r="123">
      <x:c r="A123" s="373"/>
      <x:c r="B123" s="373"/>
      <x:c r="C123" s="373"/>
      <x:c r="D123" s="373"/>
      <x:c r="E123" s="373"/>
      <x:c r="F123" s="373"/>
      <x:c r="G123" s="373"/>
      <x:c r="H123" s="373"/>
      <x:c r="I123" s="373"/>
      <x:c r="J123" s="373"/>
      <x:c r="K123" s="373"/>
      <x:c r="L123" s="373"/>
      <x:c r="M123" s="373"/>
      <x:c r="N123" s="373"/>
      <x:c r="O123" s="373"/>
      <x:c r="P123" s="373"/>
      <x:c r="Q123" s="373"/>
      <x:c r="R123" s="373"/>
      <x:c r="S123" s="373"/>
      <x:c r="T123" s="373"/>
      <x:c r="U123" s="373"/>
      <x:c r="V123" s="373"/>
      <x:c r="W123" s="373"/>
      <x:c r="X123" s="373"/>
      <x:c r="Y123" s="373"/>
      <x:c r="Z123" s="373"/>
    </x:row>
    <x:row r="124">
      <x:c r="A124" s="373"/>
      <x:c r="B124" s="373"/>
      <x:c r="C124" s="373"/>
      <x:c r="D124" s="373"/>
      <x:c r="E124" s="373"/>
      <x:c r="F124" s="373"/>
      <x:c r="G124" s="373"/>
      <x:c r="H124" s="373"/>
      <x:c r="I124" s="373"/>
      <x:c r="J124" s="373"/>
      <x:c r="K124" s="373"/>
      <x:c r="L124" s="373"/>
      <x:c r="M124" s="373"/>
      <x:c r="N124" s="373"/>
      <x:c r="O124" s="373"/>
      <x:c r="P124" s="373"/>
      <x:c r="Q124" s="373"/>
      <x:c r="R124" s="373"/>
      <x:c r="S124" s="373"/>
      <x:c r="T124" s="373"/>
      <x:c r="U124" s="373"/>
      <x:c r="V124" s="373"/>
      <x:c r="W124" s="373"/>
      <x:c r="X124" s="373"/>
      <x:c r="Y124" s="373"/>
      <x:c r="Z124" s="373"/>
    </x:row>
    <x:row r="125">
      <x:c r="A125" s="373"/>
      <x:c r="B125" s="373"/>
      <x:c r="C125" s="373"/>
      <x:c r="D125" s="373"/>
      <x:c r="E125" s="373"/>
      <x:c r="F125" s="373"/>
      <x:c r="G125" s="373"/>
      <x:c r="H125" s="373"/>
      <x:c r="I125" s="373"/>
      <x:c r="J125" s="373"/>
      <x:c r="K125" s="373"/>
      <x:c r="L125" s="373"/>
      <x:c r="M125" s="373"/>
      <x:c r="N125" s="373"/>
      <x:c r="O125" s="373"/>
      <x:c r="P125" s="373"/>
      <x:c r="Q125" s="373"/>
      <x:c r="R125" s="373"/>
      <x:c r="S125" s="373"/>
      <x:c r="T125" s="373"/>
      <x:c r="U125" s="373"/>
      <x:c r="V125" s="373"/>
      <x:c r="W125" s="373"/>
      <x:c r="X125" s="373"/>
      <x:c r="Y125" s="373"/>
      <x:c r="Z125" s="373"/>
    </x:row>
    <x:row r="126">
      <x:c r="A126" s="373"/>
      <x:c r="B126" s="373"/>
      <x:c r="C126" s="373"/>
      <x:c r="D126" s="373"/>
      <x:c r="E126" s="373"/>
      <x:c r="F126" s="373"/>
      <x:c r="G126" s="373"/>
      <x:c r="H126" s="373"/>
      <x:c r="I126" s="373"/>
      <x:c r="J126" s="373"/>
      <x:c r="K126" s="373"/>
      <x:c r="L126" s="373"/>
      <x:c r="M126" s="373"/>
      <x:c r="N126" s="373"/>
      <x:c r="O126" s="373"/>
      <x:c r="P126" s="373"/>
      <x:c r="Q126" s="373"/>
      <x:c r="R126" s="373"/>
      <x:c r="S126" s="373"/>
      <x:c r="T126" s="373"/>
      <x:c r="U126" s="373"/>
      <x:c r="V126" s="373"/>
      <x:c r="W126" s="373"/>
      <x:c r="X126" s="373"/>
      <x:c r="Y126" s="373"/>
      <x:c r="Z126" s="373"/>
    </x:row>
    <x:row r="127">
      <x:c r="A127" s="373"/>
      <x:c r="B127" s="373"/>
      <x:c r="C127" s="373"/>
      <x:c r="D127" s="373"/>
      <x:c r="E127" s="373"/>
      <x:c r="F127" s="373"/>
      <x:c r="G127" s="373"/>
      <x:c r="H127" s="373"/>
      <x:c r="I127" s="373"/>
      <x:c r="J127" s="373"/>
      <x:c r="K127" s="373"/>
      <x:c r="L127" s="373"/>
      <x:c r="M127" s="373"/>
      <x:c r="N127" s="373"/>
      <x:c r="O127" s="373"/>
      <x:c r="P127" s="373"/>
      <x:c r="Q127" s="373"/>
      <x:c r="R127" s="373"/>
      <x:c r="S127" s="373"/>
      <x:c r="T127" s="373"/>
      <x:c r="U127" s="373"/>
      <x:c r="V127" s="373"/>
      <x:c r="W127" s="373"/>
      <x:c r="X127" s="373"/>
      <x:c r="Y127" s="373"/>
      <x:c r="Z127" s="373"/>
    </x:row>
    <x:row r="128">
      <x:c r="A128" s="373"/>
      <x:c r="B128" s="373"/>
      <x:c r="C128" s="373"/>
      <x:c r="D128" s="373"/>
      <x:c r="E128" s="373"/>
      <x:c r="F128" s="373"/>
      <x:c r="G128" s="373"/>
      <x:c r="H128" s="373"/>
      <x:c r="I128" s="373"/>
      <x:c r="J128" s="373"/>
      <x:c r="K128" s="373"/>
      <x:c r="L128" s="373"/>
      <x:c r="M128" s="373"/>
      <x:c r="N128" s="373"/>
      <x:c r="O128" s="373"/>
      <x:c r="P128" s="373"/>
      <x:c r="Q128" s="373"/>
      <x:c r="R128" s="373"/>
      <x:c r="S128" s="373"/>
      <x:c r="T128" s="373"/>
      <x:c r="U128" s="373"/>
      <x:c r="V128" s="373"/>
      <x:c r="W128" s="373"/>
      <x:c r="X128" s="373"/>
      <x:c r="Y128" s="373"/>
      <x:c r="Z128" s="373"/>
    </x:row>
    <x:row r="129">
      <x:c r="A129" s="373"/>
      <x:c r="B129" s="373"/>
      <x:c r="C129" s="373"/>
      <x:c r="D129" s="373"/>
      <x:c r="E129" s="373"/>
      <x:c r="F129" s="373"/>
      <x:c r="G129" s="373"/>
      <x:c r="H129" s="373"/>
      <x:c r="I129" s="373"/>
      <x:c r="J129" s="373"/>
      <x:c r="K129" s="373"/>
      <x:c r="L129" s="373"/>
      <x:c r="M129" s="373"/>
      <x:c r="N129" s="373"/>
      <x:c r="O129" s="373"/>
      <x:c r="P129" s="373"/>
      <x:c r="Q129" s="373"/>
      <x:c r="R129" s="373"/>
      <x:c r="S129" s="373"/>
      <x:c r="T129" s="373"/>
      <x:c r="U129" s="373"/>
      <x:c r="V129" s="373"/>
      <x:c r="W129" s="373"/>
      <x:c r="X129" s="373"/>
      <x:c r="Y129" s="373"/>
      <x:c r="Z129" s="373"/>
    </x:row>
    <x:row r="130">
      <x:c r="A130" s="373"/>
      <x:c r="B130" s="373"/>
      <x:c r="C130" s="373"/>
      <x:c r="D130" s="373"/>
      <x:c r="E130" s="373"/>
      <x:c r="F130" s="373"/>
      <x:c r="G130" s="373"/>
      <x:c r="H130" s="373"/>
      <x:c r="I130" s="373"/>
      <x:c r="J130" s="373"/>
      <x:c r="K130" s="373"/>
      <x:c r="L130" s="373"/>
      <x:c r="M130" s="373"/>
      <x:c r="N130" s="373"/>
      <x:c r="O130" s="373"/>
      <x:c r="P130" s="373"/>
      <x:c r="Q130" s="373"/>
      <x:c r="R130" s="373"/>
      <x:c r="S130" s="373"/>
      <x:c r="T130" s="373"/>
      <x:c r="U130" s="373"/>
      <x:c r="V130" s="373"/>
      <x:c r="W130" s="373"/>
      <x:c r="X130" s="373"/>
      <x:c r="Y130" s="373"/>
      <x:c r="Z130" s="373"/>
    </x:row>
    <x:row r="131">
      <x:c r="A131" s="373"/>
      <x:c r="B131" s="373"/>
      <x:c r="C131" s="373"/>
      <x:c r="D131" s="373"/>
      <x:c r="E131" s="373"/>
      <x:c r="F131" s="373"/>
      <x:c r="G131" s="373"/>
      <x:c r="H131" s="373"/>
      <x:c r="I131" s="373"/>
      <x:c r="J131" s="373"/>
      <x:c r="K131" s="373"/>
      <x:c r="L131" s="373"/>
      <x:c r="M131" s="373"/>
      <x:c r="N131" s="373"/>
      <x:c r="O131" s="373"/>
      <x:c r="P131" s="373"/>
      <x:c r="Q131" s="373"/>
      <x:c r="R131" s="373"/>
      <x:c r="S131" s="373"/>
      <x:c r="T131" s="373"/>
      <x:c r="U131" s="373"/>
      <x:c r="V131" s="373"/>
      <x:c r="W131" s="373"/>
      <x:c r="X131" s="373"/>
      <x:c r="Y131" s="373"/>
      <x:c r="Z131" s="373"/>
    </x:row>
    <x:row r="132">
      <x:c r="A132" s="373"/>
      <x:c r="B132" s="373"/>
      <x:c r="C132" s="373"/>
      <x:c r="D132" s="373"/>
      <x:c r="E132" s="373"/>
      <x:c r="F132" s="373"/>
      <x:c r="G132" s="373"/>
      <x:c r="H132" s="373"/>
      <x:c r="I132" s="373"/>
      <x:c r="J132" s="373"/>
      <x:c r="K132" s="373"/>
      <x:c r="L132" s="373"/>
      <x:c r="M132" s="373"/>
      <x:c r="N132" s="373"/>
      <x:c r="O132" s="373"/>
      <x:c r="P132" s="373"/>
      <x:c r="Q132" s="373"/>
      <x:c r="R132" s="373"/>
      <x:c r="S132" s="373"/>
      <x:c r="T132" s="373"/>
      <x:c r="U132" s="373"/>
      <x:c r="V132" s="373"/>
      <x:c r="W132" s="373"/>
      <x:c r="X132" s="373"/>
      <x:c r="Y132" s="373"/>
      <x:c r="Z132" s="373"/>
    </x:row>
    <x:row r="133">
      <x:c r="A133" s="373"/>
      <x:c r="B133" s="373"/>
      <x:c r="C133" s="373"/>
      <x:c r="D133" s="373"/>
      <x:c r="E133" s="373"/>
      <x:c r="F133" s="373"/>
      <x:c r="G133" s="373"/>
      <x:c r="H133" s="373"/>
      <x:c r="I133" s="373"/>
      <x:c r="J133" s="373"/>
      <x:c r="K133" s="373"/>
      <x:c r="L133" s="373"/>
      <x:c r="M133" s="373"/>
      <x:c r="N133" s="373"/>
      <x:c r="O133" s="373"/>
      <x:c r="P133" s="373"/>
      <x:c r="Q133" s="373"/>
      <x:c r="R133" s="373"/>
      <x:c r="S133" s="373"/>
      <x:c r="T133" s="373"/>
      <x:c r="U133" s="373"/>
      <x:c r="V133" s="373"/>
      <x:c r="W133" s="373"/>
      <x:c r="X133" s="373"/>
      <x:c r="Y133" s="373"/>
      <x:c r="Z133" s="373"/>
    </x:row>
    <x:row r="134">
      <x:c r="A134" s="373"/>
      <x:c r="B134" s="373"/>
      <x:c r="C134" s="373"/>
      <x:c r="D134" s="373"/>
      <x:c r="E134" s="373"/>
      <x:c r="F134" s="373"/>
      <x:c r="G134" s="373"/>
      <x:c r="H134" s="373"/>
      <x:c r="I134" s="373"/>
      <x:c r="J134" s="373"/>
      <x:c r="K134" s="373"/>
      <x:c r="L134" s="373"/>
      <x:c r="M134" s="373"/>
      <x:c r="N134" s="373"/>
      <x:c r="O134" s="373"/>
      <x:c r="P134" s="373"/>
      <x:c r="Q134" s="373"/>
      <x:c r="R134" s="373"/>
      <x:c r="S134" s="373"/>
      <x:c r="T134" s="373"/>
      <x:c r="U134" s="373"/>
      <x:c r="V134" s="373"/>
      <x:c r="W134" s="373"/>
      <x:c r="X134" s="373"/>
      <x:c r="Y134" s="373"/>
      <x:c r="Z134" s="373"/>
    </x:row>
    <x:row r="135">
      <x:c r="A135" s="373"/>
      <x:c r="B135" s="373"/>
      <x:c r="C135" s="373"/>
      <x:c r="D135" s="373"/>
      <x:c r="E135" s="373"/>
      <x:c r="F135" s="373"/>
      <x:c r="G135" s="373"/>
      <x:c r="H135" s="373"/>
      <x:c r="I135" s="373"/>
      <x:c r="J135" s="373"/>
      <x:c r="K135" s="373"/>
      <x:c r="L135" s="373"/>
      <x:c r="M135" s="373"/>
      <x:c r="N135" s="373"/>
      <x:c r="O135" s="373"/>
      <x:c r="P135" s="373"/>
      <x:c r="Q135" s="373"/>
      <x:c r="R135" s="373"/>
      <x:c r="S135" s="373"/>
      <x:c r="T135" s="373"/>
      <x:c r="U135" s="373"/>
      <x:c r="V135" s="373"/>
      <x:c r="W135" s="373"/>
      <x:c r="X135" s="373"/>
      <x:c r="Y135" s="373"/>
      <x:c r="Z135" s="373"/>
    </x:row>
    <x:row r="136">
      <x:c r="A136" s="373"/>
      <x:c r="B136" s="373"/>
      <x:c r="C136" s="373"/>
      <x:c r="D136" s="373"/>
      <x:c r="E136" s="373"/>
      <x:c r="F136" s="373"/>
      <x:c r="G136" s="373"/>
      <x:c r="H136" s="373"/>
      <x:c r="I136" s="373"/>
      <x:c r="J136" s="373"/>
      <x:c r="K136" s="373"/>
      <x:c r="L136" s="373"/>
      <x:c r="M136" s="373"/>
      <x:c r="N136" s="373"/>
      <x:c r="O136" s="373"/>
      <x:c r="P136" s="373"/>
      <x:c r="Q136" s="373"/>
      <x:c r="R136" s="373"/>
      <x:c r="S136" s="373"/>
      <x:c r="T136" s="373"/>
      <x:c r="U136" s="373"/>
      <x:c r="V136" s="373"/>
      <x:c r="W136" s="373"/>
      <x:c r="X136" s="373"/>
      <x:c r="Y136" s="373"/>
      <x:c r="Z136" s="373"/>
    </x:row>
    <x:row r="137">
      <x:c r="A137" s="373"/>
      <x:c r="B137" s="373"/>
      <x:c r="C137" s="373"/>
      <x:c r="D137" s="373"/>
      <x:c r="E137" s="373"/>
      <x:c r="F137" s="373"/>
      <x:c r="G137" s="373"/>
      <x:c r="H137" s="373"/>
      <x:c r="I137" s="373"/>
      <x:c r="J137" s="373"/>
      <x:c r="K137" s="373"/>
      <x:c r="L137" s="373"/>
      <x:c r="M137" s="373"/>
      <x:c r="N137" s="373"/>
      <x:c r="O137" s="373"/>
      <x:c r="P137" s="373"/>
      <x:c r="Q137" s="373"/>
      <x:c r="R137" s="373"/>
      <x:c r="S137" s="373"/>
      <x:c r="T137" s="373"/>
      <x:c r="U137" s="373"/>
      <x:c r="V137" s="373"/>
      <x:c r="W137" s="373"/>
      <x:c r="X137" s="373"/>
      <x:c r="Y137" s="373"/>
      <x:c r="Z137" s="373"/>
    </x:row>
    <x:row r="138">
      <x:c r="A138" s="373"/>
      <x:c r="B138" s="373"/>
      <x:c r="C138" s="373"/>
      <x:c r="D138" s="373"/>
      <x:c r="E138" s="373"/>
      <x:c r="F138" s="373"/>
      <x:c r="G138" s="373"/>
      <x:c r="H138" s="373"/>
      <x:c r="I138" s="373"/>
      <x:c r="J138" s="373"/>
      <x:c r="K138" s="373"/>
      <x:c r="L138" s="373"/>
      <x:c r="M138" s="373"/>
      <x:c r="N138" s="373"/>
      <x:c r="O138" s="373"/>
      <x:c r="P138" s="373"/>
      <x:c r="Q138" s="373"/>
      <x:c r="R138" s="373"/>
      <x:c r="S138" s="373"/>
      <x:c r="T138" s="373"/>
      <x:c r="U138" s="373"/>
      <x:c r="V138" s="373"/>
      <x:c r="W138" s="373"/>
      <x:c r="X138" s="373"/>
      <x:c r="Y138" s="373"/>
      <x:c r="Z138" s="373"/>
    </x:row>
    <x:row r="139">
      <x:c r="A139" s="373"/>
      <x:c r="B139" s="373"/>
      <x:c r="C139" s="373"/>
      <x:c r="D139" s="373"/>
      <x:c r="E139" s="373"/>
      <x:c r="F139" s="373"/>
      <x:c r="G139" s="373"/>
      <x:c r="H139" s="373"/>
      <x:c r="I139" s="373"/>
      <x:c r="J139" s="373"/>
      <x:c r="K139" s="373"/>
      <x:c r="L139" s="373"/>
      <x:c r="M139" s="373"/>
      <x:c r="N139" s="373"/>
      <x:c r="O139" s="373"/>
      <x:c r="P139" s="373"/>
      <x:c r="Q139" s="373"/>
      <x:c r="R139" s="373"/>
      <x:c r="S139" s="373"/>
      <x:c r="T139" s="373"/>
      <x:c r="U139" s="373"/>
      <x:c r="V139" s="373"/>
      <x:c r="W139" s="373"/>
      <x:c r="X139" s="373"/>
      <x:c r="Y139" s="373"/>
      <x:c r="Z139" s="373"/>
    </x:row>
    <x:row r="140">
      <x:c r="A140" s="373"/>
      <x:c r="B140" s="373"/>
      <x:c r="C140" s="373"/>
      <x:c r="D140" s="373"/>
      <x:c r="E140" s="373"/>
      <x:c r="F140" s="373"/>
      <x:c r="G140" s="373"/>
      <x:c r="H140" s="373"/>
      <x:c r="I140" s="373"/>
      <x:c r="J140" s="373"/>
      <x:c r="K140" s="373"/>
      <x:c r="L140" s="373"/>
      <x:c r="M140" s="373"/>
      <x:c r="N140" s="373"/>
      <x:c r="O140" s="373"/>
      <x:c r="P140" s="373"/>
      <x:c r="Q140" s="373"/>
      <x:c r="R140" s="373"/>
      <x:c r="S140" s="373"/>
      <x:c r="T140" s="373"/>
      <x:c r="U140" s="373"/>
      <x:c r="V140" s="373"/>
      <x:c r="W140" s="373"/>
      <x:c r="X140" s="373"/>
      <x:c r="Y140" s="373"/>
      <x:c r="Z140" s="373"/>
    </x:row>
    <x:row r="141">
      <x:c r="A141" s="373"/>
      <x:c r="B141" s="373"/>
      <x:c r="C141" s="373"/>
      <x:c r="D141" s="373"/>
      <x:c r="E141" s="373"/>
      <x:c r="F141" s="373"/>
      <x:c r="G141" s="373"/>
      <x:c r="H141" s="373"/>
      <x:c r="I141" s="373"/>
      <x:c r="J141" s="373"/>
      <x:c r="K141" s="373"/>
      <x:c r="L141" s="373"/>
      <x:c r="M141" s="373"/>
      <x:c r="N141" s="373"/>
      <x:c r="O141" s="373"/>
      <x:c r="P141" s="373"/>
      <x:c r="Q141" s="373"/>
      <x:c r="R141" s="373"/>
      <x:c r="S141" s="373"/>
      <x:c r="T141" s="373"/>
      <x:c r="U141" s="373"/>
      <x:c r="V141" s="373"/>
      <x:c r="W141" s="373"/>
      <x:c r="X141" s="373"/>
      <x:c r="Y141" s="373"/>
      <x:c r="Z141" s="373"/>
    </x:row>
    <x:row r="142">
      <x:c r="A142" s="373"/>
      <x:c r="B142" s="373"/>
      <x:c r="C142" s="373"/>
      <x:c r="D142" s="373"/>
      <x:c r="E142" s="373"/>
      <x:c r="F142" s="373"/>
      <x:c r="G142" s="373"/>
      <x:c r="H142" s="373"/>
      <x:c r="I142" s="373"/>
      <x:c r="J142" s="373"/>
      <x:c r="K142" s="373"/>
      <x:c r="L142" s="373"/>
      <x:c r="M142" s="373"/>
      <x:c r="N142" s="373"/>
      <x:c r="O142" s="373"/>
      <x:c r="P142" s="373"/>
      <x:c r="Q142" s="373"/>
      <x:c r="R142" s="373"/>
      <x:c r="S142" s="373"/>
      <x:c r="T142" s="373"/>
      <x:c r="U142" s="373"/>
      <x:c r="V142" s="373"/>
      <x:c r="W142" s="373"/>
      <x:c r="X142" s="373"/>
      <x:c r="Y142" s="373"/>
      <x:c r="Z142" s="373"/>
    </x:row>
    <x:row r="143">
      <x:c r="A143" s="373"/>
      <x:c r="B143" s="373"/>
      <x:c r="C143" s="373"/>
      <x:c r="D143" s="373"/>
      <x:c r="E143" s="373"/>
      <x:c r="F143" s="373"/>
      <x:c r="G143" s="373"/>
      <x:c r="H143" s="373"/>
      <x:c r="I143" s="373"/>
      <x:c r="J143" s="373"/>
      <x:c r="K143" s="373"/>
      <x:c r="L143" s="373"/>
      <x:c r="M143" s="373"/>
      <x:c r="N143" s="373"/>
      <x:c r="O143" s="373"/>
      <x:c r="P143" s="373"/>
      <x:c r="Q143" s="373"/>
      <x:c r="R143" s="373"/>
      <x:c r="S143" s="373"/>
      <x:c r="T143" s="373"/>
      <x:c r="U143" s="373"/>
      <x:c r="V143" s="373"/>
      <x:c r="W143" s="373"/>
      <x:c r="X143" s="373"/>
      <x:c r="Y143" s="373"/>
      <x:c r="Z143" s="373"/>
    </x:row>
    <x:row r="144">
      <x:c r="A144" s="373"/>
      <x:c r="B144" s="373"/>
      <x:c r="C144" s="373"/>
      <x:c r="D144" s="373"/>
      <x:c r="E144" s="373"/>
      <x:c r="F144" s="373"/>
      <x:c r="G144" s="373"/>
      <x:c r="H144" s="373"/>
      <x:c r="I144" s="373"/>
      <x:c r="J144" s="373"/>
      <x:c r="K144" s="373"/>
      <x:c r="L144" s="373"/>
      <x:c r="M144" s="373"/>
      <x:c r="N144" s="373"/>
      <x:c r="O144" s="373"/>
      <x:c r="P144" s="373"/>
      <x:c r="Q144" s="373"/>
      <x:c r="R144" s="373"/>
      <x:c r="S144" s="373"/>
      <x:c r="T144" s="373"/>
      <x:c r="U144" s="373"/>
      <x:c r="V144" s="373"/>
      <x:c r="W144" s="373"/>
      <x:c r="X144" s="373"/>
      <x:c r="Y144" s="373"/>
      <x:c r="Z144" s="373"/>
    </x:row>
    <x:row r="145">
      <x:c r="A145" s="373"/>
      <x:c r="B145" s="373"/>
      <x:c r="C145" s="373"/>
      <x:c r="D145" s="373"/>
      <x:c r="E145" s="373"/>
      <x:c r="F145" s="373"/>
      <x:c r="G145" s="373"/>
      <x:c r="H145" s="373"/>
      <x:c r="I145" s="373"/>
      <x:c r="J145" s="373"/>
      <x:c r="K145" s="373"/>
      <x:c r="L145" s="373"/>
      <x:c r="M145" s="373"/>
      <x:c r="N145" s="373"/>
      <x:c r="O145" s="373"/>
      <x:c r="P145" s="373"/>
      <x:c r="Q145" s="373"/>
      <x:c r="R145" s="373"/>
      <x:c r="S145" s="373"/>
      <x:c r="T145" s="373"/>
      <x:c r="U145" s="373"/>
      <x:c r="V145" s="373"/>
      <x:c r="W145" s="373"/>
      <x:c r="X145" s="373"/>
      <x:c r="Y145" s="373"/>
      <x:c r="Z145" s="373"/>
    </x:row>
    <x:row r="146">
      <x:c r="A146" s="373"/>
      <x:c r="B146" s="373"/>
      <x:c r="C146" s="373"/>
      <x:c r="D146" s="373"/>
      <x:c r="E146" s="373"/>
      <x:c r="F146" s="373"/>
      <x:c r="G146" s="373"/>
      <x:c r="H146" s="373"/>
      <x:c r="I146" s="373"/>
      <x:c r="J146" s="373"/>
      <x:c r="K146" s="373"/>
      <x:c r="L146" s="373"/>
      <x:c r="M146" s="373"/>
      <x:c r="N146" s="373"/>
      <x:c r="O146" s="373"/>
      <x:c r="P146" s="373"/>
      <x:c r="Q146" s="373"/>
      <x:c r="R146" s="373"/>
      <x:c r="S146" s="373"/>
      <x:c r="T146" s="373"/>
      <x:c r="U146" s="373"/>
      <x:c r="V146" s="373"/>
      <x:c r="W146" s="373"/>
      <x:c r="X146" s="373"/>
      <x:c r="Y146" s="373"/>
      <x:c r="Z146" s="373"/>
    </x:row>
    <x:row r="147">
      <x:c r="A147" s="373"/>
      <x:c r="B147" s="373"/>
      <x:c r="C147" s="373"/>
      <x:c r="D147" s="373"/>
      <x:c r="E147" s="373"/>
      <x:c r="F147" s="373"/>
      <x:c r="G147" s="373"/>
      <x:c r="H147" s="373"/>
      <x:c r="I147" s="373"/>
      <x:c r="J147" s="373"/>
      <x:c r="K147" s="373"/>
      <x:c r="L147" s="373"/>
      <x:c r="M147" s="373"/>
      <x:c r="N147" s="373"/>
      <x:c r="O147" s="373"/>
      <x:c r="P147" s="373"/>
      <x:c r="Q147" s="373"/>
      <x:c r="R147" s="373"/>
      <x:c r="S147" s="373"/>
      <x:c r="T147" s="373"/>
      <x:c r="U147" s="373"/>
      <x:c r="V147" s="373"/>
      <x:c r="W147" s="373"/>
      <x:c r="X147" s="373"/>
      <x:c r="Y147" s="373"/>
      <x:c r="Z147" s="373"/>
    </x:row>
    <x:row r="148">
      <x:c r="A148" s="373"/>
      <x:c r="B148" s="373"/>
      <x:c r="C148" s="373"/>
      <x:c r="D148" s="373"/>
      <x:c r="E148" s="373"/>
      <x:c r="F148" s="373"/>
      <x:c r="G148" s="373"/>
      <x:c r="H148" s="373"/>
      <x:c r="I148" s="373"/>
      <x:c r="J148" s="373"/>
      <x:c r="K148" s="373"/>
      <x:c r="L148" s="373"/>
      <x:c r="M148" s="373"/>
      <x:c r="N148" s="373"/>
      <x:c r="O148" s="373"/>
      <x:c r="P148" s="373"/>
      <x:c r="Q148" s="373"/>
      <x:c r="R148" s="373"/>
      <x:c r="S148" s="373"/>
      <x:c r="T148" s="373"/>
      <x:c r="U148" s="373"/>
      <x:c r="V148" s="373"/>
      <x:c r="W148" s="373"/>
      <x:c r="X148" s="373"/>
      <x:c r="Y148" s="373"/>
      <x:c r="Z148" s="373"/>
    </x:row>
    <x:row r="149">
      <x:c r="A149" s="373"/>
      <x:c r="B149" s="373"/>
      <x:c r="C149" s="373"/>
      <x:c r="D149" s="373"/>
      <x:c r="E149" s="373"/>
      <x:c r="F149" s="373"/>
      <x:c r="G149" s="373"/>
      <x:c r="H149" s="373"/>
      <x:c r="I149" s="373"/>
      <x:c r="J149" s="373"/>
      <x:c r="K149" s="373"/>
      <x:c r="L149" s="373"/>
      <x:c r="M149" s="373"/>
      <x:c r="N149" s="373"/>
      <x:c r="O149" s="373"/>
      <x:c r="P149" s="373"/>
      <x:c r="Q149" s="373"/>
      <x:c r="R149" s="373"/>
      <x:c r="S149" s="373"/>
      <x:c r="T149" s="373"/>
      <x:c r="U149" s="373"/>
      <x:c r="V149" s="373"/>
      <x:c r="W149" s="373"/>
      <x:c r="X149" s="373"/>
      <x:c r="Y149" s="373"/>
      <x:c r="Z149" s="373"/>
    </x:row>
    <x:row r="150">
      <x:c r="A150" s="373"/>
      <x:c r="B150" s="373"/>
      <x:c r="C150" s="373"/>
      <x:c r="D150" s="373"/>
      <x:c r="E150" s="373"/>
      <x:c r="F150" s="373"/>
      <x:c r="G150" s="373"/>
      <x:c r="H150" s="373"/>
      <x:c r="I150" s="373"/>
      <x:c r="J150" s="373"/>
      <x:c r="K150" s="373"/>
      <x:c r="L150" s="373"/>
      <x:c r="M150" s="373"/>
      <x:c r="N150" s="373"/>
      <x:c r="O150" s="373"/>
      <x:c r="P150" s="373"/>
      <x:c r="Q150" s="373"/>
      <x:c r="R150" s="373"/>
      <x:c r="S150" s="373"/>
      <x:c r="T150" s="373"/>
      <x:c r="U150" s="373"/>
      <x:c r="V150" s="373"/>
      <x:c r="W150" s="373"/>
      <x:c r="X150" s="373"/>
      <x:c r="Y150" s="373"/>
      <x:c r="Z150" s="373"/>
    </x:row>
    <x:row r="151">
      <x:c r="A151" s="373"/>
      <x:c r="B151" s="373"/>
      <x:c r="C151" s="373"/>
      <x:c r="D151" s="373"/>
      <x:c r="E151" s="373"/>
      <x:c r="F151" s="373"/>
      <x:c r="G151" s="373"/>
      <x:c r="H151" s="373"/>
      <x:c r="I151" s="373"/>
      <x:c r="J151" s="373"/>
      <x:c r="K151" s="373"/>
      <x:c r="L151" s="373"/>
      <x:c r="M151" s="373"/>
      <x:c r="N151" s="373"/>
      <x:c r="O151" s="373"/>
      <x:c r="P151" s="373"/>
      <x:c r="Q151" s="373"/>
      <x:c r="R151" s="373"/>
      <x:c r="S151" s="373"/>
      <x:c r="T151" s="373"/>
      <x:c r="U151" s="373"/>
      <x:c r="V151" s="373"/>
      <x:c r="W151" s="373"/>
      <x:c r="X151" s="373"/>
      <x:c r="Y151" s="373"/>
      <x:c r="Z151" s="373"/>
    </x:row>
    <x:row r="152">
      <x:c r="A152" s="373"/>
      <x:c r="B152" s="373"/>
      <x:c r="C152" s="373"/>
      <x:c r="D152" s="373"/>
      <x:c r="E152" s="373"/>
      <x:c r="F152" s="373"/>
      <x:c r="G152" s="373"/>
      <x:c r="H152" s="373"/>
      <x:c r="I152" s="373"/>
      <x:c r="J152" s="373"/>
      <x:c r="K152" s="373"/>
      <x:c r="L152" s="373"/>
      <x:c r="M152" s="373"/>
      <x:c r="N152" s="373"/>
      <x:c r="O152" s="373"/>
      <x:c r="P152" s="373"/>
      <x:c r="Q152" s="373"/>
      <x:c r="R152" s="373"/>
      <x:c r="S152" s="373"/>
      <x:c r="T152" s="373"/>
      <x:c r="U152" s="373"/>
      <x:c r="V152" s="373"/>
      <x:c r="W152" s="373"/>
      <x:c r="X152" s="373"/>
      <x:c r="Y152" s="373"/>
      <x:c r="Z152" s="373"/>
    </x:row>
    <x:row r="153">
      <x:c r="A153" s="373"/>
      <x:c r="B153" s="373"/>
      <x:c r="C153" s="373"/>
      <x:c r="D153" s="373"/>
      <x:c r="E153" s="373"/>
      <x:c r="F153" s="373"/>
      <x:c r="G153" s="373"/>
      <x:c r="H153" s="373"/>
      <x:c r="I153" s="373"/>
      <x:c r="J153" s="373"/>
      <x:c r="K153" s="373"/>
      <x:c r="L153" s="373"/>
      <x:c r="M153" s="373"/>
      <x:c r="N153" s="373"/>
      <x:c r="O153" s="373"/>
      <x:c r="P153" s="373"/>
      <x:c r="Q153" s="373"/>
      <x:c r="R153" s="373"/>
      <x:c r="S153" s="373"/>
      <x:c r="T153" s="373"/>
      <x:c r="U153" s="373"/>
      <x:c r="V153" s="373"/>
      <x:c r="W153" s="373"/>
      <x:c r="X153" s="373"/>
      <x:c r="Y153" s="373"/>
      <x:c r="Z153" s="373"/>
    </x:row>
    <x:row r="154">
      <x:c r="A154" s="373"/>
      <x:c r="B154" s="373"/>
      <x:c r="C154" s="373"/>
      <x:c r="D154" s="373"/>
      <x:c r="E154" s="373"/>
      <x:c r="F154" s="373"/>
      <x:c r="G154" s="373"/>
      <x:c r="H154" s="373"/>
      <x:c r="I154" s="373"/>
      <x:c r="J154" s="373"/>
      <x:c r="K154" s="373"/>
      <x:c r="L154" s="373"/>
      <x:c r="M154" s="373"/>
      <x:c r="N154" s="373"/>
      <x:c r="O154" s="373"/>
      <x:c r="P154" s="373"/>
      <x:c r="Q154" s="373"/>
      <x:c r="R154" s="373"/>
      <x:c r="S154" s="373"/>
      <x:c r="T154" s="373"/>
      <x:c r="U154" s="373"/>
      <x:c r="V154" s="373"/>
      <x:c r="W154" s="373"/>
      <x:c r="X154" s="373"/>
      <x:c r="Y154" s="373"/>
      <x:c r="Z154" s="373"/>
    </x:row>
    <x:row r="155">
      <x:c r="A155" s="373"/>
      <x:c r="B155" s="373"/>
      <x:c r="C155" s="373"/>
      <x:c r="D155" s="373"/>
      <x:c r="E155" s="373"/>
      <x:c r="F155" s="373"/>
      <x:c r="G155" s="373"/>
      <x:c r="H155" s="373"/>
      <x:c r="I155" s="373"/>
      <x:c r="J155" s="373"/>
      <x:c r="K155" s="373"/>
      <x:c r="L155" s="373"/>
      <x:c r="M155" s="373"/>
      <x:c r="N155" s="373"/>
      <x:c r="O155" s="373"/>
      <x:c r="P155" s="373"/>
      <x:c r="Q155" s="373"/>
      <x:c r="R155" s="373"/>
      <x:c r="S155" s="373"/>
      <x:c r="T155" s="373"/>
      <x:c r="U155" s="373"/>
      <x:c r="V155" s="373"/>
      <x:c r="W155" s="373"/>
      <x:c r="X155" s="373"/>
      <x:c r="Y155" s="373"/>
      <x:c r="Z155" s="373"/>
    </x:row>
    <x:row r="156">
      <x:c r="A156" s="373"/>
      <x:c r="B156" s="373"/>
      <x:c r="C156" s="373"/>
      <x:c r="D156" s="373"/>
      <x:c r="E156" s="373"/>
      <x:c r="F156" s="373"/>
      <x:c r="G156" s="373"/>
      <x:c r="H156" s="373"/>
      <x:c r="I156" s="373"/>
      <x:c r="J156" s="373"/>
      <x:c r="K156" s="373"/>
      <x:c r="L156" s="373"/>
      <x:c r="M156" s="373"/>
      <x:c r="N156" s="373"/>
      <x:c r="O156" s="373"/>
      <x:c r="P156" s="373"/>
      <x:c r="Q156" s="373"/>
      <x:c r="R156" s="373"/>
      <x:c r="S156" s="373"/>
      <x:c r="T156" s="373"/>
      <x:c r="U156" s="373"/>
      <x:c r="V156" s="373"/>
      <x:c r="W156" s="373"/>
      <x:c r="X156" s="373"/>
      <x:c r="Y156" s="373"/>
      <x:c r="Z156" s="373"/>
    </x:row>
    <x:row r="157">
      <x:c r="A157" s="373"/>
      <x:c r="B157" s="373"/>
      <x:c r="C157" s="373"/>
      <x:c r="D157" s="373"/>
      <x:c r="E157" s="373"/>
      <x:c r="F157" s="373"/>
      <x:c r="G157" s="373"/>
      <x:c r="H157" s="373"/>
      <x:c r="I157" s="373"/>
      <x:c r="J157" s="373"/>
      <x:c r="K157" s="373"/>
      <x:c r="L157" s="373"/>
      <x:c r="M157" s="373"/>
      <x:c r="N157" s="373"/>
      <x:c r="O157" s="373"/>
      <x:c r="P157" s="373"/>
      <x:c r="Q157" s="373"/>
      <x:c r="R157" s="373"/>
      <x:c r="S157" s="373"/>
      <x:c r="T157" s="373"/>
      <x:c r="U157" s="373"/>
      <x:c r="V157" s="373"/>
      <x:c r="W157" s="373"/>
      <x:c r="X157" s="373"/>
      <x:c r="Y157" s="373"/>
      <x:c r="Z157" s="373"/>
    </x:row>
    <x:row r="158">
      <x:c r="A158" s="373"/>
      <x:c r="B158" s="373"/>
      <x:c r="C158" s="373"/>
      <x:c r="D158" s="373"/>
      <x:c r="E158" s="373"/>
      <x:c r="F158" s="373"/>
      <x:c r="G158" s="373"/>
      <x:c r="H158" s="373"/>
      <x:c r="I158" s="373"/>
      <x:c r="J158" s="373"/>
      <x:c r="K158" s="373"/>
      <x:c r="L158" s="373"/>
      <x:c r="M158" s="373"/>
      <x:c r="N158" s="373"/>
      <x:c r="O158" s="373"/>
      <x:c r="P158" s="373"/>
      <x:c r="Q158" s="373"/>
      <x:c r="R158" s="373"/>
      <x:c r="S158" s="373"/>
      <x:c r="T158" s="373"/>
      <x:c r="U158" s="373"/>
      <x:c r="V158" s="373"/>
      <x:c r="W158" s="373"/>
      <x:c r="X158" s="373"/>
      <x:c r="Y158" s="373"/>
      <x:c r="Z158" s="373"/>
    </x:row>
    <x:row r="159">
      <x:c r="A159" s="373"/>
      <x:c r="B159" s="373"/>
      <x:c r="C159" s="373"/>
      <x:c r="D159" s="373"/>
      <x:c r="E159" s="373"/>
      <x:c r="F159" s="373"/>
      <x:c r="G159" s="373"/>
      <x:c r="H159" s="373"/>
      <x:c r="I159" s="373"/>
      <x:c r="J159" s="373"/>
      <x:c r="K159" s="373"/>
      <x:c r="L159" s="373"/>
      <x:c r="M159" s="373"/>
      <x:c r="N159" s="373"/>
      <x:c r="O159" s="373"/>
      <x:c r="P159" s="373"/>
      <x:c r="Q159" s="373"/>
      <x:c r="R159" s="373"/>
      <x:c r="S159" s="373"/>
      <x:c r="T159" s="373"/>
      <x:c r="U159" s="373"/>
      <x:c r="V159" s="373"/>
      <x:c r="W159" s="373"/>
      <x:c r="X159" s="373"/>
      <x:c r="Y159" s="373"/>
      <x:c r="Z159" s="373"/>
    </x:row>
    <x:row r="160">
      <x:c r="A160" s="373"/>
      <x:c r="B160" s="373"/>
      <x:c r="C160" s="373"/>
      <x:c r="D160" s="373"/>
      <x:c r="E160" s="373"/>
      <x:c r="F160" s="373"/>
      <x:c r="G160" s="373"/>
      <x:c r="H160" s="373"/>
      <x:c r="I160" s="373"/>
      <x:c r="J160" s="373"/>
      <x:c r="K160" s="373"/>
      <x:c r="L160" s="373"/>
      <x:c r="M160" s="373"/>
      <x:c r="N160" s="373"/>
      <x:c r="O160" s="373"/>
      <x:c r="P160" s="373"/>
      <x:c r="Q160" s="373"/>
      <x:c r="R160" s="373"/>
      <x:c r="S160" s="373"/>
      <x:c r="T160" s="373"/>
      <x:c r="U160" s="373"/>
      <x:c r="V160" s="373"/>
      <x:c r="W160" s="373"/>
      <x:c r="X160" s="373"/>
      <x:c r="Y160" s="373"/>
      <x:c r="Z160" s="373"/>
    </x:row>
    <x:row r="161">
      <x:c r="A161" s="373"/>
      <x:c r="B161" s="373"/>
      <x:c r="C161" s="373"/>
      <x:c r="D161" s="373"/>
      <x:c r="E161" s="373"/>
      <x:c r="F161" s="373"/>
      <x:c r="G161" s="373"/>
      <x:c r="H161" s="373"/>
      <x:c r="I161" s="373"/>
      <x:c r="J161" s="373"/>
      <x:c r="K161" s="373"/>
      <x:c r="L161" s="373"/>
      <x:c r="M161" s="373"/>
      <x:c r="N161" s="373"/>
      <x:c r="O161" s="373"/>
      <x:c r="P161" s="373"/>
      <x:c r="Q161" s="373"/>
      <x:c r="R161" s="373"/>
      <x:c r="S161" s="373"/>
      <x:c r="T161" s="373"/>
      <x:c r="U161" s="373"/>
      <x:c r="V161" s="373"/>
      <x:c r="W161" s="373"/>
      <x:c r="X161" s="373"/>
      <x:c r="Y161" s="373"/>
      <x:c r="Z161" s="373"/>
    </x:row>
    <x:row r="162">
      <x:c r="A162" s="373"/>
      <x:c r="B162" s="373"/>
      <x:c r="C162" s="373"/>
      <x:c r="D162" s="373"/>
      <x:c r="E162" s="373"/>
      <x:c r="F162" s="373"/>
      <x:c r="G162" s="373"/>
      <x:c r="H162" s="373"/>
      <x:c r="I162" s="373"/>
      <x:c r="J162" s="373"/>
      <x:c r="K162" s="373"/>
      <x:c r="L162" s="373"/>
      <x:c r="M162" s="373"/>
      <x:c r="N162" s="373"/>
      <x:c r="O162" s="373"/>
      <x:c r="P162" s="373"/>
      <x:c r="Q162" s="373"/>
      <x:c r="R162" s="373"/>
      <x:c r="S162" s="373"/>
      <x:c r="T162" s="373"/>
      <x:c r="U162" s="373"/>
      <x:c r="V162" s="373"/>
      <x:c r="W162" s="373"/>
      <x:c r="X162" s="373"/>
      <x:c r="Y162" s="373"/>
      <x:c r="Z162" s="373"/>
    </x:row>
    <x:row r="163">
      <x:c r="A163" s="373"/>
      <x:c r="B163" s="373"/>
      <x:c r="C163" s="373"/>
      <x:c r="D163" s="373"/>
      <x:c r="E163" s="373"/>
      <x:c r="F163" s="373"/>
      <x:c r="G163" s="373"/>
      <x:c r="H163" s="373"/>
      <x:c r="I163" s="373"/>
      <x:c r="J163" s="373"/>
      <x:c r="K163" s="373"/>
      <x:c r="L163" s="373"/>
      <x:c r="M163" s="373"/>
      <x:c r="N163" s="373"/>
      <x:c r="O163" s="373"/>
      <x:c r="P163" s="373"/>
      <x:c r="Q163" s="373"/>
      <x:c r="R163" s="373"/>
      <x:c r="S163" s="373"/>
      <x:c r="T163" s="373"/>
      <x:c r="U163" s="373"/>
      <x:c r="V163" s="373"/>
      <x:c r="W163" s="373"/>
      <x:c r="X163" s="373"/>
      <x:c r="Y163" s="373"/>
      <x:c r="Z163" s="373"/>
    </x:row>
    <x:row r="164">
      <x:c r="A164" s="373"/>
      <x:c r="B164" s="373"/>
      <x:c r="C164" s="373"/>
      <x:c r="D164" s="373"/>
      <x:c r="E164" s="373"/>
      <x:c r="F164" s="373"/>
      <x:c r="G164" s="373"/>
      <x:c r="H164" s="373"/>
      <x:c r="I164" s="373"/>
      <x:c r="J164" s="373"/>
      <x:c r="K164" s="373"/>
      <x:c r="L164" s="373"/>
      <x:c r="M164" s="373"/>
      <x:c r="N164" s="373"/>
      <x:c r="O164" s="373"/>
      <x:c r="P164" s="373"/>
      <x:c r="Q164" s="373"/>
      <x:c r="R164" s="373"/>
      <x:c r="S164" s="373"/>
      <x:c r="T164" s="373"/>
      <x:c r="U164" s="373"/>
      <x:c r="V164" s="373"/>
      <x:c r="W164" s="373"/>
      <x:c r="X164" s="373"/>
      <x:c r="Y164" s="373"/>
      <x:c r="Z164" s="373"/>
    </x:row>
    <x:row r="165">
      <x:c r="A165" s="373"/>
      <x:c r="B165" s="373"/>
      <x:c r="C165" s="373"/>
      <x:c r="D165" s="373"/>
      <x:c r="E165" s="373"/>
      <x:c r="F165" s="373"/>
      <x:c r="G165" s="373"/>
      <x:c r="H165" s="373"/>
      <x:c r="I165" s="373"/>
      <x:c r="J165" s="373"/>
      <x:c r="K165" s="373"/>
      <x:c r="L165" s="373"/>
      <x:c r="M165" s="373"/>
      <x:c r="N165" s="373"/>
      <x:c r="O165" s="373"/>
      <x:c r="P165" s="373"/>
      <x:c r="Q165" s="373"/>
      <x:c r="R165" s="373"/>
      <x:c r="S165" s="373"/>
      <x:c r="T165" s="373"/>
      <x:c r="U165" s="373"/>
      <x:c r="V165" s="373"/>
      <x:c r="W165" s="373"/>
      <x:c r="X165" s="373"/>
      <x:c r="Y165" s="373"/>
      <x:c r="Z165" s="373"/>
    </x:row>
    <x:row r="166">
      <x:c r="A166" s="373"/>
      <x:c r="B166" s="373"/>
      <x:c r="C166" s="373"/>
      <x:c r="D166" s="373"/>
      <x:c r="E166" s="373"/>
      <x:c r="F166" s="373"/>
      <x:c r="G166" s="373"/>
      <x:c r="H166" s="373"/>
      <x:c r="I166" s="373"/>
      <x:c r="J166" s="373"/>
      <x:c r="K166" s="373"/>
      <x:c r="L166" s="373"/>
      <x:c r="M166" s="373"/>
      <x:c r="N166" s="373"/>
      <x:c r="O166" s="373"/>
      <x:c r="P166" s="373"/>
      <x:c r="Q166" s="373"/>
      <x:c r="R166" s="373"/>
      <x:c r="S166" s="373"/>
      <x:c r="T166" s="373"/>
      <x:c r="U166" s="373"/>
      <x:c r="V166" s="373"/>
      <x:c r="W166" s="373"/>
      <x:c r="X166" s="373"/>
      <x:c r="Y166" s="373"/>
      <x:c r="Z166" s="373"/>
    </x:row>
    <x:row r="167">
      <x:c r="A167" s="373"/>
      <x:c r="B167" s="373"/>
      <x:c r="C167" s="373"/>
      <x:c r="D167" s="373"/>
      <x:c r="E167" s="373"/>
      <x:c r="F167" s="373"/>
      <x:c r="G167" s="373"/>
      <x:c r="H167" s="373"/>
      <x:c r="I167" s="373"/>
      <x:c r="J167" s="373"/>
      <x:c r="K167" s="373"/>
      <x:c r="L167" s="373"/>
      <x:c r="M167" s="373"/>
      <x:c r="N167" s="373"/>
      <x:c r="O167" s="373"/>
      <x:c r="P167" s="373"/>
      <x:c r="Q167" s="373"/>
      <x:c r="R167" s="373"/>
      <x:c r="S167" s="373"/>
      <x:c r="T167" s="373"/>
      <x:c r="U167" s="373"/>
      <x:c r="V167" s="373"/>
      <x:c r="W167" s="373"/>
      <x:c r="X167" s="373"/>
      <x:c r="Y167" s="373"/>
      <x:c r="Z167" s="373"/>
    </x:row>
    <x:row r="168">
      <x:c r="A168" s="373"/>
      <x:c r="B168" s="373"/>
      <x:c r="C168" s="373"/>
      <x:c r="D168" s="373"/>
      <x:c r="E168" s="373"/>
      <x:c r="F168" s="373"/>
      <x:c r="G168" s="373"/>
      <x:c r="H168" s="373"/>
      <x:c r="I168" s="373"/>
      <x:c r="J168" s="373"/>
      <x:c r="K168" s="373"/>
      <x:c r="L168" s="373"/>
      <x:c r="M168" s="373"/>
      <x:c r="N168" s="373"/>
      <x:c r="O168" s="373"/>
      <x:c r="P168" s="373"/>
      <x:c r="Q168" s="373"/>
      <x:c r="R168" s="373"/>
      <x:c r="S168" s="373"/>
      <x:c r="T168" s="373"/>
      <x:c r="U168" s="373"/>
      <x:c r="V168" s="373"/>
      <x:c r="W168" s="373"/>
      <x:c r="X168" s="373"/>
      <x:c r="Y168" s="373"/>
      <x:c r="Z168" s="373"/>
    </x:row>
    <x:row r="169">
      <x:c r="A169" s="373"/>
      <x:c r="B169" s="373"/>
      <x:c r="C169" s="373"/>
      <x:c r="D169" s="373"/>
      <x:c r="E169" s="373"/>
      <x:c r="F169" s="373"/>
      <x:c r="G169" s="373"/>
      <x:c r="H169" s="373"/>
      <x:c r="I169" s="373"/>
      <x:c r="J169" s="373"/>
      <x:c r="K169" s="373"/>
      <x:c r="L169" s="373"/>
      <x:c r="M169" s="373"/>
      <x:c r="N169" s="373"/>
      <x:c r="O169" s="373"/>
      <x:c r="P169" s="373"/>
      <x:c r="Q169" s="373"/>
      <x:c r="R169" s="373"/>
      <x:c r="S169" s="373"/>
      <x:c r="T169" s="373"/>
      <x:c r="U169" s="373"/>
      <x:c r="V169" s="373"/>
      <x:c r="W169" s="373"/>
      <x:c r="X169" s="373"/>
      <x:c r="Y169" s="373"/>
      <x:c r="Z169" s="373"/>
    </x:row>
    <x:row r="170">
      <x:c r="A170" s="373"/>
      <x:c r="B170" s="373"/>
      <x:c r="C170" s="373"/>
      <x:c r="D170" s="373"/>
      <x:c r="E170" s="373"/>
      <x:c r="F170" s="373"/>
      <x:c r="G170" s="373"/>
      <x:c r="H170" s="373"/>
      <x:c r="I170" s="373"/>
      <x:c r="J170" s="373"/>
      <x:c r="K170" s="373"/>
      <x:c r="L170" s="373"/>
      <x:c r="M170" s="373"/>
      <x:c r="N170" s="373"/>
      <x:c r="O170" s="373"/>
      <x:c r="P170" s="373"/>
      <x:c r="Q170" s="373"/>
      <x:c r="R170" s="373"/>
      <x:c r="S170" s="373"/>
      <x:c r="T170" s="373"/>
      <x:c r="U170" s="373"/>
      <x:c r="V170" s="373"/>
      <x:c r="W170" s="373"/>
      <x:c r="X170" s="373"/>
      <x:c r="Y170" s="373"/>
      <x:c r="Z170" s="373"/>
    </x:row>
    <x:row r="171">
      <x:c r="A171" s="373"/>
      <x:c r="B171" s="373"/>
      <x:c r="C171" s="373"/>
      <x:c r="D171" s="373"/>
      <x:c r="E171" s="373"/>
      <x:c r="F171" s="373"/>
      <x:c r="G171" s="373"/>
      <x:c r="H171" s="373"/>
      <x:c r="I171" s="373"/>
      <x:c r="J171" s="373"/>
      <x:c r="K171" s="373"/>
      <x:c r="L171" s="373"/>
      <x:c r="M171" s="373"/>
      <x:c r="N171" s="373"/>
      <x:c r="O171" s="373"/>
      <x:c r="P171" s="373"/>
      <x:c r="Q171" s="373"/>
      <x:c r="R171" s="373"/>
      <x:c r="S171" s="373"/>
      <x:c r="T171" s="373"/>
      <x:c r="U171" s="373"/>
      <x:c r="V171" s="373"/>
      <x:c r="W171" s="373"/>
      <x:c r="X171" s="373"/>
      <x:c r="Y171" s="373"/>
      <x:c r="Z171" s="373"/>
    </x:row>
    <x:row r="172">
      <x:c r="A172" s="373"/>
      <x:c r="B172" s="373"/>
      <x:c r="C172" s="373"/>
      <x:c r="D172" s="373"/>
      <x:c r="E172" s="373"/>
      <x:c r="F172" s="373"/>
      <x:c r="G172" s="373"/>
      <x:c r="H172" s="373"/>
      <x:c r="I172" s="373"/>
      <x:c r="J172" s="373"/>
      <x:c r="K172" s="373"/>
      <x:c r="L172" s="373"/>
      <x:c r="M172" s="373"/>
      <x:c r="N172" s="373"/>
      <x:c r="O172" s="373"/>
      <x:c r="P172" s="373"/>
      <x:c r="Q172" s="373"/>
      <x:c r="R172" s="373"/>
      <x:c r="S172" s="373"/>
      <x:c r="T172" s="373"/>
      <x:c r="U172" s="373"/>
      <x:c r="V172" s="373"/>
      <x:c r="W172" s="373"/>
      <x:c r="X172" s="373"/>
      <x:c r="Y172" s="373"/>
      <x:c r="Z172" s="373"/>
    </x:row>
    <x:row r="173">
      <x:c r="A173" s="373"/>
      <x:c r="B173" s="373"/>
      <x:c r="C173" s="373"/>
      <x:c r="D173" s="373"/>
      <x:c r="E173" s="373"/>
      <x:c r="F173" s="373"/>
      <x:c r="G173" s="373"/>
      <x:c r="H173" s="373"/>
      <x:c r="I173" s="373"/>
      <x:c r="J173" s="373"/>
      <x:c r="K173" s="373"/>
      <x:c r="L173" s="373"/>
      <x:c r="M173" s="373"/>
      <x:c r="N173" s="373"/>
      <x:c r="O173" s="373"/>
      <x:c r="P173" s="373"/>
      <x:c r="Q173" s="373"/>
      <x:c r="R173" s="373"/>
      <x:c r="S173" s="373"/>
      <x:c r="T173" s="373"/>
      <x:c r="U173" s="373"/>
      <x:c r="V173" s="373"/>
      <x:c r="W173" s="373"/>
      <x:c r="X173" s="373"/>
      <x:c r="Y173" s="373"/>
      <x:c r="Z173" s="373"/>
    </x:row>
    <x:row r="174">
      <x:c r="A174" s="373"/>
      <x:c r="B174" s="373"/>
      <x:c r="C174" s="373"/>
      <x:c r="D174" s="373"/>
      <x:c r="E174" s="373"/>
      <x:c r="F174" s="373"/>
      <x:c r="G174" s="373"/>
      <x:c r="H174" s="373"/>
      <x:c r="I174" s="373"/>
      <x:c r="J174" s="373"/>
      <x:c r="K174" s="373"/>
      <x:c r="L174" s="373"/>
      <x:c r="M174" s="373"/>
      <x:c r="N174" s="373"/>
      <x:c r="O174" s="373"/>
      <x:c r="P174" s="373"/>
      <x:c r="Q174" s="373"/>
      <x:c r="R174" s="373"/>
      <x:c r="S174" s="373"/>
      <x:c r="T174" s="373"/>
      <x:c r="U174" s="373"/>
      <x:c r="V174" s="373"/>
      <x:c r="W174" s="373"/>
      <x:c r="X174" s="373"/>
      <x:c r="Y174" s="373"/>
      <x:c r="Z174" s="373"/>
    </x:row>
    <x:row r="175">
      <x:c r="A175" s="373"/>
      <x:c r="B175" s="373"/>
      <x:c r="C175" s="373"/>
      <x:c r="D175" s="373"/>
      <x:c r="E175" s="373"/>
      <x:c r="F175" s="373"/>
      <x:c r="G175" s="373"/>
      <x:c r="H175" s="373"/>
      <x:c r="I175" s="373"/>
      <x:c r="J175" s="373"/>
      <x:c r="K175" s="373"/>
      <x:c r="L175" s="373"/>
      <x:c r="M175" s="373"/>
      <x:c r="N175" s="373"/>
      <x:c r="O175" s="373"/>
      <x:c r="P175" s="373"/>
      <x:c r="Q175" s="373"/>
      <x:c r="R175" s="373"/>
      <x:c r="S175" s="373"/>
      <x:c r="T175" s="373"/>
      <x:c r="U175" s="373"/>
      <x:c r="V175" s="373"/>
      <x:c r="W175" s="373"/>
      <x:c r="X175" s="373"/>
      <x:c r="Y175" s="373"/>
      <x:c r="Z175" s="373"/>
    </x:row>
    <x:row r="176">
      <x:c r="A176" s="373"/>
      <x:c r="B176" s="373"/>
      <x:c r="C176" s="373"/>
      <x:c r="D176" s="373"/>
      <x:c r="E176" s="373"/>
      <x:c r="F176" s="373"/>
      <x:c r="G176" s="373"/>
      <x:c r="H176" s="373"/>
      <x:c r="I176" s="373"/>
      <x:c r="J176" s="373"/>
      <x:c r="K176" s="373"/>
      <x:c r="L176" s="373"/>
      <x:c r="M176" s="373"/>
      <x:c r="N176" s="373"/>
      <x:c r="O176" s="373"/>
      <x:c r="P176" s="373"/>
      <x:c r="Q176" s="373"/>
      <x:c r="R176" s="373"/>
      <x:c r="S176" s="373"/>
      <x:c r="T176" s="373"/>
      <x:c r="U176" s="373"/>
      <x:c r="V176" s="373"/>
      <x:c r="W176" s="373"/>
      <x:c r="X176" s="373"/>
      <x:c r="Y176" s="373"/>
      <x:c r="Z176" s="373"/>
    </x:row>
    <x:row r="177">
      <x:c r="A177" s="373"/>
      <x:c r="B177" s="373"/>
      <x:c r="C177" s="373"/>
      <x:c r="D177" s="373"/>
      <x:c r="E177" s="373"/>
      <x:c r="F177" s="373"/>
      <x:c r="G177" s="373"/>
      <x:c r="H177" s="373"/>
      <x:c r="I177" s="373"/>
      <x:c r="J177" s="373"/>
      <x:c r="K177" s="373"/>
      <x:c r="L177" s="373"/>
      <x:c r="M177" s="373"/>
      <x:c r="N177" s="373"/>
      <x:c r="O177" s="373"/>
      <x:c r="P177" s="373"/>
      <x:c r="Q177" s="373"/>
      <x:c r="R177" s="373"/>
      <x:c r="S177" s="373"/>
      <x:c r="T177" s="373"/>
      <x:c r="U177" s="373"/>
      <x:c r="V177" s="373"/>
      <x:c r="W177" s="373"/>
      <x:c r="X177" s="373"/>
      <x:c r="Y177" s="373"/>
      <x:c r="Z177" s="373"/>
    </x:row>
    <x:row r="178">
      <x:c r="A178" s="373"/>
      <x:c r="B178" s="373"/>
      <x:c r="C178" s="373"/>
      <x:c r="D178" s="373"/>
      <x:c r="E178" s="373"/>
      <x:c r="F178" s="373"/>
      <x:c r="G178" s="373"/>
      <x:c r="H178" s="373"/>
      <x:c r="I178" s="373"/>
      <x:c r="J178" s="373"/>
      <x:c r="K178" s="373"/>
      <x:c r="L178" s="373"/>
      <x:c r="M178" s="373"/>
      <x:c r="N178" s="373"/>
      <x:c r="O178" s="373"/>
      <x:c r="P178" s="373"/>
      <x:c r="Q178" s="373"/>
      <x:c r="R178" s="373"/>
      <x:c r="S178" s="373"/>
      <x:c r="T178" s="373"/>
      <x:c r="U178" s="373"/>
      <x:c r="V178" s="373"/>
      <x:c r="W178" s="373"/>
      <x:c r="X178" s="373"/>
      <x:c r="Y178" s="373"/>
      <x:c r="Z178" s="373"/>
    </x:row>
    <x:row r="179">
      <x:c r="A179" s="373"/>
      <x:c r="B179" s="373"/>
      <x:c r="C179" s="373"/>
      <x:c r="D179" s="373"/>
      <x:c r="E179" s="373"/>
      <x:c r="F179" s="373"/>
      <x:c r="G179" s="373"/>
      <x:c r="H179" s="373"/>
      <x:c r="I179" s="373"/>
      <x:c r="J179" s="373"/>
      <x:c r="K179" s="373"/>
      <x:c r="L179" s="373"/>
      <x:c r="M179" s="373"/>
      <x:c r="N179" s="373"/>
      <x:c r="O179" s="373"/>
      <x:c r="P179" s="373"/>
      <x:c r="Q179" s="373"/>
      <x:c r="R179" s="373"/>
      <x:c r="S179" s="373"/>
      <x:c r="T179" s="373"/>
      <x:c r="U179" s="373"/>
      <x:c r="V179" s="373"/>
      <x:c r="W179" s="373"/>
      <x:c r="X179" s="373"/>
      <x:c r="Y179" s="373"/>
      <x:c r="Z179" s="373"/>
    </x:row>
    <x:row r="180">
      <x:c r="A180" s="373"/>
      <x:c r="B180" s="373"/>
      <x:c r="C180" s="373"/>
      <x:c r="D180" s="373"/>
      <x:c r="E180" s="373"/>
      <x:c r="F180" s="373"/>
      <x:c r="G180" s="373"/>
      <x:c r="H180" s="373"/>
      <x:c r="I180" s="373"/>
      <x:c r="J180" s="373"/>
      <x:c r="K180" s="373"/>
      <x:c r="L180" s="373"/>
      <x:c r="M180" s="373"/>
      <x:c r="N180" s="373"/>
      <x:c r="O180" s="373"/>
      <x:c r="P180" s="373"/>
      <x:c r="Q180" s="373"/>
      <x:c r="R180" s="373"/>
      <x:c r="S180" s="373"/>
      <x:c r="T180" s="373"/>
      <x:c r="U180" s="373"/>
      <x:c r="V180" s="373"/>
      <x:c r="W180" s="373"/>
      <x:c r="X180" s="373"/>
      <x:c r="Y180" s="373"/>
      <x:c r="Z180" s="373"/>
    </x:row>
    <x:row r="181">
      <x:c r="A181" s="373"/>
      <x:c r="B181" s="373"/>
      <x:c r="C181" s="373"/>
      <x:c r="D181" s="373"/>
      <x:c r="E181" s="373"/>
      <x:c r="F181" s="373"/>
      <x:c r="G181" s="373"/>
      <x:c r="H181" s="373"/>
      <x:c r="I181" s="373"/>
      <x:c r="J181" s="373"/>
      <x:c r="K181" s="373"/>
      <x:c r="L181" s="373"/>
      <x:c r="M181" s="373"/>
      <x:c r="N181" s="373"/>
      <x:c r="O181" s="373"/>
      <x:c r="P181" s="373"/>
      <x:c r="Q181" s="373"/>
      <x:c r="R181" s="373"/>
      <x:c r="S181" s="373"/>
      <x:c r="T181" s="373"/>
      <x:c r="U181" s="373"/>
      <x:c r="V181" s="373"/>
      <x:c r="W181" s="373"/>
      <x:c r="X181" s="373"/>
      <x:c r="Y181" s="373"/>
      <x:c r="Z181" s="373"/>
    </x:row>
    <x:row r="182">
      <x:c r="A182" s="373"/>
      <x:c r="B182" s="373"/>
      <x:c r="C182" s="373"/>
      <x:c r="D182" s="373"/>
      <x:c r="E182" s="373"/>
      <x:c r="F182" s="373"/>
      <x:c r="G182" s="373"/>
      <x:c r="H182" s="373"/>
      <x:c r="I182" s="373"/>
      <x:c r="J182" s="373"/>
      <x:c r="K182" s="373"/>
      <x:c r="L182" s="373"/>
      <x:c r="M182" s="373"/>
      <x:c r="N182" s="373"/>
      <x:c r="O182" s="373"/>
      <x:c r="P182" s="373"/>
      <x:c r="Q182" s="373"/>
      <x:c r="R182" s="373"/>
      <x:c r="S182" s="373"/>
      <x:c r="T182" s="373"/>
      <x:c r="U182" s="373"/>
      <x:c r="V182" s="373"/>
      <x:c r="W182" s="373"/>
      <x:c r="X182" s="373"/>
      <x:c r="Y182" s="373"/>
      <x:c r="Z182" s="373"/>
    </x:row>
    <x:row r="183">
      <x:c r="A183" s="373"/>
      <x:c r="B183" s="373"/>
      <x:c r="C183" s="373"/>
      <x:c r="D183" s="373"/>
      <x:c r="E183" s="373"/>
      <x:c r="F183" s="373"/>
      <x:c r="G183" s="373"/>
      <x:c r="H183" s="373"/>
      <x:c r="I183" s="373"/>
      <x:c r="J183" s="373"/>
      <x:c r="K183" s="373"/>
      <x:c r="L183" s="373"/>
      <x:c r="M183" s="373"/>
      <x:c r="N183" s="373"/>
      <x:c r="O183" s="373"/>
      <x:c r="P183" s="373"/>
      <x:c r="Q183" s="373"/>
      <x:c r="R183" s="373"/>
      <x:c r="S183" s="373"/>
      <x:c r="T183" s="373"/>
      <x:c r="U183" s="373"/>
      <x:c r="V183" s="373"/>
      <x:c r="W183" s="373"/>
      <x:c r="X183" s="373"/>
      <x:c r="Y183" s="373"/>
      <x:c r="Z183" s="373"/>
    </x:row>
    <x:row r="184">
      <x:c r="A184" s="373"/>
      <x:c r="B184" s="373"/>
      <x:c r="C184" s="373"/>
      <x:c r="D184" s="373"/>
      <x:c r="E184" s="373"/>
      <x:c r="F184" s="373"/>
      <x:c r="G184" s="373"/>
      <x:c r="H184" s="373"/>
      <x:c r="I184" s="373"/>
      <x:c r="J184" s="373"/>
      <x:c r="K184" s="373"/>
      <x:c r="L184" s="373"/>
      <x:c r="M184" s="373"/>
      <x:c r="N184" s="373"/>
      <x:c r="O184" s="373"/>
      <x:c r="P184" s="373"/>
      <x:c r="Q184" s="373"/>
      <x:c r="R184" s="373"/>
      <x:c r="S184" s="373"/>
      <x:c r="T184" s="373"/>
      <x:c r="U184" s="373"/>
      <x:c r="V184" s="373"/>
      <x:c r="W184" s="373"/>
      <x:c r="X184" s="373"/>
      <x:c r="Y184" s="373"/>
      <x:c r="Z184" s="373"/>
    </x:row>
    <x:row r="185">
      <x:c r="A185" s="373"/>
      <x:c r="B185" s="373"/>
      <x:c r="C185" s="373"/>
      <x:c r="D185" s="373"/>
      <x:c r="E185" s="373"/>
      <x:c r="F185" s="373"/>
      <x:c r="G185" s="373"/>
      <x:c r="H185" s="373"/>
      <x:c r="I185" s="373"/>
      <x:c r="J185" s="373"/>
      <x:c r="K185" s="373"/>
      <x:c r="L185" s="373"/>
      <x:c r="M185" s="373"/>
      <x:c r="N185" s="373"/>
      <x:c r="O185" s="373"/>
      <x:c r="P185" s="373"/>
      <x:c r="Q185" s="373"/>
      <x:c r="R185" s="373"/>
      <x:c r="S185" s="373"/>
      <x:c r="T185" s="373"/>
      <x:c r="U185" s="373"/>
      <x:c r="V185" s="373"/>
      <x:c r="W185" s="373"/>
      <x:c r="X185" s="373"/>
      <x:c r="Y185" s="373"/>
      <x:c r="Z185" s="373"/>
    </x:row>
    <x:row r="186">
      <x:c r="A186" s="373"/>
      <x:c r="B186" s="373"/>
      <x:c r="C186" s="373"/>
      <x:c r="D186" s="373"/>
      <x:c r="E186" s="373"/>
      <x:c r="F186" s="373"/>
      <x:c r="G186" s="373"/>
      <x:c r="H186" s="373"/>
      <x:c r="I186" s="373"/>
      <x:c r="J186" s="373"/>
      <x:c r="K186" s="373"/>
      <x:c r="L186" s="373"/>
      <x:c r="M186" s="373"/>
      <x:c r="N186" s="373"/>
      <x:c r="O186" s="373"/>
      <x:c r="P186" s="373"/>
      <x:c r="Q186" s="373"/>
      <x:c r="R186" s="373"/>
      <x:c r="S186" s="373"/>
      <x:c r="T186" s="373"/>
      <x:c r="U186" s="373"/>
      <x:c r="V186" s="373"/>
      <x:c r="W186" s="373"/>
      <x:c r="X186" s="373"/>
      <x:c r="Y186" s="373"/>
      <x:c r="Z186" s="373"/>
    </x:row>
    <x:row r="187">
      <x:c r="A187" s="373"/>
      <x:c r="B187" s="373"/>
      <x:c r="C187" s="373"/>
      <x:c r="D187" s="373"/>
      <x:c r="E187" s="373"/>
      <x:c r="F187" s="373"/>
      <x:c r="G187" s="373"/>
      <x:c r="H187" s="373"/>
      <x:c r="I187" s="373"/>
      <x:c r="J187" s="373"/>
      <x:c r="K187" s="373"/>
      <x:c r="L187" s="373"/>
      <x:c r="M187" s="373"/>
      <x:c r="N187" s="373"/>
      <x:c r="O187" s="373"/>
      <x:c r="P187" s="373"/>
      <x:c r="Q187" s="373"/>
      <x:c r="R187" s="373"/>
      <x:c r="S187" s="373"/>
      <x:c r="T187" s="373"/>
      <x:c r="U187" s="373"/>
      <x:c r="V187" s="373"/>
      <x:c r="W187" s="373"/>
      <x:c r="X187" s="373"/>
      <x:c r="Y187" s="373"/>
      <x:c r="Z187" s="373"/>
    </x:row>
    <x:row r="188">
      <x:c r="A188" s="373"/>
      <x:c r="B188" s="373"/>
      <x:c r="C188" s="373"/>
      <x:c r="D188" s="373"/>
      <x:c r="E188" s="373"/>
      <x:c r="F188" s="373"/>
      <x:c r="G188" s="373"/>
      <x:c r="H188" s="373"/>
      <x:c r="I188" s="373"/>
      <x:c r="J188" s="373"/>
      <x:c r="K188" s="373"/>
      <x:c r="L188" s="373"/>
      <x:c r="M188" s="373"/>
      <x:c r="N188" s="373"/>
      <x:c r="O188" s="373"/>
      <x:c r="P188" s="373"/>
      <x:c r="Q188" s="373"/>
      <x:c r="R188" s="373"/>
      <x:c r="S188" s="373"/>
      <x:c r="T188" s="373"/>
      <x:c r="U188" s="373"/>
      <x:c r="V188" s="373"/>
      <x:c r="W188" s="373"/>
      <x:c r="X188" s="373"/>
      <x:c r="Y188" s="373"/>
      <x:c r="Z188" s="373"/>
    </x:row>
    <x:row r="189">
      <x:c r="A189" s="373"/>
      <x:c r="B189" s="373"/>
      <x:c r="C189" s="373"/>
      <x:c r="D189" s="373"/>
      <x:c r="E189" s="373"/>
      <x:c r="F189" s="373"/>
      <x:c r="G189" s="373"/>
      <x:c r="H189" s="373"/>
      <x:c r="I189" s="373"/>
      <x:c r="J189" s="373"/>
      <x:c r="K189" s="373"/>
      <x:c r="L189" s="373"/>
      <x:c r="M189" s="373"/>
      <x:c r="N189" s="373"/>
      <x:c r="O189" s="373"/>
      <x:c r="P189" s="373"/>
      <x:c r="Q189" s="373"/>
      <x:c r="R189" s="373"/>
      <x:c r="S189" s="373"/>
      <x:c r="T189" s="373"/>
      <x:c r="U189" s="373"/>
      <x:c r="V189" s="373"/>
      <x:c r="W189" s="373"/>
      <x:c r="X189" s="373"/>
      <x:c r="Y189" s="373"/>
      <x:c r="Z189" s="373"/>
    </x:row>
    <x:row r="190">
      <x:c r="A190" s="373"/>
      <x:c r="B190" s="373"/>
      <x:c r="C190" s="373"/>
      <x:c r="D190" s="373"/>
      <x:c r="E190" s="373"/>
      <x:c r="F190" s="373"/>
      <x:c r="G190" s="373"/>
      <x:c r="H190" s="373"/>
      <x:c r="I190" s="373"/>
      <x:c r="J190" s="373"/>
      <x:c r="K190" s="373"/>
      <x:c r="L190" s="373"/>
      <x:c r="M190" s="373"/>
      <x:c r="N190" s="373"/>
      <x:c r="O190" s="373"/>
      <x:c r="P190" s="373"/>
      <x:c r="Q190" s="373"/>
      <x:c r="R190" s="373"/>
      <x:c r="S190" s="373"/>
      <x:c r="T190" s="373"/>
      <x:c r="U190" s="373"/>
      <x:c r="V190" s="373"/>
      <x:c r="W190" s="373"/>
      <x:c r="X190" s="373"/>
      <x:c r="Y190" s="373"/>
      <x:c r="Z190" s="373"/>
    </x:row>
    <x:row r="191">
      <x:c r="A191" s="373"/>
      <x:c r="B191" s="373"/>
      <x:c r="C191" s="373"/>
      <x:c r="D191" s="373"/>
      <x:c r="E191" s="373"/>
      <x:c r="F191" s="373"/>
      <x:c r="G191" s="373"/>
      <x:c r="H191" s="373"/>
      <x:c r="I191" s="373"/>
      <x:c r="J191" s="373"/>
      <x:c r="K191" s="373"/>
      <x:c r="L191" s="373"/>
      <x:c r="M191" s="373"/>
      <x:c r="N191" s="373"/>
      <x:c r="O191" s="373"/>
      <x:c r="P191" s="373"/>
      <x:c r="Q191" s="373"/>
      <x:c r="R191" s="373"/>
      <x:c r="S191" s="373"/>
      <x:c r="T191" s="373"/>
      <x:c r="U191" s="373"/>
      <x:c r="V191" s="373"/>
      <x:c r="W191" s="373"/>
      <x:c r="X191" s="373"/>
      <x:c r="Y191" s="373"/>
      <x:c r="Z191" s="373"/>
    </x:row>
    <x:row r="192">
      <x:c r="A192" s="373"/>
      <x:c r="B192" s="373"/>
      <x:c r="C192" s="373"/>
      <x:c r="D192" s="373"/>
      <x:c r="E192" s="373"/>
      <x:c r="F192" s="373"/>
      <x:c r="G192" s="373"/>
      <x:c r="H192" s="373"/>
      <x:c r="I192" s="373"/>
      <x:c r="J192" s="373"/>
      <x:c r="K192" s="373"/>
      <x:c r="L192" s="373"/>
      <x:c r="M192" s="373"/>
      <x:c r="N192" s="373"/>
      <x:c r="O192" s="373"/>
      <x:c r="P192" s="373"/>
      <x:c r="Q192" s="373"/>
      <x:c r="R192" s="373"/>
      <x:c r="S192" s="373"/>
      <x:c r="T192" s="373"/>
      <x:c r="U192" s="373"/>
      <x:c r="V192" s="373"/>
      <x:c r="W192" s="373"/>
      <x:c r="X192" s="373"/>
      <x:c r="Y192" s="373"/>
      <x:c r="Z192" s="373"/>
    </x:row>
    <x:row r="193">
      <x:c r="A193" s="373"/>
      <x:c r="B193" s="373"/>
      <x:c r="C193" s="373"/>
      <x:c r="D193" s="373"/>
      <x:c r="E193" s="373"/>
      <x:c r="F193" s="373"/>
      <x:c r="G193" s="373"/>
      <x:c r="H193" s="373"/>
      <x:c r="I193" s="373"/>
      <x:c r="J193" s="373"/>
      <x:c r="K193" s="373"/>
      <x:c r="L193" s="373"/>
      <x:c r="M193" s="373"/>
      <x:c r="N193" s="373"/>
      <x:c r="O193" s="373"/>
      <x:c r="P193" s="373"/>
      <x:c r="Q193" s="373"/>
      <x:c r="R193" s="373"/>
      <x:c r="S193" s="373"/>
      <x:c r="T193" s="373"/>
      <x:c r="U193" s="373"/>
      <x:c r="V193" s="373"/>
      <x:c r="W193" s="373"/>
      <x:c r="X193" s="373"/>
      <x:c r="Y193" s="373"/>
      <x:c r="Z193" s="373"/>
    </x:row>
    <x:row r="194">
      <x:c r="A194" s="373"/>
      <x:c r="B194" s="373"/>
      <x:c r="C194" s="373"/>
      <x:c r="D194" s="373"/>
      <x:c r="E194" s="373"/>
      <x:c r="F194" s="373"/>
      <x:c r="G194" s="373"/>
      <x:c r="H194" s="373"/>
      <x:c r="I194" s="373"/>
      <x:c r="J194" s="373"/>
      <x:c r="K194" s="373"/>
      <x:c r="L194" s="373"/>
      <x:c r="M194" s="373"/>
      <x:c r="N194" s="373"/>
      <x:c r="O194" s="373"/>
      <x:c r="P194" s="373"/>
      <x:c r="Q194" s="373"/>
      <x:c r="R194" s="373"/>
      <x:c r="S194" s="373"/>
      <x:c r="T194" s="373"/>
      <x:c r="U194" s="373"/>
      <x:c r="V194" s="373"/>
      <x:c r="W194" s="373"/>
      <x:c r="X194" s="373"/>
      <x:c r="Y194" s="373"/>
      <x:c r="Z194" s="373"/>
    </x:row>
    <x:row r="195">
      <x:c r="A195" s="373"/>
      <x:c r="B195" s="373"/>
      <x:c r="C195" s="373"/>
      <x:c r="D195" s="373"/>
      <x:c r="E195" s="373"/>
      <x:c r="F195" s="373"/>
      <x:c r="G195" s="373"/>
      <x:c r="H195" s="373"/>
      <x:c r="I195" s="373"/>
      <x:c r="J195" s="373"/>
      <x:c r="K195" s="373"/>
      <x:c r="L195" s="373"/>
      <x:c r="M195" s="373"/>
      <x:c r="N195" s="373"/>
      <x:c r="O195" s="373"/>
      <x:c r="P195" s="373"/>
      <x:c r="Q195" s="373"/>
      <x:c r="R195" s="373"/>
      <x:c r="S195" s="373"/>
      <x:c r="T195" s="373"/>
      <x:c r="U195" s="373"/>
      <x:c r="V195" s="373"/>
      <x:c r="W195" s="373"/>
      <x:c r="X195" s="373"/>
      <x:c r="Y195" s="373"/>
      <x:c r="Z195" s="373"/>
    </x:row>
    <x:row r="196">
      <x:c r="A196" s="373"/>
      <x:c r="B196" s="373"/>
      <x:c r="C196" s="373"/>
      <x:c r="D196" s="373"/>
      <x:c r="E196" s="373"/>
      <x:c r="F196" s="373"/>
      <x:c r="G196" s="373"/>
      <x:c r="H196" s="373"/>
      <x:c r="I196" s="373"/>
      <x:c r="J196" s="373"/>
      <x:c r="K196" s="373"/>
      <x:c r="L196" s="373"/>
      <x:c r="M196" s="373"/>
      <x:c r="N196" s="373"/>
      <x:c r="O196" s="373"/>
      <x:c r="P196" s="373"/>
      <x:c r="Q196" s="373"/>
      <x:c r="R196" s="373"/>
      <x:c r="S196" s="373"/>
      <x:c r="T196" s="373"/>
      <x:c r="U196" s="373"/>
      <x:c r="V196" s="373"/>
      <x:c r="W196" s="373"/>
      <x:c r="X196" s="373"/>
      <x:c r="Y196" s="373"/>
      <x:c r="Z196" s="373"/>
    </x:row>
    <x:row r="197">
      <x:c r="A197" s="373"/>
      <x:c r="B197" s="373"/>
      <x:c r="C197" s="373"/>
      <x:c r="D197" s="373"/>
      <x:c r="E197" s="373"/>
      <x:c r="F197" s="373"/>
      <x:c r="G197" s="373"/>
      <x:c r="H197" s="373"/>
      <x:c r="I197" s="373"/>
      <x:c r="J197" s="373"/>
      <x:c r="K197" s="373"/>
      <x:c r="L197" s="373"/>
      <x:c r="M197" s="373"/>
      <x:c r="N197" s="373"/>
      <x:c r="O197" s="373"/>
      <x:c r="P197" s="373"/>
      <x:c r="Q197" s="373"/>
      <x:c r="R197" s="373"/>
      <x:c r="S197" s="373"/>
      <x:c r="T197" s="373"/>
      <x:c r="U197" s="373"/>
      <x:c r="V197" s="373"/>
      <x:c r="W197" s="373"/>
      <x:c r="X197" s="373"/>
      <x:c r="Y197" s="373"/>
      <x:c r="Z197" s="373"/>
    </x:row>
    <x:row r="198">
      <x:c r="A198" s="373"/>
      <x:c r="B198" s="373"/>
      <x:c r="C198" s="373"/>
      <x:c r="D198" s="373"/>
      <x:c r="E198" s="373"/>
      <x:c r="F198" s="373"/>
      <x:c r="G198" s="373"/>
      <x:c r="H198" s="373"/>
      <x:c r="I198" s="373"/>
      <x:c r="J198" s="373"/>
      <x:c r="K198" s="373"/>
      <x:c r="L198" s="373"/>
      <x:c r="M198" s="373"/>
      <x:c r="N198" s="373"/>
      <x:c r="O198" s="373"/>
      <x:c r="P198" s="373"/>
      <x:c r="Q198" s="373"/>
      <x:c r="R198" s="373"/>
      <x:c r="S198" s="373"/>
      <x:c r="T198" s="373"/>
      <x:c r="U198" s="373"/>
      <x:c r="V198" s="373"/>
      <x:c r="W198" s="373"/>
      <x:c r="X198" s="373"/>
      <x:c r="Y198" s="373"/>
      <x:c r="Z198" s="373"/>
    </x:row>
    <x:row r="199">
      <x:c r="A199" s="373"/>
      <x:c r="B199" s="373"/>
      <x:c r="C199" s="373"/>
      <x:c r="D199" s="373"/>
      <x:c r="E199" s="373"/>
      <x:c r="F199" s="373"/>
      <x:c r="G199" s="373"/>
      <x:c r="H199" s="373"/>
      <x:c r="I199" s="373"/>
      <x:c r="J199" s="373"/>
      <x:c r="K199" s="373"/>
      <x:c r="L199" s="373"/>
      <x:c r="M199" s="373"/>
      <x:c r="N199" s="373"/>
      <x:c r="O199" s="373"/>
      <x:c r="P199" s="373"/>
      <x:c r="Q199" s="373"/>
      <x:c r="R199" s="373"/>
      <x:c r="S199" s="373"/>
      <x:c r="T199" s="373"/>
      <x:c r="U199" s="373"/>
      <x:c r="V199" s="373"/>
      <x:c r="W199" s="373"/>
      <x:c r="X199" s="373"/>
      <x:c r="Y199" s="373"/>
      <x:c r="Z199" s="373"/>
    </x:row>
    <x:row r="200">
      <x:c r="A200" s="373"/>
      <x:c r="B200" s="373"/>
      <x:c r="C200" s="373"/>
      <x:c r="D200" s="373"/>
      <x:c r="E200" s="373"/>
      <x:c r="F200" s="373"/>
      <x:c r="G200" s="373"/>
      <x:c r="H200" s="373"/>
      <x:c r="I200" s="373"/>
      <x:c r="J200" s="373"/>
      <x:c r="K200" s="373"/>
      <x:c r="L200" s="373"/>
      <x:c r="M200" s="373"/>
      <x:c r="N200" s="373"/>
      <x:c r="O200" s="373"/>
      <x:c r="P200" s="373"/>
      <x:c r="Q200" s="373"/>
      <x:c r="R200" s="373"/>
      <x:c r="S200" s="373"/>
      <x:c r="T200" s="373"/>
      <x:c r="U200" s="373"/>
      <x:c r="V200" s="373"/>
      <x:c r="W200" s="373"/>
      <x:c r="X200" s="373"/>
      <x:c r="Y200" s="373"/>
      <x:c r="Z200" s="373"/>
    </x:row>
    <x:row r="201">
      <x:c r="A201" s="373"/>
      <x:c r="B201" s="373"/>
      <x:c r="C201" s="373"/>
      <x:c r="D201" s="373"/>
      <x:c r="E201" s="373"/>
      <x:c r="F201" s="373"/>
      <x:c r="G201" s="373"/>
      <x:c r="H201" s="373"/>
      <x:c r="I201" s="373"/>
      <x:c r="J201" s="373"/>
      <x:c r="K201" s="373"/>
      <x:c r="L201" s="373"/>
      <x:c r="M201" s="373"/>
      <x:c r="N201" s="373"/>
      <x:c r="O201" s="373"/>
      <x:c r="P201" s="373"/>
      <x:c r="Q201" s="373"/>
      <x:c r="R201" s="373"/>
      <x:c r="S201" s="373"/>
      <x:c r="T201" s="373"/>
      <x:c r="U201" s="373"/>
      <x:c r="V201" s="373"/>
      <x:c r="W201" s="373"/>
      <x:c r="X201" s="373"/>
      <x:c r="Y201" s="373"/>
      <x:c r="Z201" s="373"/>
    </x:row>
    <x:row r="202">
      <x:c r="A202" s="373"/>
      <x:c r="B202" s="373"/>
      <x:c r="C202" s="373"/>
      <x:c r="D202" s="373"/>
      <x:c r="E202" s="373"/>
      <x:c r="F202" s="373"/>
      <x:c r="G202" s="373"/>
      <x:c r="H202" s="373"/>
      <x:c r="I202" s="373"/>
      <x:c r="J202" s="373"/>
      <x:c r="K202" s="373"/>
      <x:c r="L202" s="373"/>
      <x:c r="M202" s="373"/>
      <x:c r="N202" s="373"/>
      <x:c r="O202" s="373"/>
      <x:c r="P202" s="373"/>
      <x:c r="Q202" s="373"/>
      <x:c r="R202" s="373"/>
      <x:c r="S202" s="373"/>
      <x:c r="T202" s="373"/>
      <x:c r="U202" s="373"/>
      <x:c r="V202" s="373"/>
      <x:c r="W202" s="373"/>
      <x:c r="X202" s="373"/>
      <x:c r="Y202" s="373"/>
      <x:c r="Z202" s="373"/>
    </x:row>
    <x:row r="203">
      <x:c r="A203" s="373"/>
      <x:c r="B203" s="373"/>
      <x:c r="C203" s="373"/>
      <x:c r="D203" s="373"/>
      <x:c r="E203" s="373"/>
      <x:c r="F203" s="373"/>
      <x:c r="G203" s="373"/>
      <x:c r="H203" s="373"/>
      <x:c r="I203" s="373"/>
      <x:c r="J203" s="373"/>
      <x:c r="K203" s="373"/>
      <x:c r="L203" s="373"/>
      <x:c r="M203" s="373"/>
      <x:c r="N203" s="373"/>
      <x:c r="O203" s="373"/>
      <x:c r="P203" s="373"/>
      <x:c r="Q203" s="373"/>
      <x:c r="R203" s="373"/>
      <x:c r="S203" s="373"/>
      <x:c r="T203" s="373"/>
      <x:c r="U203" s="373"/>
      <x:c r="V203" s="373"/>
      <x:c r="W203" s="373"/>
      <x:c r="X203" s="373"/>
      <x:c r="Y203" s="373"/>
      <x:c r="Z203" s="373"/>
    </x:row>
    <x:row r="204">
      <x:c r="A204" s="373"/>
      <x:c r="B204" s="373"/>
      <x:c r="C204" s="373"/>
      <x:c r="D204" s="373"/>
      <x:c r="E204" s="373"/>
      <x:c r="F204" s="373"/>
      <x:c r="G204" s="373"/>
      <x:c r="H204" s="373"/>
      <x:c r="I204" s="373"/>
      <x:c r="J204" s="373"/>
      <x:c r="K204" s="373"/>
      <x:c r="L204" s="373"/>
      <x:c r="M204" s="373"/>
      <x:c r="N204" s="373"/>
      <x:c r="O204" s="373"/>
      <x:c r="P204" s="373"/>
      <x:c r="Q204" s="373"/>
      <x:c r="R204" s="373"/>
      <x:c r="S204" s="373"/>
      <x:c r="T204" s="373"/>
      <x:c r="U204" s="373"/>
      <x:c r="V204" s="373"/>
      <x:c r="W204" s="373"/>
      <x:c r="X204" s="373"/>
      <x:c r="Y204" s="373"/>
      <x:c r="Z204" s="373"/>
    </x:row>
    <x:row r="205">
      <x:c r="A205" s="373"/>
      <x:c r="B205" s="373"/>
      <x:c r="C205" s="373"/>
      <x:c r="D205" s="373"/>
      <x:c r="E205" s="373"/>
      <x:c r="F205" s="373"/>
      <x:c r="G205" s="373"/>
      <x:c r="H205" s="373"/>
      <x:c r="I205" s="373"/>
      <x:c r="J205" s="373"/>
      <x:c r="K205" s="373"/>
      <x:c r="L205" s="373"/>
      <x:c r="M205" s="373"/>
      <x:c r="N205" s="373"/>
      <x:c r="O205" s="373"/>
      <x:c r="P205" s="373"/>
      <x:c r="Q205" s="373"/>
      <x:c r="R205" s="373"/>
      <x:c r="S205" s="373"/>
      <x:c r="T205" s="373"/>
      <x:c r="U205" s="373"/>
      <x:c r="V205" s="373"/>
      <x:c r="W205" s="373"/>
      <x:c r="X205" s="373"/>
      <x:c r="Y205" s="373"/>
      <x:c r="Z205" s="373"/>
    </x:row>
    <x:row r="206">
      <x:c r="A206" s="373"/>
      <x:c r="B206" s="373"/>
      <x:c r="C206" s="373"/>
      <x:c r="D206" s="373"/>
      <x:c r="E206" s="373"/>
      <x:c r="F206" s="373"/>
      <x:c r="G206" s="373"/>
      <x:c r="H206" s="373"/>
      <x:c r="I206" s="373"/>
      <x:c r="J206" s="373"/>
      <x:c r="K206" s="373"/>
      <x:c r="L206" s="373"/>
      <x:c r="M206" s="373"/>
      <x:c r="N206" s="373"/>
      <x:c r="O206" s="373"/>
      <x:c r="P206" s="373"/>
      <x:c r="Q206" s="373"/>
      <x:c r="R206" s="373"/>
      <x:c r="S206" s="373"/>
      <x:c r="T206" s="373"/>
      <x:c r="U206" s="373"/>
      <x:c r="V206" s="373"/>
      <x:c r="W206" s="373"/>
      <x:c r="X206" s="373"/>
      <x:c r="Y206" s="373"/>
      <x:c r="Z206" s="373"/>
    </x:row>
    <x:row r="207">
      <x:c r="A207" s="373"/>
      <x:c r="B207" s="373"/>
      <x:c r="C207" s="373"/>
      <x:c r="D207" s="373"/>
      <x:c r="E207" s="373"/>
      <x:c r="F207" s="373"/>
      <x:c r="G207" s="373"/>
      <x:c r="H207" s="373"/>
      <x:c r="I207" s="373"/>
      <x:c r="J207" s="373"/>
      <x:c r="K207" s="373"/>
      <x:c r="L207" s="373"/>
      <x:c r="M207" s="373"/>
      <x:c r="N207" s="373"/>
      <x:c r="O207" s="373"/>
      <x:c r="P207" s="373"/>
      <x:c r="Q207" s="373"/>
      <x:c r="R207" s="373"/>
      <x:c r="S207" s="373"/>
      <x:c r="T207" s="373"/>
      <x:c r="U207" s="373"/>
      <x:c r="V207" s="373"/>
      <x:c r="W207" s="373"/>
      <x:c r="X207" s="373"/>
      <x:c r="Y207" s="373"/>
      <x:c r="Z207" s="373"/>
    </x:row>
    <x:row r="208">
      <x:c r="A208" s="373"/>
      <x:c r="B208" s="373"/>
      <x:c r="C208" s="373"/>
      <x:c r="D208" s="373"/>
      <x:c r="E208" s="373"/>
      <x:c r="F208" s="373"/>
      <x:c r="G208" s="373"/>
      <x:c r="H208" s="373"/>
      <x:c r="I208" s="373"/>
      <x:c r="J208" s="373"/>
      <x:c r="K208" s="373"/>
      <x:c r="L208" s="373"/>
      <x:c r="M208" s="373"/>
      <x:c r="N208" s="373"/>
      <x:c r="O208" s="373"/>
      <x:c r="P208" s="373"/>
      <x:c r="Q208" s="373"/>
      <x:c r="R208" s="373"/>
      <x:c r="S208" s="373"/>
      <x:c r="T208" s="373"/>
      <x:c r="U208" s="373"/>
      <x:c r="V208" s="373"/>
      <x:c r="W208" s="373"/>
      <x:c r="X208" s="373"/>
      <x:c r="Y208" s="373"/>
      <x:c r="Z208" s="373"/>
    </x:row>
    <x:row r="209">
      <x:c r="A209" s="373"/>
      <x:c r="B209" s="373"/>
      <x:c r="C209" s="373"/>
      <x:c r="D209" s="373"/>
      <x:c r="E209" s="373"/>
      <x:c r="F209" s="373"/>
      <x:c r="G209" s="373"/>
      <x:c r="H209" s="373"/>
      <x:c r="I209" s="373"/>
      <x:c r="J209" s="373"/>
      <x:c r="K209" s="373"/>
      <x:c r="L209" s="373"/>
      <x:c r="M209" s="373"/>
      <x:c r="N209" s="373"/>
      <x:c r="O209" s="373"/>
      <x:c r="P209" s="373"/>
      <x:c r="Q209" s="373"/>
      <x:c r="R209" s="373"/>
      <x:c r="S209" s="373"/>
      <x:c r="T209" s="373"/>
      <x:c r="U209" s="373"/>
      <x:c r="V209" s="373"/>
      <x:c r="W209" s="373"/>
      <x:c r="X209" s="373"/>
      <x:c r="Y209" s="373"/>
      <x:c r="Z209" s="373"/>
    </x:row>
    <x:row r="210">
      <x:c r="A210" s="373"/>
      <x:c r="B210" s="373"/>
      <x:c r="C210" s="373"/>
      <x:c r="D210" s="373"/>
      <x:c r="E210" s="373"/>
      <x:c r="F210" s="373"/>
      <x:c r="G210" s="373"/>
      <x:c r="H210" s="373"/>
      <x:c r="I210" s="373"/>
      <x:c r="J210" s="373"/>
      <x:c r="K210" s="373"/>
      <x:c r="L210" s="373"/>
      <x:c r="M210" s="373"/>
      <x:c r="N210" s="373"/>
      <x:c r="O210" s="373"/>
      <x:c r="P210" s="373"/>
      <x:c r="Q210" s="373"/>
      <x:c r="R210" s="373"/>
      <x:c r="S210" s="373"/>
      <x:c r="T210" s="373"/>
      <x:c r="U210" s="373"/>
      <x:c r="V210" s="373"/>
      <x:c r="W210" s="373"/>
      <x:c r="X210" s="373"/>
      <x:c r="Y210" s="373"/>
      <x:c r="Z210" s="373"/>
    </x:row>
    <x:row r="211">
      <x:c r="A211" s="373"/>
      <x:c r="B211" s="373"/>
      <x:c r="C211" s="373"/>
      <x:c r="D211" s="373"/>
      <x:c r="E211" s="373"/>
      <x:c r="F211" s="373"/>
      <x:c r="G211" s="373"/>
      <x:c r="H211" s="373"/>
      <x:c r="I211" s="373"/>
      <x:c r="J211" s="373"/>
      <x:c r="K211" s="373"/>
      <x:c r="L211" s="373"/>
      <x:c r="M211" s="373"/>
      <x:c r="N211" s="373"/>
      <x:c r="O211" s="373"/>
      <x:c r="P211" s="373"/>
      <x:c r="Q211" s="373"/>
      <x:c r="R211" s="373"/>
      <x:c r="S211" s="373"/>
      <x:c r="T211" s="373"/>
      <x:c r="U211" s="373"/>
      <x:c r="V211" s="373"/>
      <x:c r="W211" s="373"/>
      <x:c r="X211" s="373"/>
      <x:c r="Y211" s="373"/>
      <x:c r="Z211" s="373"/>
    </x:row>
    <x:row r="212">
      <x:c r="A212" s="373"/>
      <x:c r="B212" s="373"/>
      <x:c r="C212" s="373"/>
      <x:c r="D212" s="373"/>
      <x:c r="E212" s="373"/>
      <x:c r="F212" s="373"/>
      <x:c r="G212" s="373"/>
      <x:c r="H212" s="373"/>
      <x:c r="I212" s="373"/>
      <x:c r="J212" s="373"/>
      <x:c r="K212" s="373"/>
      <x:c r="L212" s="373"/>
      <x:c r="M212" s="373"/>
      <x:c r="N212" s="373"/>
      <x:c r="O212" s="373"/>
      <x:c r="P212" s="373"/>
      <x:c r="Q212" s="373"/>
      <x:c r="R212" s="373"/>
      <x:c r="S212" s="373"/>
      <x:c r="T212" s="373"/>
      <x:c r="U212" s="373"/>
      <x:c r="V212" s="373"/>
      <x:c r="W212" s="373"/>
      <x:c r="X212" s="373"/>
      <x:c r="Y212" s="373"/>
      <x:c r="Z212" s="373"/>
    </x:row>
    <x:row r="213">
      <x:c r="A213" s="373"/>
      <x:c r="B213" s="373"/>
      <x:c r="C213" s="373"/>
      <x:c r="D213" s="373"/>
      <x:c r="E213" s="373"/>
      <x:c r="F213" s="373"/>
      <x:c r="G213" s="373"/>
      <x:c r="H213" s="373"/>
      <x:c r="I213" s="373"/>
      <x:c r="J213" s="373"/>
      <x:c r="K213" s="373"/>
      <x:c r="L213" s="373"/>
      <x:c r="M213" s="373"/>
      <x:c r="N213" s="373"/>
      <x:c r="O213" s="373"/>
      <x:c r="P213" s="373"/>
      <x:c r="Q213" s="373"/>
      <x:c r="R213" s="373"/>
      <x:c r="S213" s="373"/>
      <x:c r="T213" s="373"/>
      <x:c r="U213" s="373"/>
      <x:c r="V213" s="373"/>
      <x:c r="W213" s="373"/>
      <x:c r="X213" s="373"/>
      <x:c r="Y213" s="373"/>
      <x:c r="Z213" s="373"/>
    </x:row>
    <x:row r="214">
      <x:c r="A214" s="373"/>
      <x:c r="B214" s="373"/>
      <x:c r="C214" s="373"/>
      <x:c r="D214" s="373"/>
      <x:c r="E214" s="373"/>
      <x:c r="F214" s="373"/>
      <x:c r="G214" s="373"/>
      <x:c r="H214" s="373"/>
      <x:c r="I214" s="373"/>
      <x:c r="J214" s="373"/>
      <x:c r="K214" s="373"/>
      <x:c r="L214" s="373"/>
      <x:c r="M214" s="373"/>
      <x:c r="N214" s="373"/>
      <x:c r="O214" s="373"/>
      <x:c r="P214" s="373"/>
      <x:c r="Q214" s="373"/>
      <x:c r="R214" s="373"/>
      <x:c r="S214" s="373"/>
      <x:c r="T214" s="373"/>
      <x:c r="U214" s="373"/>
      <x:c r="V214" s="373"/>
      <x:c r="W214" s="373"/>
      <x:c r="X214" s="373"/>
      <x:c r="Y214" s="373"/>
      <x:c r="Z214" s="373"/>
    </x:row>
    <x:row r="215">
      <x:c r="A215" s="373"/>
      <x:c r="B215" s="373"/>
      <x:c r="C215" s="373"/>
      <x:c r="D215" s="373"/>
      <x:c r="E215" s="373"/>
      <x:c r="F215" s="373"/>
      <x:c r="G215" s="373"/>
      <x:c r="H215" s="373"/>
      <x:c r="I215" s="373"/>
      <x:c r="J215" s="373"/>
      <x:c r="K215" s="373"/>
      <x:c r="L215" s="373"/>
      <x:c r="M215" s="373"/>
      <x:c r="N215" s="373"/>
      <x:c r="O215" s="373"/>
      <x:c r="P215" s="373"/>
      <x:c r="Q215" s="373"/>
      <x:c r="R215" s="373"/>
      <x:c r="S215" s="373"/>
      <x:c r="T215" s="373"/>
      <x:c r="U215" s="373"/>
      <x:c r="V215" s="373"/>
      <x:c r="W215" s="373"/>
      <x:c r="X215" s="373"/>
      <x:c r="Y215" s="373"/>
      <x:c r="Z215" s="373"/>
    </x:row>
    <x:row r="216">
      <x:c r="A216" s="373"/>
      <x:c r="B216" s="373"/>
      <x:c r="C216" s="373"/>
      <x:c r="D216" s="373"/>
      <x:c r="E216" s="373"/>
      <x:c r="F216" s="373"/>
      <x:c r="G216" s="373"/>
      <x:c r="H216" s="373"/>
      <x:c r="I216" s="373"/>
      <x:c r="J216" s="373"/>
      <x:c r="K216" s="373"/>
      <x:c r="L216" s="373"/>
      <x:c r="M216" s="373"/>
      <x:c r="N216" s="373"/>
      <x:c r="O216" s="373"/>
      <x:c r="P216" s="373"/>
      <x:c r="Q216" s="373"/>
      <x:c r="R216" s="373"/>
      <x:c r="S216" s="373"/>
      <x:c r="T216" s="373"/>
      <x:c r="U216" s="373"/>
      <x:c r="V216" s="373"/>
      <x:c r="W216" s="373"/>
      <x:c r="X216" s="373"/>
      <x:c r="Y216" s="373"/>
      <x:c r="Z216" s="373"/>
    </x:row>
    <x:row r="217">
      <x:c r="A217" s="373"/>
      <x:c r="B217" s="373"/>
      <x:c r="C217" s="373"/>
      <x:c r="D217" s="373"/>
      <x:c r="E217" s="373"/>
      <x:c r="F217" s="373"/>
      <x:c r="G217" s="373"/>
      <x:c r="H217" s="373"/>
      <x:c r="I217" s="373"/>
      <x:c r="J217" s="373"/>
      <x:c r="K217" s="373"/>
      <x:c r="L217" s="373"/>
      <x:c r="M217" s="373"/>
      <x:c r="N217" s="373"/>
      <x:c r="O217" s="373"/>
      <x:c r="P217" s="373"/>
      <x:c r="Q217" s="373"/>
      <x:c r="R217" s="373"/>
      <x:c r="S217" s="373"/>
      <x:c r="T217" s="373"/>
      <x:c r="U217" s="373"/>
      <x:c r="V217" s="373"/>
      <x:c r="W217" s="373"/>
      <x:c r="X217" s="373"/>
      <x:c r="Y217" s="373"/>
      <x:c r="Z217" s="373"/>
    </x:row>
    <x:row r="218">
      <x:c r="A218" s="373"/>
      <x:c r="B218" s="373"/>
      <x:c r="C218" s="373"/>
      <x:c r="D218" s="373"/>
      <x:c r="E218" s="373"/>
      <x:c r="F218" s="373"/>
      <x:c r="G218" s="373"/>
      <x:c r="H218" s="373"/>
      <x:c r="I218" s="373"/>
      <x:c r="J218" s="373"/>
      <x:c r="K218" s="373"/>
      <x:c r="L218" s="373"/>
      <x:c r="M218" s="373"/>
      <x:c r="N218" s="373"/>
      <x:c r="O218" s="373"/>
      <x:c r="P218" s="373"/>
      <x:c r="Q218" s="373"/>
      <x:c r="R218" s="373"/>
      <x:c r="S218" s="373"/>
      <x:c r="T218" s="373"/>
      <x:c r="U218" s="373"/>
      <x:c r="V218" s="373"/>
      <x:c r="W218" s="373"/>
      <x:c r="X218" s="373"/>
      <x:c r="Y218" s="373"/>
      <x:c r="Z218" s="373"/>
    </x:row>
    <x:row r="219">
      <x:c r="A219" s="373"/>
      <x:c r="B219" s="373"/>
      <x:c r="C219" s="373"/>
      <x:c r="D219" s="373"/>
      <x:c r="E219" s="373"/>
      <x:c r="F219" s="373"/>
      <x:c r="G219" s="373"/>
      <x:c r="H219" s="373"/>
      <x:c r="I219" s="373"/>
      <x:c r="J219" s="373"/>
      <x:c r="K219" s="373"/>
      <x:c r="L219" s="373"/>
      <x:c r="M219" s="373"/>
      <x:c r="N219" s="373"/>
      <x:c r="O219" s="373"/>
      <x:c r="P219" s="373"/>
      <x:c r="Q219" s="373"/>
      <x:c r="R219" s="373"/>
      <x:c r="S219" s="373"/>
      <x:c r="T219" s="373"/>
      <x:c r="U219" s="373"/>
      <x:c r="V219" s="373"/>
      <x:c r="W219" s="373"/>
      <x:c r="X219" s="373"/>
      <x:c r="Y219" s="373"/>
      <x:c r="Z219" s="373"/>
    </x:row>
    <x:row r="220">
      <x:c r="A220" s="373"/>
      <x:c r="B220" s="373"/>
      <x:c r="C220" s="373"/>
      <x:c r="D220" s="373"/>
      <x:c r="E220" s="373"/>
      <x:c r="F220" s="373"/>
      <x:c r="G220" s="373"/>
      <x:c r="H220" s="373"/>
      <x:c r="I220" s="373"/>
      <x:c r="J220" s="373"/>
      <x:c r="K220" s="373"/>
      <x:c r="L220" s="373"/>
      <x:c r="M220" s="373"/>
      <x:c r="N220" s="373"/>
      <x:c r="O220" s="373"/>
      <x:c r="P220" s="373"/>
      <x:c r="Q220" s="373"/>
      <x:c r="R220" s="373"/>
      <x:c r="S220" s="373"/>
      <x:c r="T220" s="373"/>
      <x:c r="U220" s="373"/>
      <x:c r="V220" s="373"/>
      <x:c r="W220" s="373"/>
      <x:c r="X220" s="373"/>
      <x:c r="Y220" s="373"/>
      <x:c r="Z220" s="373"/>
    </x:row>
    <x:row r="221">
      <x:c r="A221" s="373"/>
      <x:c r="B221" s="373"/>
      <x:c r="C221" s="373"/>
      <x:c r="D221" s="373"/>
      <x:c r="E221" s="373"/>
      <x:c r="F221" s="373"/>
      <x:c r="G221" s="373"/>
      <x:c r="H221" s="373"/>
      <x:c r="I221" s="373"/>
      <x:c r="J221" s="373"/>
      <x:c r="K221" s="373"/>
      <x:c r="L221" s="373"/>
      <x:c r="M221" s="373"/>
      <x:c r="N221" s="373"/>
      <x:c r="O221" s="373"/>
      <x:c r="P221" s="373"/>
      <x:c r="Q221" s="373"/>
      <x:c r="R221" s="373"/>
      <x:c r="S221" s="373"/>
      <x:c r="T221" s="373"/>
      <x:c r="U221" s="373"/>
      <x:c r="V221" s="373"/>
      <x:c r="W221" s="373"/>
      <x:c r="X221" s="373"/>
      <x:c r="Y221" s="373"/>
      <x:c r="Z221" s="373"/>
    </x:row>
    <x:row r="222">
      <x:c r="A222" s="373"/>
      <x:c r="B222" s="373"/>
      <x:c r="C222" s="373"/>
      <x:c r="D222" s="373"/>
      <x:c r="E222" s="373"/>
      <x:c r="F222" s="373"/>
      <x:c r="G222" s="373"/>
      <x:c r="H222" s="373"/>
      <x:c r="I222" s="373"/>
      <x:c r="J222" s="373"/>
      <x:c r="K222" s="373"/>
      <x:c r="L222" s="373"/>
      <x:c r="M222" s="373"/>
      <x:c r="N222" s="373"/>
      <x:c r="O222" s="373"/>
      <x:c r="P222" s="373"/>
      <x:c r="Q222" s="373"/>
      <x:c r="R222" s="373"/>
      <x:c r="S222" s="373"/>
      <x:c r="T222" s="373"/>
      <x:c r="U222" s="373"/>
      <x:c r="V222" s="373"/>
      <x:c r="W222" s="373"/>
      <x:c r="X222" s="373"/>
      <x:c r="Y222" s="373"/>
      <x:c r="Z222" s="373"/>
    </x:row>
    <x:row r="223">
      <x:c r="A223" s="373"/>
      <x:c r="B223" s="373"/>
      <x:c r="C223" s="373"/>
      <x:c r="D223" s="373"/>
      <x:c r="E223" s="373"/>
      <x:c r="F223" s="373"/>
      <x:c r="G223" s="373"/>
      <x:c r="H223" s="373"/>
      <x:c r="I223" s="373"/>
      <x:c r="J223" s="373"/>
      <x:c r="K223" s="373"/>
      <x:c r="L223" s="373"/>
      <x:c r="M223" s="373"/>
      <x:c r="N223" s="373"/>
      <x:c r="O223" s="373"/>
      <x:c r="P223" s="373"/>
      <x:c r="Q223" s="373"/>
      <x:c r="R223" s="373"/>
      <x:c r="S223" s="373"/>
      <x:c r="T223" s="373"/>
      <x:c r="U223" s="373"/>
      <x:c r="V223" s="373"/>
      <x:c r="W223" s="373"/>
      <x:c r="X223" s="373"/>
      <x:c r="Y223" s="373"/>
      <x:c r="Z223" s="373"/>
    </x:row>
    <x:row r="224">
      <x:c r="A224" s="373"/>
      <x:c r="B224" s="373"/>
      <x:c r="C224" s="373"/>
      <x:c r="D224" s="373"/>
      <x:c r="E224" s="373"/>
      <x:c r="F224" s="373"/>
      <x:c r="G224" s="373"/>
      <x:c r="H224" s="373"/>
      <x:c r="I224" s="373"/>
      <x:c r="J224" s="373"/>
      <x:c r="K224" s="373"/>
      <x:c r="L224" s="373"/>
      <x:c r="M224" s="373"/>
      <x:c r="N224" s="373"/>
      <x:c r="O224" s="373"/>
      <x:c r="P224" s="373"/>
      <x:c r="Q224" s="373"/>
      <x:c r="R224" s="373"/>
      <x:c r="S224" s="373"/>
      <x:c r="T224" s="373"/>
      <x:c r="U224" s="373"/>
      <x:c r="V224" s="373"/>
      <x:c r="W224" s="373"/>
      <x:c r="X224" s="373"/>
      <x:c r="Y224" s="373"/>
      <x:c r="Z224" s="373"/>
    </x:row>
    <x:row r="225">
      <x:c r="A225" s="373"/>
      <x:c r="B225" s="373"/>
      <x:c r="C225" s="373"/>
      <x:c r="D225" s="373"/>
      <x:c r="E225" s="373"/>
      <x:c r="F225" s="373"/>
      <x:c r="G225" s="373"/>
      <x:c r="H225" s="373"/>
      <x:c r="I225" s="373"/>
      <x:c r="J225" s="373"/>
      <x:c r="K225" s="373"/>
      <x:c r="L225" s="373"/>
      <x:c r="M225" s="373"/>
      <x:c r="N225" s="373"/>
      <x:c r="O225" s="373"/>
      <x:c r="P225" s="373"/>
      <x:c r="Q225" s="373"/>
      <x:c r="R225" s="373"/>
      <x:c r="S225" s="373"/>
      <x:c r="T225" s="373"/>
      <x:c r="U225" s="373"/>
      <x:c r="V225" s="373"/>
      <x:c r="W225" s="373"/>
      <x:c r="X225" s="373"/>
      <x:c r="Y225" s="373"/>
      <x:c r="Z225" s="373"/>
    </x:row>
    <x:row r="226">
      <x:c r="A226" s="373"/>
      <x:c r="B226" s="373"/>
      <x:c r="C226" s="373"/>
      <x:c r="D226" s="373"/>
      <x:c r="E226" s="373"/>
      <x:c r="F226" s="373"/>
      <x:c r="G226" s="373"/>
      <x:c r="H226" s="373"/>
      <x:c r="I226" s="373"/>
      <x:c r="J226" s="373"/>
      <x:c r="K226" s="373"/>
      <x:c r="L226" s="373"/>
      <x:c r="M226" s="373"/>
      <x:c r="N226" s="373"/>
      <x:c r="O226" s="373"/>
      <x:c r="P226" s="373"/>
      <x:c r="Q226" s="373"/>
      <x:c r="R226" s="373"/>
      <x:c r="S226" s="373"/>
      <x:c r="T226" s="373"/>
      <x:c r="U226" s="373"/>
      <x:c r="V226" s="373"/>
      <x:c r="W226" s="373"/>
      <x:c r="X226" s="373"/>
      <x:c r="Y226" s="373"/>
      <x:c r="Z226" s="373"/>
    </x:row>
    <x:row r="227">
      <x:c r="A227" s="373"/>
      <x:c r="B227" s="373"/>
      <x:c r="C227" s="373"/>
      <x:c r="D227" s="373"/>
      <x:c r="E227" s="373"/>
      <x:c r="F227" s="373"/>
      <x:c r="G227" s="373"/>
      <x:c r="H227" s="373"/>
      <x:c r="I227" s="373"/>
      <x:c r="J227" s="373"/>
      <x:c r="K227" s="373"/>
      <x:c r="L227" s="373"/>
      <x:c r="M227" s="373"/>
      <x:c r="N227" s="373"/>
      <x:c r="O227" s="373"/>
      <x:c r="P227" s="373"/>
      <x:c r="Q227" s="373"/>
      <x:c r="R227" s="373"/>
      <x:c r="S227" s="373"/>
      <x:c r="T227" s="373"/>
      <x:c r="U227" s="373"/>
      <x:c r="V227" s="373"/>
      <x:c r="W227" s="373"/>
      <x:c r="X227" s="373"/>
      <x:c r="Y227" s="373"/>
      <x:c r="Z227" s="373"/>
    </x:row>
    <x:row r="228">
      <x:c r="A228" s="373"/>
      <x:c r="B228" s="373"/>
      <x:c r="C228" s="373"/>
      <x:c r="D228" s="373"/>
      <x:c r="E228" s="373"/>
      <x:c r="F228" s="373"/>
      <x:c r="G228" s="373"/>
      <x:c r="H228" s="373"/>
      <x:c r="I228" s="373"/>
      <x:c r="J228" s="373"/>
      <x:c r="K228" s="373"/>
      <x:c r="L228" s="373"/>
      <x:c r="M228" s="373"/>
      <x:c r="N228" s="373"/>
      <x:c r="O228" s="373"/>
      <x:c r="P228" s="373"/>
      <x:c r="Q228" s="373"/>
      <x:c r="R228" s="373"/>
      <x:c r="S228" s="373"/>
      <x:c r="T228" s="373"/>
      <x:c r="U228" s="373"/>
      <x:c r="V228" s="373"/>
      <x:c r="W228" s="373"/>
      <x:c r="X228" s="373"/>
      <x:c r="Y228" s="373"/>
      <x:c r="Z228" s="373"/>
    </x:row>
    <x:row r="229">
      <x:c r="A229" s="373"/>
      <x:c r="B229" s="373"/>
      <x:c r="C229" s="373"/>
      <x:c r="D229" s="373"/>
      <x:c r="E229" s="373"/>
      <x:c r="F229" s="373"/>
      <x:c r="G229" s="373"/>
      <x:c r="H229" s="373"/>
      <x:c r="I229" s="373"/>
      <x:c r="J229" s="373"/>
      <x:c r="K229" s="373"/>
      <x:c r="L229" s="373"/>
      <x:c r="M229" s="373"/>
      <x:c r="N229" s="373"/>
      <x:c r="O229" s="373"/>
      <x:c r="P229" s="373"/>
      <x:c r="Q229" s="373"/>
      <x:c r="R229" s="373"/>
      <x:c r="S229" s="373"/>
      <x:c r="T229" s="373"/>
      <x:c r="U229" s="373"/>
      <x:c r="V229" s="373"/>
      <x:c r="W229" s="373"/>
      <x:c r="X229" s="373"/>
      <x:c r="Y229" s="373"/>
      <x:c r="Z229" s="373"/>
    </x:row>
    <x:row r="230">
      <x:c r="A230" s="373"/>
      <x:c r="B230" s="373"/>
      <x:c r="C230" s="373"/>
      <x:c r="D230" s="373"/>
      <x:c r="E230" s="373"/>
      <x:c r="F230" s="373"/>
      <x:c r="G230" s="373"/>
      <x:c r="H230" s="373"/>
      <x:c r="I230" s="373"/>
      <x:c r="J230" s="373"/>
      <x:c r="K230" s="373"/>
      <x:c r="L230" s="373"/>
      <x:c r="M230" s="373"/>
      <x:c r="N230" s="373"/>
      <x:c r="O230" s="373"/>
      <x:c r="P230" s="373"/>
      <x:c r="Q230" s="373"/>
      <x:c r="R230" s="373"/>
      <x:c r="S230" s="373"/>
      <x:c r="T230" s="373"/>
      <x:c r="U230" s="373"/>
      <x:c r="V230" s="373"/>
      <x:c r="W230" s="373"/>
      <x:c r="X230" s="373"/>
      <x:c r="Y230" s="373"/>
      <x:c r="Z230" s="373"/>
    </x:row>
    <x:row r="231">
      <x:c r="A231" s="373"/>
      <x:c r="B231" s="373"/>
      <x:c r="C231" s="373"/>
      <x:c r="D231" s="373"/>
      <x:c r="E231" s="373"/>
      <x:c r="F231" s="373"/>
      <x:c r="G231" s="373"/>
      <x:c r="H231" s="373"/>
      <x:c r="I231" s="373"/>
      <x:c r="J231" s="373"/>
      <x:c r="K231" s="373"/>
      <x:c r="L231" s="373"/>
      <x:c r="M231" s="373"/>
      <x:c r="N231" s="373"/>
      <x:c r="O231" s="373"/>
      <x:c r="P231" s="373"/>
      <x:c r="Q231" s="373"/>
      <x:c r="R231" s="373"/>
      <x:c r="S231" s="373"/>
      <x:c r="T231" s="373"/>
      <x:c r="U231" s="373"/>
      <x:c r="V231" s="373"/>
      <x:c r="W231" s="373"/>
      <x:c r="X231" s="373"/>
      <x:c r="Y231" s="373"/>
      <x:c r="Z231" s="373"/>
    </x:row>
    <x:row r="232">
      <x:c r="A232" s="373"/>
      <x:c r="B232" s="373"/>
      <x:c r="C232" s="373"/>
      <x:c r="D232" s="373"/>
      <x:c r="E232" s="373"/>
      <x:c r="F232" s="373"/>
      <x:c r="G232" s="373"/>
      <x:c r="H232" s="373"/>
      <x:c r="I232" s="373"/>
      <x:c r="J232" s="373"/>
      <x:c r="K232" s="373"/>
      <x:c r="L232" s="373"/>
      <x:c r="M232" s="373"/>
      <x:c r="N232" s="373"/>
      <x:c r="O232" s="373"/>
      <x:c r="P232" s="373"/>
      <x:c r="Q232" s="373"/>
      <x:c r="R232" s="373"/>
      <x:c r="S232" s="373"/>
      <x:c r="T232" s="373"/>
      <x:c r="U232" s="373"/>
      <x:c r="V232" s="373"/>
      <x:c r="W232" s="373"/>
      <x:c r="X232" s="373"/>
      <x:c r="Y232" s="373"/>
      <x:c r="Z232" s="373"/>
    </x:row>
    <x:row r="233">
      <x:c r="A233" s="373"/>
      <x:c r="B233" s="373"/>
      <x:c r="C233" s="373"/>
      <x:c r="D233" s="373"/>
      <x:c r="E233" s="373"/>
      <x:c r="F233" s="373"/>
      <x:c r="G233" s="373"/>
      <x:c r="H233" s="373"/>
      <x:c r="I233" s="373"/>
      <x:c r="J233" s="373"/>
      <x:c r="K233" s="373"/>
      <x:c r="L233" s="373"/>
      <x:c r="M233" s="373"/>
      <x:c r="N233" s="373"/>
      <x:c r="O233" s="373"/>
      <x:c r="P233" s="373"/>
      <x:c r="Q233" s="373"/>
      <x:c r="R233" s="373"/>
      <x:c r="S233" s="373"/>
      <x:c r="T233" s="373"/>
      <x:c r="U233" s="373"/>
      <x:c r="V233" s="373"/>
      <x:c r="W233" s="373"/>
      <x:c r="X233" s="373"/>
      <x:c r="Y233" s="373"/>
      <x:c r="Z233" s="373"/>
    </x:row>
    <x:row r="234">
      <x:c r="A234" s="373"/>
      <x:c r="B234" s="373"/>
      <x:c r="C234" s="373"/>
      <x:c r="D234" s="373"/>
      <x:c r="E234" s="373"/>
      <x:c r="F234" s="373"/>
      <x:c r="G234" s="373"/>
      <x:c r="H234" s="373"/>
      <x:c r="I234" s="373"/>
      <x:c r="J234" s="373"/>
      <x:c r="K234" s="373"/>
      <x:c r="L234" s="373"/>
      <x:c r="M234" s="373"/>
      <x:c r="N234" s="373"/>
      <x:c r="O234" s="373"/>
      <x:c r="P234" s="373"/>
      <x:c r="Q234" s="373"/>
      <x:c r="R234" s="373"/>
      <x:c r="S234" s="373"/>
      <x:c r="T234" s="373"/>
      <x:c r="U234" s="373"/>
      <x:c r="V234" s="373"/>
      <x:c r="W234" s="373"/>
      <x:c r="X234" s="373"/>
      <x:c r="Y234" s="373"/>
      <x:c r="Z234" s="373"/>
    </x:row>
    <x:row r="235">
      <x:c r="A235" s="373"/>
      <x:c r="B235" s="373"/>
      <x:c r="C235" s="373"/>
      <x:c r="D235" s="373"/>
      <x:c r="E235" s="373"/>
      <x:c r="F235" s="373"/>
      <x:c r="G235" s="373"/>
      <x:c r="H235" s="373"/>
      <x:c r="I235" s="373"/>
      <x:c r="J235" s="373"/>
      <x:c r="K235" s="373"/>
      <x:c r="L235" s="373"/>
      <x:c r="M235" s="373"/>
      <x:c r="N235" s="373"/>
      <x:c r="O235" s="373"/>
      <x:c r="P235" s="373"/>
      <x:c r="Q235" s="373"/>
      <x:c r="R235" s="373"/>
      <x:c r="S235" s="373"/>
      <x:c r="T235" s="373"/>
      <x:c r="U235" s="373"/>
      <x:c r="V235" s="373"/>
      <x:c r="W235" s="373"/>
      <x:c r="X235" s="373"/>
      <x:c r="Y235" s="373"/>
      <x:c r="Z235" s="373"/>
    </x:row>
    <x:row r="236">
      <x:c r="A236" s="373"/>
      <x:c r="B236" s="373"/>
      <x:c r="C236" s="373"/>
      <x:c r="D236" s="373"/>
      <x:c r="E236" s="373"/>
      <x:c r="F236" s="373"/>
      <x:c r="G236" s="373"/>
      <x:c r="H236" s="373"/>
      <x:c r="I236" s="373"/>
      <x:c r="J236" s="373"/>
      <x:c r="K236" s="373"/>
      <x:c r="L236" s="373"/>
      <x:c r="M236" s="373"/>
      <x:c r="N236" s="373"/>
      <x:c r="O236" s="373"/>
      <x:c r="P236" s="373"/>
      <x:c r="Q236" s="373"/>
      <x:c r="R236" s="373"/>
      <x:c r="S236" s="373"/>
      <x:c r="T236" s="373"/>
      <x:c r="U236" s="373"/>
      <x:c r="V236" s="373"/>
      <x:c r="W236" s="373"/>
      <x:c r="X236" s="373"/>
      <x:c r="Y236" s="373"/>
      <x:c r="Z236" s="373"/>
    </x:row>
    <x:row r="237">
      <x:c r="A237" s="373"/>
      <x:c r="B237" s="373"/>
      <x:c r="C237" s="373"/>
      <x:c r="D237" s="373"/>
      <x:c r="E237" s="373"/>
      <x:c r="F237" s="373"/>
      <x:c r="G237" s="373"/>
      <x:c r="H237" s="373"/>
      <x:c r="I237" s="373"/>
      <x:c r="J237" s="373"/>
      <x:c r="K237" s="373"/>
      <x:c r="L237" s="373"/>
      <x:c r="M237" s="373"/>
      <x:c r="N237" s="373"/>
      <x:c r="O237" s="373"/>
      <x:c r="P237" s="373"/>
      <x:c r="Q237" s="373"/>
      <x:c r="R237" s="373"/>
      <x:c r="S237" s="373"/>
      <x:c r="T237" s="373"/>
      <x:c r="U237" s="373"/>
      <x:c r="V237" s="373"/>
      <x:c r="W237" s="373"/>
      <x:c r="X237" s="373"/>
      <x:c r="Y237" s="373"/>
      <x:c r="Z237" s="373"/>
    </x:row>
    <x:row r="238">
      <x:c r="A238" s="373"/>
      <x:c r="B238" s="373"/>
      <x:c r="C238" s="373"/>
      <x:c r="D238" s="373"/>
      <x:c r="E238" s="373"/>
      <x:c r="F238" s="373"/>
      <x:c r="G238" s="373"/>
      <x:c r="H238" s="373"/>
      <x:c r="I238" s="373"/>
      <x:c r="J238" s="373"/>
      <x:c r="K238" s="373"/>
      <x:c r="L238" s="373"/>
      <x:c r="M238" s="373"/>
      <x:c r="N238" s="373"/>
      <x:c r="O238" s="373"/>
      <x:c r="P238" s="373"/>
      <x:c r="Q238" s="373"/>
      <x:c r="R238" s="373"/>
      <x:c r="S238" s="373"/>
      <x:c r="T238" s="373"/>
      <x:c r="U238" s="373"/>
      <x:c r="V238" s="373"/>
      <x:c r="W238" s="373"/>
      <x:c r="X238" s="373"/>
      <x:c r="Y238" s="373"/>
      <x:c r="Z238" s="373"/>
    </x:row>
    <x:row r="239">
      <x:c r="A239" s="373"/>
      <x:c r="B239" s="373"/>
      <x:c r="C239" s="373"/>
      <x:c r="D239" s="373"/>
      <x:c r="E239" s="373"/>
      <x:c r="F239" s="373"/>
      <x:c r="G239" s="373"/>
      <x:c r="H239" s="373"/>
      <x:c r="I239" s="373"/>
      <x:c r="J239" s="373"/>
      <x:c r="K239" s="373"/>
      <x:c r="L239" s="373"/>
      <x:c r="M239" s="373"/>
      <x:c r="N239" s="373"/>
      <x:c r="O239" s="373"/>
      <x:c r="P239" s="373"/>
      <x:c r="Q239" s="373"/>
      <x:c r="R239" s="373"/>
      <x:c r="S239" s="373"/>
      <x:c r="T239" s="373"/>
      <x:c r="U239" s="373"/>
      <x:c r="V239" s="373"/>
      <x:c r="W239" s="373"/>
      <x:c r="X239" s="373"/>
      <x:c r="Y239" s="373"/>
      <x:c r="Z239" s="373"/>
    </x:row>
    <x:row r="240">
      <x:c r="A240" s="373"/>
      <x:c r="B240" s="373"/>
      <x:c r="C240" s="373"/>
      <x:c r="D240" s="373"/>
      <x:c r="E240" s="373"/>
      <x:c r="F240" s="373"/>
      <x:c r="G240" s="373"/>
      <x:c r="H240" s="373"/>
      <x:c r="I240" s="373"/>
      <x:c r="J240" s="373"/>
      <x:c r="K240" s="373"/>
      <x:c r="L240" s="373"/>
      <x:c r="M240" s="373"/>
      <x:c r="N240" s="373"/>
      <x:c r="O240" s="373"/>
      <x:c r="P240" s="373"/>
      <x:c r="Q240" s="373"/>
      <x:c r="R240" s="373"/>
      <x:c r="S240" s="373"/>
      <x:c r="T240" s="373"/>
      <x:c r="U240" s="373"/>
      <x:c r="V240" s="373"/>
      <x:c r="W240" s="373"/>
      <x:c r="X240" s="373"/>
      <x:c r="Y240" s="373"/>
      <x:c r="Z240" s="373"/>
    </x:row>
    <x:row r="241">
      <x:c r="A241" s="373"/>
      <x:c r="B241" s="373"/>
      <x:c r="C241" s="373"/>
      <x:c r="D241" s="373"/>
      <x:c r="E241" s="373"/>
      <x:c r="F241" s="373"/>
      <x:c r="G241" s="373"/>
      <x:c r="H241" s="373"/>
      <x:c r="I241" s="373"/>
      <x:c r="J241" s="373"/>
      <x:c r="K241" s="373"/>
      <x:c r="L241" s="373"/>
      <x:c r="M241" s="373"/>
      <x:c r="N241" s="373"/>
      <x:c r="O241" s="373"/>
      <x:c r="P241" s="373"/>
      <x:c r="Q241" s="373"/>
      <x:c r="R241" s="373"/>
      <x:c r="S241" s="373"/>
      <x:c r="T241" s="373"/>
      <x:c r="U241" s="373"/>
      <x:c r="V241" s="373"/>
      <x:c r="W241" s="373"/>
      <x:c r="X241" s="373"/>
      <x:c r="Y241" s="373"/>
      <x:c r="Z241" s="373"/>
    </x:row>
    <x:row r="242">
      <x:c r="A242" s="373"/>
      <x:c r="B242" s="373"/>
      <x:c r="C242" s="373"/>
      <x:c r="D242" s="373"/>
      <x:c r="E242" s="373"/>
      <x:c r="F242" s="373"/>
      <x:c r="G242" s="373"/>
      <x:c r="H242" s="373"/>
      <x:c r="I242" s="373"/>
      <x:c r="J242" s="373"/>
      <x:c r="K242" s="373"/>
      <x:c r="L242" s="373"/>
      <x:c r="M242" s="373"/>
      <x:c r="N242" s="373"/>
      <x:c r="O242" s="373"/>
      <x:c r="P242" s="373"/>
      <x:c r="Q242" s="373"/>
      <x:c r="R242" s="373"/>
      <x:c r="S242" s="373"/>
      <x:c r="T242" s="373"/>
      <x:c r="U242" s="373"/>
      <x:c r="V242" s="373"/>
      <x:c r="W242" s="373"/>
      <x:c r="X242" s="373"/>
      <x:c r="Y242" s="373"/>
      <x:c r="Z242" s="373"/>
    </x:row>
    <x:row r="243">
      <x:c r="A243" s="373"/>
      <x:c r="B243" s="373"/>
      <x:c r="C243" s="373"/>
      <x:c r="D243" s="373"/>
      <x:c r="E243" s="373"/>
      <x:c r="F243" s="373"/>
      <x:c r="G243" s="373"/>
      <x:c r="H243" s="373"/>
      <x:c r="I243" s="373"/>
      <x:c r="J243" s="373"/>
      <x:c r="K243" s="373"/>
      <x:c r="L243" s="373"/>
      <x:c r="M243" s="373"/>
      <x:c r="N243" s="373"/>
      <x:c r="O243" s="373"/>
      <x:c r="P243" s="373"/>
      <x:c r="Q243" s="373"/>
      <x:c r="R243" s="373"/>
      <x:c r="S243" s="373"/>
      <x:c r="T243" s="373"/>
      <x:c r="U243" s="373"/>
      <x:c r="V243" s="373"/>
      <x:c r="W243" s="373"/>
      <x:c r="X243" s="373"/>
      <x:c r="Y243" s="373"/>
      <x:c r="Z243" s="373"/>
    </x:row>
    <x:row r="244">
      <x:c r="A244" s="373"/>
      <x:c r="B244" s="373"/>
      <x:c r="C244" s="373"/>
      <x:c r="D244" s="373"/>
      <x:c r="E244" s="373"/>
      <x:c r="F244" s="373"/>
      <x:c r="G244" s="373"/>
      <x:c r="H244" s="373"/>
      <x:c r="I244" s="373"/>
      <x:c r="J244" s="373"/>
      <x:c r="K244" s="373"/>
      <x:c r="L244" s="373"/>
      <x:c r="M244" s="373"/>
      <x:c r="N244" s="373"/>
      <x:c r="O244" s="373"/>
      <x:c r="P244" s="373"/>
      <x:c r="Q244" s="373"/>
      <x:c r="R244" s="373"/>
      <x:c r="S244" s="373"/>
      <x:c r="T244" s="373"/>
      <x:c r="U244" s="373"/>
      <x:c r="V244" s="373"/>
      <x:c r="W244" s="373"/>
      <x:c r="X244" s="373"/>
      <x:c r="Y244" s="373"/>
      <x:c r="Z244" s="373"/>
    </x:row>
    <x:row r="245">
      <x:c r="A245" s="373"/>
      <x:c r="B245" s="373"/>
      <x:c r="C245" s="373"/>
      <x:c r="D245" s="373"/>
      <x:c r="E245" s="373"/>
      <x:c r="F245" s="373"/>
      <x:c r="G245" s="373"/>
      <x:c r="H245" s="373"/>
      <x:c r="I245" s="373"/>
      <x:c r="J245" s="373"/>
      <x:c r="K245" s="373"/>
      <x:c r="L245" s="373"/>
      <x:c r="M245" s="373"/>
      <x:c r="N245" s="373"/>
      <x:c r="O245" s="373"/>
      <x:c r="P245" s="373"/>
      <x:c r="Q245" s="373"/>
      <x:c r="R245" s="373"/>
      <x:c r="S245" s="373"/>
      <x:c r="T245" s="373"/>
      <x:c r="U245" s="373"/>
      <x:c r="V245" s="373"/>
      <x:c r="W245" s="373"/>
      <x:c r="X245" s="373"/>
      <x:c r="Y245" s="373"/>
      <x:c r="Z245" s="373"/>
    </x:row>
    <x:row r="246">
      <x:c r="A246" s="373"/>
      <x:c r="B246" s="373"/>
      <x:c r="C246" s="373"/>
      <x:c r="D246" s="373"/>
      <x:c r="E246" s="373"/>
      <x:c r="F246" s="373"/>
      <x:c r="G246" s="373"/>
      <x:c r="H246" s="373"/>
      <x:c r="I246" s="373"/>
      <x:c r="J246" s="373"/>
      <x:c r="K246" s="373"/>
      <x:c r="L246" s="373"/>
      <x:c r="M246" s="373"/>
      <x:c r="N246" s="373"/>
      <x:c r="O246" s="373"/>
      <x:c r="P246" s="373"/>
      <x:c r="Q246" s="373"/>
      <x:c r="R246" s="373"/>
      <x:c r="S246" s="373"/>
      <x:c r="T246" s="373"/>
      <x:c r="U246" s="373"/>
      <x:c r="V246" s="373"/>
      <x:c r="W246" s="373"/>
      <x:c r="X246" s="373"/>
      <x:c r="Y246" s="373"/>
      <x:c r="Z246" s="373"/>
    </x:row>
    <x:row r="247">
      <x:c r="A247" s="373"/>
      <x:c r="B247" s="373"/>
      <x:c r="C247" s="373"/>
      <x:c r="D247" s="373"/>
      <x:c r="E247" s="373"/>
      <x:c r="F247" s="373"/>
      <x:c r="G247" s="373"/>
      <x:c r="H247" s="373"/>
      <x:c r="I247" s="373"/>
      <x:c r="J247" s="373"/>
      <x:c r="K247" s="373"/>
      <x:c r="L247" s="373"/>
      <x:c r="M247" s="373"/>
      <x:c r="N247" s="373"/>
      <x:c r="O247" s="373"/>
      <x:c r="P247" s="373"/>
      <x:c r="Q247" s="373"/>
      <x:c r="R247" s="373"/>
      <x:c r="S247" s="373"/>
      <x:c r="T247" s="373"/>
      <x:c r="U247" s="373"/>
      <x:c r="V247" s="373"/>
      <x:c r="W247" s="373"/>
      <x:c r="X247" s="373"/>
      <x:c r="Y247" s="373"/>
      <x:c r="Z247" s="373"/>
    </x:row>
    <x:row r="248">
      <x:c r="A248" s="373"/>
      <x:c r="B248" s="373"/>
      <x:c r="C248" s="373"/>
      <x:c r="D248" s="373"/>
      <x:c r="E248" s="373"/>
      <x:c r="F248" s="373"/>
      <x:c r="G248" s="373"/>
      <x:c r="H248" s="373"/>
      <x:c r="I248" s="373"/>
      <x:c r="J248" s="373"/>
      <x:c r="K248" s="373"/>
      <x:c r="L248" s="373"/>
      <x:c r="M248" s="373"/>
      <x:c r="N248" s="373"/>
      <x:c r="O248" s="373"/>
      <x:c r="P248" s="373"/>
      <x:c r="Q248" s="373"/>
      <x:c r="R248" s="373"/>
      <x:c r="S248" s="373"/>
      <x:c r="T248" s="373"/>
      <x:c r="U248" s="373"/>
      <x:c r="V248" s="373"/>
      <x:c r="W248" s="373"/>
      <x:c r="X248" s="373"/>
      <x:c r="Y248" s="373"/>
      <x:c r="Z248" s="373"/>
    </x:row>
    <x:row r="249">
      <x:c r="A249" s="373"/>
      <x:c r="B249" s="373"/>
      <x:c r="C249" s="373"/>
      <x:c r="D249" s="373"/>
      <x:c r="E249" s="373"/>
      <x:c r="F249" s="373"/>
      <x:c r="G249" s="373"/>
      <x:c r="H249" s="373"/>
      <x:c r="I249" s="373"/>
      <x:c r="J249" s="373"/>
      <x:c r="K249" s="373"/>
      <x:c r="L249" s="373"/>
      <x:c r="M249" s="373"/>
      <x:c r="N249" s="373"/>
      <x:c r="O249" s="373"/>
      <x:c r="P249" s="373"/>
      <x:c r="Q249" s="373"/>
      <x:c r="R249" s="373"/>
      <x:c r="S249" s="373"/>
      <x:c r="T249" s="373"/>
      <x:c r="U249" s="373"/>
      <x:c r="V249" s="373"/>
      <x:c r="W249" s="373"/>
      <x:c r="X249" s="373"/>
      <x:c r="Y249" s="373"/>
      <x:c r="Z249" s="373"/>
    </x:row>
    <x:row r="250">
      <x:c r="A250" s="373"/>
      <x:c r="B250" s="373"/>
      <x:c r="C250" s="373"/>
      <x:c r="D250" s="373"/>
      <x:c r="E250" s="373"/>
      <x:c r="F250" s="373"/>
      <x:c r="G250" s="373"/>
      <x:c r="H250" s="373"/>
      <x:c r="I250" s="373"/>
      <x:c r="J250" s="373"/>
      <x:c r="K250" s="373"/>
      <x:c r="L250" s="373"/>
      <x:c r="M250" s="373"/>
      <x:c r="N250" s="373"/>
      <x:c r="O250" s="373"/>
      <x:c r="P250" s="373"/>
      <x:c r="Q250" s="373"/>
      <x:c r="R250" s="373"/>
      <x:c r="S250" s="373"/>
      <x:c r="T250" s="373"/>
      <x:c r="U250" s="373"/>
      <x:c r="V250" s="373"/>
      <x:c r="W250" s="373"/>
      <x:c r="X250" s="373"/>
      <x:c r="Y250" s="373"/>
      <x:c r="Z250" s="373"/>
    </x:row>
    <x:row r="251">
      <x:c r="A251" s="373"/>
      <x:c r="B251" s="373"/>
      <x:c r="C251" s="373"/>
      <x:c r="D251" s="373"/>
      <x:c r="E251" s="373"/>
      <x:c r="F251" s="373"/>
      <x:c r="G251" s="373"/>
      <x:c r="H251" s="373"/>
      <x:c r="I251" s="373"/>
      <x:c r="J251" s="373"/>
      <x:c r="K251" s="373"/>
      <x:c r="L251" s="373"/>
      <x:c r="M251" s="373"/>
      <x:c r="N251" s="373"/>
      <x:c r="O251" s="373"/>
      <x:c r="P251" s="373"/>
      <x:c r="Q251" s="373"/>
      <x:c r="R251" s="373"/>
      <x:c r="S251" s="373"/>
      <x:c r="T251" s="373"/>
      <x:c r="U251" s="373"/>
      <x:c r="V251" s="373"/>
      <x:c r="W251" s="373"/>
      <x:c r="X251" s="373"/>
      <x:c r="Y251" s="373"/>
      <x:c r="Z251" s="373"/>
    </x:row>
    <x:row r="252">
      <x:c r="A252" s="373"/>
      <x:c r="B252" s="373"/>
      <x:c r="C252" s="373"/>
      <x:c r="D252" s="373"/>
      <x:c r="E252" s="373"/>
      <x:c r="F252" s="373"/>
      <x:c r="G252" s="373"/>
      <x:c r="H252" s="373"/>
      <x:c r="I252" s="373"/>
      <x:c r="J252" s="373"/>
      <x:c r="K252" s="373"/>
      <x:c r="L252" s="373"/>
      <x:c r="M252" s="373"/>
      <x:c r="N252" s="373"/>
      <x:c r="O252" s="373"/>
      <x:c r="P252" s="373"/>
      <x:c r="Q252" s="373"/>
      <x:c r="R252" s="373"/>
      <x:c r="S252" s="373"/>
      <x:c r="T252" s="373"/>
      <x:c r="U252" s="373"/>
      <x:c r="V252" s="373"/>
      <x:c r="W252" s="373"/>
      <x:c r="X252" s="373"/>
      <x:c r="Y252" s="373"/>
      <x:c r="Z252" s="373"/>
    </x:row>
    <x:row r="253">
      <x:c r="A253" s="373"/>
      <x:c r="B253" s="373"/>
      <x:c r="C253" s="373"/>
      <x:c r="D253" s="373"/>
      <x:c r="E253" s="373"/>
      <x:c r="F253" s="373"/>
      <x:c r="G253" s="373"/>
      <x:c r="H253" s="373"/>
      <x:c r="I253" s="373"/>
      <x:c r="J253" s="373"/>
      <x:c r="K253" s="373"/>
      <x:c r="L253" s="373"/>
      <x:c r="M253" s="373"/>
      <x:c r="N253" s="373"/>
      <x:c r="O253" s="373"/>
      <x:c r="P253" s="373"/>
      <x:c r="Q253" s="373"/>
      <x:c r="R253" s="373"/>
      <x:c r="S253" s="373"/>
      <x:c r="T253" s="373"/>
      <x:c r="U253" s="373"/>
      <x:c r="V253" s="373"/>
      <x:c r="W253" s="373"/>
      <x:c r="X253" s="373"/>
      <x:c r="Y253" s="373"/>
      <x:c r="Z253" s="373"/>
    </x:row>
    <x:row r="254">
      <x:c r="A254" s="373"/>
      <x:c r="B254" s="373"/>
      <x:c r="C254" s="373"/>
      <x:c r="D254" s="373"/>
      <x:c r="E254" s="373"/>
      <x:c r="F254" s="373"/>
      <x:c r="G254" s="373"/>
      <x:c r="H254" s="373"/>
      <x:c r="I254" s="373"/>
      <x:c r="J254" s="373"/>
      <x:c r="K254" s="373"/>
      <x:c r="L254" s="373"/>
      <x:c r="M254" s="373"/>
      <x:c r="N254" s="373"/>
      <x:c r="O254" s="373"/>
      <x:c r="P254" s="373"/>
      <x:c r="Q254" s="373"/>
      <x:c r="R254" s="373"/>
      <x:c r="S254" s="373"/>
      <x:c r="T254" s="373"/>
      <x:c r="U254" s="373"/>
      <x:c r="V254" s="373"/>
      <x:c r="W254" s="373"/>
      <x:c r="X254" s="373"/>
      <x:c r="Y254" s="373"/>
      <x:c r="Z254" s="373"/>
    </x:row>
    <x:row r="255">
      <x:c r="A255" s="373"/>
      <x:c r="B255" s="373"/>
      <x:c r="C255" s="373"/>
      <x:c r="D255" s="373"/>
      <x:c r="E255" s="373"/>
      <x:c r="F255" s="373"/>
      <x:c r="G255" s="373"/>
      <x:c r="H255" s="373"/>
      <x:c r="I255" s="373"/>
      <x:c r="J255" s="373"/>
      <x:c r="K255" s="373"/>
      <x:c r="L255" s="373"/>
      <x:c r="M255" s="373"/>
      <x:c r="N255" s="373"/>
      <x:c r="O255" s="373"/>
      <x:c r="P255" s="373"/>
      <x:c r="Q255" s="373"/>
      <x:c r="R255" s="373"/>
      <x:c r="S255" s="373"/>
      <x:c r="T255" s="373"/>
      <x:c r="U255" s="373"/>
      <x:c r="V255" s="373"/>
      <x:c r="W255" s="373"/>
      <x:c r="X255" s="373"/>
      <x:c r="Y255" s="373"/>
      <x:c r="Z255" s="373"/>
    </x:row>
    <x:row r="256">
      <x:c r="A256" s="373"/>
      <x:c r="B256" s="373"/>
      <x:c r="C256" s="373"/>
      <x:c r="D256" s="373"/>
      <x:c r="E256" s="373"/>
      <x:c r="F256" s="373"/>
      <x:c r="G256" s="373"/>
      <x:c r="H256" s="373"/>
      <x:c r="I256" s="373"/>
      <x:c r="J256" s="373"/>
      <x:c r="K256" s="373"/>
      <x:c r="L256" s="373"/>
      <x:c r="M256" s="373"/>
      <x:c r="N256" s="373"/>
      <x:c r="O256" s="373"/>
      <x:c r="P256" s="373"/>
      <x:c r="Q256" s="373"/>
      <x:c r="R256" s="373"/>
      <x:c r="S256" s="373"/>
      <x:c r="T256" s="373"/>
      <x:c r="U256" s="373"/>
      <x:c r="V256" s="373"/>
      <x:c r="W256" s="373"/>
      <x:c r="X256" s="373"/>
      <x:c r="Y256" s="373"/>
      <x:c r="Z256" s="373"/>
    </x:row>
    <x:row r="257">
      <x:c r="A257" s="373"/>
      <x:c r="B257" s="373"/>
      <x:c r="C257" s="373"/>
      <x:c r="D257" s="373"/>
      <x:c r="E257" s="373"/>
      <x:c r="F257" s="373"/>
      <x:c r="G257" s="373"/>
      <x:c r="H257" s="373"/>
      <x:c r="I257" s="373"/>
      <x:c r="J257" s="373"/>
      <x:c r="K257" s="373"/>
      <x:c r="L257" s="373"/>
      <x:c r="M257" s="373"/>
      <x:c r="N257" s="373"/>
      <x:c r="O257" s="373"/>
      <x:c r="P257" s="373"/>
      <x:c r="Q257" s="373"/>
      <x:c r="R257" s="373"/>
      <x:c r="S257" s="373"/>
      <x:c r="T257" s="373"/>
      <x:c r="U257" s="373"/>
      <x:c r="V257" s="373"/>
      <x:c r="W257" s="373"/>
      <x:c r="X257" s="373"/>
      <x:c r="Y257" s="373"/>
      <x:c r="Z257" s="373"/>
    </x:row>
    <x:row r="258">
      <x:c r="A258" s="373"/>
      <x:c r="B258" s="373"/>
      <x:c r="C258" s="373"/>
      <x:c r="D258" s="373"/>
      <x:c r="E258" s="373"/>
      <x:c r="F258" s="373"/>
      <x:c r="G258" s="373"/>
      <x:c r="H258" s="373"/>
      <x:c r="I258" s="373"/>
      <x:c r="J258" s="373"/>
      <x:c r="K258" s="373"/>
      <x:c r="L258" s="373"/>
      <x:c r="M258" s="373"/>
      <x:c r="N258" s="373"/>
      <x:c r="O258" s="373"/>
      <x:c r="P258" s="373"/>
      <x:c r="Q258" s="373"/>
      <x:c r="R258" s="373"/>
      <x:c r="S258" s="373"/>
      <x:c r="T258" s="373"/>
      <x:c r="U258" s="373"/>
      <x:c r="V258" s="373"/>
      <x:c r="W258" s="373"/>
      <x:c r="X258" s="373"/>
      <x:c r="Y258" s="373"/>
      <x:c r="Z258" s="373"/>
    </x:row>
    <x:row r="259">
      <x:c r="A259" s="373"/>
      <x:c r="B259" s="373"/>
      <x:c r="C259" s="373"/>
      <x:c r="D259" s="373"/>
      <x:c r="E259" s="373"/>
      <x:c r="F259" s="373"/>
      <x:c r="G259" s="373"/>
      <x:c r="H259" s="373"/>
      <x:c r="I259" s="373"/>
      <x:c r="J259" s="373"/>
      <x:c r="K259" s="373"/>
      <x:c r="L259" s="373"/>
      <x:c r="M259" s="373"/>
      <x:c r="N259" s="373"/>
      <x:c r="O259" s="373"/>
      <x:c r="P259" s="373"/>
      <x:c r="Q259" s="373"/>
      <x:c r="R259" s="373"/>
      <x:c r="S259" s="373"/>
      <x:c r="T259" s="373"/>
      <x:c r="U259" s="373"/>
      <x:c r="V259" s="373"/>
      <x:c r="W259" s="373"/>
      <x:c r="X259" s="373"/>
      <x:c r="Y259" s="373"/>
      <x:c r="Z259" s="373"/>
    </x:row>
    <x:row r="260">
      <x:c r="A260" s="373"/>
      <x:c r="B260" s="373"/>
      <x:c r="C260" s="373"/>
      <x:c r="D260" s="373"/>
      <x:c r="E260" s="373"/>
      <x:c r="F260" s="373"/>
      <x:c r="G260" s="373"/>
      <x:c r="H260" s="373"/>
      <x:c r="I260" s="373"/>
      <x:c r="J260" s="373"/>
      <x:c r="K260" s="373"/>
      <x:c r="L260" s="373"/>
      <x:c r="M260" s="373"/>
      <x:c r="N260" s="373"/>
      <x:c r="O260" s="373"/>
      <x:c r="P260" s="373"/>
      <x:c r="Q260" s="373"/>
      <x:c r="R260" s="373"/>
      <x:c r="S260" s="373"/>
      <x:c r="T260" s="373"/>
      <x:c r="U260" s="373"/>
      <x:c r="V260" s="373"/>
      <x:c r="W260" s="373"/>
      <x:c r="X260" s="373"/>
      <x:c r="Y260" s="373"/>
      <x:c r="Z260" s="373"/>
    </x:row>
    <x:row r="261">
      <x:c r="A261" s="373"/>
      <x:c r="B261" s="373"/>
      <x:c r="C261" s="373"/>
      <x:c r="D261" s="373"/>
      <x:c r="E261" s="373"/>
      <x:c r="F261" s="373"/>
      <x:c r="G261" s="373"/>
      <x:c r="H261" s="373"/>
      <x:c r="I261" s="373"/>
      <x:c r="J261" s="373"/>
      <x:c r="K261" s="373"/>
      <x:c r="L261" s="373"/>
      <x:c r="M261" s="373"/>
      <x:c r="N261" s="373"/>
      <x:c r="O261" s="373"/>
      <x:c r="P261" s="373"/>
      <x:c r="Q261" s="373"/>
      <x:c r="R261" s="373"/>
      <x:c r="S261" s="373"/>
      <x:c r="T261" s="373"/>
      <x:c r="U261" s="373"/>
      <x:c r="V261" s="373"/>
      <x:c r="W261" s="373"/>
      <x:c r="X261" s="373"/>
      <x:c r="Y261" s="373"/>
      <x:c r="Z261" s="373"/>
    </x:row>
    <x:row r="262">
      <x:c r="A262" s="373"/>
      <x:c r="B262" s="373"/>
      <x:c r="C262" s="373"/>
      <x:c r="D262" s="373"/>
      <x:c r="E262" s="373"/>
      <x:c r="F262" s="373"/>
      <x:c r="G262" s="373"/>
      <x:c r="H262" s="373"/>
      <x:c r="I262" s="373"/>
      <x:c r="J262" s="373"/>
      <x:c r="K262" s="373"/>
      <x:c r="L262" s="373"/>
      <x:c r="M262" s="373"/>
      <x:c r="N262" s="373"/>
      <x:c r="O262" s="373"/>
      <x:c r="P262" s="373"/>
      <x:c r="Q262" s="373"/>
      <x:c r="R262" s="373"/>
      <x:c r="S262" s="373"/>
      <x:c r="T262" s="373"/>
      <x:c r="U262" s="373"/>
      <x:c r="V262" s="373"/>
      <x:c r="W262" s="373"/>
      <x:c r="X262" s="373"/>
      <x:c r="Y262" s="373"/>
      <x:c r="Z262" s="373"/>
    </x:row>
    <x:row r="263">
      <x:c r="A263" s="373"/>
      <x:c r="B263" s="373"/>
      <x:c r="C263" s="373"/>
      <x:c r="D263" s="373"/>
      <x:c r="E263" s="373"/>
      <x:c r="F263" s="373"/>
      <x:c r="G263" s="373"/>
      <x:c r="H263" s="373"/>
      <x:c r="I263" s="373"/>
      <x:c r="J263" s="373"/>
      <x:c r="K263" s="373"/>
      <x:c r="L263" s="373"/>
      <x:c r="M263" s="373"/>
      <x:c r="N263" s="373"/>
      <x:c r="O263" s="373"/>
      <x:c r="P263" s="373"/>
      <x:c r="Q263" s="373"/>
      <x:c r="R263" s="373"/>
      <x:c r="S263" s="373"/>
      <x:c r="T263" s="373"/>
      <x:c r="U263" s="373"/>
      <x:c r="V263" s="373"/>
      <x:c r="W263" s="373"/>
      <x:c r="X263" s="373"/>
      <x:c r="Y263" s="373"/>
      <x:c r="Z263" s="373"/>
    </x:row>
    <x:row r="264">
      <x:c r="A264" s="373"/>
      <x:c r="B264" s="373"/>
      <x:c r="C264" s="373"/>
      <x:c r="D264" s="373"/>
      <x:c r="E264" s="373"/>
      <x:c r="F264" s="373"/>
      <x:c r="G264" s="373"/>
      <x:c r="H264" s="373"/>
      <x:c r="I264" s="373"/>
      <x:c r="J264" s="373"/>
      <x:c r="K264" s="373"/>
      <x:c r="L264" s="373"/>
      <x:c r="M264" s="373"/>
      <x:c r="N264" s="373"/>
      <x:c r="O264" s="373"/>
      <x:c r="P264" s="373"/>
      <x:c r="Q264" s="373"/>
      <x:c r="R264" s="373"/>
      <x:c r="S264" s="373"/>
      <x:c r="T264" s="373"/>
      <x:c r="U264" s="373"/>
      <x:c r="V264" s="373"/>
      <x:c r="W264" s="373"/>
      <x:c r="X264" s="373"/>
      <x:c r="Y264" s="373"/>
      <x:c r="Z264" s="373"/>
    </x:row>
    <x:row r="265">
      <x:c r="A265" s="373"/>
      <x:c r="B265" s="373"/>
      <x:c r="C265" s="373"/>
      <x:c r="D265" s="373"/>
      <x:c r="E265" s="373"/>
      <x:c r="F265" s="373"/>
      <x:c r="G265" s="373"/>
      <x:c r="H265" s="373"/>
      <x:c r="I265" s="373"/>
      <x:c r="J265" s="373"/>
      <x:c r="K265" s="373"/>
      <x:c r="L265" s="373"/>
      <x:c r="M265" s="373"/>
      <x:c r="N265" s="373"/>
      <x:c r="O265" s="373"/>
      <x:c r="P265" s="373"/>
      <x:c r="Q265" s="373"/>
      <x:c r="R265" s="373"/>
      <x:c r="S265" s="373"/>
      <x:c r="T265" s="373"/>
      <x:c r="U265" s="373"/>
      <x:c r="V265" s="373"/>
      <x:c r="W265" s="373"/>
      <x:c r="X265" s="373"/>
      <x:c r="Y265" s="373"/>
      <x:c r="Z265" s="373"/>
    </x:row>
    <x:row r="266">
      <x:c r="A266" s="373"/>
      <x:c r="B266" s="373"/>
      <x:c r="C266" s="373"/>
      <x:c r="D266" s="373"/>
      <x:c r="E266" s="373"/>
      <x:c r="F266" s="373"/>
      <x:c r="G266" s="373"/>
      <x:c r="H266" s="373"/>
      <x:c r="I266" s="373"/>
      <x:c r="J266" s="373"/>
      <x:c r="K266" s="373"/>
      <x:c r="L266" s="373"/>
      <x:c r="M266" s="373"/>
      <x:c r="N266" s="373"/>
      <x:c r="O266" s="373"/>
      <x:c r="P266" s="373"/>
      <x:c r="Q266" s="373"/>
      <x:c r="R266" s="373"/>
      <x:c r="S266" s="373"/>
      <x:c r="T266" s="373"/>
      <x:c r="U266" s="373"/>
      <x:c r="V266" s="373"/>
      <x:c r="W266" s="373"/>
      <x:c r="X266" s="373"/>
      <x:c r="Y266" s="373"/>
      <x:c r="Z266" s="373"/>
    </x:row>
    <x:row r="267">
      <x:c r="A267" s="373"/>
      <x:c r="B267" s="373"/>
      <x:c r="C267" s="373"/>
      <x:c r="D267" s="373"/>
      <x:c r="E267" s="373"/>
      <x:c r="F267" s="373"/>
      <x:c r="G267" s="373"/>
      <x:c r="H267" s="373"/>
      <x:c r="I267" s="373"/>
      <x:c r="J267" s="373"/>
      <x:c r="K267" s="373"/>
      <x:c r="L267" s="373"/>
      <x:c r="M267" s="373"/>
      <x:c r="N267" s="373"/>
      <x:c r="O267" s="373"/>
      <x:c r="P267" s="373"/>
      <x:c r="Q267" s="373"/>
      <x:c r="R267" s="373"/>
      <x:c r="S267" s="373"/>
      <x:c r="T267" s="373"/>
      <x:c r="U267" s="373"/>
      <x:c r="V267" s="373"/>
      <x:c r="W267" s="373"/>
      <x:c r="X267" s="373"/>
      <x:c r="Y267" s="373"/>
      <x:c r="Z267" s="373"/>
    </x:row>
    <x:row r="268">
      <x:c r="A268" s="373"/>
      <x:c r="B268" s="373"/>
      <x:c r="C268" s="373"/>
      <x:c r="D268" s="373"/>
      <x:c r="E268" s="373"/>
      <x:c r="F268" s="373"/>
      <x:c r="G268" s="373"/>
      <x:c r="H268" s="373"/>
      <x:c r="I268" s="373"/>
      <x:c r="J268" s="373"/>
      <x:c r="K268" s="373"/>
      <x:c r="L268" s="373"/>
      <x:c r="M268" s="373"/>
      <x:c r="N268" s="373"/>
      <x:c r="O268" s="373"/>
      <x:c r="P268" s="373"/>
      <x:c r="Q268" s="373"/>
      <x:c r="R268" s="373"/>
      <x:c r="S268" s="373"/>
      <x:c r="T268" s="373"/>
      <x:c r="U268" s="373"/>
      <x:c r="V268" s="373"/>
      <x:c r="W268" s="373"/>
      <x:c r="X268" s="373"/>
      <x:c r="Y268" s="373"/>
      <x:c r="Z268" s="373"/>
    </x:row>
    <x:row r="269">
      <x:c r="A269" s="373"/>
      <x:c r="B269" s="373"/>
      <x:c r="C269" s="373"/>
      <x:c r="D269" s="373"/>
      <x:c r="E269" s="373"/>
      <x:c r="F269" s="373"/>
      <x:c r="G269" s="373"/>
      <x:c r="H269" s="373"/>
      <x:c r="I269" s="373"/>
      <x:c r="J269" s="373"/>
      <x:c r="K269" s="373"/>
      <x:c r="L269" s="373"/>
      <x:c r="M269" s="373"/>
      <x:c r="N269" s="373"/>
      <x:c r="O269" s="373"/>
      <x:c r="P269" s="373"/>
      <x:c r="Q269" s="373"/>
      <x:c r="R269" s="373"/>
      <x:c r="S269" s="373"/>
      <x:c r="T269" s="373"/>
      <x:c r="U269" s="373"/>
      <x:c r="V269" s="373"/>
      <x:c r="W269" s="373"/>
      <x:c r="X269" s="373"/>
      <x:c r="Y269" s="373"/>
      <x:c r="Z269" s="373"/>
    </x:row>
    <x:row r="270">
      <x:c r="A270" s="373"/>
      <x:c r="B270" s="373"/>
      <x:c r="C270" s="373"/>
      <x:c r="D270" s="373"/>
      <x:c r="E270" s="373"/>
      <x:c r="F270" s="373"/>
      <x:c r="G270" s="373"/>
      <x:c r="H270" s="373"/>
      <x:c r="I270" s="373"/>
      <x:c r="J270" s="373"/>
      <x:c r="K270" s="373"/>
      <x:c r="L270" s="373"/>
      <x:c r="M270" s="373"/>
      <x:c r="N270" s="373"/>
      <x:c r="O270" s="373"/>
      <x:c r="P270" s="373"/>
      <x:c r="Q270" s="373"/>
      <x:c r="R270" s="373"/>
      <x:c r="S270" s="373"/>
      <x:c r="T270" s="373"/>
      <x:c r="U270" s="373"/>
      <x:c r="V270" s="373"/>
      <x:c r="W270" s="373"/>
      <x:c r="X270" s="373"/>
      <x:c r="Y270" s="373"/>
      <x:c r="Z270" s="373"/>
    </x:row>
    <x:row r="271">
      <x:c r="A271" s="373"/>
      <x:c r="B271" s="373"/>
      <x:c r="C271" s="373"/>
      <x:c r="D271" s="373"/>
      <x:c r="E271" s="373"/>
      <x:c r="F271" s="373"/>
      <x:c r="G271" s="373"/>
      <x:c r="H271" s="373"/>
      <x:c r="I271" s="373"/>
      <x:c r="J271" s="373"/>
      <x:c r="K271" s="373"/>
      <x:c r="L271" s="373"/>
      <x:c r="M271" s="373"/>
      <x:c r="N271" s="373"/>
      <x:c r="O271" s="373"/>
      <x:c r="P271" s="373"/>
      <x:c r="Q271" s="373"/>
      <x:c r="R271" s="373"/>
      <x:c r="S271" s="373"/>
      <x:c r="T271" s="373"/>
      <x:c r="U271" s="373"/>
      <x:c r="V271" s="373"/>
      <x:c r="W271" s="373"/>
      <x:c r="X271" s="373"/>
      <x:c r="Y271" s="373"/>
      <x:c r="Z271" s="373"/>
    </x:row>
    <x:row r="272">
      <x:c r="A272" s="373"/>
      <x:c r="B272" s="373"/>
      <x:c r="C272" s="373"/>
      <x:c r="D272" s="373"/>
      <x:c r="E272" s="373"/>
      <x:c r="F272" s="373"/>
      <x:c r="G272" s="373"/>
      <x:c r="H272" s="373"/>
      <x:c r="I272" s="373"/>
      <x:c r="J272" s="373"/>
      <x:c r="K272" s="373"/>
      <x:c r="L272" s="373"/>
      <x:c r="M272" s="373"/>
      <x:c r="N272" s="373"/>
      <x:c r="O272" s="373"/>
      <x:c r="P272" s="373"/>
      <x:c r="Q272" s="373"/>
      <x:c r="R272" s="373"/>
      <x:c r="S272" s="373"/>
      <x:c r="T272" s="373"/>
      <x:c r="U272" s="373"/>
      <x:c r="V272" s="373"/>
      <x:c r="W272" s="373"/>
      <x:c r="X272" s="373"/>
      <x:c r="Y272" s="373"/>
      <x:c r="Z272" s="373"/>
    </x:row>
    <x:row r="273">
      <x:c r="A273" s="373"/>
      <x:c r="B273" s="373"/>
      <x:c r="C273" s="373"/>
      <x:c r="D273" s="373"/>
      <x:c r="E273" s="373"/>
      <x:c r="F273" s="373"/>
      <x:c r="G273" s="373"/>
      <x:c r="H273" s="373"/>
      <x:c r="I273" s="373"/>
      <x:c r="J273" s="373"/>
      <x:c r="K273" s="373"/>
      <x:c r="L273" s="373"/>
      <x:c r="M273" s="373"/>
      <x:c r="N273" s="373"/>
      <x:c r="O273" s="373"/>
      <x:c r="P273" s="373"/>
      <x:c r="Q273" s="373"/>
      <x:c r="R273" s="373"/>
      <x:c r="S273" s="373"/>
      <x:c r="T273" s="373"/>
      <x:c r="U273" s="373"/>
      <x:c r="V273" s="373"/>
      <x:c r="W273" s="373"/>
      <x:c r="X273" s="373"/>
      <x:c r="Y273" s="373"/>
      <x:c r="Z273" s="373"/>
    </x:row>
    <x:row r="274">
      <x:c r="A274" s="373"/>
      <x:c r="B274" s="373"/>
      <x:c r="C274" s="373"/>
      <x:c r="D274" s="373"/>
      <x:c r="E274" s="373"/>
      <x:c r="F274" s="373"/>
      <x:c r="G274" s="373"/>
      <x:c r="H274" s="373"/>
      <x:c r="I274" s="373"/>
      <x:c r="J274" s="373"/>
      <x:c r="K274" s="373"/>
      <x:c r="L274" s="373"/>
      <x:c r="M274" s="373"/>
      <x:c r="N274" s="373"/>
      <x:c r="O274" s="373"/>
      <x:c r="P274" s="373"/>
      <x:c r="Q274" s="373"/>
      <x:c r="R274" s="373"/>
      <x:c r="S274" s="373"/>
      <x:c r="T274" s="373"/>
      <x:c r="U274" s="373"/>
      <x:c r="V274" s="373"/>
      <x:c r="W274" s="373"/>
      <x:c r="X274" s="373"/>
      <x:c r="Y274" s="373"/>
      <x:c r="Z274" s="373"/>
    </x:row>
    <x:row r="275">
      <x:c r="A275" s="373"/>
      <x:c r="B275" s="373"/>
      <x:c r="C275" s="373"/>
      <x:c r="D275" s="373"/>
      <x:c r="E275" s="373"/>
      <x:c r="F275" s="373"/>
      <x:c r="G275" s="373"/>
      <x:c r="H275" s="373"/>
      <x:c r="I275" s="373"/>
      <x:c r="J275" s="373"/>
      <x:c r="K275" s="373"/>
      <x:c r="L275" s="373"/>
      <x:c r="M275" s="373"/>
      <x:c r="N275" s="373"/>
      <x:c r="O275" s="373"/>
      <x:c r="P275" s="373"/>
      <x:c r="Q275" s="373"/>
      <x:c r="R275" s="373"/>
      <x:c r="S275" s="373"/>
      <x:c r="T275" s="373"/>
      <x:c r="U275" s="373"/>
      <x:c r="V275" s="373"/>
      <x:c r="W275" s="373"/>
      <x:c r="X275" s="373"/>
      <x:c r="Y275" s="373"/>
      <x:c r="Z275" s="373"/>
    </x:row>
    <x:row r="276">
      <x:c r="A276" s="373"/>
      <x:c r="B276" s="373"/>
      <x:c r="C276" s="373"/>
      <x:c r="D276" s="373"/>
      <x:c r="E276" s="373"/>
      <x:c r="F276" s="373"/>
      <x:c r="G276" s="373"/>
      <x:c r="H276" s="373"/>
      <x:c r="I276" s="373"/>
      <x:c r="J276" s="373"/>
      <x:c r="K276" s="373"/>
      <x:c r="L276" s="373"/>
      <x:c r="M276" s="373"/>
      <x:c r="N276" s="373"/>
      <x:c r="O276" s="373"/>
      <x:c r="P276" s="373"/>
      <x:c r="Q276" s="373"/>
      <x:c r="R276" s="373"/>
      <x:c r="S276" s="373"/>
      <x:c r="T276" s="373"/>
      <x:c r="U276" s="373"/>
      <x:c r="V276" s="373"/>
      <x:c r="W276" s="373"/>
      <x:c r="X276" s="373"/>
      <x:c r="Y276" s="373"/>
      <x:c r="Z276" s="373"/>
    </x:row>
    <x:row r="277">
      <x:c r="A277" s="373"/>
      <x:c r="B277" s="373"/>
      <x:c r="C277" s="373"/>
      <x:c r="D277" s="373"/>
      <x:c r="E277" s="373"/>
      <x:c r="F277" s="373"/>
      <x:c r="G277" s="373"/>
      <x:c r="H277" s="373"/>
      <x:c r="I277" s="373"/>
      <x:c r="J277" s="373"/>
      <x:c r="K277" s="373"/>
      <x:c r="L277" s="373"/>
      <x:c r="M277" s="373"/>
      <x:c r="N277" s="373"/>
      <x:c r="O277" s="373"/>
      <x:c r="P277" s="373"/>
      <x:c r="Q277" s="373"/>
      <x:c r="R277" s="373"/>
      <x:c r="S277" s="373"/>
      <x:c r="T277" s="373"/>
      <x:c r="U277" s="373"/>
      <x:c r="V277" s="373"/>
      <x:c r="W277" s="373"/>
      <x:c r="X277" s="373"/>
      <x:c r="Y277" s="373"/>
      <x:c r="Z277" s="373"/>
    </x:row>
    <x:row r="278">
      <x:c r="A278" s="373"/>
      <x:c r="B278" s="373"/>
      <x:c r="C278" s="373"/>
      <x:c r="D278" s="373"/>
      <x:c r="E278" s="373"/>
      <x:c r="F278" s="373"/>
      <x:c r="G278" s="373"/>
      <x:c r="H278" s="373"/>
      <x:c r="I278" s="373"/>
      <x:c r="J278" s="373"/>
      <x:c r="K278" s="373"/>
      <x:c r="L278" s="373"/>
      <x:c r="M278" s="373"/>
      <x:c r="N278" s="373"/>
      <x:c r="O278" s="373"/>
      <x:c r="P278" s="373"/>
      <x:c r="Q278" s="373"/>
      <x:c r="R278" s="373"/>
      <x:c r="S278" s="373"/>
      <x:c r="T278" s="373"/>
      <x:c r="U278" s="373"/>
      <x:c r="V278" s="373"/>
      <x:c r="W278" s="373"/>
      <x:c r="X278" s="373"/>
      <x:c r="Y278" s="373"/>
      <x:c r="Z278" s="373"/>
    </x:row>
    <x:row r="279">
      <x:c r="A279" s="373"/>
      <x:c r="B279" s="373"/>
      <x:c r="C279" s="373"/>
      <x:c r="D279" s="373"/>
      <x:c r="E279" s="373"/>
      <x:c r="F279" s="373"/>
      <x:c r="G279" s="373"/>
      <x:c r="H279" s="373"/>
      <x:c r="I279" s="373"/>
      <x:c r="J279" s="373"/>
      <x:c r="K279" s="373"/>
      <x:c r="L279" s="373"/>
      <x:c r="M279" s="373"/>
      <x:c r="N279" s="373"/>
      <x:c r="O279" s="373"/>
      <x:c r="P279" s="373"/>
      <x:c r="Q279" s="373"/>
      <x:c r="R279" s="373"/>
      <x:c r="S279" s="373"/>
      <x:c r="T279" s="373"/>
      <x:c r="U279" s="373"/>
      <x:c r="V279" s="373"/>
      <x:c r="W279" s="373"/>
      <x:c r="X279" s="373"/>
      <x:c r="Y279" s="373"/>
      <x:c r="Z279" s="373"/>
    </x:row>
    <x:row r="280">
      <x:c r="A280" s="373"/>
      <x:c r="B280" s="373"/>
      <x:c r="C280" s="373"/>
      <x:c r="D280" s="373"/>
      <x:c r="E280" s="373"/>
      <x:c r="F280" s="373"/>
      <x:c r="G280" s="373"/>
      <x:c r="H280" s="373"/>
      <x:c r="I280" s="373"/>
      <x:c r="J280" s="373"/>
      <x:c r="K280" s="373"/>
      <x:c r="L280" s="373"/>
      <x:c r="M280" s="373"/>
      <x:c r="N280" s="373"/>
      <x:c r="O280" s="373"/>
      <x:c r="P280" s="373"/>
      <x:c r="Q280" s="373"/>
      <x:c r="R280" s="373"/>
      <x:c r="S280" s="373"/>
      <x:c r="T280" s="373"/>
      <x:c r="U280" s="373"/>
      <x:c r="V280" s="373"/>
      <x:c r="W280" s="373"/>
      <x:c r="X280" s="373"/>
      <x:c r="Y280" s="373"/>
      <x:c r="Z280" s="373"/>
    </x:row>
    <x:row r="281">
      <x:c r="A281" s="373"/>
      <x:c r="B281" s="373"/>
      <x:c r="C281" s="373"/>
      <x:c r="D281" s="373"/>
      <x:c r="E281" s="373"/>
      <x:c r="F281" s="373"/>
      <x:c r="G281" s="373"/>
      <x:c r="H281" s="373"/>
      <x:c r="I281" s="373"/>
      <x:c r="J281" s="373"/>
      <x:c r="K281" s="373"/>
      <x:c r="L281" s="373"/>
      <x:c r="M281" s="373"/>
      <x:c r="N281" s="373"/>
      <x:c r="O281" s="373"/>
      <x:c r="P281" s="373"/>
      <x:c r="Q281" s="373"/>
      <x:c r="R281" s="373"/>
      <x:c r="S281" s="373"/>
      <x:c r="T281" s="373"/>
      <x:c r="U281" s="373"/>
      <x:c r="V281" s="373"/>
      <x:c r="W281" s="373"/>
      <x:c r="X281" s="373"/>
      <x:c r="Y281" s="373"/>
      <x:c r="Z281" s="373"/>
    </x:row>
    <x:row r="282">
      <x:c r="A282" s="373"/>
      <x:c r="B282" s="373"/>
      <x:c r="C282" s="373"/>
      <x:c r="D282" s="373"/>
      <x:c r="E282" s="373"/>
      <x:c r="F282" s="373"/>
      <x:c r="G282" s="373"/>
      <x:c r="H282" s="373"/>
      <x:c r="I282" s="373"/>
      <x:c r="J282" s="373"/>
      <x:c r="K282" s="373"/>
      <x:c r="L282" s="373"/>
      <x:c r="M282" s="373"/>
      <x:c r="N282" s="373"/>
      <x:c r="O282" s="373"/>
      <x:c r="P282" s="373"/>
      <x:c r="Q282" s="373"/>
      <x:c r="R282" s="373"/>
      <x:c r="S282" s="373"/>
      <x:c r="T282" s="373"/>
      <x:c r="U282" s="373"/>
      <x:c r="V282" s="373"/>
      <x:c r="W282" s="373"/>
      <x:c r="X282" s="373"/>
      <x:c r="Y282" s="373"/>
      <x:c r="Z282" s="373"/>
    </x:row>
    <x:row r="283">
      <x:c r="A283" s="373"/>
      <x:c r="B283" s="373"/>
      <x:c r="C283" s="373"/>
      <x:c r="D283" s="373"/>
      <x:c r="E283" s="373"/>
      <x:c r="F283" s="373"/>
      <x:c r="G283" s="373"/>
      <x:c r="H283" s="373"/>
      <x:c r="I283" s="373"/>
      <x:c r="J283" s="373"/>
      <x:c r="K283" s="373"/>
      <x:c r="L283" s="373"/>
      <x:c r="M283" s="373"/>
      <x:c r="N283" s="373"/>
      <x:c r="O283" s="373"/>
      <x:c r="P283" s="373"/>
      <x:c r="Q283" s="373"/>
      <x:c r="R283" s="373"/>
      <x:c r="S283" s="373"/>
      <x:c r="T283" s="373"/>
      <x:c r="U283" s="373"/>
      <x:c r="V283" s="373"/>
      <x:c r="W283" s="373"/>
      <x:c r="X283" s="373"/>
      <x:c r="Y283" s="373"/>
      <x:c r="Z283" s="373"/>
    </x:row>
    <x:row r="284">
      <x:c r="A284" s="373"/>
      <x:c r="B284" s="373"/>
      <x:c r="C284" s="373"/>
      <x:c r="D284" s="373"/>
      <x:c r="E284" s="373"/>
      <x:c r="F284" s="373"/>
      <x:c r="G284" s="373"/>
      <x:c r="H284" s="373"/>
      <x:c r="I284" s="373"/>
      <x:c r="J284" s="373"/>
      <x:c r="K284" s="373"/>
      <x:c r="L284" s="373"/>
      <x:c r="M284" s="373"/>
      <x:c r="N284" s="373"/>
      <x:c r="O284" s="373"/>
      <x:c r="P284" s="373"/>
      <x:c r="Q284" s="373"/>
      <x:c r="R284" s="373"/>
      <x:c r="S284" s="373"/>
      <x:c r="T284" s="373"/>
      <x:c r="U284" s="373"/>
      <x:c r="V284" s="373"/>
      <x:c r="W284" s="373"/>
      <x:c r="X284" s="373"/>
      <x:c r="Y284" s="373"/>
      <x:c r="Z284" s="373"/>
    </x:row>
    <x:row r="285">
      <x:c r="A285" s="373"/>
      <x:c r="B285" s="373"/>
      <x:c r="C285" s="373"/>
      <x:c r="D285" s="373"/>
      <x:c r="E285" s="373"/>
      <x:c r="F285" s="373"/>
      <x:c r="G285" s="373"/>
      <x:c r="H285" s="373"/>
      <x:c r="I285" s="373"/>
      <x:c r="J285" s="373"/>
      <x:c r="K285" s="373"/>
      <x:c r="L285" s="373"/>
      <x:c r="M285" s="373"/>
      <x:c r="N285" s="373"/>
      <x:c r="O285" s="373"/>
      <x:c r="P285" s="373"/>
      <x:c r="Q285" s="373"/>
      <x:c r="R285" s="373"/>
      <x:c r="S285" s="373"/>
      <x:c r="T285" s="373"/>
      <x:c r="U285" s="373"/>
      <x:c r="V285" s="373"/>
      <x:c r="W285" s="373"/>
      <x:c r="X285" s="373"/>
      <x:c r="Y285" s="373"/>
      <x:c r="Z285" s="373"/>
    </x:row>
    <x:row r="286">
      <x:c r="A286" s="373"/>
      <x:c r="B286" s="373"/>
      <x:c r="C286" s="373"/>
      <x:c r="D286" s="373"/>
      <x:c r="E286" s="373"/>
      <x:c r="F286" s="373"/>
      <x:c r="G286" s="373"/>
      <x:c r="H286" s="373"/>
      <x:c r="I286" s="373"/>
      <x:c r="J286" s="373"/>
      <x:c r="K286" s="373"/>
      <x:c r="L286" s="373"/>
      <x:c r="M286" s="373"/>
      <x:c r="N286" s="373"/>
      <x:c r="O286" s="373"/>
      <x:c r="P286" s="373"/>
      <x:c r="Q286" s="373"/>
      <x:c r="R286" s="373"/>
      <x:c r="S286" s="373"/>
      <x:c r="T286" s="373"/>
      <x:c r="U286" s="373"/>
      <x:c r="V286" s="373"/>
      <x:c r="W286" s="373"/>
      <x:c r="X286" s="373"/>
      <x:c r="Y286" s="373"/>
      <x:c r="Z286" s="373"/>
    </x:row>
    <x:row r="287">
      <x:c r="A287" s="373"/>
      <x:c r="B287" s="373"/>
      <x:c r="C287" s="373"/>
      <x:c r="D287" s="373"/>
      <x:c r="E287" s="373"/>
      <x:c r="F287" s="373"/>
      <x:c r="G287" s="373"/>
      <x:c r="H287" s="373"/>
      <x:c r="I287" s="373"/>
      <x:c r="J287" s="373"/>
      <x:c r="K287" s="373"/>
      <x:c r="L287" s="373"/>
      <x:c r="M287" s="373"/>
      <x:c r="N287" s="373"/>
      <x:c r="O287" s="373"/>
      <x:c r="P287" s="373"/>
      <x:c r="Q287" s="373"/>
      <x:c r="R287" s="373"/>
      <x:c r="S287" s="373"/>
      <x:c r="T287" s="373"/>
      <x:c r="U287" s="373"/>
      <x:c r="V287" s="373"/>
      <x:c r="W287" s="373"/>
      <x:c r="X287" s="373"/>
      <x:c r="Y287" s="373"/>
      <x:c r="Z287" s="373"/>
    </x:row>
    <x:row r="288">
      <x:c r="A288" s="373"/>
      <x:c r="B288" s="373"/>
      <x:c r="C288" s="373"/>
      <x:c r="D288" s="373"/>
      <x:c r="E288" s="373"/>
      <x:c r="F288" s="373"/>
      <x:c r="G288" s="373"/>
      <x:c r="H288" s="373"/>
      <x:c r="I288" s="373"/>
      <x:c r="J288" s="373"/>
      <x:c r="K288" s="373"/>
      <x:c r="L288" s="373"/>
      <x:c r="M288" s="373"/>
      <x:c r="N288" s="373"/>
      <x:c r="O288" s="373"/>
      <x:c r="P288" s="373"/>
      <x:c r="Q288" s="373"/>
      <x:c r="R288" s="373"/>
      <x:c r="S288" s="373"/>
      <x:c r="T288" s="373"/>
      <x:c r="U288" s="373"/>
      <x:c r="V288" s="373"/>
      <x:c r="W288" s="373"/>
      <x:c r="X288" s="373"/>
      <x:c r="Y288" s="373"/>
      <x:c r="Z288" s="373"/>
    </x:row>
    <x:row r="289">
      <x:c r="A289" s="373"/>
      <x:c r="B289" s="373"/>
      <x:c r="C289" s="373"/>
      <x:c r="D289" s="373"/>
      <x:c r="E289" s="373"/>
      <x:c r="F289" s="373"/>
      <x:c r="G289" s="373"/>
      <x:c r="H289" s="373"/>
      <x:c r="I289" s="373"/>
      <x:c r="J289" s="373"/>
      <x:c r="K289" s="373"/>
      <x:c r="L289" s="373"/>
      <x:c r="M289" s="373"/>
      <x:c r="N289" s="373"/>
      <x:c r="O289" s="373"/>
      <x:c r="P289" s="373"/>
      <x:c r="Q289" s="373"/>
      <x:c r="R289" s="373"/>
      <x:c r="S289" s="373"/>
      <x:c r="T289" s="373"/>
      <x:c r="U289" s="373"/>
      <x:c r="V289" s="373"/>
      <x:c r="W289" s="373"/>
      <x:c r="X289" s="373"/>
      <x:c r="Y289" s="373"/>
      <x:c r="Z289" s="373"/>
    </x:row>
    <x:row r="290">
      <x:c r="A290" s="373"/>
      <x:c r="B290" s="373"/>
      <x:c r="C290" s="373"/>
      <x:c r="D290" s="373"/>
      <x:c r="E290" s="373"/>
      <x:c r="F290" s="373"/>
      <x:c r="G290" s="373"/>
      <x:c r="H290" s="373"/>
      <x:c r="I290" s="373"/>
      <x:c r="J290" s="373"/>
      <x:c r="K290" s="373"/>
      <x:c r="L290" s="373"/>
      <x:c r="M290" s="373"/>
      <x:c r="N290" s="373"/>
      <x:c r="O290" s="373"/>
      <x:c r="P290" s="373"/>
      <x:c r="Q290" s="373"/>
      <x:c r="R290" s="373"/>
      <x:c r="S290" s="373"/>
      <x:c r="T290" s="373"/>
      <x:c r="U290" s="373"/>
      <x:c r="V290" s="373"/>
      <x:c r="W290" s="373"/>
      <x:c r="X290" s="373"/>
      <x:c r="Y290" s="373"/>
      <x:c r="Z290" s="373"/>
    </x:row>
    <x:row r="291">
      <x:c r="A291" s="373"/>
      <x:c r="B291" s="373"/>
      <x:c r="C291" s="373"/>
      <x:c r="D291" s="373"/>
      <x:c r="E291" s="373"/>
      <x:c r="F291" s="373"/>
      <x:c r="G291" s="373"/>
      <x:c r="H291" s="373"/>
      <x:c r="I291" s="373"/>
      <x:c r="J291" s="373"/>
      <x:c r="K291" s="373"/>
      <x:c r="L291" s="373"/>
      <x:c r="M291" s="373"/>
      <x:c r="N291" s="373"/>
      <x:c r="O291" s="373"/>
      <x:c r="P291" s="373"/>
      <x:c r="Q291" s="373"/>
      <x:c r="R291" s="373"/>
      <x:c r="S291" s="373"/>
      <x:c r="T291" s="373"/>
      <x:c r="U291" s="373"/>
      <x:c r="V291" s="373"/>
      <x:c r="W291" s="373"/>
      <x:c r="X291" s="373"/>
      <x:c r="Y291" s="373"/>
      <x:c r="Z291" s="373"/>
    </x:row>
    <x:row r="292">
      <x:c r="A292" s="373"/>
      <x:c r="B292" s="373"/>
      <x:c r="C292" s="373"/>
      <x:c r="D292" s="373"/>
      <x:c r="E292" s="373"/>
      <x:c r="F292" s="373"/>
      <x:c r="G292" s="373"/>
      <x:c r="H292" s="373"/>
      <x:c r="I292" s="373"/>
      <x:c r="J292" s="373"/>
      <x:c r="K292" s="373"/>
      <x:c r="L292" s="373"/>
      <x:c r="M292" s="373"/>
      <x:c r="N292" s="373"/>
      <x:c r="O292" s="373"/>
      <x:c r="P292" s="373"/>
      <x:c r="Q292" s="373"/>
      <x:c r="R292" s="373"/>
      <x:c r="S292" s="373"/>
      <x:c r="T292" s="373"/>
      <x:c r="U292" s="373"/>
      <x:c r="V292" s="373"/>
      <x:c r="W292" s="373"/>
      <x:c r="X292" s="373"/>
      <x:c r="Y292" s="373"/>
      <x:c r="Z292" s="373"/>
    </x:row>
    <x:row r="293">
      <x:c r="A293" s="373"/>
      <x:c r="B293" s="373"/>
      <x:c r="C293" s="373"/>
      <x:c r="D293" s="373"/>
      <x:c r="E293" s="373"/>
      <x:c r="F293" s="373"/>
      <x:c r="G293" s="373"/>
      <x:c r="H293" s="373"/>
      <x:c r="I293" s="373"/>
      <x:c r="J293" s="373"/>
      <x:c r="K293" s="373"/>
      <x:c r="L293" s="373"/>
      <x:c r="M293" s="373"/>
      <x:c r="N293" s="373"/>
      <x:c r="O293" s="373"/>
      <x:c r="P293" s="373"/>
      <x:c r="Q293" s="373"/>
      <x:c r="R293" s="373"/>
      <x:c r="S293" s="373"/>
      <x:c r="T293" s="373"/>
      <x:c r="U293" s="373"/>
      <x:c r="V293" s="373"/>
      <x:c r="W293" s="373"/>
      <x:c r="X293" s="373"/>
      <x:c r="Y293" s="373"/>
      <x:c r="Z293" s="373"/>
    </x:row>
    <x:row r="294">
      <x:c r="A294" s="373"/>
      <x:c r="B294" s="373"/>
      <x:c r="C294" s="373"/>
      <x:c r="D294" s="373"/>
      <x:c r="E294" s="373"/>
      <x:c r="F294" s="373"/>
      <x:c r="G294" s="373"/>
      <x:c r="H294" s="373"/>
      <x:c r="I294" s="373"/>
      <x:c r="J294" s="373"/>
      <x:c r="K294" s="373"/>
      <x:c r="L294" s="373"/>
      <x:c r="M294" s="373"/>
      <x:c r="N294" s="373"/>
      <x:c r="O294" s="373"/>
      <x:c r="P294" s="373"/>
      <x:c r="Q294" s="373"/>
      <x:c r="R294" s="373"/>
      <x:c r="S294" s="373"/>
      <x:c r="T294" s="373"/>
      <x:c r="U294" s="373"/>
      <x:c r="V294" s="373"/>
      <x:c r="W294" s="373"/>
      <x:c r="X294" s="373"/>
      <x:c r="Y294" s="373"/>
      <x:c r="Z294" s="373"/>
    </x:row>
    <x:row r="295">
      <x:c r="A295" s="373"/>
      <x:c r="B295" s="373"/>
      <x:c r="C295" s="373"/>
      <x:c r="D295" s="373"/>
      <x:c r="E295" s="373"/>
      <x:c r="F295" s="373"/>
      <x:c r="G295" s="373"/>
      <x:c r="H295" s="373"/>
      <x:c r="I295" s="373"/>
      <x:c r="J295" s="373"/>
      <x:c r="K295" s="373"/>
      <x:c r="L295" s="373"/>
      <x:c r="M295" s="373"/>
      <x:c r="N295" s="373"/>
      <x:c r="O295" s="373"/>
      <x:c r="P295" s="373"/>
      <x:c r="Q295" s="373"/>
      <x:c r="R295" s="373"/>
      <x:c r="S295" s="373"/>
      <x:c r="T295" s="373"/>
      <x:c r="U295" s="373"/>
      <x:c r="V295" s="373"/>
      <x:c r="W295" s="373"/>
      <x:c r="X295" s="373"/>
      <x:c r="Y295" s="373"/>
      <x:c r="Z295" s="373"/>
    </x:row>
    <x:row r="296">
      <x:c r="A296" s="373"/>
      <x:c r="B296" s="373"/>
      <x:c r="C296" s="373"/>
      <x:c r="D296" s="373"/>
      <x:c r="E296" s="373"/>
      <x:c r="F296" s="373"/>
      <x:c r="G296" s="373"/>
      <x:c r="H296" s="373"/>
      <x:c r="I296" s="373"/>
      <x:c r="J296" s="373"/>
      <x:c r="K296" s="373"/>
      <x:c r="L296" s="373"/>
      <x:c r="M296" s="373"/>
      <x:c r="N296" s="373"/>
      <x:c r="O296" s="373"/>
      <x:c r="P296" s="373"/>
      <x:c r="Q296" s="373"/>
      <x:c r="R296" s="373"/>
      <x:c r="S296" s="373"/>
      <x:c r="T296" s="373"/>
      <x:c r="U296" s="373"/>
      <x:c r="V296" s="373"/>
      <x:c r="W296" s="373"/>
      <x:c r="X296" s="373"/>
      <x:c r="Y296" s="373"/>
      <x:c r="Z296" s="373"/>
    </x:row>
    <x:row r="297">
      <x:c r="A297" s="373"/>
      <x:c r="B297" s="373"/>
      <x:c r="C297" s="373"/>
      <x:c r="D297" s="373"/>
      <x:c r="E297" s="373"/>
      <x:c r="F297" s="373"/>
      <x:c r="G297" s="373"/>
      <x:c r="H297" s="373"/>
      <x:c r="I297" s="373"/>
      <x:c r="J297" s="373"/>
      <x:c r="K297" s="373"/>
      <x:c r="L297" s="373"/>
      <x:c r="M297" s="373"/>
      <x:c r="N297" s="373"/>
      <x:c r="O297" s="373"/>
      <x:c r="P297" s="373"/>
      <x:c r="Q297" s="373"/>
      <x:c r="R297" s="373"/>
      <x:c r="S297" s="373"/>
      <x:c r="T297" s="373"/>
      <x:c r="U297" s="373"/>
      <x:c r="V297" s="373"/>
      <x:c r="W297" s="373"/>
      <x:c r="X297" s="373"/>
      <x:c r="Y297" s="373"/>
      <x:c r="Z297" s="373"/>
    </x:row>
    <x:row r="298">
      <x:c r="A298" s="373"/>
      <x:c r="B298" s="373"/>
      <x:c r="C298" s="373"/>
      <x:c r="D298" s="373"/>
      <x:c r="E298" s="373"/>
      <x:c r="F298" s="373"/>
      <x:c r="G298" s="373"/>
      <x:c r="H298" s="373"/>
      <x:c r="I298" s="373"/>
      <x:c r="J298" s="373"/>
      <x:c r="K298" s="373"/>
      <x:c r="L298" s="373"/>
      <x:c r="M298" s="373"/>
      <x:c r="N298" s="373"/>
      <x:c r="O298" s="373"/>
      <x:c r="P298" s="373"/>
      <x:c r="Q298" s="373"/>
      <x:c r="R298" s="373"/>
      <x:c r="S298" s="373"/>
      <x:c r="T298" s="373"/>
      <x:c r="U298" s="373"/>
      <x:c r="V298" s="373"/>
      <x:c r="W298" s="373"/>
      <x:c r="X298" s="373"/>
      <x:c r="Y298" s="373"/>
      <x:c r="Z298" s="373"/>
    </x:row>
    <x:row r="299">
      <x:c r="A299" s="373"/>
      <x:c r="B299" s="373"/>
      <x:c r="C299" s="373"/>
      <x:c r="D299" s="373"/>
      <x:c r="E299" s="373"/>
      <x:c r="F299" s="373"/>
      <x:c r="G299" s="373"/>
      <x:c r="H299" s="373"/>
      <x:c r="I299" s="373"/>
      <x:c r="J299" s="373"/>
      <x:c r="K299" s="373"/>
      <x:c r="L299" s="373"/>
      <x:c r="M299" s="373"/>
      <x:c r="N299" s="373"/>
      <x:c r="O299" s="373"/>
      <x:c r="P299" s="373"/>
      <x:c r="Q299" s="373"/>
      <x:c r="R299" s="373"/>
      <x:c r="S299" s="373"/>
      <x:c r="T299" s="373"/>
      <x:c r="U299" s="373"/>
      <x:c r="V299" s="373"/>
      <x:c r="W299" s="373"/>
      <x:c r="X299" s="373"/>
      <x:c r="Y299" s="373"/>
      <x:c r="Z299" s="373"/>
    </x:row>
    <x:row r="300">
      <x:c r="A300" s="373"/>
      <x:c r="B300" s="373"/>
      <x:c r="C300" s="373"/>
      <x:c r="D300" s="373"/>
      <x:c r="E300" s="373"/>
      <x:c r="F300" s="373"/>
      <x:c r="G300" s="373"/>
      <x:c r="H300" s="373"/>
      <x:c r="I300" s="373"/>
      <x:c r="J300" s="373"/>
      <x:c r="K300" s="373"/>
      <x:c r="L300" s="373"/>
      <x:c r="M300" s="373"/>
      <x:c r="N300" s="373"/>
      <x:c r="O300" s="373"/>
      <x:c r="P300" s="373"/>
      <x:c r="Q300" s="373"/>
      <x:c r="R300" s="373"/>
      <x:c r="S300" s="373"/>
      <x:c r="T300" s="373"/>
      <x:c r="U300" s="373"/>
      <x:c r="V300" s="373"/>
      <x:c r="W300" s="373"/>
      <x:c r="X300" s="373"/>
      <x:c r="Y300" s="373"/>
      <x:c r="Z300" s="373"/>
    </x:row>
    <x:row r="301">
      <x:c r="A301" s="373"/>
      <x:c r="B301" s="373"/>
      <x:c r="C301" s="373"/>
      <x:c r="D301" s="373"/>
      <x:c r="E301" s="373"/>
      <x:c r="F301" s="373"/>
      <x:c r="G301" s="373"/>
      <x:c r="H301" s="373"/>
      <x:c r="I301" s="373"/>
      <x:c r="J301" s="373"/>
      <x:c r="K301" s="373"/>
      <x:c r="L301" s="373"/>
      <x:c r="M301" s="373"/>
      <x:c r="N301" s="373"/>
      <x:c r="O301" s="373"/>
      <x:c r="P301" s="373"/>
      <x:c r="Q301" s="373"/>
      <x:c r="R301" s="373"/>
      <x:c r="S301" s="373"/>
      <x:c r="T301" s="373"/>
      <x:c r="U301" s="373"/>
      <x:c r="V301" s="373"/>
      <x:c r="W301" s="373"/>
      <x:c r="X301" s="373"/>
      <x:c r="Y301" s="373"/>
      <x:c r="Z301" s="373"/>
    </x:row>
    <x:row r="302">
      <x:c r="A302" s="373"/>
      <x:c r="B302" s="373"/>
      <x:c r="C302" s="373"/>
      <x:c r="D302" s="373"/>
      <x:c r="E302" s="373"/>
      <x:c r="F302" s="373"/>
      <x:c r="G302" s="373"/>
      <x:c r="H302" s="373"/>
      <x:c r="I302" s="373"/>
      <x:c r="J302" s="373"/>
      <x:c r="K302" s="373"/>
      <x:c r="L302" s="373"/>
      <x:c r="M302" s="373"/>
      <x:c r="N302" s="373"/>
      <x:c r="O302" s="373"/>
      <x:c r="P302" s="373"/>
      <x:c r="Q302" s="373"/>
      <x:c r="R302" s="373"/>
      <x:c r="S302" s="373"/>
      <x:c r="T302" s="373"/>
      <x:c r="U302" s="373"/>
      <x:c r="V302" s="373"/>
      <x:c r="W302" s="373"/>
      <x:c r="X302" s="373"/>
      <x:c r="Y302" s="373"/>
      <x:c r="Z302" s="373"/>
    </x:row>
    <x:row r="303">
      <x:c r="A303" s="373"/>
      <x:c r="B303" s="373"/>
      <x:c r="C303" s="373"/>
      <x:c r="D303" s="373"/>
      <x:c r="E303" s="373"/>
      <x:c r="F303" s="373"/>
      <x:c r="G303" s="373"/>
      <x:c r="H303" s="373"/>
      <x:c r="I303" s="373"/>
      <x:c r="J303" s="373"/>
      <x:c r="K303" s="373"/>
      <x:c r="L303" s="373"/>
      <x:c r="M303" s="373"/>
      <x:c r="N303" s="373"/>
      <x:c r="O303" s="373"/>
      <x:c r="P303" s="373"/>
      <x:c r="Q303" s="373"/>
      <x:c r="R303" s="373"/>
      <x:c r="S303" s="373"/>
      <x:c r="T303" s="373"/>
      <x:c r="U303" s="373"/>
      <x:c r="V303" s="373"/>
      <x:c r="W303" s="373"/>
      <x:c r="X303" s="373"/>
      <x:c r="Y303" s="373"/>
      <x:c r="Z303" s="373"/>
    </x:row>
    <x:row r="304">
      <x:c r="A304" s="373"/>
      <x:c r="B304" s="373"/>
      <x:c r="C304" s="373"/>
      <x:c r="D304" s="373"/>
      <x:c r="E304" s="373"/>
      <x:c r="F304" s="373"/>
      <x:c r="G304" s="373"/>
      <x:c r="H304" s="373"/>
      <x:c r="I304" s="373"/>
      <x:c r="J304" s="373"/>
      <x:c r="K304" s="373"/>
      <x:c r="L304" s="373"/>
      <x:c r="M304" s="373"/>
      <x:c r="N304" s="373"/>
      <x:c r="O304" s="373"/>
      <x:c r="P304" s="373"/>
      <x:c r="Q304" s="373"/>
      <x:c r="R304" s="373"/>
      <x:c r="S304" s="373"/>
      <x:c r="T304" s="373"/>
      <x:c r="U304" s="373"/>
      <x:c r="V304" s="373"/>
      <x:c r="W304" s="373"/>
      <x:c r="X304" s="373"/>
      <x:c r="Y304" s="373"/>
      <x:c r="Z304" s="373"/>
    </x:row>
    <x:row r="305">
      <x:c r="A305" s="373"/>
      <x:c r="B305" s="373"/>
      <x:c r="C305" s="373"/>
      <x:c r="D305" s="373"/>
      <x:c r="E305" s="373"/>
      <x:c r="F305" s="373"/>
      <x:c r="G305" s="373"/>
      <x:c r="H305" s="373"/>
      <x:c r="I305" s="373"/>
      <x:c r="J305" s="373"/>
      <x:c r="K305" s="373"/>
      <x:c r="L305" s="373"/>
      <x:c r="M305" s="373"/>
      <x:c r="N305" s="373"/>
      <x:c r="O305" s="373"/>
      <x:c r="P305" s="373"/>
      <x:c r="Q305" s="373"/>
      <x:c r="R305" s="373"/>
      <x:c r="S305" s="373"/>
      <x:c r="T305" s="373"/>
      <x:c r="U305" s="373"/>
      <x:c r="V305" s="373"/>
      <x:c r="W305" s="373"/>
      <x:c r="X305" s="373"/>
      <x:c r="Y305" s="373"/>
      <x:c r="Z305" s="373"/>
    </x:row>
    <x:row r="306">
      <x:c r="A306" s="373"/>
      <x:c r="B306" s="373"/>
      <x:c r="C306" s="373"/>
      <x:c r="D306" s="373"/>
      <x:c r="E306" s="373"/>
      <x:c r="F306" s="373"/>
      <x:c r="G306" s="373"/>
      <x:c r="H306" s="373"/>
      <x:c r="I306" s="373"/>
      <x:c r="J306" s="373"/>
      <x:c r="K306" s="373"/>
      <x:c r="L306" s="373"/>
      <x:c r="M306" s="373"/>
      <x:c r="N306" s="373"/>
      <x:c r="O306" s="373"/>
      <x:c r="P306" s="373"/>
      <x:c r="Q306" s="373"/>
      <x:c r="R306" s="373"/>
      <x:c r="S306" s="373"/>
      <x:c r="T306" s="373"/>
      <x:c r="U306" s="373"/>
      <x:c r="V306" s="373"/>
      <x:c r="W306" s="373"/>
      <x:c r="X306" s="373"/>
      <x:c r="Y306" s="373"/>
      <x:c r="Z306" s="373"/>
    </x:row>
    <x:row r="307">
      <x:c r="A307" s="373"/>
      <x:c r="B307" s="373"/>
      <x:c r="C307" s="373"/>
      <x:c r="D307" s="373"/>
      <x:c r="E307" s="373"/>
      <x:c r="F307" s="373"/>
      <x:c r="G307" s="373"/>
      <x:c r="H307" s="373"/>
      <x:c r="I307" s="373"/>
      <x:c r="J307" s="373"/>
      <x:c r="K307" s="373"/>
      <x:c r="L307" s="373"/>
      <x:c r="M307" s="373"/>
      <x:c r="N307" s="373"/>
      <x:c r="O307" s="373"/>
      <x:c r="P307" s="373"/>
      <x:c r="Q307" s="373"/>
      <x:c r="R307" s="373"/>
      <x:c r="S307" s="373"/>
      <x:c r="T307" s="373"/>
      <x:c r="U307" s="373"/>
      <x:c r="V307" s="373"/>
      <x:c r="W307" s="373"/>
      <x:c r="X307" s="373"/>
      <x:c r="Y307" s="373"/>
      <x:c r="Z307" s="373"/>
    </x:row>
    <x:row r="308">
      <x:c r="A308" s="373"/>
      <x:c r="B308" s="373"/>
      <x:c r="C308" s="373"/>
      <x:c r="D308" s="373"/>
      <x:c r="E308" s="373"/>
      <x:c r="F308" s="373"/>
      <x:c r="G308" s="373"/>
      <x:c r="H308" s="373"/>
      <x:c r="I308" s="373"/>
      <x:c r="J308" s="373"/>
      <x:c r="K308" s="373"/>
      <x:c r="L308" s="373"/>
      <x:c r="M308" s="373"/>
      <x:c r="N308" s="373"/>
      <x:c r="O308" s="373"/>
      <x:c r="P308" s="373"/>
      <x:c r="Q308" s="373"/>
      <x:c r="R308" s="373"/>
      <x:c r="S308" s="373"/>
      <x:c r="T308" s="373"/>
      <x:c r="U308" s="373"/>
      <x:c r="V308" s="373"/>
      <x:c r="W308" s="373"/>
      <x:c r="X308" s="373"/>
      <x:c r="Y308" s="373"/>
      <x:c r="Z308" s="373"/>
    </x:row>
    <x:row r="309">
      <x:c r="A309" s="373"/>
      <x:c r="B309" s="373"/>
      <x:c r="C309" s="373"/>
      <x:c r="D309" s="373"/>
      <x:c r="E309" s="373"/>
      <x:c r="F309" s="373"/>
      <x:c r="G309" s="373"/>
      <x:c r="H309" s="373"/>
      <x:c r="I309" s="373"/>
      <x:c r="J309" s="373"/>
      <x:c r="K309" s="373"/>
      <x:c r="L309" s="373"/>
      <x:c r="M309" s="373"/>
      <x:c r="N309" s="373"/>
      <x:c r="O309" s="373"/>
      <x:c r="P309" s="373"/>
      <x:c r="Q309" s="373"/>
      <x:c r="R309" s="373"/>
      <x:c r="S309" s="373"/>
      <x:c r="T309" s="373"/>
      <x:c r="U309" s="373"/>
      <x:c r="V309" s="373"/>
      <x:c r="W309" s="373"/>
      <x:c r="X309" s="373"/>
      <x:c r="Y309" s="373"/>
      <x:c r="Z309" s="373"/>
    </x:row>
    <x:row r="310">
      <x:c r="A310" s="373"/>
      <x:c r="B310" s="373"/>
      <x:c r="C310" s="373"/>
      <x:c r="D310" s="373"/>
      <x:c r="E310" s="373"/>
      <x:c r="F310" s="373"/>
      <x:c r="G310" s="373"/>
      <x:c r="H310" s="373"/>
      <x:c r="I310" s="373"/>
      <x:c r="J310" s="373"/>
      <x:c r="K310" s="373"/>
      <x:c r="L310" s="373"/>
      <x:c r="M310" s="373"/>
      <x:c r="N310" s="373"/>
      <x:c r="O310" s="373"/>
      <x:c r="P310" s="373"/>
      <x:c r="Q310" s="373"/>
      <x:c r="R310" s="373"/>
      <x:c r="S310" s="373"/>
      <x:c r="T310" s="373"/>
      <x:c r="U310" s="373"/>
      <x:c r="V310" s="373"/>
      <x:c r="W310" s="373"/>
      <x:c r="X310" s="373"/>
      <x:c r="Y310" s="373"/>
      <x:c r="Z310" s="373"/>
    </x:row>
    <x:row r="311">
      <x:c r="A311" s="373"/>
      <x:c r="B311" s="373"/>
      <x:c r="C311" s="373"/>
      <x:c r="D311" s="373"/>
      <x:c r="E311" s="373"/>
      <x:c r="F311" s="373"/>
      <x:c r="G311" s="373"/>
      <x:c r="H311" s="373"/>
      <x:c r="I311" s="373"/>
      <x:c r="J311" s="373"/>
      <x:c r="K311" s="373"/>
      <x:c r="L311" s="373"/>
      <x:c r="M311" s="373"/>
      <x:c r="N311" s="373"/>
      <x:c r="O311" s="373"/>
      <x:c r="P311" s="373"/>
      <x:c r="Q311" s="373"/>
      <x:c r="R311" s="373"/>
      <x:c r="S311" s="373"/>
      <x:c r="T311" s="373"/>
      <x:c r="U311" s="373"/>
      <x:c r="V311" s="373"/>
      <x:c r="W311" s="373"/>
      <x:c r="X311" s="373"/>
      <x:c r="Y311" s="373"/>
      <x:c r="Z311" s="373"/>
    </x:row>
    <x:row r="312">
      <x:c r="A312" s="373"/>
      <x:c r="B312" s="373"/>
      <x:c r="C312" s="373"/>
      <x:c r="D312" s="373"/>
      <x:c r="E312" s="373"/>
      <x:c r="F312" s="373"/>
      <x:c r="G312" s="373"/>
      <x:c r="H312" s="373"/>
      <x:c r="I312" s="373"/>
      <x:c r="J312" s="373"/>
      <x:c r="K312" s="373"/>
      <x:c r="L312" s="373"/>
      <x:c r="M312" s="373"/>
      <x:c r="N312" s="373"/>
      <x:c r="O312" s="373"/>
      <x:c r="P312" s="373"/>
      <x:c r="Q312" s="373"/>
      <x:c r="R312" s="373"/>
      <x:c r="S312" s="373"/>
      <x:c r="T312" s="373"/>
      <x:c r="U312" s="373"/>
      <x:c r="V312" s="373"/>
      <x:c r="W312" s="373"/>
      <x:c r="X312" s="373"/>
      <x:c r="Y312" s="373"/>
      <x:c r="Z312" s="373"/>
    </x:row>
    <x:row r="313">
      <x:c r="A313" s="373"/>
      <x:c r="B313" s="373"/>
      <x:c r="C313" s="373"/>
      <x:c r="D313" s="373"/>
      <x:c r="E313" s="373"/>
      <x:c r="F313" s="373"/>
      <x:c r="G313" s="373"/>
      <x:c r="H313" s="373"/>
      <x:c r="I313" s="373"/>
      <x:c r="J313" s="373"/>
      <x:c r="K313" s="373"/>
      <x:c r="L313" s="373"/>
      <x:c r="M313" s="373"/>
      <x:c r="N313" s="373"/>
      <x:c r="O313" s="373"/>
      <x:c r="P313" s="373"/>
      <x:c r="Q313" s="373"/>
      <x:c r="R313" s="373"/>
      <x:c r="S313" s="373"/>
      <x:c r="T313" s="373"/>
      <x:c r="U313" s="373"/>
      <x:c r="V313" s="373"/>
      <x:c r="W313" s="373"/>
      <x:c r="X313" s="373"/>
      <x:c r="Y313" s="373"/>
      <x:c r="Z313" s="373"/>
    </x:row>
    <x:row r="314">
      <x:c r="A314" s="373"/>
      <x:c r="B314" s="373"/>
      <x:c r="C314" s="373"/>
      <x:c r="D314" s="373"/>
      <x:c r="E314" s="373"/>
      <x:c r="F314" s="373"/>
      <x:c r="G314" s="373"/>
      <x:c r="H314" s="373"/>
      <x:c r="I314" s="373"/>
      <x:c r="J314" s="373"/>
      <x:c r="K314" s="373"/>
      <x:c r="L314" s="373"/>
      <x:c r="M314" s="373"/>
      <x:c r="N314" s="373"/>
      <x:c r="O314" s="373"/>
      <x:c r="P314" s="373"/>
      <x:c r="Q314" s="373"/>
      <x:c r="R314" s="373"/>
      <x:c r="S314" s="373"/>
      <x:c r="T314" s="373"/>
      <x:c r="U314" s="373"/>
      <x:c r="V314" s="373"/>
      <x:c r="W314" s="373"/>
      <x:c r="X314" s="373"/>
      <x:c r="Y314" s="373"/>
      <x:c r="Z314" s="373"/>
    </x:row>
    <x:row r="315">
      <x:c r="A315" s="373"/>
      <x:c r="B315" s="373"/>
      <x:c r="C315" s="373"/>
      <x:c r="D315" s="373"/>
      <x:c r="E315" s="373"/>
      <x:c r="F315" s="373"/>
      <x:c r="G315" s="373"/>
      <x:c r="H315" s="373"/>
      <x:c r="I315" s="373"/>
      <x:c r="J315" s="373"/>
      <x:c r="K315" s="373"/>
      <x:c r="L315" s="373"/>
      <x:c r="M315" s="373"/>
      <x:c r="N315" s="373"/>
      <x:c r="O315" s="373"/>
      <x:c r="P315" s="373"/>
      <x:c r="Q315" s="373"/>
      <x:c r="R315" s="373"/>
      <x:c r="S315" s="373"/>
      <x:c r="T315" s="373"/>
      <x:c r="U315" s="373"/>
      <x:c r="V315" s="373"/>
      <x:c r="W315" s="373"/>
      <x:c r="X315" s="373"/>
      <x:c r="Y315" s="373"/>
      <x:c r="Z315" s="373"/>
    </x:row>
    <x:row r="316">
      <x:c r="A316" s="373"/>
      <x:c r="B316" s="373"/>
      <x:c r="C316" s="373"/>
      <x:c r="D316" s="373"/>
      <x:c r="E316" s="373"/>
      <x:c r="F316" s="373"/>
      <x:c r="G316" s="373"/>
      <x:c r="H316" s="373"/>
      <x:c r="I316" s="373"/>
      <x:c r="J316" s="373"/>
      <x:c r="K316" s="373"/>
      <x:c r="L316" s="373"/>
      <x:c r="M316" s="373"/>
      <x:c r="N316" s="373"/>
      <x:c r="O316" s="373"/>
      <x:c r="P316" s="373"/>
      <x:c r="Q316" s="373"/>
      <x:c r="R316" s="373"/>
      <x:c r="S316" s="373"/>
      <x:c r="T316" s="373"/>
      <x:c r="U316" s="373"/>
      <x:c r="V316" s="373"/>
      <x:c r="W316" s="373"/>
      <x:c r="X316" s="373"/>
      <x:c r="Y316" s="373"/>
      <x:c r="Z316" s="373"/>
    </x:row>
    <x:row r="317">
      <x:c r="A317" s="373"/>
      <x:c r="B317" s="373"/>
      <x:c r="C317" s="373"/>
      <x:c r="D317" s="373"/>
      <x:c r="E317" s="373"/>
      <x:c r="F317" s="373"/>
      <x:c r="G317" s="373"/>
      <x:c r="H317" s="373"/>
      <x:c r="I317" s="373"/>
      <x:c r="J317" s="373"/>
      <x:c r="K317" s="373"/>
      <x:c r="L317" s="373"/>
      <x:c r="M317" s="373"/>
      <x:c r="N317" s="373"/>
      <x:c r="O317" s="373"/>
      <x:c r="P317" s="373"/>
      <x:c r="Q317" s="373"/>
      <x:c r="R317" s="373"/>
      <x:c r="S317" s="373"/>
      <x:c r="T317" s="373"/>
      <x:c r="U317" s="373"/>
      <x:c r="V317" s="373"/>
      <x:c r="W317" s="373"/>
      <x:c r="X317" s="373"/>
      <x:c r="Y317" s="373"/>
      <x:c r="Z317" s="373"/>
    </x:row>
    <x:row r="318">
      <x:c r="A318" s="373"/>
      <x:c r="B318" s="373"/>
      <x:c r="C318" s="373"/>
      <x:c r="D318" s="373"/>
      <x:c r="E318" s="373"/>
      <x:c r="F318" s="373"/>
      <x:c r="G318" s="373"/>
      <x:c r="H318" s="373"/>
      <x:c r="I318" s="373"/>
      <x:c r="J318" s="373"/>
      <x:c r="K318" s="373"/>
      <x:c r="L318" s="373"/>
      <x:c r="M318" s="373"/>
      <x:c r="N318" s="373"/>
      <x:c r="O318" s="373"/>
      <x:c r="P318" s="373"/>
      <x:c r="Q318" s="373"/>
      <x:c r="R318" s="373"/>
      <x:c r="S318" s="373"/>
      <x:c r="T318" s="373"/>
      <x:c r="U318" s="373"/>
      <x:c r="V318" s="373"/>
      <x:c r="W318" s="373"/>
      <x:c r="X318" s="373"/>
      <x:c r="Y318" s="373"/>
      <x:c r="Z318" s="373"/>
    </x:row>
    <x:row r="319">
      <x:c r="A319" s="373"/>
      <x:c r="B319" s="373"/>
      <x:c r="C319" s="373"/>
      <x:c r="D319" s="373"/>
      <x:c r="E319" s="373"/>
      <x:c r="F319" s="373"/>
      <x:c r="G319" s="373"/>
      <x:c r="H319" s="373"/>
      <x:c r="I319" s="373"/>
      <x:c r="J319" s="373"/>
      <x:c r="K319" s="373"/>
      <x:c r="L319" s="373"/>
      <x:c r="M319" s="373"/>
      <x:c r="N319" s="373"/>
      <x:c r="O319" s="373"/>
      <x:c r="P319" s="373"/>
      <x:c r="Q319" s="373"/>
      <x:c r="R319" s="373"/>
      <x:c r="S319" s="373"/>
      <x:c r="T319" s="373"/>
      <x:c r="U319" s="373"/>
      <x:c r="V319" s="373"/>
      <x:c r="W319" s="373"/>
      <x:c r="X319" s="373"/>
      <x:c r="Y319" s="373"/>
      <x:c r="Z319" s="373"/>
    </x:row>
    <x:row r="320">
      <x:c r="A320" s="373"/>
      <x:c r="B320" s="373"/>
      <x:c r="C320" s="373"/>
      <x:c r="D320" s="373"/>
      <x:c r="E320" s="373"/>
      <x:c r="F320" s="373"/>
      <x:c r="G320" s="373"/>
      <x:c r="H320" s="373"/>
      <x:c r="I320" s="373"/>
      <x:c r="J320" s="373"/>
      <x:c r="K320" s="373"/>
      <x:c r="L320" s="373"/>
      <x:c r="M320" s="373"/>
      <x:c r="N320" s="373"/>
      <x:c r="O320" s="373"/>
      <x:c r="P320" s="373"/>
      <x:c r="Q320" s="373"/>
      <x:c r="R320" s="373"/>
      <x:c r="S320" s="373"/>
      <x:c r="T320" s="373"/>
      <x:c r="U320" s="373"/>
      <x:c r="V320" s="373"/>
      <x:c r="W320" s="373"/>
      <x:c r="X320" s="373"/>
      <x:c r="Y320" s="373"/>
      <x:c r="Z320" s="373"/>
    </x:row>
    <x:row r="321">
      <x:c r="A321" s="373"/>
      <x:c r="B321" s="373"/>
      <x:c r="C321" s="373"/>
      <x:c r="D321" s="373"/>
      <x:c r="E321" s="373"/>
      <x:c r="F321" s="373"/>
      <x:c r="G321" s="373"/>
      <x:c r="H321" s="373"/>
      <x:c r="I321" s="373"/>
      <x:c r="J321" s="373"/>
      <x:c r="K321" s="373"/>
      <x:c r="L321" s="373"/>
      <x:c r="M321" s="373"/>
      <x:c r="N321" s="373"/>
      <x:c r="O321" s="373"/>
      <x:c r="P321" s="373"/>
      <x:c r="Q321" s="373"/>
      <x:c r="R321" s="373"/>
      <x:c r="S321" s="373"/>
      <x:c r="T321" s="373"/>
      <x:c r="U321" s="373"/>
      <x:c r="V321" s="373"/>
      <x:c r="W321" s="373"/>
      <x:c r="X321" s="373"/>
      <x:c r="Y321" s="373"/>
      <x:c r="Z321" s="373"/>
    </x:row>
    <x:row r="322">
      <x:c r="A322" s="373"/>
      <x:c r="B322" s="373"/>
      <x:c r="C322" s="373"/>
      <x:c r="D322" s="373"/>
      <x:c r="E322" s="373"/>
      <x:c r="F322" s="373"/>
      <x:c r="G322" s="373"/>
      <x:c r="H322" s="373"/>
      <x:c r="I322" s="373"/>
      <x:c r="J322" s="373"/>
      <x:c r="K322" s="373"/>
      <x:c r="L322" s="373"/>
      <x:c r="M322" s="373"/>
      <x:c r="N322" s="373"/>
      <x:c r="O322" s="373"/>
      <x:c r="P322" s="373"/>
      <x:c r="Q322" s="373"/>
      <x:c r="R322" s="373"/>
      <x:c r="S322" s="373"/>
      <x:c r="T322" s="373"/>
      <x:c r="U322" s="373"/>
      <x:c r="V322" s="373"/>
      <x:c r="W322" s="373"/>
      <x:c r="X322" s="373"/>
      <x:c r="Y322" s="373"/>
      <x:c r="Z322" s="373"/>
    </x:row>
    <x:row r="323">
      <x:c r="A323" s="373"/>
      <x:c r="B323" s="373"/>
      <x:c r="C323" s="373"/>
      <x:c r="D323" s="373"/>
      <x:c r="E323" s="373"/>
      <x:c r="F323" s="373"/>
      <x:c r="G323" s="373"/>
      <x:c r="H323" s="373"/>
      <x:c r="I323" s="373"/>
      <x:c r="J323" s="373"/>
      <x:c r="K323" s="373"/>
      <x:c r="L323" s="373"/>
      <x:c r="M323" s="373"/>
      <x:c r="N323" s="373"/>
      <x:c r="O323" s="373"/>
      <x:c r="P323" s="373"/>
      <x:c r="Q323" s="373"/>
      <x:c r="R323" s="373"/>
      <x:c r="S323" s="373"/>
      <x:c r="T323" s="373"/>
      <x:c r="U323" s="373"/>
      <x:c r="V323" s="373"/>
      <x:c r="W323" s="373"/>
      <x:c r="X323" s="373"/>
      <x:c r="Y323" s="373"/>
      <x:c r="Z323" s="373"/>
    </x:row>
    <x:row r="324">
      <x:c r="A324" s="373"/>
      <x:c r="B324" s="373"/>
      <x:c r="C324" s="373"/>
      <x:c r="D324" s="373"/>
      <x:c r="E324" s="373"/>
      <x:c r="F324" s="373"/>
      <x:c r="G324" s="373"/>
      <x:c r="H324" s="373"/>
      <x:c r="I324" s="373"/>
      <x:c r="J324" s="373"/>
      <x:c r="K324" s="373"/>
      <x:c r="L324" s="373"/>
      <x:c r="M324" s="373"/>
      <x:c r="N324" s="373"/>
      <x:c r="O324" s="373"/>
      <x:c r="P324" s="373"/>
      <x:c r="Q324" s="373"/>
      <x:c r="R324" s="373"/>
      <x:c r="S324" s="373"/>
      <x:c r="T324" s="373"/>
      <x:c r="U324" s="373"/>
      <x:c r="V324" s="373"/>
      <x:c r="W324" s="373"/>
      <x:c r="X324" s="373"/>
      <x:c r="Y324" s="373"/>
      <x:c r="Z324" s="373"/>
    </x:row>
    <x:row r="325">
      <x:c r="A325" s="373"/>
      <x:c r="B325" s="373"/>
      <x:c r="C325" s="373"/>
      <x:c r="D325" s="373"/>
      <x:c r="E325" s="373"/>
      <x:c r="F325" s="373"/>
      <x:c r="G325" s="373"/>
      <x:c r="H325" s="373"/>
      <x:c r="I325" s="373"/>
      <x:c r="J325" s="373"/>
      <x:c r="K325" s="373"/>
      <x:c r="L325" s="373"/>
      <x:c r="M325" s="373"/>
      <x:c r="N325" s="373"/>
      <x:c r="O325" s="373"/>
      <x:c r="P325" s="373"/>
      <x:c r="Q325" s="373"/>
      <x:c r="R325" s="373"/>
      <x:c r="S325" s="373"/>
      <x:c r="T325" s="373"/>
      <x:c r="U325" s="373"/>
      <x:c r="V325" s="373"/>
      <x:c r="W325" s="373"/>
      <x:c r="X325" s="373"/>
      <x:c r="Y325" s="373"/>
      <x:c r="Z325" s="373"/>
    </x:row>
    <x:row r="326">
      <x:c r="A326" s="373"/>
      <x:c r="B326" s="373"/>
      <x:c r="C326" s="373"/>
      <x:c r="D326" s="373"/>
      <x:c r="E326" s="373"/>
      <x:c r="F326" s="373"/>
      <x:c r="G326" s="373"/>
      <x:c r="H326" s="373"/>
      <x:c r="I326" s="373"/>
      <x:c r="J326" s="373"/>
      <x:c r="K326" s="373"/>
      <x:c r="L326" s="373"/>
      <x:c r="M326" s="373"/>
      <x:c r="N326" s="373"/>
      <x:c r="O326" s="373"/>
      <x:c r="P326" s="373"/>
      <x:c r="Q326" s="373"/>
      <x:c r="R326" s="373"/>
      <x:c r="S326" s="373"/>
      <x:c r="T326" s="373"/>
      <x:c r="U326" s="373"/>
      <x:c r="V326" s="373"/>
      <x:c r="W326" s="373"/>
      <x:c r="X326" s="373"/>
      <x:c r="Y326" s="373"/>
      <x:c r="Z326" s="373"/>
    </x:row>
    <x:row r="327">
      <x:c r="A327" s="373"/>
      <x:c r="B327" s="373"/>
      <x:c r="C327" s="373"/>
      <x:c r="D327" s="373"/>
      <x:c r="E327" s="373"/>
      <x:c r="F327" s="373"/>
      <x:c r="G327" s="373"/>
      <x:c r="H327" s="373"/>
      <x:c r="I327" s="373"/>
      <x:c r="J327" s="373"/>
      <x:c r="K327" s="373"/>
      <x:c r="L327" s="373"/>
      <x:c r="M327" s="373"/>
      <x:c r="N327" s="373"/>
      <x:c r="O327" s="373"/>
      <x:c r="P327" s="373"/>
      <x:c r="Q327" s="373"/>
      <x:c r="R327" s="373"/>
      <x:c r="S327" s="373"/>
      <x:c r="T327" s="373"/>
      <x:c r="U327" s="373"/>
      <x:c r="V327" s="373"/>
      <x:c r="W327" s="373"/>
      <x:c r="X327" s="373"/>
      <x:c r="Y327" s="373"/>
      <x:c r="Z327" s="373"/>
    </x:row>
    <x:row r="328">
      <x:c r="A328" s="373"/>
      <x:c r="B328" s="373"/>
      <x:c r="C328" s="373"/>
      <x:c r="D328" s="373"/>
      <x:c r="E328" s="373"/>
      <x:c r="F328" s="373"/>
      <x:c r="G328" s="373"/>
      <x:c r="H328" s="373"/>
      <x:c r="I328" s="373"/>
      <x:c r="J328" s="373"/>
      <x:c r="K328" s="373"/>
      <x:c r="L328" s="373"/>
      <x:c r="M328" s="373"/>
      <x:c r="N328" s="373"/>
      <x:c r="O328" s="373"/>
      <x:c r="P328" s="373"/>
      <x:c r="Q328" s="373"/>
      <x:c r="R328" s="373"/>
      <x:c r="S328" s="373"/>
      <x:c r="T328" s="373"/>
      <x:c r="U328" s="373"/>
      <x:c r="V328" s="373"/>
      <x:c r="W328" s="373"/>
      <x:c r="X328" s="373"/>
      <x:c r="Y328" s="373"/>
      <x:c r="Z328" s="373"/>
    </x:row>
    <x:row r="329">
      <x:c r="A329" s="373"/>
      <x:c r="B329" s="373"/>
      <x:c r="C329" s="373"/>
      <x:c r="D329" s="373"/>
      <x:c r="E329" s="373"/>
      <x:c r="F329" s="373"/>
      <x:c r="G329" s="373"/>
      <x:c r="H329" s="373"/>
      <x:c r="I329" s="373"/>
      <x:c r="J329" s="373"/>
      <x:c r="K329" s="373"/>
      <x:c r="L329" s="373"/>
      <x:c r="M329" s="373"/>
      <x:c r="N329" s="373"/>
      <x:c r="O329" s="373"/>
      <x:c r="P329" s="373"/>
      <x:c r="Q329" s="373"/>
      <x:c r="R329" s="373"/>
      <x:c r="S329" s="373"/>
      <x:c r="T329" s="373"/>
      <x:c r="U329" s="373"/>
      <x:c r="V329" s="373"/>
      <x:c r="W329" s="373"/>
      <x:c r="X329" s="373"/>
      <x:c r="Y329" s="373"/>
      <x:c r="Z329" s="373"/>
    </x:row>
    <x:row r="330">
      <x:c r="A330" s="373"/>
      <x:c r="B330" s="373"/>
      <x:c r="C330" s="373"/>
      <x:c r="D330" s="373"/>
      <x:c r="E330" s="373"/>
      <x:c r="F330" s="373"/>
      <x:c r="G330" s="373"/>
      <x:c r="H330" s="373"/>
      <x:c r="I330" s="373"/>
      <x:c r="J330" s="373"/>
      <x:c r="K330" s="373"/>
      <x:c r="L330" s="373"/>
      <x:c r="M330" s="373"/>
      <x:c r="N330" s="373"/>
      <x:c r="O330" s="373"/>
      <x:c r="P330" s="373"/>
      <x:c r="Q330" s="373"/>
      <x:c r="R330" s="373"/>
      <x:c r="S330" s="373"/>
      <x:c r="T330" s="373"/>
      <x:c r="U330" s="373"/>
      <x:c r="V330" s="373"/>
      <x:c r="W330" s="373"/>
      <x:c r="X330" s="373"/>
      <x:c r="Y330" s="373"/>
      <x:c r="Z330" s="373"/>
    </x:row>
    <x:row r="331">
      <x:c r="A331" s="373"/>
      <x:c r="B331" s="373"/>
      <x:c r="C331" s="373"/>
      <x:c r="D331" s="373"/>
      <x:c r="E331" s="373"/>
      <x:c r="F331" s="373"/>
      <x:c r="G331" s="373"/>
      <x:c r="H331" s="373"/>
      <x:c r="I331" s="373"/>
      <x:c r="J331" s="373"/>
      <x:c r="K331" s="373"/>
      <x:c r="L331" s="373"/>
      <x:c r="M331" s="373"/>
      <x:c r="N331" s="373"/>
      <x:c r="O331" s="373"/>
      <x:c r="P331" s="373"/>
      <x:c r="Q331" s="373"/>
      <x:c r="R331" s="373"/>
      <x:c r="S331" s="373"/>
      <x:c r="T331" s="373"/>
      <x:c r="U331" s="373"/>
      <x:c r="V331" s="373"/>
      <x:c r="W331" s="373"/>
      <x:c r="X331" s="373"/>
      <x:c r="Y331" s="373"/>
      <x:c r="Z331" s="373"/>
    </x:row>
    <x:row r="332">
      <x:c r="A332" s="373"/>
      <x:c r="B332" s="373"/>
      <x:c r="C332" s="373"/>
      <x:c r="D332" s="373"/>
      <x:c r="E332" s="373"/>
      <x:c r="F332" s="373"/>
      <x:c r="G332" s="373"/>
      <x:c r="H332" s="373"/>
      <x:c r="I332" s="373"/>
      <x:c r="J332" s="373"/>
      <x:c r="K332" s="373"/>
      <x:c r="L332" s="373"/>
      <x:c r="M332" s="373"/>
      <x:c r="N332" s="373"/>
      <x:c r="O332" s="373"/>
      <x:c r="P332" s="373"/>
      <x:c r="Q332" s="373"/>
      <x:c r="R332" s="373"/>
      <x:c r="S332" s="373"/>
      <x:c r="T332" s="373"/>
      <x:c r="U332" s="373"/>
      <x:c r="V332" s="373"/>
      <x:c r="W332" s="373"/>
      <x:c r="X332" s="373"/>
      <x:c r="Y332" s="373"/>
      <x:c r="Z332" s="373"/>
    </x:row>
    <x:row r="333">
      <x:c r="A333" s="373"/>
      <x:c r="B333" s="373"/>
      <x:c r="C333" s="373"/>
      <x:c r="D333" s="373"/>
      <x:c r="E333" s="373"/>
      <x:c r="F333" s="373"/>
      <x:c r="G333" s="373"/>
      <x:c r="H333" s="373"/>
      <x:c r="I333" s="373"/>
      <x:c r="J333" s="373"/>
      <x:c r="K333" s="373"/>
      <x:c r="L333" s="373"/>
      <x:c r="M333" s="373"/>
      <x:c r="N333" s="373"/>
      <x:c r="O333" s="373"/>
      <x:c r="P333" s="373"/>
      <x:c r="Q333" s="373"/>
      <x:c r="R333" s="373"/>
      <x:c r="S333" s="373"/>
      <x:c r="T333" s="373"/>
      <x:c r="U333" s="373"/>
      <x:c r="V333" s="373"/>
      <x:c r="W333" s="373"/>
      <x:c r="X333" s="373"/>
      <x:c r="Y333" s="373"/>
      <x:c r="Z333" s="373"/>
    </x:row>
    <x:row r="334">
      <x:c r="A334" s="373"/>
      <x:c r="B334" s="373"/>
      <x:c r="C334" s="373"/>
      <x:c r="D334" s="373"/>
      <x:c r="E334" s="373"/>
      <x:c r="F334" s="373"/>
      <x:c r="G334" s="373"/>
      <x:c r="H334" s="373"/>
      <x:c r="I334" s="373"/>
      <x:c r="J334" s="373"/>
      <x:c r="K334" s="373"/>
      <x:c r="L334" s="373"/>
      <x:c r="M334" s="373"/>
      <x:c r="N334" s="373"/>
      <x:c r="O334" s="373"/>
      <x:c r="P334" s="373"/>
      <x:c r="Q334" s="373"/>
      <x:c r="R334" s="373"/>
      <x:c r="S334" s="373"/>
      <x:c r="T334" s="373"/>
      <x:c r="U334" s="373"/>
      <x:c r="V334" s="373"/>
      <x:c r="W334" s="373"/>
      <x:c r="X334" s="373"/>
      <x:c r="Y334" s="373"/>
      <x:c r="Z334" s="373"/>
    </x:row>
    <x:row r="335">
      <x:c r="A335" s="373"/>
      <x:c r="B335" s="373"/>
      <x:c r="C335" s="373"/>
      <x:c r="D335" s="373"/>
      <x:c r="E335" s="373"/>
      <x:c r="F335" s="373"/>
      <x:c r="G335" s="373"/>
      <x:c r="H335" s="373"/>
      <x:c r="I335" s="373"/>
      <x:c r="J335" s="373"/>
      <x:c r="K335" s="373"/>
      <x:c r="L335" s="373"/>
      <x:c r="M335" s="373"/>
      <x:c r="N335" s="373"/>
      <x:c r="O335" s="373"/>
      <x:c r="P335" s="373"/>
      <x:c r="Q335" s="373"/>
      <x:c r="R335" s="373"/>
      <x:c r="S335" s="373"/>
      <x:c r="T335" s="373"/>
      <x:c r="U335" s="373"/>
      <x:c r="V335" s="373"/>
      <x:c r="W335" s="373"/>
      <x:c r="X335" s="373"/>
      <x:c r="Y335" s="373"/>
      <x:c r="Z335" s="373"/>
    </x:row>
    <x:row r="336">
      <x:c r="A336" s="373"/>
      <x:c r="B336" s="373"/>
      <x:c r="C336" s="373"/>
      <x:c r="D336" s="373"/>
      <x:c r="E336" s="373"/>
      <x:c r="F336" s="373"/>
      <x:c r="G336" s="373"/>
      <x:c r="H336" s="373"/>
      <x:c r="I336" s="373"/>
      <x:c r="J336" s="373"/>
      <x:c r="K336" s="373"/>
      <x:c r="L336" s="373"/>
      <x:c r="M336" s="373"/>
      <x:c r="N336" s="373"/>
      <x:c r="O336" s="373"/>
      <x:c r="P336" s="373"/>
      <x:c r="Q336" s="373"/>
      <x:c r="R336" s="373"/>
      <x:c r="S336" s="373"/>
      <x:c r="T336" s="373"/>
      <x:c r="U336" s="373"/>
      <x:c r="V336" s="373"/>
      <x:c r="W336" s="373"/>
      <x:c r="X336" s="373"/>
      <x:c r="Y336" s="373"/>
      <x:c r="Z336" s="373"/>
    </x:row>
    <x:row r="337">
      <x:c r="A337" s="373"/>
      <x:c r="B337" s="373"/>
      <x:c r="C337" s="373"/>
      <x:c r="D337" s="373"/>
      <x:c r="E337" s="373"/>
      <x:c r="F337" s="373"/>
      <x:c r="G337" s="373"/>
      <x:c r="H337" s="373"/>
      <x:c r="I337" s="373"/>
      <x:c r="J337" s="373"/>
      <x:c r="K337" s="373"/>
      <x:c r="L337" s="373"/>
      <x:c r="M337" s="373"/>
      <x:c r="N337" s="373"/>
      <x:c r="O337" s="373"/>
      <x:c r="P337" s="373"/>
      <x:c r="Q337" s="373"/>
      <x:c r="R337" s="373"/>
      <x:c r="S337" s="373"/>
      <x:c r="T337" s="373"/>
      <x:c r="U337" s="373"/>
      <x:c r="V337" s="373"/>
      <x:c r="W337" s="373"/>
      <x:c r="X337" s="373"/>
      <x:c r="Y337" s="373"/>
      <x:c r="Z337" s="373"/>
    </x:row>
    <x:row r="338">
      <x:c r="A338" s="373"/>
      <x:c r="B338" s="373"/>
      <x:c r="C338" s="373"/>
      <x:c r="D338" s="373"/>
      <x:c r="E338" s="373"/>
      <x:c r="F338" s="373"/>
      <x:c r="G338" s="373"/>
      <x:c r="H338" s="373"/>
      <x:c r="I338" s="373"/>
      <x:c r="J338" s="373"/>
      <x:c r="K338" s="373"/>
      <x:c r="L338" s="373"/>
      <x:c r="M338" s="373"/>
      <x:c r="N338" s="373"/>
      <x:c r="O338" s="373"/>
      <x:c r="P338" s="373"/>
      <x:c r="Q338" s="373"/>
      <x:c r="R338" s="373"/>
      <x:c r="S338" s="373"/>
      <x:c r="T338" s="373"/>
      <x:c r="U338" s="373"/>
      <x:c r="V338" s="373"/>
      <x:c r="W338" s="373"/>
      <x:c r="X338" s="373"/>
      <x:c r="Y338" s="373"/>
      <x:c r="Z338" s="373"/>
    </x:row>
    <x:row r="339">
      <x:c r="A339" s="373"/>
      <x:c r="B339" s="373"/>
      <x:c r="C339" s="373"/>
      <x:c r="D339" s="373"/>
      <x:c r="E339" s="373"/>
      <x:c r="F339" s="373"/>
      <x:c r="G339" s="373"/>
      <x:c r="H339" s="373"/>
      <x:c r="I339" s="373"/>
      <x:c r="J339" s="373"/>
      <x:c r="K339" s="373"/>
      <x:c r="L339" s="373"/>
      <x:c r="M339" s="373"/>
      <x:c r="N339" s="373"/>
      <x:c r="O339" s="373"/>
      <x:c r="P339" s="373"/>
      <x:c r="Q339" s="373"/>
      <x:c r="R339" s="373"/>
      <x:c r="S339" s="373"/>
      <x:c r="T339" s="373"/>
      <x:c r="U339" s="373"/>
      <x:c r="V339" s="373"/>
      <x:c r="W339" s="373"/>
      <x:c r="X339" s="373"/>
      <x:c r="Y339" s="373"/>
      <x:c r="Z339" s="373"/>
    </x:row>
    <x:row r="340">
      <x:c r="A340" s="373"/>
      <x:c r="B340" s="373"/>
      <x:c r="C340" s="373"/>
      <x:c r="D340" s="373"/>
      <x:c r="E340" s="373"/>
      <x:c r="F340" s="373"/>
      <x:c r="G340" s="373"/>
      <x:c r="H340" s="373"/>
      <x:c r="I340" s="373"/>
      <x:c r="J340" s="373"/>
      <x:c r="K340" s="373"/>
      <x:c r="L340" s="373"/>
      <x:c r="M340" s="373"/>
      <x:c r="N340" s="373"/>
      <x:c r="O340" s="373"/>
      <x:c r="P340" s="373"/>
      <x:c r="Q340" s="373"/>
      <x:c r="R340" s="373"/>
      <x:c r="S340" s="373"/>
      <x:c r="T340" s="373"/>
      <x:c r="U340" s="373"/>
      <x:c r="V340" s="373"/>
      <x:c r="W340" s="373"/>
      <x:c r="X340" s="373"/>
      <x:c r="Y340" s="373"/>
      <x:c r="Z340" s="373"/>
    </x:row>
    <x:row r="341">
      <x:c r="A341" s="373"/>
      <x:c r="B341" s="373"/>
      <x:c r="C341" s="373"/>
      <x:c r="D341" s="373"/>
      <x:c r="E341" s="373"/>
      <x:c r="F341" s="373"/>
      <x:c r="G341" s="373"/>
      <x:c r="H341" s="373"/>
      <x:c r="I341" s="373"/>
      <x:c r="J341" s="373"/>
      <x:c r="K341" s="373"/>
      <x:c r="L341" s="373"/>
      <x:c r="M341" s="373"/>
      <x:c r="N341" s="373"/>
      <x:c r="O341" s="373"/>
      <x:c r="P341" s="373"/>
      <x:c r="Q341" s="373"/>
      <x:c r="R341" s="373"/>
      <x:c r="S341" s="373"/>
      <x:c r="T341" s="373"/>
      <x:c r="U341" s="373"/>
      <x:c r="V341" s="373"/>
      <x:c r="W341" s="373"/>
      <x:c r="X341" s="373"/>
      <x:c r="Y341" s="373"/>
      <x:c r="Z341" s="373"/>
    </x:row>
    <x:row r="342">
      <x:c r="A342" s="373"/>
      <x:c r="B342" s="373"/>
      <x:c r="C342" s="373"/>
      <x:c r="D342" s="373"/>
      <x:c r="E342" s="373"/>
      <x:c r="F342" s="373"/>
      <x:c r="G342" s="373"/>
      <x:c r="H342" s="373"/>
      <x:c r="I342" s="373"/>
      <x:c r="J342" s="373"/>
      <x:c r="K342" s="373"/>
      <x:c r="L342" s="373"/>
      <x:c r="M342" s="373"/>
      <x:c r="N342" s="373"/>
      <x:c r="O342" s="373"/>
      <x:c r="P342" s="373"/>
      <x:c r="Q342" s="373"/>
      <x:c r="R342" s="373"/>
      <x:c r="S342" s="373"/>
      <x:c r="T342" s="373"/>
      <x:c r="U342" s="373"/>
      <x:c r="V342" s="373"/>
      <x:c r="W342" s="373"/>
      <x:c r="X342" s="373"/>
      <x:c r="Y342" s="373"/>
      <x:c r="Z342" s="373"/>
    </x:row>
    <x:row r="343">
      <x:c r="A343" s="373"/>
      <x:c r="B343" s="373"/>
      <x:c r="C343" s="373"/>
      <x:c r="D343" s="373"/>
      <x:c r="E343" s="373"/>
      <x:c r="F343" s="373"/>
      <x:c r="G343" s="373"/>
      <x:c r="H343" s="373"/>
      <x:c r="I343" s="373"/>
      <x:c r="J343" s="373"/>
      <x:c r="K343" s="373"/>
      <x:c r="L343" s="373"/>
      <x:c r="M343" s="373"/>
      <x:c r="N343" s="373"/>
      <x:c r="O343" s="373"/>
      <x:c r="P343" s="373"/>
      <x:c r="Q343" s="373"/>
      <x:c r="R343" s="373"/>
      <x:c r="S343" s="373"/>
      <x:c r="T343" s="373"/>
      <x:c r="U343" s="373"/>
      <x:c r="V343" s="373"/>
      <x:c r="W343" s="373"/>
      <x:c r="X343" s="373"/>
      <x:c r="Y343" s="373"/>
      <x:c r="Z343" s="373"/>
    </x:row>
    <x:row r="344">
      <x:c r="A344" s="373"/>
      <x:c r="B344" s="373"/>
      <x:c r="C344" s="373"/>
      <x:c r="D344" s="373"/>
      <x:c r="E344" s="373"/>
      <x:c r="F344" s="373"/>
      <x:c r="G344" s="373"/>
      <x:c r="H344" s="373"/>
      <x:c r="I344" s="373"/>
      <x:c r="J344" s="373"/>
      <x:c r="K344" s="373"/>
      <x:c r="L344" s="373"/>
      <x:c r="M344" s="373"/>
      <x:c r="N344" s="373"/>
      <x:c r="O344" s="373"/>
      <x:c r="P344" s="373"/>
      <x:c r="Q344" s="373"/>
      <x:c r="R344" s="373"/>
      <x:c r="S344" s="373"/>
      <x:c r="T344" s="373"/>
      <x:c r="U344" s="373"/>
      <x:c r="V344" s="373"/>
      <x:c r="W344" s="373"/>
      <x:c r="X344" s="373"/>
      <x:c r="Y344" s="373"/>
      <x:c r="Z344" s="373"/>
    </x:row>
    <x:row r="345">
      <x:c r="A345" s="373"/>
      <x:c r="B345" s="373"/>
      <x:c r="C345" s="373"/>
      <x:c r="D345" s="373"/>
      <x:c r="E345" s="373"/>
      <x:c r="F345" s="373"/>
      <x:c r="G345" s="373"/>
      <x:c r="H345" s="373"/>
      <x:c r="I345" s="373"/>
      <x:c r="J345" s="373"/>
      <x:c r="K345" s="373"/>
      <x:c r="L345" s="373"/>
      <x:c r="M345" s="373"/>
      <x:c r="N345" s="373"/>
      <x:c r="O345" s="373"/>
      <x:c r="P345" s="373"/>
      <x:c r="Q345" s="373"/>
      <x:c r="R345" s="373"/>
      <x:c r="S345" s="373"/>
      <x:c r="T345" s="373"/>
      <x:c r="U345" s="373"/>
      <x:c r="V345" s="373"/>
      <x:c r="W345" s="373"/>
      <x:c r="X345" s="373"/>
      <x:c r="Y345" s="373"/>
      <x:c r="Z345" s="373"/>
    </x:row>
    <x:row r="346">
      <x:c r="A346" s="373"/>
      <x:c r="B346" s="373"/>
      <x:c r="C346" s="373"/>
      <x:c r="D346" s="373"/>
      <x:c r="E346" s="373"/>
      <x:c r="F346" s="373"/>
      <x:c r="G346" s="373"/>
      <x:c r="H346" s="373"/>
      <x:c r="I346" s="373"/>
      <x:c r="J346" s="373"/>
      <x:c r="K346" s="373"/>
      <x:c r="L346" s="373"/>
      <x:c r="M346" s="373"/>
      <x:c r="N346" s="373"/>
      <x:c r="O346" s="373"/>
      <x:c r="P346" s="373"/>
      <x:c r="Q346" s="373"/>
      <x:c r="R346" s="373"/>
      <x:c r="S346" s="373"/>
      <x:c r="T346" s="373"/>
      <x:c r="U346" s="373"/>
      <x:c r="V346" s="373"/>
      <x:c r="W346" s="373"/>
      <x:c r="X346" s="373"/>
      <x:c r="Y346" s="373"/>
      <x:c r="Z346" s="373"/>
    </x:row>
    <x:row r="347">
      <x:c r="A347" s="373"/>
      <x:c r="B347" s="373"/>
      <x:c r="C347" s="373"/>
      <x:c r="D347" s="373"/>
      <x:c r="E347" s="373"/>
      <x:c r="F347" s="373"/>
      <x:c r="G347" s="373"/>
      <x:c r="H347" s="373"/>
      <x:c r="I347" s="373"/>
      <x:c r="J347" s="373"/>
      <x:c r="K347" s="373"/>
      <x:c r="L347" s="373"/>
      <x:c r="M347" s="373"/>
      <x:c r="N347" s="373"/>
      <x:c r="O347" s="373"/>
      <x:c r="P347" s="373"/>
      <x:c r="Q347" s="373"/>
      <x:c r="R347" s="373"/>
      <x:c r="S347" s="373"/>
      <x:c r="T347" s="373"/>
      <x:c r="U347" s="373"/>
      <x:c r="V347" s="373"/>
      <x:c r="W347" s="373"/>
      <x:c r="X347" s="373"/>
      <x:c r="Y347" s="373"/>
      <x:c r="Z347" s="373"/>
    </x:row>
    <x:row r="348">
      <x:c r="A348" s="373"/>
      <x:c r="B348" s="373"/>
      <x:c r="C348" s="373"/>
      <x:c r="D348" s="373"/>
      <x:c r="E348" s="373"/>
      <x:c r="F348" s="373"/>
      <x:c r="G348" s="373"/>
      <x:c r="H348" s="373"/>
      <x:c r="I348" s="373"/>
      <x:c r="J348" s="373"/>
      <x:c r="K348" s="373"/>
      <x:c r="L348" s="373"/>
      <x:c r="M348" s="373"/>
      <x:c r="N348" s="373"/>
      <x:c r="O348" s="373"/>
      <x:c r="P348" s="373"/>
      <x:c r="Q348" s="373"/>
      <x:c r="R348" s="373"/>
      <x:c r="S348" s="373"/>
      <x:c r="T348" s="373"/>
      <x:c r="U348" s="373"/>
      <x:c r="V348" s="373"/>
      <x:c r="W348" s="373"/>
      <x:c r="X348" s="373"/>
      <x:c r="Y348" s="373"/>
      <x:c r="Z348" s="373"/>
    </x:row>
    <x:row r="349">
      <x:c r="A349" s="373"/>
      <x:c r="B349" s="373"/>
      <x:c r="C349" s="373"/>
      <x:c r="D349" s="373"/>
      <x:c r="E349" s="373"/>
      <x:c r="F349" s="373"/>
      <x:c r="G349" s="373"/>
      <x:c r="H349" s="373"/>
      <x:c r="I349" s="373"/>
      <x:c r="J349" s="373"/>
      <x:c r="K349" s="373"/>
      <x:c r="L349" s="373"/>
      <x:c r="M349" s="373"/>
      <x:c r="N349" s="373"/>
      <x:c r="O349" s="373"/>
      <x:c r="P349" s="373"/>
      <x:c r="Q349" s="373"/>
      <x:c r="R349" s="373"/>
      <x:c r="S349" s="373"/>
      <x:c r="T349" s="373"/>
      <x:c r="U349" s="373"/>
      <x:c r="V349" s="373"/>
      <x:c r="W349" s="373"/>
      <x:c r="X349" s="373"/>
      <x:c r="Y349" s="373"/>
      <x:c r="Z349" s="373"/>
    </x:row>
    <x:row r="350">
      <x:c r="A350" s="373"/>
      <x:c r="B350" s="373"/>
      <x:c r="C350" s="373"/>
      <x:c r="D350" s="373"/>
      <x:c r="E350" s="373"/>
      <x:c r="F350" s="373"/>
      <x:c r="G350" s="373"/>
      <x:c r="H350" s="373"/>
      <x:c r="I350" s="373"/>
      <x:c r="J350" s="373"/>
      <x:c r="K350" s="373"/>
      <x:c r="L350" s="373"/>
      <x:c r="M350" s="373"/>
      <x:c r="N350" s="373"/>
      <x:c r="O350" s="373"/>
      <x:c r="P350" s="373"/>
      <x:c r="Q350" s="373"/>
      <x:c r="R350" s="373"/>
      <x:c r="S350" s="373"/>
      <x:c r="T350" s="373"/>
      <x:c r="U350" s="373"/>
      <x:c r="V350" s="373"/>
      <x:c r="W350" s="373"/>
      <x:c r="X350" s="373"/>
      <x:c r="Y350" s="373"/>
      <x:c r="Z350" s="373"/>
    </x:row>
    <x:row r="351">
      <x:c r="A351" s="373"/>
      <x:c r="B351" s="373"/>
      <x:c r="C351" s="373"/>
      <x:c r="D351" s="373"/>
      <x:c r="E351" s="373"/>
      <x:c r="F351" s="373"/>
      <x:c r="G351" s="373"/>
      <x:c r="H351" s="373"/>
      <x:c r="I351" s="373"/>
      <x:c r="J351" s="373"/>
      <x:c r="K351" s="373"/>
      <x:c r="L351" s="373"/>
      <x:c r="M351" s="373"/>
      <x:c r="N351" s="373"/>
      <x:c r="O351" s="373"/>
      <x:c r="P351" s="373"/>
      <x:c r="Q351" s="373"/>
      <x:c r="R351" s="373"/>
      <x:c r="S351" s="373"/>
      <x:c r="T351" s="373"/>
      <x:c r="U351" s="373"/>
      <x:c r="V351" s="373"/>
      <x:c r="W351" s="373"/>
      <x:c r="X351" s="373"/>
      <x:c r="Y351" s="373"/>
      <x:c r="Z351" s="373"/>
    </x:row>
    <x:row r="352">
      <x:c r="A352" s="373"/>
      <x:c r="B352" s="373"/>
      <x:c r="C352" s="373"/>
      <x:c r="D352" s="373"/>
      <x:c r="E352" s="373"/>
      <x:c r="F352" s="373"/>
      <x:c r="G352" s="373"/>
      <x:c r="H352" s="373"/>
      <x:c r="I352" s="373"/>
      <x:c r="J352" s="373"/>
      <x:c r="K352" s="373"/>
      <x:c r="L352" s="373"/>
      <x:c r="M352" s="373"/>
      <x:c r="N352" s="373"/>
      <x:c r="O352" s="373"/>
      <x:c r="P352" s="373"/>
      <x:c r="Q352" s="373"/>
      <x:c r="R352" s="373"/>
      <x:c r="S352" s="373"/>
      <x:c r="T352" s="373"/>
      <x:c r="U352" s="373"/>
      <x:c r="V352" s="373"/>
      <x:c r="W352" s="373"/>
      <x:c r="X352" s="373"/>
      <x:c r="Y352" s="373"/>
      <x:c r="Z352" s="373"/>
    </x:row>
    <x:row r="353">
      <x:c r="A353" s="373"/>
      <x:c r="B353" s="373"/>
      <x:c r="C353" s="373"/>
      <x:c r="D353" s="373"/>
      <x:c r="E353" s="373"/>
      <x:c r="F353" s="373"/>
      <x:c r="G353" s="373"/>
      <x:c r="H353" s="373"/>
      <x:c r="I353" s="373"/>
      <x:c r="J353" s="373"/>
      <x:c r="K353" s="373"/>
      <x:c r="L353" s="373"/>
      <x:c r="M353" s="373"/>
      <x:c r="N353" s="373"/>
      <x:c r="O353" s="373"/>
      <x:c r="P353" s="373"/>
      <x:c r="Q353" s="373"/>
      <x:c r="R353" s="373"/>
      <x:c r="S353" s="373"/>
      <x:c r="T353" s="373"/>
      <x:c r="U353" s="373"/>
      <x:c r="V353" s="373"/>
      <x:c r="W353" s="373"/>
      <x:c r="X353" s="373"/>
      <x:c r="Y353" s="373"/>
      <x:c r="Z353" s="373"/>
    </x:row>
    <x:row r="354">
      <x:c r="A354" s="373"/>
      <x:c r="B354" s="373"/>
      <x:c r="C354" s="373"/>
      <x:c r="D354" s="373"/>
      <x:c r="E354" s="373"/>
      <x:c r="F354" s="373"/>
      <x:c r="G354" s="373"/>
      <x:c r="H354" s="373"/>
      <x:c r="I354" s="373"/>
      <x:c r="J354" s="373"/>
      <x:c r="K354" s="373"/>
      <x:c r="L354" s="373"/>
      <x:c r="M354" s="373"/>
      <x:c r="N354" s="373"/>
      <x:c r="O354" s="373"/>
      <x:c r="P354" s="373"/>
      <x:c r="Q354" s="373"/>
      <x:c r="R354" s="373"/>
      <x:c r="S354" s="373"/>
      <x:c r="T354" s="373"/>
      <x:c r="U354" s="373"/>
      <x:c r="V354" s="373"/>
      <x:c r="W354" s="373"/>
      <x:c r="X354" s="373"/>
      <x:c r="Y354" s="373"/>
      <x:c r="Z354" s="373"/>
    </x:row>
    <x:row r="355">
      <x:c r="A355" s="373"/>
      <x:c r="B355" s="373"/>
      <x:c r="C355" s="373"/>
      <x:c r="D355" s="373"/>
      <x:c r="E355" s="373"/>
      <x:c r="F355" s="373"/>
      <x:c r="G355" s="373"/>
      <x:c r="H355" s="373"/>
      <x:c r="I355" s="373"/>
      <x:c r="J355" s="373"/>
      <x:c r="K355" s="373"/>
      <x:c r="L355" s="373"/>
      <x:c r="M355" s="373"/>
      <x:c r="N355" s="373"/>
      <x:c r="O355" s="373"/>
      <x:c r="P355" s="373"/>
      <x:c r="Q355" s="373"/>
      <x:c r="R355" s="373"/>
      <x:c r="S355" s="373"/>
      <x:c r="T355" s="373"/>
      <x:c r="U355" s="373"/>
      <x:c r="V355" s="373"/>
      <x:c r="W355" s="373"/>
      <x:c r="X355" s="373"/>
      <x:c r="Y355" s="373"/>
      <x:c r="Z355" s="373"/>
    </x:row>
    <x:row r="356">
      <x:c r="A356" s="373"/>
      <x:c r="B356" s="373"/>
      <x:c r="C356" s="373"/>
      <x:c r="D356" s="373"/>
      <x:c r="E356" s="373"/>
      <x:c r="F356" s="373"/>
      <x:c r="G356" s="373"/>
      <x:c r="H356" s="373"/>
      <x:c r="I356" s="373"/>
      <x:c r="J356" s="373"/>
      <x:c r="K356" s="373"/>
      <x:c r="L356" s="373"/>
      <x:c r="M356" s="373"/>
      <x:c r="N356" s="373"/>
      <x:c r="O356" s="373"/>
      <x:c r="P356" s="373"/>
      <x:c r="Q356" s="373"/>
      <x:c r="R356" s="373"/>
      <x:c r="S356" s="373"/>
      <x:c r="T356" s="373"/>
      <x:c r="U356" s="373"/>
      <x:c r="V356" s="373"/>
      <x:c r="W356" s="373"/>
      <x:c r="X356" s="373"/>
      <x:c r="Y356" s="373"/>
      <x:c r="Z356" s="373"/>
    </x:row>
    <x:row r="357">
      <x:c r="A357" s="373"/>
      <x:c r="B357" s="373"/>
      <x:c r="C357" s="373"/>
      <x:c r="D357" s="373"/>
      <x:c r="E357" s="373"/>
      <x:c r="F357" s="373"/>
      <x:c r="G357" s="373"/>
      <x:c r="H357" s="373"/>
      <x:c r="I357" s="373"/>
      <x:c r="J357" s="373"/>
      <x:c r="K357" s="373"/>
      <x:c r="L357" s="373"/>
      <x:c r="M357" s="373"/>
      <x:c r="N357" s="373"/>
      <x:c r="O357" s="373"/>
      <x:c r="P357" s="373"/>
      <x:c r="Q357" s="373"/>
      <x:c r="R357" s="373"/>
      <x:c r="S357" s="373"/>
      <x:c r="T357" s="373"/>
      <x:c r="U357" s="373"/>
      <x:c r="V357" s="373"/>
      <x:c r="W357" s="373"/>
      <x:c r="X357" s="373"/>
      <x:c r="Y357" s="373"/>
      <x:c r="Z357" s="373"/>
    </x:row>
    <x:row r="358">
      <x:c r="A358" s="373"/>
      <x:c r="B358" s="373"/>
      <x:c r="C358" s="373"/>
      <x:c r="D358" s="373"/>
      <x:c r="E358" s="373"/>
      <x:c r="F358" s="373"/>
      <x:c r="G358" s="373"/>
      <x:c r="H358" s="373"/>
      <x:c r="I358" s="373"/>
      <x:c r="J358" s="373"/>
      <x:c r="K358" s="373"/>
      <x:c r="L358" s="373"/>
      <x:c r="M358" s="373"/>
      <x:c r="N358" s="373"/>
      <x:c r="O358" s="373"/>
      <x:c r="P358" s="373"/>
      <x:c r="Q358" s="373"/>
      <x:c r="R358" s="373"/>
      <x:c r="S358" s="373"/>
      <x:c r="T358" s="373"/>
      <x:c r="U358" s="373"/>
      <x:c r="V358" s="373"/>
      <x:c r="W358" s="373"/>
      <x:c r="X358" s="373"/>
      <x:c r="Y358" s="373"/>
      <x:c r="Z358" s="373"/>
    </x:row>
    <x:row r="359">
      <x:c r="A359" s="373"/>
      <x:c r="B359" s="373"/>
      <x:c r="C359" s="373"/>
      <x:c r="D359" s="373"/>
      <x:c r="E359" s="373"/>
      <x:c r="F359" s="373"/>
      <x:c r="G359" s="373"/>
      <x:c r="H359" s="373"/>
      <x:c r="I359" s="373"/>
      <x:c r="J359" s="373"/>
      <x:c r="K359" s="373"/>
      <x:c r="L359" s="373"/>
      <x:c r="M359" s="373"/>
      <x:c r="N359" s="373"/>
      <x:c r="O359" s="373"/>
      <x:c r="P359" s="373"/>
      <x:c r="Q359" s="373"/>
      <x:c r="R359" s="373"/>
      <x:c r="S359" s="373"/>
      <x:c r="T359" s="373"/>
      <x:c r="U359" s="373"/>
      <x:c r="V359" s="373"/>
      <x:c r="W359" s="373"/>
      <x:c r="X359" s="373"/>
      <x:c r="Y359" s="373"/>
      <x:c r="Z359" s="373"/>
    </x:row>
    <x:row r="360">
      <x:c r="A360" s="373"/>
      <x:c r="B360" s="373"/>
      <x:c r="C360" s="373"/>
      <x:c r="D360" s="373"/>
      <x:c r="E360" s="373"/>
      <x:c r="F360" s="373"/>
      <x:c r="G360" s="373"/>
      <x:c r="H360" s="373"/>
      <x:c r="I360" s="373"/>
      <x:c r="J360" s="373"/>
      <x:c r="K360" s="373"/>
      <x:c r="L360" s="373"/>
      <x:c r="M360" s="373"/>
      <x:c r="N360" s="373"/>
      <x:c r="O360" s="373"/>
      <x:c r="P360" s="373"/>
      <x:c r="Q360" s="373"/>
      <x:c r="R360" s="373"/>
      <x:c r="S360" s="373"/>
      <x:c r="T360" s="373"/>
      <x:c r="U360" s="373"/>
      <x:c r="V360" s="373"/>
      <x:c r="W360" s="373"/>
      <x:c r="X360" s="373"/>
      <x:c r="Y360" s="373"/>
      <x:c r="Z360" s="373"/>
    </x:row>
    <x:row r="361">
      <x:c r="A361" s="373"/>
      <x:c r="B361" s="373"/>
      <x:c r="C361" s="373"/>
      <x:c r="D361" s="373"/>
      <x:c r="E361" s="373"/>
      <x:c r="F361" s="373"/>
      <x:c r="G361" s="373"/>
      <x:c r="H361" s="373"/>
      <x:c r="I361" s="373"/>
      <x:c r="J361" s="373"/>
      <x:c r="K361" s="373"/>
      <x:c r="L361" s="373"/>
      <x:c r="M361" s="373"/>
      <x:c r="N361" s="373"/>
      <x:c r="O361" s="373"/>
      <x:c r="P361" s="373"/>
      <x:c r="Q361" s="373"/>
      <x:c r="R361" s="373"/>
      <x:c r="S361" s="373"/>
      <x:c r="T361" s="373"/>
      <x:c r="U361" s="373"/>
      <x:c r="V361" s="373"/>
      <x:c r="W361" s="373"/>
      <x:c r="X361" s="373"/>
      <x:c r="Y361" s="373"/>
      <x:c r="Z361" s="373"/>
    </x:row>
    <x:row r="362">
      <x:c r="A362" s="373"/>
      <x:c r="B362" s="373"/>
      <x:c r="C362" s="373"/>
      <x:c r="D362" s="373"/>
      <x:c r="E362" s="373"/>
      <x:c r="F362" s="373"/>
      <x:c r="G362" s="373"/>
      <x:c r="H362" s="373"/>
      <x:c r="I362" s="373"/>
      <x:c r="J362" s="373"/>
      <x:c r="K362" s="373"/>
      <x:c r="L362" s="373"/>
      <x:c r="M362" s="373"/>
      <x:c r="N362" s="373"/>
      <x:c r="O362" s="373"/>
      <x:c r="P362" s="373"/>
      <x:c r="Q362" s="373"/>
      <x:c r="R362" s="373"/>
      <x:c r="S362" s="373"/>
      <x:c r="T362" s="373"/>
      <x:c r="U362" s="373"/>
      <x:c r="V362" s="373"/>
      <x:c r="W362" s="373"/>
      <x:c r="X362" s="373"/>
      <x:c r="Y362" s="373"/>
      <x:c r="Z362" s="373"/>
    </x:row>
    <x:row r="363">
      <x:c r="A363" s="373"/>
      <x:c r="B363" s="373"/>
      <x:c r="C363" s="373"/>
      <x:c r="D363" s="373"/>
      <x:c r="E363" s="373"/>
      <x:c r="F363" s="373"/>
      <x:c r="G363" s="373"/>
      <x:c r="H363" s="373"/>
      <x:c r="I363" s="373"/>
      <x:c r="J363" s="373"/>
      <x:c r="K363" s="373"/>
      <x:c r="L363" s="373"/>
      <x:c r="M363" s="373"/>
      <x:c r="N363" s="373"/>
      <x:c r="O363" s="373"/>
      <x:c r="P363" s="373"/>
      <x:c r="Q363" s="373"/>
      <x:c r="R363" s="373"/>
      <x:c r="S363" s="373"/>
      <x:c r="T363" s="373"/>
      <x:c r="U363" s="373"/>
      <x:c r="V363" s="373"/>
      <x:c r="W363" s="373"/>
      <x:c r="X363" s="373"/>
      <x:c r="Y363" s="373"/>
      <x:c r="Z363" s="373"/>
    </x:row>
    <x:row r="364">
      <x:c r="A364" s="373"/>
      <x:c r="B364" s="373"/>
      <x:c r="C364" s="373"/>
      <x:c r="D364" s="373"/>
      <x:c r="E364" s="373"/>
      <x:c r="F364" s="373"/>
      <x:c r="G364" s="373"/>
      <x:c r="H364" s="373"/>
      <x:c r="I364" s="373"/>
      <x:c r="J364" s="373"/>
      <x:c r="K364" s="373"/>
      <x:c r="L364" s="373"/>
      <x:c r="M364" s="373"/>
      <x:c r="N364" s="373"/>
      <x:c r="O364" s="373"/>
      <x:c r="P364" s="373"/>
      <x:c r="Q364" s="373"/>
      <x:c r="R364" s="373"/>
      <x:c r="S364" s="373"/>
      <x:c r="T364" s="373"/>
      <x:c r="U364" s="373"/>
      <x:c r="V364" s="373"/>
      <x:c r="W364" s="373"/>
      <x:c r="X364" s="373"/>
      <x:c r="Y364" s="373"/>
      <x:c r="Z364" s="373"/>
    </x:row>
    <x:row r="365">
      <x:c r="A365" s="373"/>
      <x:c r="B365" s="373"/>
      <x:c r="C365" s="373"/>
      <x:c r="D365" s="373"/>
      <x:c r="E365" s="373"/>
      <x:c r="F365" s="373"/>
      <x:c r="G365" s="373"/>
      <x:c r="H365" s="373"/>
      <x:c r="I365" s="373"/>
      <x:c r="J365" s="373"/>
      <x:c r="K365" s="373"/>
      <x:c r="L365" s="373"/>
      <x:c r="M365" s="373"/>
      <x:c r="N365" s="373"/>
      <x:c r="O365" s="373"/>
      <x:c r="P365" s="373"/>
      <x:c r="Q365" s="373"/>
      <x:c r="R365" s="373"/>
      <x:c r="S365" s="373"/>
      <x:c r="T365" s="373"/>
      <x:c r="U365" s="373"/>
      <x:c r="V365" s="373"/>
      <x:c r="W365" s="373"/>
      <x:c r="X365" s="373"/>
      <x:c r="Y365" s="373"/>
      <x:c r="Z365" s="373"/>
    </x:row>
    <x:row r="366">
      <x:c r="A366" s="373"/>
      <x:c r="B366" s="373"/>
      <x:c r="C366" s="373"/>
      <x:c r="D366" s="373"/>
      <x:c r="E366" s="373"/>
      <x:c r="F366" s="373"/>
      <x:c r="G366" s="373"/>
      <x:c r="H366" s="373"/>
      <x:c r="I366" s="373"/>
      <x:c r="J366" s="373"/>
      <x:c r="K366" s="373"/>
      <x:c r="L366" s="373"/>
      <x:c r="M366" s="373"/>
      <x:c r="N366" s="373"/>
      <x:c r="O366" s="373"/>
      <x:c r="P366" s="373"/>
      <x:c r="Q366" s="373"/>
      <x:c r="R366" s="373"/>
      <x:c r="S366" s="373"/>
      <x:c r="T366" s="373"/>
      <x:c r="U366" s="373"/>
      <x:c r="V366" s="373"/>
      <x:c r="W366" s="373"/>
      <x:c r="X366" s="373"/>
      <x:c r="Y366" s="373"/>
      <x:c r="Z366" s="373"/>
    </x:row>
    <x:row r="367">
      <x:c r="A367" s="373"/>
      <x:c r="B367" s="373"/>
      <x:c r="C367" s="373"/>
      <x:c r="D367" s="373"/>
      <x:c r="E367" s="373"/>
      <x:c r="F367" s="373"/>
      <x:c r="G367" s="373"/>
      <x:c r="H367" s="373"/>
      <x:c r="I367" s="373"/>
      <x:c r="J367" s="373"/>
      <x:c r="K367" s="373"/>
      <x:c r="L367" s="373"/>
      <x:c r="M367" s="373"/>
      <x:c r="N367" s="373"/>
      <x:c r="O367" s="373"/>
      <x:c r="P367" s="373"/>
      <x:c r="Q367" s="373"/>
      <x:c r="R367" s="373"/>
      <x:c r="S367" s="373"/>
      <x:c r="T367" s="373"/>
      <x:c r="U367" s="373"/>
      <x:c r="V367" s="373"/>
      <x:c r="W367" s="373"/>
      <x:c r="X367" s="373"/>
      <x:c r="Y367" s="373"/>
      <x:c r="Z367" s="373"/>
    </x:row>
    <x:row r="368">
      <x:c r="A368" s="373"/>
      <x:c r="B368" s="373"/>
      <x:c r="C368" s="373"/>
      <x:c r="D368" s="373"/>
      <x:c r="E368" s="373"/>
      <x:c r="F368" s="373"/>
      <x:c r="G368" s="373"/>
      <x:c r="H368" s="373"/>
      <x:c r="I368" s="373"/>
      <x:c r="J368" s="373"/>
      <x:c r="K368" s="373"/>
      <x:c r="L368" s="373"/>
      <x:c r="M368" s="373"/>
      <x:c r="N368" s="373"/>
      <x:c r="O368" s="373"/>
      <x:c r="P368" s="373"/>
      <x:c r="Q368" s="373"/>
      <x:c r="R368" s="373"/>
      <x:c r="S368" s="373"/>
      <x:c r="T368" s="373"/>
      <x:c r="U368" s="373"/>
      <x:c r="V368" s="373"/>
      <x:c r="W368" s="373"/>
      <x:c r="X368" s="373"/>
      <x:c r="Y368" s="373"/>
      <x:c r="Z368" s="373"/>
    </x:row>
    <x:row r="369">
      <x:c r="A369" s="373"/>
      <x:c r="B369" s="373"/>
      <x:c r="C369" s="373"/>
      <x:c r="D369" s="373"/>
      <x:c r="E369" s="373"/>
      <x:c r="F369" s="373"/>
      <x:c r="G369" s="373"/>
      <x:c r="H369" s="373"/>
      <x:c r="I369" s="373"/>
      <x:c r="J369" s="373"/>
      <x:c r="K369" s="373"/>
      <x:c r="L369" s="373"/>
      <x:c r="M369" s="373"/>
      <x:c r="N369" s="373"/>
      <x:c r="O369" s="373"/>
      <x:c r="P369" s="373"/>
      <x:c r="Q369" s="373"/>
      <x:c r="R369" s="373"/>
      <x:c r="S369" s="373"/>
      <x:c r="T369" s="373"/>
      <x:c r="U369" s="373"/>
      <x:c r="V369" s="373"/>
      <x:c r="W369" s="373"/>
      <x:c r="X369" s="373"/>
      <x:c r="Y369" s="373"/>
      <x:c r="Z369" s="373"/>
    </x:row>
    <x:row r="370">
      <x:c r="A370" s="373"/>
      <x:c r="B370" s="373"/>
      <x:c r="C370" s="373"/>
      <x:c r="D370" s="373"/>
      <x:c r="E370" s="373"/>
      <x:c r="F370" s="373"/>
      <x:c r="G370" s="373"/>
      <x:c r="H370" s="373"/>
      <x:c r="I370" s="373"/>
      <x:c r="J370" s="373"/>
      <x:c r="K370" s="373"/>
      <x:c r="L370" s="373"/>
      <x:c r="M370" s="373"/>
      <x:c r="N370" s="373"/>
      <x:c r="O370" s="373"/>
      <x:c r="P370" s="373"/>
      <x:c r="Q370" s="373"/>
      <x:c r="R370" s="373"/>
      <x:c r="S370" s="373"/>
      <x:c r="T370" s="373"/>
      <x:c r="U370" s="373"/>
      <x:c r="V370" s="373"/>
      <x:c r="W370" s="373"/>
      <x:c r="X370" s="373"/>
      <x:c r="Y370" s="373"/>
      <x:c r="Z370" s="373"/>
    </x:row>
    <x:row r="371">
      <x:c r="A371" s="373"/>
      <x:c r="B371" s="373"/>
      <x:c r="C371" s="373"/>
      <x:c r="D371" s="373"/>
      <x:c r="E371" s="373"/>
      <x:c r="F371" s="373"/>
      <x:c r="G371" s="373"/>
      <x:c r="H371" s="373"/>
      <x:c r="I371" s="373"/>
      <x:c r="J371" s="373"/>
      <x:c r="K371" s="373"/>
      <x:c r="L371" s="373"/>
      <x:c r="M371" s="373"/>
      <x:c r="N371" s="373"/>
      <x:c r="O371" s="373"/>
      <x:c r="P371" s="373"/>
      <x:c r="Q371" s="373"/>
      <x:c r="R371" s="373"/>
      <x:c r="S371" s="373"/>
      <x:c r="T371" s="373"/>
      <x:c r="U371" s="373"/>
      <x:c r="V371" s="373"/>
      <x:c r="W371" s="373"/>
      <x:c r="X371" s="373"/>
      <x:c r="Y371" s="373"/>
      <x:c r="Z371" s="373"/>
    </x:row>
    <x:row r="372">
      <x:c r="A372" s="373"/>
      <x:c r="B372" s="373"/>
      <x:c r="C372" s="373"/>
      <x:c r="D372" s="373"/>
      <x:c r="E372" s="373"/>
      <x:c r="F372" s="373"/>
      <x:c r="G372" s="373"/>
      <x:c r="H372" s="373"/>
      <x:c r="I372" s="373"/>
      <x:c r="J372" s="373"/>
      <x:c r="K372" s="373"/>
      <x:c r="L372" s="373"/>
      <x:c r="M372" s="373"/>
      <x:c r="N372" s="373"/>
      <x:c r="O372" s="373"/>
      <x:c r="P372" s="373"/>
      <x:c r="Q372" s="373"/>
      <x:c r="R372" s="373"/>
      <x:c r="S372" s="373"/>
      <x:c r="T372" s="373"/>
      <x:c r="U372" s="373"/>
      <x:c r="V372" s="373"/>
      <x:c r="W372" s="373"/>
      <x:c r="X372" s="373"/>
      <x:c r="Y372" s="373"/>
      <x:c r="Z372" s="373"/>
    </x:row>
    <x:row r="373">
      <x:c r="A373" s="373"/>
      <x:c r="B373" s="373"/>
      <x:c r="C373" s="373"/>
      <x:c r="D373" s="373"/>
      <x:c r="E373" s="373"/>
      <x:c r="F373" s="373"/>
      <x:c r="G373" s="373"/>
      <x:c r="H373" s="373"/>
      <x:c r="I373" s="373"/>
      <x:c r="J373" s="373"/>
      <x:c r="K373" s="373"/>
      <x:c r="L373" s="373"/>
      <x:c r="M373" s="373"/>
      <x:c r="N373" s="373"/>
      <x:c r="O373" s="373"/>
      <x:c r="P373" s="373"/>
      <x:c r="Q373" s="373"/>
      <x:c r="R373" s="373"/>
      <x:c r="S373" s="373"/>
      <x:c r="T373" s="373"/>
      <x:c r="U373" s="373"/>
      <x:c r="V373" s="373"/>
      <x:c r="W373" s="373"/>
      <x:c r="X373" s="373"/>
      <x:c r="Y373" s="373"/>
      <x:c r="Z373" s="373"/>
    </x:row>
    <x:row r="374">
      <x:c r="A374" s="373"/>
      <x:c r="B374" s="373"/>
      <x:c r="C374" s="373"/>
      <x:c r="D374" s="373"/>
      <x:c r="E374" s="373"/>
      <x:c r="F374" s="373"/>
      <x:c r="G374" s="373"/>
      <x:c r="H374" s="373"/>
      <x:c r="I374" s="373"/>
      <x:c r="J374" s="373"/>
      <x:c r="K374" s="373"/>
      <x:c r="L374" s="373"/>
      <x:c r="M374" s="373"/>
      <x:c r="N374" s="373"/>
      <x:c r="O374" s="373"/>
      <x:c r="P374" s="373"/>
      <x:c r="Q374" s="373"/>
      <x:c r="R374" s="373"/>
      <x:c r="S374" s="373"/>
      <x:c r="T374" s="373"/>
      <x:c r="U374" s="373"/>
      <x:c r="V374" s="373"/>
      <x:c r="W374" s="373"/>
      <x:c r="X374" s="373"/>
      <x:c r="Y374" s="373"/>
      <x:c r="Z374" s="373"/>
    </x:row>
    <x:row r="375">
      <x:c r="A375" s="373"/>
      <x:c r="B375" s="373"/>
      <x:c r="C375" s="373"/>
      <x:c r="D375" s="373"/>
      <x:c r="E375" s="373"/>
      <x:c r="F375" s="373"/>
      <x:c r="G375" s="373"/>
      <x:c r="H375" s="373"/>
      <x:c r="I375" s="373"/>
      <x:c r="J375" s="373"/>
      <x:c r="K375" s="373"/>
      <x:c r="L375" s="373"/>
      <x:c r="M375" s="373"/>
      <x:c r="N375" s="373"/>
      <x:c r="O375" s="373"/>
      <x:c r="P375" s="373"/>
      <x:c r="Q375" s="373"/>
      <x:c r="R375" s="373"/>
      <x:c r="S375" s="373"/>
      <x:c r="T375" s="373"/>
      <x:c r="U375" s="373"/>
      <x:c r="V375" s="373"/>
      <x:c r="W375" s="373"/>
      <x:c r="X375" s="373"/>
      <x:c r="Y375" s="373"/>
      <x:c r="Z375" s="373"/>
    </x:row>
    <x:row r="376">
      <x:c r="A376" s="373"/>
      <x:c r="B376" s="373"/>
      <x:c r="C376" s="373"/>
      <x:c r="D376" s="373"/>
      <x:c r="E376" s="373"/>
      <x:c r="F376" s="373"/>
      <x:c r="G376" s="373"/>
      <x:c r="H376" s="373"/>
      <x:c r="I376" s="373"/>
      <x:c r="J376" s="373"/>
      <x:c r="K376" s="373"/>
      <x:c r="L376" s="373"/>
      <x:c r="M376" s="373"/>
      <x:c r="N376" s="373"/>
      <x:c r="O376" s="373"/>
      <x:c r="P376" s="373"/>
      <x:c r="Q376" s="373"/>
      <x:c r="R376" s="373"/>
      <x:c r="S376" s="373"/>
      <x:c r="T376" s="373"/>
      <x:c r="U376" s="373"/>
      <x:c r="V376" s="373"/>
      <x:c r="W376" s="373"/>
      <x:c r="X376" s="373"/>
      <x:c r="Y376" s="373"/>
      <x:c r="Z376" s="373"/>
    </x:row>
    <x:row r="377">
      <x:c r="A377" s="373"/>
      <x:c r="B377" s="373"/>
      <x:c r="C377" s="373"/>
      <x:c r="D377" s="373"/>
      <x:c r="E377" s="373"/>
      <x:c r="F377" s="373"/>
      <x:c r="G377" s="373"/>
      <x:c r="H377" s="373"/>
      <x:c r="I377" s="373"/>
      <x:c r="J377" s="373"/>
      <x:c r="K377" s="373"/>
      <x:c r="L377" s="373"/>
      <x:c r="M377" s="373"/>
      <x:c r="N377" s="373"/>
      <x:c r="O377" s="373"/>
      <x:c r="P377" s="373"/>
      <x:c r="Q377" s="373"/>
      <x:c r="R377" s="373"/>
      <x:c r="S377" s="373"/>
      <x:c r="T377" s="373"/>
      <x:c r="U377" s="373"/>
      <x:c r="V377" s="373"/>
      <x:c r="W377" s="373"/>
      <x:c r="X377" s="373"/>
      <x:c r="Y377" s="373"/>
      <x:c r="Z377" s="373"/>
    </x:row>
    <x:row r="378">
      <x:c r="A378" s="373"/>
      <x:c r="B378" s="373"/>
      <x:c r="C378" s="373"/>
      <x:c r="D378" s="373"/>
      <x:c r="E378" s="373"/>
      <x:c r="F378" s="373"/>
      <x:c r="G378" s="373"/>
      <x:c r="H378" s="373"/>
      <x:c r="I378" s="373"/>
      <x:c r="J378" s="373"/>
      <x:c r="K378" s="373"/>
      <x:c r="L378" s="373"/>
      <x:c r="M378" s="373"/>
      <x:c r="N378" s="373"/>
      <x:c r="O378" s="373"/>
      <x:c r="P378" s="373"/>
      <x:c r="Q378" s="373"/>
      <x:c r="R378" s="373"/>
      <x:c r="S378" s="373"/>
      <x:c r="T378" s="373"/>
      <x:c r="U378" s="373"/>
      <x:c r="V378" s="373"/>
      <x:c r="W378" s="373"/>
      <x:c r="X378" s="373"/>
      <x:c r="Y378" s="373"/>
      <x:c r="Z378" s="373"/>
    </x:row>
    <x:row r="379">
      <x:c r="A379" s="373"/>
      <x:c r="B379" s="373"/>
      <x:c r="C379" s="373"/>
      <x:c r="D379" s="373"/>
      <x:c r="E379" s="373"/>
      <x:c r="F379" s="373"/>
      <x:c r="G379" s="373"/>
      <x:c r="H379" s="373"/>
      <x:c r="I379" s="373"/>
      <x:c r="J379" s="373"/>
      <x:c r="K379" s="373"/>
      <x:c r="L379" s="373"/>
      <x:c r="M379" s="373"/>
      <x:c r="N379" s="373"/>
      <x:c r="O379" s="373"/>
      <x:c r="P379" s="373"/>
      <x:c r="Q379" s="373"/>
      <x:c r="R379" s="373"/>
      <x:c r="S379" s="373"/>
      <x:c r="T379" s="373"/>
      <x:c r="U379" s="373"/>
      <x:c r="V379" s="373"/>
      <x:c r="W379" s="373"/>
      <x:c r="X379" s="373"/>
      <x:c r="Y379" s="373"/>
      <x:c r="Z379" s="373"/>
    </x:row>
    <x:row r="380">
      <x:c r="A380" s="373"/>
      <x:c r="B380" s="373"/>
      <x:c r="C380" s="373"/>
      <x:c r="D380" s="373"/>
      <x:c r="E380" s="373"/>
      <x:c r="F380" s="373"/>
      <x:c r="G380" s="373"/>
      <x:c r="H380" s="373"/>
      <x:c r="I380" s="373"/>
      <x:c r="J380" s="373"/>
      <x:c r="K380" s="373"/>
      <x:c r="L380" s="373"/>
      <x:c r="M380" s="373"/>
      <x:c r="N380" s="373"/>
      <x:c r="O380" s="373"/>
      <x:c r="P380" s="373"/>
      <x:c r="Q380" s="373"/>
      <x:c r="R380" s="373"/>
      <x:c r="S380" s="373"/>
      <x:c r="T380" s="373"/>
      <x:c r="U380" s="373"/>
      <x:c r="V380" s="373"/>
      <x:c r="W380" s="373"/>
      <x:c r="X380" s="373"/>
      <x:c r="Y380" s="373"/>
      <x:c r="Z380" s="373"/>
    </x:row>
    <x:row r="381">
      <x:c r="A381" s="373"/>
      <x:c r="B381" s="373"/>
      <x:c r="C381" s="373"/>
      <x:c r="D381" s="373"/>
      <x:c r="E381" s="373"/>
      <x:c r="F381" s="373"/>
      <x:c r="G381" s="373"/>
      <x:c r="H381" s="373"/>
      <x:c r="I381" s="373"/>
      <x:c r="J381" s="373"/>
      <x:c r="K381" s="373"/>
      <x:c r="L381" s="373"/>
      <x:c r="M381" s="373"/>
      <x:c r="N381" s="373"/>
      <x:c r="O381" s="373"/>
      <x:c r="P381" s="373"/>
      <x:c r="Q381" s="373"/>
      <x:c r="R381" s="373"/>
      <x:c r="S381" s="373"/>
      <x:c r="T381" s="373"/>
      <x:c r="U381" s="373"/>
      <x:c r="V381" s="373"/>
      <x:c r="W381" s="373"/>
      <x:c r="X381" s="373"/>
      <x:c r="Y381" s="373"/>
      <x:c r="Z381" s="373"/>
    </x:row>
    <x:row r="382">
      <x:c r="A382" s="373"/>
      <x:c r="B382" s="373"/>
      <x:c r="C382" s="373"/>
      <x:c r="D382" s="373"/>
      <x:c r="E382" s="373"/>
      <x:c r="F382" s="373"/>
      <x:c r="G382" s="373"/>
      <x:c r="H382" s="373"/>
      <x:c r="I382" s="373"/>
      <x:c r="J382" s="373"/>
      <x:c r="K382" s="373"/>
      <x:c r="L382" s="373"/>
      <x:c r="M382" s="373"/>
      <x:c r="N382" s="373"/>
      <x:c r="O382" s="373"/>
      <x:c r="P382" s="373"/>
      <x:c r="Q382" s="373"/>
      <x:c r="R382" s="373"/>
      <x:c r="S382" s="373"/>
      <x:c r="T382" s="373"/>
      <x:c r="U382" s="373"/>
      <x:c r="V382" s="373"/>
      <x:c r="W382" s="373"/>
      <x:c r="X382" s="373"/>
      <x:c r="Y382" s="373"/>
      <x:c r="Z382" s="373"/>
    </x:row>
    <x:row r="383">
      <x:c r="A383" s="373"/>
      <x:c r="B383" s="373"/>
      <x:c r="C383" s="373"/>
      <x:c r="D383" s="373"/>
      <x:c r="E383" s="373"/>
      <x:c r="F383" s="373"/>
      <x:c r="G383" s="373"/>
      <x:c r="H383" s="373"/>
      <x:c r="I383" s="373"/>
      <x:c r="J383" s="373"/>
      <x:c r="K383" s="373"/>
      <x:c r="L383" s="373"/>
      <x:c r="M383" s="373"/>
      <x:c r="N383" s="373"/>
      <x:c r="O383" s="373"/>
      <x:c r="P383" s="373"/>
      <x:c r="Q383" s="373"/>
      <x:c r="R383" s="373"/>
      <x:c r="S383" s="373"/>
      <x:c r="T383" s="373"/>
      <x:c r="U383" s="373"/>
      <x:c r="V383" s="373"/>
      <x:c r="W383" s="373"/>
      <x:c r="X383" s="373"/>
      <x:c r="Y383" s="373"/>
      <x:c r="Z383" s="373"/>
    </x:row>
    <x:row r="384">
      <x:c r="A384" s="373"/>
      <x:c r="B384" s="373"/>
      <x:c r="C384" s="373"/>
      <x:c r="D384" s="373"/>
      <x:c r="E384" s="373"/>
      <x:c r="F384" s="373"/>
      <x:c r="G384" s="373"/>
      <x:c r="H384" s="373"/>
      <x:c r="I384" s="373"/>
      <x:c r="J384" s="373"/>
      <x:c r="K384" s="373"/>
      <x:c r="L384" s="373"/>
      <x:c r="M384" s="373"/>
      <x:c r="N384" s="373"/>
      <x:c r="O384" s="373"/>
      <x:c r="P384" s="373"/>
      <x:c r="Q384" s="373"/>
      <x:c r="R384" s="373"/>
      <x:c r="S384" s="373"/>
      <x:c r="T384" s="373"/>
      <x:c r="U384" s="373"/>
      <x:c r="V384" s="373"/>
      <x:c r="W384" s="373"/>
      <x:c r="X384" s="373"/>
      <x:c r="Y384" s="373"/>
      <x:c r="Z384" s="373"/>
    </x:row>
    <x:row r="385">
      <x:c r="A385" s="373"/>
      <x:c r="B385" s="373"/>
      <x:c r="C385" s="373"/>
      <x:c r="D385" s="373"/>
      <x:c r="E385" s="373"/>
      <x:c r="F385" s="373"/>
      <x:c r="G385" s="373"/>
      <x:c r="H385" s="373"/>
      <x:c r="I385" s="373"/>
      <x:c r="J385" s="373"/>
      <x:c r="K385" s="373"/>
      <x:c r="L385" s="373"/>
      <x:c r="M385" s="373"/>
      <x:c r="N385" s="373"/>
      <x:c r="O385" s="373"/>
      <x:c r="P385" s="373"/>
      <x:c r="Q385" s="373"/>
      <x:c r="R385" s="373"/>
      <x:c r="S385" s="373"/>
      <x:c r="T385" s="373"/>
      <x:c r="U385" s="373"/>
      <x:c r="V385" s="373"/>
      <x:c r="W385" s="373"/>
      <x:c r="X385" s="373"/>
      <x:c r="Y385" s="373"/>
      <x:c r="Z385" s="373"/>
    </x:row>
    <x:row r="386">
      <x:c r="A386" s="373"/>
      <x:c r="B386" s="373"/>
      <x:c r="C386" s="373"/>
      <x:c r="D386" s="373"/>
      <x:c r="E386" s="373"/>
      <x:c r="F386" s="373"/>
      <x:c r="G386" s="373"/>
      <x:c r="H386" s="373"/>
      <x:c r="I386" s="373"/>
      <x:c r="J386" s="373"/>
      <x:c r="K386" s="373"/>
      <x:c r="L386" s="373"/>
      <x:c r="M386" s="373"/>
      <x:c r="N386" s="373"/>
      <x:c r="O386" s="373"/>
      <x:c r="P386" s="373"/>
      <x:c r="Q386" s="373"/>
      <x:c r="R386" s="373"/>
      <x:c r="S386" s="373"/>
      <x:c r="T386" s="373"/>
      <x:c r="U386" s="373"/>
      <x:c r="V386" s="373"/>
      <x:c r="W386" s="373"/>
      <x:c r="X386" s="373"/>
      <x:c r="Y386" s="373"/>
      <x:c r="Z386" s="373"/>
    </x:row>
    <x:row r="387">
      <x:c r="A387" s="373"/>
      <x:c r="B387" s="373"/>
      <x:c r="C387" s="373"/>
      <x:c r="D387" s="373"/>
      <x:c r="E387" s="373"/>
      <x:c r="F387" s="373"/>
      <x:c r="G387" s="373"/>
      <x:c r="H387" s="373"/>
      <x:c r="I387" s="373"/>
      <x:c r="J387" s="373"/>
      <x:c r="K387" s="373"/>
      <x:c r="L387" s="373"/>
      <x:c r="M387" s="373"/>
      <x:c r="N387" s="373"/>
      <x:c r="O387" s="373"/>
      <x:c r="P387" s="373"/>
      <x:c r="Q387" s="373"/>
      <x:c r="R387" s="373"/>
      <x:c r="S387" s="373"/>
      <x:c r="T387" s="373"/>
      <x:c r="U387" s="373"/>
      <x:c r="V387" s="373"/>
      <x:c r="W387" s="373"/>
      <x:c r="X387" s="373"/>
      <x:c r="Y387" s="373"/>
      <x:c r="Z387" s="373"/>
    </x:row>
    <x:row r="388">
      <x:c r="A388" s="373"/>
      <x:c r="B388" s="373"/>
      <x:c r="C388" s="373"/>
      <x:c r="D388" s="373"/>
      <x:c r="E388" s="373"/>
      <x:c r="F388" s="373"/>
      <x:c r="G388" s="373"/>
      <x:c r="H388" s="373"/>
      <x:c r="I388" s="373"/>
      <x:c r="J388" s="373"/>
      <x:c r="K388" s="373"/>
      <x:c r="L388" s="373"/>
      <x:c r="M388" s="373"/>
      <x:c r="N388" s="373"/>
      <x:c r="O388" s="373"/>
      <x:c r="P388" s="373"/>
      <x:c r="Q388" s="373"/>
      <x:c r="R388" s="373"/>
      <x:c r="S388" s="373"/>
      <x:c r="T388" s="373"/>
      <x:c r="U388" s="373"/>
      <x:c r="V388" s="373"/>
      <x:c r="W388" s="373"/>
      <x:c r="X388" s="373"/>
      <x:c r="Y388" s="373"/>
      <x:c r="Z388" s="373"/>
    </x:row>
    <x:row r="389">
      <x:c r="A389" s="373"/>
      <x:c r="B389" s="373"/>
      <x:c r="C389" s="373"/>
      <x:c r="D389" s="373"/>
      <x:c r="E389" s="373"/>
      <x:c r="F389" s="373"/>
      <x:c r="G389" s="373"/>
      <x:c r="H389" s="373"/>
      <x:c r="I389" s="373"/>
      <x:c r="J389" s="373"/>
      <x:c r="K389" s="373"/>
      <x:c r="L389" s="373"/>
      <x:c r="M389" s="373"/>
      <x:c r="N389" s="373"/>
      <x:c r="O389" s="373"/>
      <x:c r="P389" s="373"/>
      <x:c r="Q389" s="373"/>
      <x:c r="R389" s="373"/>
      <x:c r="S389" s="373"/>
      <x:c r="T389" s="373"/>
      <x:c r="U389" s="373"/>
      <x:c r="V389" s="373"/>
      <x:c r="W389" s="373"/>
      <x:c r="X389" s="373"/>
      <x:c r="Y389" s="373"/>
      <x:c r="Z389" s="373"/>
    </x:row>
    <x:row r="390">
      <x:c r="A390" s="373"/>
      <x:c r="B390" s="373"/>
      <x:c r="C390" s="373"/>
      <x:c r="D390" s="373"/>
      <x:c r="E390" s="373"/>
      <x:c r="F390" s="373"/>
      <x:c r="G390" s="373"/>
      <x:c r="H390" s="373"/>
      <x:c r="I390" s="373"/>
      <x:c r="J390" s="373"/>
      <x:c r="K390" s="373"/>
      <x:c r="L390" s="373"/>
      <x:c r="M390" s="373"/>
      <x:c r="N390" s="373"/>
      <x:c r="O390" s="373"/>
      <x:c r="P390" s="373"/>
      <x:c r="Q390" s="373"/>
      <x:c r="R390" s="373"/>
      <x:c r="S390" s="373"/>
      <x:c r="T390" s="373"/>
      <x:c r="U390" s="373"/>
      <x:c r="V390" s="373"/>
      <x:c r="W390" s="373"/>
      <x:c r="X390" s="373"/>
      <x:c r="Y390" s="373"/>
      <x:c r="Z390" s="373"/>
    </x:row>
    <x:row r="391">
      <x:c r="A391" s="373"/>
      <x:c r="B391" s="373"/>
      <x:c r="C391" s="373"/>
      <x:c r="D391" s="373"/>
      <x:c r="E391" s="373"/>
      <x:c r="F391" s="373"/>
      <x:c r="G391" s="373"/>
      <x:c r="H391" s="373"/>
      <x:c r="I391" s="373"/>
      <x:c r="J391" s="373"/>
      <x:c r="K391" s="373"/>
      <x:c r="L391" s="373"/>
      <x:c r="M391" s="373"/>
      <x:c r="N391" s="373"/>
      <x:c r="O391" s="373"/>
      <x:c r="P391" s="373"/>
      <x:c r="Q391" s="373"/>
      <x:c r="R391" s="373"/>
      <x:c r="S391" s="373"/>
      <x:c r="T391" s="373"/>
      <x:c r="U391" s="373"/>
      <x:c r="V391" s="373"/>
      <x:c r="W391" s="373"/>
      <x:c r="X391" s="373"/>
      <x:c r="Y391" s="373"/>
      <x:c r="Z391" s="373"/>
    </x:row>
    <x:row r="392">
      <x:c r="A392" s="373"/>
      <x:c r="B392" s="373"/>
      <x:c r="C392" s="373"/>
      <x:c r="D392" s="373"/>
      <x:c r="E392" s="373"/>
      <x:c r="F392" s="373"/>
      <x:c r="G392" s="373"/>
      <x:c r="H392" s="373"/>
      <x:c r="I392" s="373"/>
      <x:c r="J392" s="373"/>
      <x:c r="K392" s="373"/>
      <x:c r="L392" s="373"/>
      <x:c r="M392" s="373"/>
      <x:c r="N392" s="373"/>
      <x:c r="O392" s="373"/>
      <x:c r="P392" s="373"/>
      <x:c r="Q392" s="373"/>
      <x:c r="R392" s="373"/>
      <x:c r="S392" s="373"/>
      <x:c r="T392" s="373"/>
      <x:c r="U392" s="373"/>
      <x:c r="V392" s="373"/>
      <x:c r="W392" s="373"/>
      <x:c r="X392" s="373"/>
      <x:c r="Y392" s="373"/>
      <x:c r="Z392" s="373"/>
    </x:row>
    <x:row r="393">
      <x:c r="A393" s="373"/>
      <x:c r="B393" s="373"/>
      <x:c r="C393" s="373"/>
      <x:c r="D393" s="373"/>
      <x:c r="E393" s="373"/>
      <x:c r="F393" s="373"/>
      <x:c r="G393" s="373"/>
      <x:c r="H393" s="373"/>
      <x:c r="I393" s="373"/>
      <x:c r="J393" s="373"/>
      <x:c r="K393" s="373"/>
      <x:c r="L393" s="373"/>
      <x:c r="M393" s="373"/>
      <x:c r="N393" s="373"/>
      <x:c r="O393" s="373"/>
      <x:c r="P393" s="373"/>
      <x:c r="Q393" s="373"/>
      <x:c r="R393" s="373"/>
      <x:c r="S393" s="373"/>
      <x:c r="T393" s="373"/>
      <x:c r="U393" s="373"/>
      <x:c r="V393" s="373"/>
      <x:c r="W393" s="373"/>
      <x:c r="X393" s="373"/>
      <x:c r="Y393" s="373"/>
      <x:c r="Z393" s="373"/>
    </x:row>
    <x:row r="394">
      <x:c r="A394" s="373"/>
      <x:c r="B394" s="373"/>
      <x:c r="C394" s="373"/>
      <x:c r="D394" s="373"/>
      <x:c r="E394" s="373"/>
      <x:c r="F394" s="373"/>
      <x:c r="G394" s="373"/>
      <x:c r="H394" s="373"/>
      <x:c r="I394" s="373"/>
      <x:c r="J394" s="373"/>
      <x:c r="K394" s="373"/>
      <x:c r="L394" s="373"/>
      <x:c r="M394" s="373"/>
      <x:c r="N394" s="373"/>
      <x:c r="O394" s="373"/>
      <x:c r="P394" s="373"/>
      <x:c r="Q394" s="373"/>
      <x:c r="R394" s="373"/>
      <x:c r="S394" s="373"/>
      <x:c r="T394" s="373"/>
      <x:c r="U394" s="373"/>
      <x:c r="V394" s="373"/>
      <x:c r="W394" s="373"/>
      <x:c r="X394" s="373"/>
      <x:c r="Y394" s="373"/>
      <x:c r="Z394" s="373"/>
    </x:row>
    <x:row r="395">
      <x:c r="A395" s="373"/>
      <x:c r="B395" s="373"/>
      <x:c r="C395" s="373"/>
      <x:c r="D395" s="373"/>
      <x:c r="E395" s="373"/>
      <x:c r="F395" s="373"/>
      <x:c r="G395" s="373"/>
      <x:c r="H395" s="373"/>
      <x:c r="I395" s="373"/>
      <x:c r="J395" s="373"/>
      <x:c r="K395" s="373"/>
      <x:c r="L395" s="373"/>
      <x:c r="M395" s="373"/>
      <x:c r="N395" s="373"/>
      <x:c r="O395" s="373"/>
      <x:c r="P395" s="373"/>
      <x:c r="Q395" s="373"/>
      <x:c r="R395" s="373"/>
      <x:c r="S395" s="373"/>
      <x:c r="T395" s="373"/>
      <x:c r="U395" s="373"/>
      <x:c r="V395" s="373"/>
      <x:c r="W395" s="373"/>
      <x:c r="X395" s="373"/>
      <x:c r="Y395" s="373"/>
      <x:c r="Z395" s="373"/>
    </x:row>
    <x:row r="396">
      <x:c r="A396" s="373"/>
      <x:c r="B396" s="373"/>
      <x:c r="C396" s="373"/>
      <x:c r="D396" s="373"/>
      <x:c r="E396" s="373"/>
      <x:c r="F396" s="373"/>
      <x:c r="G396" s="373"/>
      <x:c r="H396" s="373"/>
      <x:c r="I396" s="373"/>
      <x:c r="J396" s="373"/>
      <x:c r="K396" s="373"/>
      <x:c r="L396" s="373"/>
      <x:c r="M396" s="373"/>
      <x:c r="N396" s="373"/>
      <x:c r="O396" s="373"/>
      <x:c r="P396" s="373"/>
      <x:c r="Q396" s="373"/>
      <x:c r="R396" s="373"/>
      <x:c r="S396" s="373"/>
      <x:c r="T396" s="373"/>
      <x:c r="U396" s="373"/>
      <x:c r="V396" s="373"/>
      <x:c r="W396" s="373"/>
      <x:c r="X396" s="373"/>
      <x:c r="Y396" s="373"/>
      <x:c r="Z396" s="373"/>
    </x:row>
    <x:row r="397">
      <x:c r="A397" s="373"/>
      <x:c r="B397" s="373"/>
      <x:c r="C397" s="373"/>
      <x:c r="D397" s="373"/>
      <x:c r="E397" s="373"/>
      <x:c r="F397" s="373"/>
      <x:c r="G397" s="373"/>
      <x:c r="H397" s="373"/>
      <x:c r="I397" s="373"/>
      <x:c r="J397" s="373"/>
      <x:c r="K397" s="373"/>
      <x:c r="L397" s="373"/>
      <x:c r="M397" s="373"/>
      <x:c r="N397" s="373"/>
      <x:c r="O397" s="373"/>
      <x:c r="P397" s="373"/>
      <x:c r="Q397" s="373"/>
      <x:c r="R397" s="373"/>
      <x:c r="S397" s="373"/>
      <x:c r="T397" s="373"/>
      <x:c r="U397" s="373"/>
      <x:c r="V397" s="373"/>
      <x:c r="W397" s="373"/>
      <x:c r="X397" s="373"/>
      <x:c r="Y397" s="373"/>
      <x:c r="Z397" s="373"/>
    </x:row>
    <x:row r="398">
      <x:c r="A398" s="373"/>
      <x:c r="B398" s="373"/>
      <x:c r="C398" s="373"/>
      <x:c r="D398" s="373"/>
      <x:c r="E398" s="373"/>
      <x:c r="F398" s="373"/>
      <x:c r="G398" s="373"/>
      <x:c r="H398" s="373"/>
      <x:c r="I398" s="373"/>
      <x:c r="J398" s="373"/>
      <x:c r="K398" s="373"/>
      <x:c r="L398" s="373"/>
      <x:c r="M398" s="373"/>
      <x:c r="N398" s="373"/>
      <x:c r="O398" s="373"/>
      <x:c r="P398" s="373"/>
      <x:c r="Q398" s="373"/>
      <x:c r="R398" s="373"/>
      <x:c r="S398" s="373"/>
      <x:c r="T398" s="373"/>
      <x:c r="U398" s="373"/>
      <x:c r="V398" s="373"/>
      <x:c r="W398" s="373"/>
      <x:c r="X398" s="373"/>
      <x:c r="Y398" s="373"/>
      <x:c r="Z398" s="373"/>
    </x:row>
    <x:row r="399">
      <x:c r="A399" s="373"/>
      <x:c r="B399" s="373"/>
      <x:c r="C399" s="373"/>
      <x:c r="D399" s="373"/>
      <x:c r="E399" s="373"/>
      <x:c r="F399" s="373"/>
      <x:c r="G399" s="373"/>
      <x:c r="H399" s="373"/>
      <x:c r="I399" s="373"/>
      <x:c r="J399" s="373"/>
      <x:c r="K399" s="373"/>
      <x:c r="L399" s="373"/>
      <x:c r="M399" s="373"/>
      <x:c r="N399" s="373"/>
      <x:c r="O399" s="373"/>
      <x:c r="P399" s="373"/>
      <x:c r="Q399" s="373"/>
      <x:c r="R399" s="373"/>
      <x:c r="S399" s="373"/>
      <x:c r="T399" s="373"/>
      <x:c r="U399" s="373"/>
      <x:c r="V399" s="373"/>
      <x:c r="W399" s="373"/>
      <x:c r="X399" s="373"/>
      <x:c r="Y399" s="373"/>
      <x:c r="Z399" s="373"/>
    </x:row>
    <x:row r="400">
      <x:c r="A400" s="373"/>
      <x:c r="B400" s="373"/>
      <x:c r="C400" s="373"/>
      <x:c r="D400" s="373"/>
      <x:c r="E400" s="373"/>
      <x:c r="F400" s="373"/>
      <x:c r="G400" s="373"/>
      <x:c r="H400" s="373"/>
      <x:c r="I400" s="373"/>
      <x:c r="J400" s="373"/>
      <x:c r="K400" s="373"/>
      <x:c r="L400" s="373"/>
      <x:c r="M400" s="373"/>
      <x:c r="N400" s="373"/>
      <x:c r="O400" s="373"/>
      <x:c r="P400" s="373"/>
      <x:c r="Q400" s="373"/>
      <x:c r="R400" s="373"/>
      <x:c r="S400" s="373"/>
      <x:c r="T400" s="373"/>
      <x:c r="U400" s="373"/>
      <x:c r="V400" s="373"/>
      <x:c r="W400" s="373"/>
      <x:c r="X400" s="373"/>
      <x:c r="Y400" s="373"/>
      <x:c r="Z400" s="373"/>
    </x:row>
    <x:row r="401">
      <x:c r="A401" s="373"/>
      <x:c r="B401" s="373"/>
      <x:c r="C401" s="373"/>
      <x:c r="D401" s="373"/>
      <x:c r="E401" s="373"/>
      <x:c r="F401" s="373"/>
      <x:c r="G401" s="373"/>
      <x:c r="H401" s="373"/>
      <x:c r="I401" s="373"/>
      <x:c r="J401" s="373"/>
      <x:c r="K401" s="373"/>
      <x:c r="L401" s="373"/>
      <x:c r="M401" s="373"/>
      <x:c r="N401" s="373"/>
      <x:c r="O401" s="373"/>
      <x:c r="P401" s="373"/>
      <x:c r="Q401" s="373"/>
      <x:c r="R401" s="373"/>
      <x:c r="S401" s="373"/>
      <x:c r="T401" s="373"/>
      <x:c r="U401" s="373"/>
      <x:c r="V401" s="373"/>
      <x:c r="W401" s="373"/>
      <x:c r="X401" s="373"/>
      <x:c r="Y401" s="373"/>
      <x:c r="Z401" s="373"/>
    </x:row>
    <x:row r="402">
      <x:c r="A402" s="373"/>
      <x:c r="B402" s="373"/>
      <x:c r="C402" s="373"/>
      <x:c r="D402" s="373"/>
      <x:c r="E402" s="373"/>
      <x:c r="F402" s="373"/>
      <x:c r="G402" s="373"/>
      <x:c r="H402" s="373"/>
      <x:c r="I402" s="373"/>
      <x:c r="J402" s="373"/>
      <x:c r="K402" s="373"/>
      <x:c r="L402" s="373"/>
      <x:c r="M402" s="373"/>
      <x:c r="N402" s="373"/>
      <x:c r="O402" s="373"/>
      <x:c r="P402" s="373"/>
      <x:c r="Q402" s="373"/>
      <x:c r="R402" s="373"/>
      <x:c r="S402" s="373"/>
      <x:c r="T402" s="373"/>
      <x:c r="U402" s="373"/>
      <x:c r="V402" s="373"/>
      <x:c r="W402" s="373"/>
      <x:c r="X402" s="373"/>
      <x:c r="Y402" s="373"/>
      <x:c r="Z402" s="373"/>
    </x:row>
    <x:row r="403">
      <x:c r="A403" s="373"/>
      <x:c r="B403" s="373"/>
      <x:c r="C403" s="373"/>
      <x:c r="D403" s="373"/>
      <x:c r="E403" s="373"/>
      <x:c r="F403" s="373"/>
      <x:c r="G403" s="373"/>
      <x:c r="H403" s="373"/>
      <x:c r="I403" s="373"/>
      <x:c r="J403" s="373"/>
      <x:c r="K403" s="373"/>
      <x:c r="L403" s="373"/>
      <x:c r="M403" s="373"/>
      <x:c r="N403" s="373"/>
      <x:c r="O403" s="373"/>
      <x:c r="P403" s="373"/>
      <x:c r="Q403" s="373"/>
      <x:c r="R403" s="373"/>
      <x:c r="S403" s="373"/>
      <x:c r="T403" s="373"/>
      <x:c r="U403" s="373"/>
      <x:c r="V403" s="373"/>
      <x:c r="W403" s="373"/>
      <x:c r="X403" s="373"/>
      <x:c r="Y403" s="373"/>
      <x:c r="Z403" s="373"/>
    </x:row>
    <x:row r="404">
      <x:c r="A404" s="373"/>
      <x:c r="B404" s="373"/>
      <x:c r="C404" s="373"/>
      <x:c r="D404" s="373"/>
      <x:c r="E404" s="373"/>
      <x:c r="F404" s="373"/>
      <x:c r="G404" s="373"/>
      <x:c r="H404" s="373"/>
      <x:c r="I404" s="373"/>
      <x:c r="J404" s="373"/>
      <x:c r="K404" s="373"/>
      <x:c r="L404" s="373"/>
      <x:c r="M404" s="373"/>
      <x:c r="N404" s="373"/>
      <x:c r="O404" s="373"/>
      <x:c r="P404" s="373"/>
      <x:c r="Q404" s="373"/>
      <x:c r="R404" s="373"/>
      <x:c r="S404" s="373"/>
      <x:c r="T404" s="373"/>
      <x:c r="U404" s="373"/>
      <x:c r="V404" s="373"/>
      <x:c r="W404" s="373"/>
      <x:c r="X404" s="373"/>
      <x:c r="Y404" s="373"/>
      <x:c r="Z404" s="373"/>
    </x:row>
    <x:row r="405">
      <x:c r="A405" s="373"/>
      <x:c r="B405" s="373"/>
      <x:c r="C405" s="373"/>
      <x:c r="D405" s="373"/>
      <x:c r="E405" s="373"/>
      <x:c r="F405" s="373"/>
      <x:c r="G405" s="373"/>
      <x:c r="H405" s="373"/>
      <x:c r="I405" s="373"/>
      <x:c r="J405" s="373"/>
      <x:c r="K405" s="373"/>
      <x:c r="L405" s="373"/>
      <x:c r="M405" s="373"/>
      <x:c r="N405" s="373"/>
      <x:c r="O405" s="373"/>
      <x:c r="P405" s="373"/>
      <x:c r="Q405" s="373"/>
      <x:c r="R405" s="373"/>
      <x:c r="S405" s="373"/>
      <x:c r="T405" s="373"/>
      <x:c r="U405" s="373"/>
      <x:c r="V405" s="373"/>
      <x:c r="W405" s="373"/>
      <x:c r="X405" s="373"/>
      <x:c r="Y405" s="373"/>
      <x:c r="Z405" s="373"/>
    </x:row>
    <x:row r="406">
      <x:c r="A406" s="373"/>
      <x:c r="B406" s="373"/>
      <x:c r="C406" s="373"/>
      <x:c r="D406" s="373"/>
      <x:c r="E406" s="373"/>
      <x:c r="F406" s="373"/>
      <x:c r="G406" s="373"/>
      <x:c r="H406" s="373"/>
      <x:c r="I406" s="373"/>
      <x:c r="J406" s="373"/>
      <x:c r="K406" s="373"/>
      <x:c r="L406" s="373"/>
      <x:c r="M406" s="373"/>
      <x:c r="N406" s="373"/>
      <x:c r="O406" s="373"/>
      <x:c r="P406" s="373"/>
      <x:c r="Q406" s="373"/>
      <x:c r="R406" s="373"/>
      <x:c r="S406" s="373"/>
      <x:c r="T406" s="373"/>
      <x:c r="U406" s="373"/>
      <x:c r="V406" s="373"/>
      <x:c r="W406" s="373"/>
      <x:c r="X406" s="373"/>
      <x:c r="Y406" s="373"/>
      <x:c r="Z406" s="373"/>
    </x:row>
    <x:row r="407">
      <x:c r="A407" s="373"/>
      <x:c r="B407" s="373"/>
      <x:c r="C407" s="373"/>
      <x:c r="D407" s="373"/>
      <x:c r="E407" s="373"/>
      <x:c r="F407" s="373"/>
      <x:c r="G407" s="373"/>
      <x:c r="H407" s="373"/>
      <x:c r="I407" s="373"/>
      <x:c r="J407" s="373"/>
      <x:c r="K407" s="373"/>
      <x:c r="L407" s="373"/>
      <x:c r="M407" s="373"/>
      <x:c r="N407" s="373"/>
      <x:c r="O407" s="373"/>
      <x:c r="P407" s="373"/>
      <x:c r="Q407" s="373"/>
      <x:c r="R407" s="373"/>
      <x:c r="S407" s="373"/>
      <x:c r="T407" s="373"/>
      <x:c r="U407" s="373"/>
      <x:c r="V407" s="373"/>
      <x:c r="W407" s="373"/>
      <x:c r="X407" s="373"/>
      <x:c r="Y407" s="373"/>
      <x:c r="Z407" s="373"/>
    </x:row>
    <x:row r="408">
      <x:c r="A408" s="373"/>
      <x:c r="B408" s="373"/>
      <x:c r="C408" s="373"/>
      <x:c r="D408" s="373"/>
      <x:c r="E408" s="373"/>
      <x:c r="F408" s="373"/>
      <x:c r="G408" s="373"/>
      <x:c r="H408" s="373"/>
      <x:c r="I408" s="373"/>
      <x:c r="J408" s="373"/>
      <x:c r="K408" s="373"/>
      <x:c r="L408" s="373"/>
      <x:c r="M408" s="373"/>
      <x:c r="N408" s="373"/>
      <x:c r="O408" s="373"/>
      <x:c r="P408" s="373"/>
      <x:c r="Q408" s="373"/>
      <x:c r="R408" s="373"/>
      <x:c r="S408" s="373"/>
      <x:c r="T408" s="373"/>
      <x:c r="U408" s="373"/>
      <x:c r="V408" s="373"/>
      <x:c r="W408" s="373"/>
      <x:c r="X408" s="373"/>
      <x:c r="Y408" s="373"/>
      <x:c r="Z408" s="373"/>
    </x:row>
    <x:row r="409">
      <x:c r="A409" s="373"/>
      <x:c r="B409" s="373"/>
      <x:c r="C409" s="373"/>
      <x:c r="D409" s="373"/>
      <x:c r="E409" s="373"/>
      <x:c r="F409" s="373"/>
      <x:c r="G409" s="373"/>
      <x:c r="H409" s="373"/>
      <x:c r="I409" s="373"/>
      <x:c r="J409" s="373"/>
      <x:c r="K409" s="373"/>
      <x:c r="L409" s="373"/>
      <x:c r="M409" s="373"/>
      <x:c r="N409" s="373"/>
      <x:c r="O409" s="373"/>
      <x:c r="P409" s="373"/>
      <x:c r="Q409" s="373"/>
      <x:c r="R409" s="373"/>
      <x:c r="S409" s="373"/>
      <x:c r="T409" s="373"/>
      <x:c r="U409" s="373"/>
      <x:c r="V409" s="373"/>
      <x:c r="W409" s="373"/>
      <x:c r="X409" s="373"/>
      <x:c r="Y409" s="373"/>
      <x:c r="Z409" s="373"/>
    </x:row>
    <x:row r="410">
      <x:c r="A410" s="373"/>
      <x:c r="B410" s="373"/>
      <x:c r="C410" s="373"/>
      <x:c r="D410" s="373"/>
      <x:c r="E410" s="373"/>
      <x:c r="F410" s="373"/>
      <x:c r="G410" s="373"/>
      <x:c r="H410" s="373"/>
      <x:c r="I410" s="373"/>
      <x:c r="J410" s="373"/>
      <x:c r="K410" s="373"/>
      <x:c r="L410" s="373"/>
      <x:c r="M410" s="373"/>
      <x:c r="N410" s="373"/>
      <x:c r="O410" s="373"/>
      <x:c r="P410" s="373"/>
      <x:c r="Q410" s="373"/>
      <x:c r="R410" s="373"/>
      <x:c r="S410" s="373"/>
      <x:c r="T410" s="373"/>
      <x:c r="U410" s="373"/>
      <x:c r="V410" s="373"/>
      <x:c r="W410" s="373"/>
      <x:c r="X410" s="373"/>
      <x:c r="Y410" s="373"/>
      <x:c r="Z410" s="373"/>
    </x:row>
    <x:row r="411">
      <x:c r="A411" s="373"/>
      <x:c r="B411" s="373"/>
      <x:c r="C411" s="373"/>
      <x:c r="D411" s="373"/>
      <x:c r="E411" s="373"/>
      <x:c r="F411" s="373"/>
      <x:c r="G411" s="373"/>
      <x:c r="H411" s="373"/>
      <x:c r="I411" s="373"/>
      <x:c r="J411" s="373"/>
      <x:c r="K411" s="373"/>
      <x:c r="L411" s="373"/>
      <x:c r="M411" s="373"/>
      <x:c r="N411" s="373"/>
      <x:c r="O411" s="373"/>
      <x:c r="P411" s="373"/>
      <x:c r="Q411" s="373"/>
      <x:c r="R411" s="373"/>
      <x:c r="S411" s="373"/>
      <x:c r="T411" s="373"/>
      <x:c r="U411" s="373"/>
      <x:c r="V411" s="373"/>
      <x:c r="W411" s="373"/>
      <x:c r="X411" s="373"/>
      <x:c r="Y411" s="373"/>
      <x:c r="Z411" s="373"/>
    </x:row>
    <x:row r="412">
      <x:c r="A412" s="373"/>
      <x:c r="B412" s="373"/>
      <x:c r="C412" s="373"/>
      <x:c r="D412" s="373"/>
      <x:c r="E412" s="373"/>
      <x:c r="F412" s="373"/>
      <x:c r="G412" s="373"/>
      <x:c r="H412" s="373"/>
      <x:c r="I412" s="373"/>
      <x:c r="J412" s="373"/>
      <x:c r="K412" s="373"/>
      <x:c r="L412" s="373"/>
      <x:c r="M412" s="373"/>
      <x:c r="N412" s="373"/>
      <x:c r="O412" s="373"/>
      <x:c r="P412" s="373"/>
      <x:c r="Q412" s="373"/>
      <x:c r="R412" s="373"/>
      <x:c r="S412" s="373"/>
      <x:c r="T412" s="373"/>
      <x:c r="U412" s="373"/>
      <x:c r="V412" s="373"/>
      <x:c r="W412" s="373"/>
      <x:c r="X412" s="373"/>
      <x:c r="Y412" s="373"/>
      <x:c r="Z412" s="373"/>
    </x:row>
    <x:row r="413">
      <x:c r="A413" s="373"/>
      <x:c r="B413" s="373"/>
      <x:c r="C413" s="373"/>
      <x:c r="D413" s="373"/>
      <x:c r="E413" s="373"/>
      <x:c r="F413" s="373"/>
      <x:c r="G413" s="373"/>
      <x:c r="H413" s="373"/>
      <x:c r="I413" s="373"/>
      <x:c r="J413" s="373"/>
      <x:c r="K413" s="373"/>
      <x:c r="L413" s="373"/>
      <x:c r="M413" s="373"/>
      <x:c r="N413" s="373"/>
      <x:c r="O413" s="373"/>
      <x:c r="P413" s="373"/>
      <x:c r="Q413" s="373"/>
      <x:c r="R413" s="373"/>
      <x:c r="S413" s="373"/>
      <x:c r="T413" s="373"/>
      <x:c r="U413" s="373"/>
      <x:c r="V413" s="373"/>
      <x:c r="W413" s="373"/>
      <x:c r="X413" s="373"/>
      <x:c r="Y413" s="373"/>
      <x:c r="Z413" s="373"/>
    </x:row>
    <x:row r="414">
      <x:c r="A414" s="373"/>
      <x:c r="B414" s="373"/>
      <x:c r="C414" s="373"/>
      <x:c r="D414" s="373"/>
      <x:c r="E414" s="373"/>
      <x:c r="F414" s="373"/>
      <x:c r="G414" s="373"/>
      <x:c r="H414" s="373"/>
      <x:c r="I414" s="373"/>
      <x:c r="J414" s="373"/>
      <x:c r="K414" s="373"/>
      <x:c r="L414" s="373"/>
      <x:c r="M414" s="373"/>
      <x:c r="N414" s="373"/>
      <x:c r="O414" s="373"/>
      <x:c r="P414" s="373"/>
      <x:c r="Q414" s="373"/>
      <x:c r="R414" s="373"/>
      <x:c r="S414" s="373"/>
      <x:c r="T414" s="373"/>
      <x:c r="U414" s="373"/>
      <x:c r="V414" s="373"/>
      <x:c r="W414" s="373"/>
      <x:c r="X414" s="373"/>
      <x:c r="Y414" s="373"/>
      <x:c r="Z414" s="373"/>
    </x:row>
    <x:row r="415">
      <x:c r="A415" s="373"/>
      <x:c r="B415" s="373"/>
      <x:c r="C415" s="373"/>
      <x:c r="D415" s="373"/>
      <x:c r="E415" s="373"/>
      <x:c r="F415" s="373"/>
      <x:c r="G415" s="373"/>
      <x:c r="H415" s="373"/>
      <x:c r="I415" s="373"/>
      <x:c r="J415" s="373"/>
      <x:c r="K415" s="373"/>
      <x:c r="L415" s="373"/>
      <x:c r="M415" s="373"/>
      <x:c r="N415" s="373"/>
      <x:c r="O415" s="373"/>
      <x:c r="P415" s="373"/>
      <x:c r="Q415" s="373"/>
      <x:c r="R415" s="373"/>
      <x:c r="S415" s="373"/>
      <x:c r="T415" s="373"/>
      <x:c r="U415" s="373"/>
      <x:c r="V415" s="373"/>
      <x:c r="W415" s="373"/>
      <x:c r="X415" s="373"/>
      <x:c r="Y415" s="373"/>
      <x:c r="Z415" s="373"/>
    </x:row>
    <x:row r="416">
      <x:c r="A416" s="373"/>
      <x:c r="B416" s="373"/>
      <x:c r="C416" s="373"/>
      <x:c r="D416" s="373"/>
      <x:c r="E416" s="373"/>
      <x:c r="F416" s="373"/>
      <x:c r="G416" s="373"/>
      <x:c r="H416" s="373"/>
      <x:c r="I416" s="373"/>
      <x:c r="J416" s="373"/>
      <x:c r="K416" s="373"/>
      <x:c r="L416" s="373"/>
      <x:c r="M416" s="373"/>
      <x:c r="N416" s="373"/>
      <x:c r="O416" s="373"/>
      <x:c r="P416" s="373"/>
      <x:c r="Q416" s="373"/>
      <x:c r="R416" s="373"/>
      <x:c r="S416" s="373"/>
      <x:c r="T416" s="373"/>
      <x:c r="U416" s="373"/>
      <x:c r="V416" s="373"/>
      <x:c r="W416" s="373"/>
      <x:c r="X416" s="373"/>
      <x:c r="Y416" s="373"/>
      <x:c r="Z416" s="373"/>
    </x:row>
    <x:row r="417">
      <x:c r="A417" s="373"/>
      <x:c r="B417" s="373"/>
      <x:c r="C417" s="373"/>
      <x:c r="D417" s="373"/>
      <x:c r="E417" s="373"/>
      <x:c r="F417" s="373"/>
      <x:c r="G417" s="373"/>
      <x:c r="H417" s="373"/>
      <x:c r="I417" s="373"/>
      <x:c r="J417" s="373"/>
      <x:c r="K417" s="373"/>
      <x:c r="L417" s="373"/>
      <x:c r="M417" s="373"/>
      <x:c r="N417" s="373"/>
      <x:c r="O417" s="373"/>
      <x:c r="P417" s="373"/>
      <x:c r="Q417" s="373"/>
      <x:c r="R417" s="373"/>
      <x:c r="S417" s="373"/>
      <x:c r="T417" s="373"/>
      <x:c r="U417" s="373"/>
      <x:c r="V417" s="373"/>
      <x:c r="W417" s="373"/>
      <x:c r="X417" s="373"/>
      <x:c r="Y417" s="373"/>
      <x:c r="Z417" s="373"/>
    </x:row>
    <x:row r="418">
      <x:c r="A418" s="373"/>
      <x:c r="B418" s="373"/>
      <x:c r="C418" s="373"/>
      <x:c r="D418" s="373"/>
      <x:c r="E418" s="373"/>
      <x:c r="F418" s="373"/>
      <x:c r="G418" s="373"/>
      <x:c r="H418" s="373"/>
      <x:c r="I418" s="373"/>
      <x:c r="J418" s="373"/>
      <x:c r="K418" s="373"/>
      <x:c r="L418" s="373"/>
      <x:c r="M418" s="373"/>
      <x:c r="N418" s="373"/>
      <x:c r="O418" s="373"/>
      <x:c r="P418" s="373"/>
      <x:c r="Q418" s="373"/>
      <x:c r="R418" s="373"/>
      <x:c r="S418" s="373"/>
      <x:c r="T418" s="373"/>
      <x:c r="U418" s="373"/>
      <x:c r="V418" s="373"/>
      <x:c r="W418" s="373"/>
      <x:c r="X418" s="373"/>
      <x:c r="Y418" s="373"/>
      <x:c r="Z418" s="373"/>
    </x:row>
    <x:row r="419">
      <x:c r="A419" s="373"/>
      <x:c r="B419" s="373"/>
      <x:c r="C419" s="373"/>
      <x:c r="D419" s="373"/>
      <x:c r="E419" s="373"/>
      <x:c r="F419" s="373"/>
      <x:c r="G419" s="373"/>
      <x:c r="H419" s="373"/>
      <x:c r="I419" s="373"/>
      <x:c r="J419" s="373"/>
      <x:c r="K419" s="373"/>
      <x:c r="L419" s="373"/>
      <x:c r="M419" s="373"/>
      <x:c r="N419" s="373"/>
      <x:c r="O419" s="373"/>
      <x:c r="P419" s="373"/>
      <x:c r="Q419" s="373"/>
      <x:c r="R419" s="373"/>
      <x:c r="S419" s="373"/>
      <x:c r="T419" s="373"/>
      <x:c r="U419" s="373"/>
      <x:c r="V419" s="373"/>
      <x:c r="W419" s="373"/>
      <x:c r="X419" s="373"/>
      <x:c r="Y419" s="373"/>
      <x:c r="Z419" s="373"/>
    </x:row>
    <x:row r="420">
      <x:c r="A420" s="373"/>
      <x:c r="B420" s="373"/>
      <x:c r="C420" s="373"/>
      <x:c r="D420" s="373"/>
      <x:c r="E420" s="373"/>
      <x:c r="F420" s="373"/>
      <x:c r="G420" s="373"/>
      <x:c r="H420" s="373"/>
      <x:c r="I420" s="373"/>
      <x:c r="J420" s="373"/>
      <x:c r="K420" s="373"/>
      <x:c r="L420" s="373"/>
      <x:c r="M420" s="373"/>
      <x:c r="N420" s="373"/>
      <x:c r="O420" s="373"/>
      <x:c r="P420" s="373"/>
      <x:c r="Q420" s="373"/>
      <x:c r="R420" s="373"/>
      <x:c r="S420" s="373"/>
      <x:c r="T420" s="373"/>
      <x:c r="U420" s="373"/>
      <x:c r="V420" s="373"/>
      <x:c r="W420" s="373"/>
      <x:c r="X420" s="373"/>
      <x:c r="Y420" s="373"/>
      <x:c r="Z420" s="373"/>
    </x:row>
    <x:row r="421">
      <x:c r="A421" s="373"/>
      <x:c r="B421" s="373"/>
      <x:c r="C421" s="373"/>
      <x:c r="D421" s="373"/>
      <x:c r="E421" s="373"/>
      <x:c r="F421" s="373"/>
      <x:c r="G421" s="373"/>
      <x:c r="H421" s="373"/>
      <x:c r="I421" s="373"/>
      <x:c r="J421" s="373"/>
      <x:c r="K421" s="373"/>
      <x:c r="L421" s="373"/>
      <x:c r="M421" s="373"/>
      <x:c r="N421" s="373"/>
      <x:c r="O421" s="373"/>
      <x:c r="P421" s="373"/>
      <x:c r="Q421" s="373"/>
      <x:c r="R421" s="373"/>
      <x:c r="S421" s="373"/>
      <x:c r="T421" s="373"/>
      <x:c r="U421" s="373"/>
      <x:c r="V421" s="373"/>
      <x:c r="W421" s="373"/>
      <x:c r="X421" s="373"/>
      <x:c r="Y421" s="373"/>
      <x:c r="Z421" s="373"/>
    </x:row>
    <x:row r="422">
      <x:c r="A422" s="373"/>
      <x:c r="B422" s="373"/>
      <x:c r="C422" s="373"/>
      <x:c r="D422" s="373"/>
      <x:c r="E422" s="373"/>
      <x:c r="F422" s="373"/>
      <x:c r="G422" s="373"/>
      <x:c r="H422" s="373"/>
      <x:c r="I422" s="373"/>
      <x:c r="J422" s="373"/>
      <x:c r="K422" s="373"/>
      <x:c r="L422" s="373"/>
      <x:c r="M422" s="373"/>
      <x:c r="N422" s="373"/>
      <x:c r="O422" s="373"/>
      <x:c r="P422" s="373"/>
      <x:c r="Q422" s="373"/>
      <x:c r="R422" s="373"/>
      <x:c r="S422" s="373"/>
      <x:c r="T422" s="373"/>
      <x:c r="U422" s="373"/>
      <x:c r="V422" s="373"/>
      <x:c r="W422" s="373"/>
      <x:c r="X422" s="373"/>
      <x:c r="Y422" s="373"/>
      <x:c r="Z422" s="373"/>
    </x:row>
    <x:row r="423">
      <x:c r="A423" s="373"/>
      <x:c r="B423" s="373"/>
      <x:c r="C423" s="373"/>
      <x:c r="D423" s="373"/>
      <x:c r="E423" s="373"/>
      <x:c r="F423" s="373"/>
      <x:c r="G423" s="373"/>
      <x:c r="H423" s="373"/>
      <x:c r="I423" s="373"/>
      <x:c r="J423" s="373"/>
      <x:c r="K423" s="373"/>
      <x:c r="L423" s="373"/>
      <x:c r="M423" s="373"/>
      <x:c r="N423" s="373"/>
      <x:c r="O423" s="373"/>
      <x:c r="P423" s="373"/>
      <x:c r="Q423" s="373"/>
      <x:c r="R423" s="373"/>
      <x:c r="S423" s="373"/>
      <x:c r="T423" s="373"/>
      <x:c r="U423" s="373"/>
      <x:c r="V423" s="373"/>
      <x:c r="W423" s="373"/>
      <x:c r="X423" s="373"/>
      <x:c r="Y423" s="373"/>
      <x:c r="Z423" s="373"/>
    </x:row>
    <x:row r="424">
      <x:c r="A424" s="373"/>
      <x:c r="B424" s="373"/>
      <x:c r="C424" s="373"/>
      <x:c r="D424" s="373"/>
      <x:c r="E424" s="373"/>
      <x:c r="F424" s="373"/>
      <x:c r="G424" s="373"/>
      <x:c r="H424" s="373"/>
      <x:c r="I424" s="373"/>
      <x:c r="J424" s="373"/>
      <x:c r="K424" s="373"/>
      <x:c r="L424" s="373"/>
      <x:c r="M424" s="373"/>
      <x:c r="N424" s="373"/>
      <x:c r="O424" s="373"/>
      <x:c r="P424" s="373"/>
      <x:c r="Q424" s="373"/>
      <x:c r="R424" s="373"/>
      <x:c r="S424" s="373"/>
      <x:c r="T424" s="373"/>
      <x:c r="U424" s="373"/>
      <x:c r="V424" s="373"/>
      <x:c r="W424" s="373"/>
      <x:c r="X424" s="373"/>
      <x:c r="Y424" s="373"/>
      <x:c r="Z424" s="373"/>
    </x:row>
    <x:row r="425">
      <x:c r="A425" s="373"/>
      <x:c r="B425" s="373"/>
      <x:c r="C425" s="373"/>
      <x:c r="D425" s="373"/>
      <x:c r="E425" s="373"/>
      <x:c r="F425" s="373"/>
      <x:c r="G425" s="373"/>
      <x:c r="H425" s="373"/>
      <x:c r="I425" s="373"/>
      <x:c r="J425" s="373"/>
      <x:c r="K425" s="373"/>
      <x:c r="L425" s="373"/>
      <x:c r="M425" s="373"/>
      <x:c r="N425" s="373"/>
      <x:c r="O425" s="373"/>
      <x:c r="P425" s="373"/>
      <x:c r="Q425" s="373"/>
      <x:c r="R425" s="373"/>
      <x:c r="S425" s="373"/>
      <x:c r="T425" s="373"/>
      <x:c r="U425" s="373"/>
      <x:c r="V425" s="373"/>
      <x:c r="W425" s="373"/>
      <x:c r="X425" s="373"/>
      <x:c r="Y425" s="373"/>
      <x:c r="Z425" s="373"/>
    </x:row>
    <x:row r="426">
      <x:c r="A426" s="373"/>
      <x:c r="B426" s="373"/>
      <x:c r="C426" s="373"/>
      <x:c r="D426" s="373"/>
      <x:c r="E426" s="373"/>
      <x:c r="F426" s="373"/>
      <x:c r="G426" s="373"/>
      <x:c r="H426" s="373"/>
      <x:c r="I426" s="373"/>
      <x:c r="J426" s="373"/>
      <x:c r="K426" s="373"/>
      <x:c r="L426" s="373"/>
      <x:c r="M426" s="373"/>
      <x:c r="N426" s="373"/>
      <x:c r="O426" s="373"/>
      <x:c r="P426" s="373"/>
      <x:c r="Q426" s="373"/>
      <x:c r="R426" s="373"/>
      <x:c r="S426" s="373"/>
      <x:c r="T426" s="373"/>
      <x:c r="U426" s="373"/>
      <x:c r="V426" s="373"/>
      <x:c r="W426" s="373"/>
      <x:c r="X426" s="373"/>
      <x:c r="Y426" s="373"/>
      <x:c r="Z426" s="373"/>
    </x:row>
    <x:row r="427">
      <x:c r="A427" s="373"/>
      <x:c r="B427" s="373"/>
      <x:c r="C427" s="373"/>
      <x:c r="D427" s="373"/>
      <x:c r="E427" s="373"/>
      <x:c r="F427" s="373"/>
      <x:c r="G427" s="373"/>
      <x:c r="H427" s="373"/>
      <x:c r="I427" s="373"/>
      <x:c r="J427" s="373"/>
      <x:c r="K427" s="373"/>
      <x:c r="L427" s="373"/>
      <x:c r="M427" s="373"/>
      <x:c r="N427" s="373"/>
      <x:c r="O427" s="373"/>
      <x:c r="P427" s="373"/>
      <x:c r="Q427" s="373"/>
      <x:c r="R427" s="373"/>
      <x:c r="S427" s="373"/>
      <x:c r="T427" s="373"/>
      <x:c r="U427" s="373"/>
      <x:c r="V427" s="373"/>
      <x:c r="W427" s="373"/>
      <x:c r="X427" s="373"/>
      <x:c r="Y427" s="373"/>
      <x:c r="Z427" s="373"/>
    </x:row>
    <x:row r="428">
      <x:c r="A428" s="373"/>
      <x:c r="B428" s="373"/>
      <x:c r="C428" s="373"/>
      <x:c r="D428" s="373"/>
      <x:c r="E428" s="373"/>
      <x:c r="F428" s="373"/>
      <x:c r="G428" s="373"/>
      <x:c r="H428" s="373"/>
      <x:c r="I428" s="373"/>
      <x:c r="J428" s="373"/>
      <x:c r="K428" s="373"/>
      <x:c r="L428" s="373"/>
      <x:c r="M428" s="373"/>
      <x:c r="N428" s="373"/>
      <x:c r="O428" s="373"/>
      <x:c r="P428" s="373"/>
      <x:c r="Q428" s="373"/>
      <x:c r="R428" s="373"/>
      <x:c r="S428" s="373"/>
      <x:c r="T428" s="373"/>
      <x:c r="U428" s="373"/>
      <x:c r="V428" s="373"/>
      <x:c r="W428" s="373"/>
      <x:c r="X428" s="373"/>
      <x:c r="Y428" s="373"/>
      <x:c r="Z428" s="373"/>
    </x:row>
    <x:row r="429">
      <x:c r="A429" s="373"/>
      <x:c r="B429" s="373"/>
      <x:c r="C429" s="373"/>
      <x:c r="D429" s="373"/>
      <x:c r="E429" s="373"/>
      <x:c r="F429" s="373"/>
      <x:c r="G429" s="373"/>
      <x:c r="H429" s="373"/>
      <x:c r="I429" s="373"/>
      <x:c r="J429" s="373"/>
      <x:c r="K429" s="373"/>
      <x:c r="L429" s="373"/>
      <x:c r="M429" s="373"/>
      <x:c r="N429" s="373"/>
      <x:c r="O429" s="373"/>
      <x:c r="P429" s="373"/>
      <x:c r="Q429" s="373"/>
      <x:c r="R429" s="373"/>
      <x:c r="S429" s="373"/>
      <x:c r="T429" s="373"/>
      <x:c r="U429" s="373"/>
      <x:c r="V429" s="373"/>
      <x:c r="W429" s="373"/>
      <x:c r="X429" s="373"/>
      <x:c r="Y429" s="373"/>
      <x:c r="Z429" s="373"/>
    </x:row>
    <x:row r="430">
      <x:c r="A430" s="373"/>
      <x:c r="B430" s="373"/>
      <x:c r="C430" s="373"/>
      <x:c r="D430" s="373"/>
      <x:c r="E430" s="373"/>
      <x:c r="F430" s="373"/>
      <x:c r="G430" s="373"/>
      <x:c r="H430" s="373"/>
      <x:c r="I430" s="373"/>
      <x:c r="J430" s="373"/>
      <x:c r="K430" s="373"/>
      <x:c r="L430" s="373"/>
      <x:c r="M430" s="373"/>
      <x:c r="N430" s="373"/>
      <x:c r="O430" s="373"/>
      <x:c r="P430" s="373"/>
      <x:c r="Q430" s="373"/>
      <x:c r="R430" s="373"/>
      <x:c r="S430" s="373"/>
      <x:c r="T430" s="373"/>
      <x:c r="U430" s="373"/>
      <x:c r="V430" s="373"/>
      <x:c r="W430" s="373"/>
      <x:c r="X430" s="373"/>
      <x:c r="Y430" s="373"/>
      <x:c r="Z430" s="373"/>
    </x:row>
    <x:row r="431">
      <x:c r="A431" s="373"/>
      <x:c r="B431" s="373"/>
      <x:c r="C431" s="373"/>
      <x:c r="D431" s="373"/>
      <x:c r="E431" s="373"/>
      <x:c r="F431" s="373"/>
      <x:c r="G431" s="373"/>
      <x:c r="H431" s="373"/>
      <x:c r="I431" s="373"/>
      <x:c r="J431" s="373"/>
      <x:c r="K431" s="373"/>
      <x:c r="L431" s="373"/>
      <x:c r="M431" s="373"/>
      <x:c r="N431" s="373"/>
      <x:c r="O431" s="373"/>
      <x:c r="P431" s="373"/>
      <x:c r="Q431" s="373"/>
      <x:c r="R431" s="373"/>
      <x:c r="S431" s="373"/>
      <x:c r="T431" s="373"/>
      <x:c r="U431" s="373"/>
      <x:c r="V431" s="373"/>
      <x:c r="W431" s="373"/>
      <x:c r="X431" s="373"/>
      <x:c r="Y431" s="373"/>
      <x:c r="Z431" s="373"/>
    </x:row>
    <x:row r="432">
      <x:c r="A432" s="373"/>
      <x:c r="B432" s="373"/>
      <x:c r="C432" s="373"/>
      <x:c r="D432" s="373"/>
      <x:c r="E432" s="373"/>
      <x:c r="F432" s="373"/>
      <x:c r="G432" s="373"/>
      <x:c r="H432" s="373"/>
      <x:c r="I432" s="373"/>
      <x:c r="J432" s="373"/>
      <x:c r="K432" s="373"/>
      <x:c r="L432" s="373"/>
      <x:c r="M432" s="373"/>
      <x:c r="N432" s="373"/>
      <x:c r="O432" s="373"/>
      <x:c r="P432" s="373"/>
      <x:c r="Q432" s="373"/>
      <x:c r="R432" s="373"/>
      <x:c r="S432" s="373"/>
      <x:c r="T432" s="373"/>
      <x:c r="U432" s="373"/>
      <x:c r="V432" s="373"/>
      <x:c r="W432" s="373"/>
      <x:c r="X432" s="373"/>
      <x:c r="Y432" s="373"/>
      <x:c r="Z432" s="373"/>
    </x:row>
    <x:row r="433">
      <x:c r="A433" s="373"/>
      <x:c r="B433" s="373"/>
      <x:c r="C433" s="373"/>
      <x:c r="D433" s="373"/>
      <x:c r="E433" s="373"/>
      <x:c r="F433" s="373"/>
      <x:c r="G433" s="373"/>
      <x:c r="H433" s="373"/>
      <x:c r="I433" s="373"/>
      <x:c r="J433" s="373"/>
      <x:c r="K433" s="373"/>
      <x:c r="L433" s="373"/>
      <x:c r="M433" s="373"/>
      <x:c r="N433" s="373"/>
      <x:c r="O433" s="373"/>
      <x:c r="P433" s="373"/>
      <x:c r="Q433" s="373"/>
      <x:c r="R433" s="373"/>
      <x:c r="S433" s="373"/>
      <x:c r="T433" s="373"/>
      <x:c r="U433" s="373"/>
      <x:c r="V433" s="373"/>
      <x:c r="W433" s="373"/>
      <x:c r="X433" s="373"/>
      <x:c r="Y433" s="373"/>
      <x:c r="Z433" s="373"/>
    </x:row>
    <x:row r="434">
      <x:c r="A434" s="373"/>
      <x:c r="B434" s="373"/>
      <x:c r="C434" s="373"/>
      <x:c r="D434" s="373"/>
      <x:c r="E434" s="373"/>
      <x:c r="F434" s="373"/>
      <x:c r="G434" s="373"/>
      <x:c r="H434" s="373"/>
      <x:c r="I434" s="373"/>
      <x:c r="J434" s="373"/>
      <x:c r="K434" s="373"/>
      <x:c r="L434" s="373"/>
      <x:c r="M434" s="373"/>
      <x:c r="N434" s="373"/>
      <x:c r="O434" s="373"/>
      <x:c r="P434" s="373"/>
      <x:c r="Q434" s="373"/>
      <x:c r="R434" s="373"/>
      <x:c r="S434" s="373"/>
      <x:c r="T434" s="373"/>
      <x:c r="U434" s="373"/>
      <x:c r="V434" s="373"/>
      <x:c r="W434" s="373"/>
      <x:c r="X434" s="373"/>
      <x:c r="Y434" s="373"/>
      <x:c r="Z434" s="373"/>
    </x:row>
    <x:row r="435">
      <x:c r="A435" s="373"/>
      <x:c r="B435" s="373"/>
      <x:c r="C435" s="373"/>
      <x:c r="D435" s="373"/>
      <x:c r="E435" s="373"/>
      <x:c r="F435" s="373"/>
      <x:c r="G435" s="373"/>
      <x:c r="H435" s="373"/>
      <x:c r="I435" s="373"/>
      <x:c r="J435" s="373"/>
      <x:c r="K435" s="373"/>
      <x:c r="L435" s="373"/>
      <x:c r="M435" s="373"/>
      <x:c r="N435" s="373"/>
      <x:c r="O435" s="373"/>
      <x:c r="P435" s="373"/>
      <x:c r="Q435" s="373"/>
      <x:c r="R435" s="373"/>
      <x:c r="S435" s="373"/>
      <x:c r="T435" s="373"/>
      <x:c r="U435" s="373"/>
      <x:c r="V435" s="373"/>
      <x:c r="W435" s="373"/>
      <x:c r="X435" s="373"/>
      <x:c r="Y435" s="373"/>
      <x:c r="Z435" s="373"/>
    </x:row>
    <x:row r="436">
      <x:c r="A436" s="373"/>
      <x:c r="B436" s="373"/>
      <x:c r="C436" s="373"/>
      <x:c r="D436" s="373"/>
      <x:c r="E436" s="373"/>
      <x:c r="F436" s="373"/>
      <x:c r="G436" s="373"/>
      <x:c r="H436" s="373"/>
      <x:c r="I436" s="373"/>
      <x:c r="J436" s="373"/>
      <x:c r="K436" s="373"/>
      <x:c r="L436" s="373"/>
      <x:c r="M436" s="373"/>
      <x:c r="N436" s="373"/>
      <x:c r="O436" s="373"/>
      <x:c r="P436" s="373"/>
      <x:c r="Q436" s="373"/>
      <x:c r="R436" s="373"/>
      <x:c r="S436" s="373"/>
      <x:c r="T436" s="373"/>
      <x:c r="U436" s="373"/>
      <x:c r="V436" s="373"/>
      <x:c r="W436" s="373"/>
      <x:c r="X436" s="373"/>
      <x:c r="Y436" s="373"/>
      <x:c r="Z436" s="373"/>
    </x:row>
    <x:row r="437">
      <x:c r="A437" s="373"/>
      <x:c r="B437" s="373"/>
      <x:c r="C437" s="373"/>
      <x:c r="D437" s="373"/>
      <x:c r="E437" s="373"/>
      <x:c r="F437" s="373"/>
      <x:c r="G437" s="373"/>
      <x:c r="H437" s="373"/>
      <x:c r="I437" s="373"/>
      <x:c r="J437" s="373"/>
      <x:c r="K437" s="373"/>
      <x:c r="L437" s="373"/>
      <x:c r="M437" s="373"/>
      <x:c r="N437" s="373"/>
      <x:c r="O437" s="373"/>
      <x:c r="P437" s="373"/>
      <x:c r="Q437" s="373"/>
      <x:c r="R437" s="373"/>
      <x:c r="S437" s="373"/>
      <x:c r="T437" s="373"/>
      <x:c r="U437" s="373"/>
      <x:c r="V437" s="373"/>
      <x:c r="W437" s="373"/>
      <x:c r="X437" s="373"/>
      <x:c r="Y437" s="373"/>
      <x:c r="Z437" s="373"/>
    </x:row>
    <x:row r="438">
      <x:c r="A438" s="373"/>
      <x:c r="B438" s="373"/>
      <x:c r="C438" s="373"/>
      <x:c r="D438" s="373"/>
      <x:c r="E438" s="373"/>
      <x:c r="F438" s="373"/>
      <x:c r="G438" s="373"/>
      <x:c r="H438" s="373"/>
      <x:c r="I438" s="373"/>
      <x:c r="J438" s="373"/>
      <x:c r="K438" s="373"/>
      <x:c r="L438" s="373"/>
      <x:c r="M438" s="373"/>
      <x:c r="N438" s="373"/>
      <x:c r="O438" s="373"/>
      <x:c r="P438" s="373"/>
      <x:c r="Q438" s="373"/>
      <x:c r="R438" s="373"/>
      <x:c r="S438" s="373"/>
      <x:c r="T438" s="373"/>
      <x:c r="U438" s="373"/>
      <x:c r="V438" s="373"/>
      <x:c r="W438" s="373"/>
      <x:c r="X438" s="373"/>
      <x:c r="Y438" s="373"/>
      <x:c r="Z438" s="373"/>
    </x:row>
    <x:row r="439">
      <x:c r="A439" s="373"/>
      <x:c r="B439" s="373"/>
      <x:c r="C439" s="373"/>
      <x:c r="D439" s="373"/>
      <x:c r="E439" s="373"/>
      <x:c r="F439" s="373"/>
      <x:c r="G439" s="373"/>
      <x:c r="H439" s="373"/>
      <x:c r="I439" s="373"/>
      <x:c r="J439" s="373"/>
      <x:c r="K439" s="373"/>
      <x:c r="L439" s="373"/>
      <x:c r="M439" s="373"/>
      <x:c r="N439" s="373"/>
      <x:c r="O439" s="373"/>
      <x:c r="P439" s="373"/>
      <x:c r="Q439" s="373"/>
      <x:c r="R439" s="373"/>
      <x:c r="S439" s="373"/>
      <x:c r="T439" s="373"/>
      <x:c r="U439" s="373"/>
      <x:c r="V439" s="373"/>
      <x:c r="W439" s="373"/>
      <x:c r="X439" s="373"/>
      <x:c r="Y439" s="373"/>
      <x:c r="Z439" s="373"/>
    </x:row>
    <x:row r="440">
      <x:c r="A440" s="373"/>
      <x:c r="B440" s="373"/>
      <x:c r="C440" s="373"/>
      <x:c r="D440" s="373"/>
      <x:c r="E440" s="373"/>
      <x:c r="F440" s="373"/>
      <x:c r="G440" s="373"/>
      <x:c r="H440" s="373"/>
      <x:c r="I440" s="373"/>
      <x:c r="J440" s="373"/>
      <x:c r="K440" s="373"/>
      <x:c r="L440" s="373"/>
      <x:c r="M440" s="373"/>
      <x:c r="N440" s="373"/>
      <x:c r="O440" s="373"/>
      <x:c r="P440" s="373"/>
      <x:c r="Q440" s="373"/>
      <x:c r="R440" s="373"/>
      <x:c r="S440" s="373"/>
      <x:c r="T440" s="373"/>
      <x:c r="U440" s="373"/>
      <x:c r="V440" s="373"/>
      <x:c r="W440" s="373"/>
      <x:c r="X440" s="373"/>
      <x:c r="Y440" s="373"/>
      <x:c r="Z440" s="373"/>
    </x:row>
    <x:row r="441">
      <x:c r="A441" s="373"/>
      <x:c r="B441" s="373"/>
      <x:c r="C441" s="373"/>
      <x:c r="D441" s="373"/>
      <x:c r="E441" s="373"/>
      <x:c r="F441" s="373"/>
      <x:c r="G441" s="373"/>
      <x:c r="H441" s="373"/>
      <x:c r="I441" s="373"/>
      <x:c r="J441" s="373"/>
      <x:c r="K441" s="373"/>
      <x:c r="L441" s="373"/>
      <x:c r="M441" s="373"/>
      <x:c r="N441" s="373"/>
      <x:c r="O441" s="373"/>
      <x:c r="P441" s="373"/>
      <x:c r="Q441" s="373"/>
      <x:c r="R441" s="373"/>
      <x:c r="S441" s="373"/>
      <x:c r="T441" s="373"/>
      <x:c r="U441" s="373"/>
      <x:c r="V441" s="373"/>
      <x:c r="W441" s="373"/>
      <x:c r="X441" s="373"/>
      <x:c r="Y441" s="373"/>
      <x:c r="Z441" s="373"/>
    </x:row>
    <x:row r="442">
      <x:c r="A442" s="373"/>
      <x:c r="B442" s="373"/>
      <x:c r="C442" s="373"/>
      <x:c r="D442" s="373"/>
      <x:c r="E442" s="373"/>
      <x:c r="F442" s="373"/>
      <x:c r="G442" s="373"/>
      <x:c r="H442" s="373"/>
      <x:c r="I442" s="373"/>
      <x:c r="J442" s="373"/>
      <x:c r="K442" s="373"/>
      <x:c r="L442" s="373"/>
      <x:c r="M442" s="373"/>
      <x:c r="N442" s="373"/>
      <x:c r="O442" s="373"/>
      <x:c r="P442" s="373"/>
      <x:c r="Q442" s="373"/>
      <x:c r="R442" s="373"/>
      <x:c r="S442" s="373"/>
      <x:c r="T442" s="373"/>
      <x:c r="U442" s="373"/>
      <x:c r="V442" s="373"/>
      <x:c r="W442" s="373"/>
      <x:c r="X442" s="373"/>
      <x:c r="Y442" s="373"/>
      <x:c r="Z442" s="373"/>
    </x:row>
    <x:row r="443">
      <x:c r="A443" s="373"/>
      <x:c r="B443" s="373"/>
      <x:c r="C443" s="373"/>
      <x:c r="D443" s="373"/>
      <x:c r="E443" s="373"/>
      <x:c r="F443" s="373"/>
      <x:c r="G443" s="373"/>
      <x:c r="H443" s="373"/>
      <x:c r="I443" s="373"/>
      <x:c r="J443" s="373"/>
      <x:c r="K443" s="373"/>
      <x:c r="L443" s="373"/>
      <x:c r="M443" s="373"/>
      <x:c r="N443" s="373"/>
      <x:c r="O443" s="373"/>
      <x:c r="P443" s="373"/>
      <x:c r="Q443" s="373"/>
      <x:c r="R443" s="373"/>
      <x:c r="S443" s="373"/>
      <x:c r="T443" s="373"/>
      <x:c r="U443" s="373"/>
      <x:c r="V443" s="373"/>
      <x:c r="W443" s="373"/>
      <x:c r="X443" s="373"/>
      <x:c r="Y443" s="373"/>
      <x:c r="Z443" s="373"/>
    </x:row>
    <x:row r="444">
      <x:c r="A444" s="373"/>
      <x:c r="B444" s="373"/>
      <x:c r="C444" s="373"/>
      <x:c r="D444" s="373"/>
      <x:c r="E444" s="373"/>
      <x:c r="F444" s="373"/>
      <x:c r="G444" s="373"/>
      <x:c r="H444" s="373"/>
      <x:c r="I444" s="373"/>
      <x:c r="J444" s="373"/>
      <x:c r="K444" s="373"/>
      <x:c r="L444" s="373"/>
      <x:c r="M444" s="373"/>
      <x:c r="N444" s="373"/>
      <x:c r="O444" s="373"/>
      <x:c r="P444" s="373"/>
      <x:c r="Q444" s="373"/>
      <x:c r="R444" s="373"/>
      <x:c r="S444" s="373"/>
      <x:c r="T444" s="373"/>
      <x:c r="U444" s="373"/>
      <x:c r="V444" s="373"/>
      <x:c r="W444" s="373"/>
      <x:c r="X444" s="373"/>
      <x:c r="Y444" s="373"/>
      <x:c r="Z444" s="373"/>
    </x:row>
    <x:row r="445">
      <x:c r="A445" s="373"/>
      <x:c r="B445" s="373"/>
      <x:c r="C445" s="373"/>
      <x:c r="D445" s="373"/>
      <x:c r="E445" s="373"/>
      <x:c r="F445" s="373"/>
      <x:c r="G445" s="373"/>
      <x:c r="H445" s="373"/>
      <x:c r="I445" s="373"/>
      <x:c r="J445" s="373"/>
      <x:c r="K445" s="373"/>
      <x:c r="L445" s="373"/>
      <x:c r="M445" s="373"/>
      <x:c r="N445" s="373"/>
      <x:c r="O445" s="373"/>
      <x:c r="P445" s="373"/>
      <x:c r="Q445" s="373"/>
      <x:c r="R445" s="373"/>
      <x:c r="S445" s="373"/>
      <x:c r="T445" s="373"/>
      <x:c r="U445" s="373"/>
      <x:c r="V445" s="373"/>
      <x:c r="W445" s="373"/>
      <x:c r="X445" s="373"/>
      <x:c r="Y445" s="373"/>
      <x:c r="Z445" s="373"/>
    </x:row>
    <x:row r="446">
      <x:c r="A446" s="373"/>
      <x:c r="B446" s="373"/>
      <x:c r="C446" s="373"/>
      <x:c r="D446" s="373"/>
      <x:c r="E446" s="373"/>
      <x:c r="F446" s="373"/>
      <x:c r="G446" s="373"/>
      <x:c r="H446" s="373"/>
      <x:c r="I446" s="373"/>
      <x:c r="J446" s="373"/>
      <x:c r="K446" s="373"/>
      <x:c r="L446" s="373"/>
      <x:c r="M446" s="373"/>
      <x:c r="N446" s="373"/>
      <x:c r="O446" s="373"/>
      <x:c r="P446" s="373"/>
      <x:c r="Q446" s="373"/>
      <x:c r="R446" s="373"/>
      <x:c r="S446" s="373"/>
      <x:c r="T446" s="373"/>
      <x:c r="U446" s="373"/>
      <x:c r="V446" s="373"/>
      <x:c r="W446" s="373"/>
      <x:c r="X446" s="373"/>
      <x:c r="Y446" s="373"/>
      <x:c r="Z446" s="373"/>
    </x:row>
    <x:row r="447">
      <x:c r="A447" s="373"/>
      <x:c r="B447" s="373"/>
      <x:c r="C447" s="373"/>
      <x:c r="D447" s="373"/>
      <x:c r="E447" s="373"/>
      <x:c r="F447" s="373"/>
      <x:c r="G447" s="373"/>
      <x:c r="H447" s="373"/>
      <x:c r="I447" s="373"/>
      <x:c r="J447" s="373"/>
      <x:c r="K447" s="373"/>
      <x:c r="L447" s="373"/>
      <x:c r="M447" s="373"/>
      <x:c r="N447" s="373"/>
      <x:c r="O447" s="373"/>
      <x:c r="P447" s="373"/>
      <x:c r="Q447" s="373"/>
      <x:c r="R447" s="373"/>
      <x:c r="S447" s="373"/>
      <x:c r="T447" s="373"/>
      <x:c r="U447" s="373"/>
      <x:c r="V447" s="373"/>
      <x:c r="W447" s="373"/>
      <x:c r="X447" s="373"/>
      <x:c r="Y447" s="373"/>
      <x:c r="Z447" s="373"/>
    </x:row>
    <x:row r="448">
      <x:c r="A448" s="373"/>
      <x:c r="B448" s="373"/>
      <x:c r="C448" s="373"/>
      <x:c r="D448" s="373"/>
      <x:c r="E448" s="373"/>
      <x:c r="F448" s="373"/>
      <x:c r="G448" s="373"/>
      <x:c r="H448" s="373"/>
      <x:c r="I448" s="373"/>
      <x:c r="J448" s="373"/>
      <x:c r="K448" s="373"/>
      <x:c r="L448" s="373"/>
      <x:c r="M448" s="373"/>
      <x:c r="N448" s="373"/>
      <x:c r="O448" s="373"/>
      <x:c r="P448" s="373"/>
      <x:c r="Q448" s="373"/>
      <x:c r="R448" s="373"/>
      <x:c r="S448" s="373"/>
      <x:c r="T448" s="373"/>
      <x:c r="U448" s="373"/>
      <x:c r="V448" s="373"/>
      <x:c r="W448" s="373"/>
      <x:c r="X448" s="373"/>
      <x:c r="Y448" s="373"/>
      <x:c r="Z448" s="373"/>
    </x:row>
    <x:row r="449">
      <x:c r="A449" s="373"/>
      <x:c r="B449" s="373"/>
      <x:c r="C449" s="373"/>
      <x:c r="D449" s="373"/>
      <x:c r="E449" s="373"/>
      <x:c r="F449" s="373"/>
      <x:c r="G449" s="373"/>
      <x:c r="H449" s="373"/>
      <x:c r="I449" s="373"/>
      <x:c r="J449" s="373"/>
      <x:c r="K449" s="373"/>
      <x:c r="L449" s="373"/>
      <x:c r="M449" s="373"/>
      <x:c r="N449" s="373"/>
      <x:c r="O449" s="373"/>
      <x:c r="P449" s="373"/>
      <x:c r="Q449" s="373"/>
      <x:c r="R449" s="373"/>
      <x:c r="S449" s="373"/>
      <x:c r="T449" s="373"/>
      <x:c r="U449" s="373"/>
      <x:c r="V449" s="373"/>
      <x:c r="W449" s="373"/>
      <x:c r="X449" s="373"/>
      <x:c r="Y449" s="373"/>
      <x:c r="Z449" s="373"/>
    </x:row>
    <x:row r="450">
      <x:c r="A450" s="373"/>
      <x:c r="B450" s="373"/>
      <x:c r="C450" s="373"/>
      <x:c r="D450" s="373"/>
      <x:c r="E450" s="373"/>
      <x:c r="F450" s="373"/>
      <x:c r="G450" s="373"/>
      <x:c r="H450" s="373"/>
      <x:c r="I450" s="373"/>
      <x:c r="J450" s="373"/>
      <x:c r="K450" s="373"/>
      <x:c r="L450" s="373"/>
      <x:c r="M450" s="373"/>
      <x:c r="N450" s="373"/>
      <x:c r="O450" s="373"/>
      <x:c r="P450" s="373"/>
      <x:c r="Q450" s="373"/>
      <x:c r="R450" s="373"/>
      <x:c r="S450" s="373"/>
      <x:c r="T450" s="373"/>
      <x:c r="U450" s="373"/>
      <x:c r="V450" s="373"/>
      <x:c r="W450" s="373"/>
      <x:c r="X450" s="373"/>
      <x:c r="Y450" s="373"/>
      <x:c r="Z450" s="373"/>
    </x:row>
    <x:row r="451">
      <x:c r="A451" s="373"/>
      <x:c r="B451" s="373"/>
      <x:c r="C451" s="373"/>
      <x:c r="D451" s="373"/>
      <x:c r="E451" s="373"/>
      <x:c r="F451" s="373"/>
      <x:c r="G451" s="373"/>
      <x:c r="H451" s="373"/>
      <x:c r="I451" s="373"/>
      <x:c r="J451" s="373"/>
      <x:c r="K451" s="373"/>
      <x:c r="L451" s="373"/>
      <x:c r="M451" s="373"/>
      <x:c r="N451" s="373"/>
      <x:c r="O451" s="373"/>
      <x:c r="P451" s="373"/>
      <x:c r="Q451" s="373"/>
      <x:c r="R451" s="373"/>
      <x:c r="S451" s="373"/>
      <x:c r="T451" s="373"/>
      <x:c r="U451" s="373"/>
      <x:c r="V451" s="373"/>
      <x:c r="W451" s="373"/>
      <x:c r="X451" s="373"/>
      <x:c r="Y451" s="373"/>
      <x:c r="Z451" s="373"/>
    </x:row>
    <x:row r="452">
      <x:c r="A452" s="373"/>
      <x:c r="B452" s="373"/>
      <x:c r="C452" s="373"/>
      <x:c r="D452" s="373"/>
      <x:c r="E452" s="373"/>
      <x:c r="F452" s="373"/>
      <x:c r="G452" s="373"/>
      <x:c r="H452" s="373"/>
      <x:c r="I452" s="373"/>
      <x:c r="J452" s="373"/>
      <x:c r="K452" s="373"/>
      <x:c r="L452" s="373"/>
      <x:c r="M452" s="373"/>
      <x:c r="N452" s="373"/>
      <x:c r="O452" s="373"/>
      <x:c r="P452" s="373"/>
      <x:c r="Q452" s="373"/>
      <x:c r="R452" s="373"/>
      <x:c r="S452" s="373"/>
      <x:c r="T452" s="373"/>
      <x:c r="U452" s="373"/>
      <x:c r="V452" s="373"/>
      <x:c r="W452" s="373"/>
      <x:c r="X452" s="373"/>
      <x:c r="Y452" s="373"/>
      <x:c r="Z452" s="373"/>
    </x:row>
    <x:row r="453">
      <x:c r="A453" s="373"/>
      <x:c r="B453" s="373"/>
      <x:c r="C453" s="373"/>
      <x:c r="D453" s="373"/>
      <x:c r="E453" s="373"/>
      <x:c r="F453" s="373"/>
      <x:c r="G453" s="373"/>
      <x:c r="H453" s="373"/>
      <x:c r="I453" s="373"/>
      <x:c r="J453" s="373"/>
      <x:c r="K453" s="373"/>
      <x:c r="L453" s="373"/>
      <x:c r="M453" s="373"/>
      <x:c r="N453" s="373"/>
      <x:c r="O453" s="373"/>
      <x:c r="P453" s="373"/>
      <x:c r="Q453" s="373"/>
      <x:c r="R453" s="373"/>
      <x:c r="S453" s="373"/>
      <x:c r="T453" s="373"/>
      <x:c r="U453" s="373"/>
      <x:c r="V453" s="373"/>
      <x:c r="W453" s="373"/>
      <x:c r="X453" s="373"/>
      <x:c r="Y453" s="373"/>
      <x:c r="Z453" s="373"/>
    </x:row>
    <x:row r="454">
      <x:c r="A454" s="373"/>
      <x:c r="B454" s="373"/>
      <x:c r="C454" s="373"/>
      <x:c r="D454" s="373"/>
      <x:c r="E454" s="373"/>
      <x:c r="F454" s="373"/>
      <x:c r="G454" s="373"/>
      <x:c r="H454" s="373"/>
      <x:c r="I454" s="373"/>
      <x:c r="J454" s="373"/>
      <x:c r="K454" s="373"/>
      <x:c r="L454" s="373"/>
      <x:c r="M454" s="373"/>
      <x:c r="N454" s="373"/>
      <x:c r="O454" s="373"/>
      <x:c r="P454" s="373"/>
      <x:c r="Q454" s="373"/>
      <x:c r="R454" s="373"/>
      <x:c r="S454" s="373"/>
      <x:c r="T454" s="373"/>
      <x:c r="U454" s="373"/>
      <x:c r="V454" s="373"/>
      <x:c r="W454" s="373"/>
      <x:c r="X454" s="373"/>
      <x:c r="Y454" s="373"/>
      <x:c r="Z454" s="373"/>
    </x:row>
    <x:row r="455">
      <x:c r="A455" s="373"/>
      <x:c r="B455" s="373"/>
      <x:c r="C455" s="373"/>
      <x:c r="D455" s="373"/>
      <x:c r="E455" s="373"/>
      <x:c r="F455" s="373"/>
      <x:c r="G455" s="373"/>
      <x:c r="H455" s="373"/>
      <x:c r="I455" s="373"/>
      <x:c r="J455" s="373"/>
      <x:c r="K455" s="373"/>
      <x:c r="L455" s="373"/>
      <x:c r="M455" s="373"/>
      <x:c r="N455" s="373"/>
      <x:c r="O455" s="373"/>
      <x:c r="P455" s="373"/>
      <x:c r="Q455" s="373"/>
      <x:c r="R455" s="373"/>
      <x:c r="S455" s="373"/>
      <x:c r="T455" s="373"/>
      <x:c r="U455" s="373"/>
      <x:c r="V455" s="373"/>
      <x:c r="W455" s="373"/>
      <x:c r="X455" s="373"/>
      <x:c r="Y455" s="373"/>
      <x:c r="Z455" s="373"/>
    </x:row>
    <x:row r="456">
      <x:c r="A456" s="373"/>
      <x:c r="B456" s="373"/>
      <x:c r="C456" s="373"/>
      <x:c r="D456" s="373"/>
      <x:c r="E456" s="373"/>
      <x:c r="F456" s="373"/>
      <x:c r="G456" s="373"/>
      <x:c r="H456" s="373"/>
      <x:c r="I456" s="373"/>
      <x:c r="J456" s="373"/>
      <x:c r="K456" s="373"/>
      <x:c r="L456" s="373"/>
      <x:c r="M456" s="373"/>
      <x:c r="N456" s="373"/>
      <x:c r="O456" s="373"/>
      <x:c r="P456" s="373"/>
      <x:c r="Q456" s="373"/>
      <x:c r="R456" s="373"/>
      <x:c r="S456" s="373"/>
      <x:c r="T456" s="373"/>
      <x:c r="U456" s="373"/>
      <x:c r="V456" s="373"/>
      <x:c r="W456" s="373"/>
      <x:c r="X456" s="373"/>
      <x:c r="Y456" s="373"/>
      <x:c r="Z456" s="373"/>
    </x:row>
    <x:row r="457">
      <x:c r="A457" s="373"/>
      <x:c r="B457" s="373"/>
      <x:c r="C457" s="373"/>
      <x:c r="D457" s="373"/>
      <x:c r="E457" s="373"/>
      <x:c r="F457" s="373"/>
      <x:c r="G457" s="373"/>
      <x:c r="H457" s="373"/>
      <x:c r="I457" s="373"/>
      <x:c r="J457" s="373"/>
      <x:c r="K457" s="373"/>
      <x:c r="L457" s="373"/>
      <x:c r="M457" s="373"/>
      <x:c r="N457" s="373"/>
      <x:c r="O457" s="373"/>
      <x:c r="P457" s="373"/>
      <x:c r="Q457" s="373"/>
      <x:c r="R457" s="373"/>
      <x:c r="S457" s="373"/>
      <x:c r="T457" s="373"/>
      <x:c r="U457" s="373"/>
      <x:c r="V457" s="373"/>
      <x:c r="W457" s="373"/>
      <x:c r="X457" s="373"/>
      <x:c r="Y457" s="373"/>
      <x:c r="Z457" s="373"/>
    </x:row>
    <x:row r="458">
      <x:c r="A458" s="373"/>
      <x:c r="B458" s="373"/>
      <x:c r="C458" s="373"/>
      <x:c r="D458" s="373"/>
      <x:c r="E458" s="373"/>
      <x:c r="F458" s="373"/>
      <x:c r="G458" s="373"/>
      <x:c r="H458" s="373"/>
      <x:c r="I458" s="373"/>
      <x:c r="J458" s="373"/>
      <x:c r="K458" s="373"/>
      <x:c r="L458" s="373"/>
      <x:c r="M458" s="373"/>
      <x:c r="N458" s="373"/>
      <x:c r="O458" s="373"/>
      <x:c r="P458" s="373"/>
      <x:c r="Q458" s="373"/>
      <x:c r="R458" s="373"/>
      <x:c r="S458" s="373"/>
      <x:c r="T458" s="373"/>
      <x:c r="U458" s="373"/>
      <x:c r="V458" s="373"/>
      <x:c r="W458" s="373"/>
      <x:c r="X458" s="373"/>
      <x:c r="Y458" s="373"/>
      <x:c r="Z458" s="373"/>
    </x:row>
    <x:row r="459">
      <x:c r="A459" s="373"/>
      <x:c r="B459" s="373"/>
      <x:c r="C459" s="373"/>
      <x:c r="D459" s="373"/>
      <x:c r="E459" s="373"/>
      <x:c r="F459" s="373"/>
      <x:c r="G459" s="373"/>
      <x:c r="H459" s="373"/>
      <x:c r="I459" s="373"/>
      <x:c r="J459" s="373"/>
      <x:c r="K459" s="373"/>
      <x:c r="L459" s="373"/>
      <x:c r="M459" s="373"/>
      <x:c r="N459" s="373"/>
      <x:c r="O459" s="373"/>
      <x:c r="P459" s="373"/>
      <x:c r="Q459" s="373"/>
      <x:c r="R459" s="373"/>
      <x:c r="S459" s="373"/>
      <x:c r="T459" s="373"/>
      <x:c r="U459" s="373"/>
      <x:c r="V459" s="373"/>
      <x:c r="W459" s="373"/>
      <x:c r="X459" s="373"/>
      <x:c r="Y459" s="373"/>
      <x:c r="Z459" s="373"/>
    </x:row>
    <x:row r="460">
      <x:c r="A460" s="373"/>
      <x:c r="B460" s="373"/>
      <x:c r="C460" s="373"/>
      <x:c r="D460" s="373"/>
      <x:c r="E460" s="373"/>
      <x:c r="F460" s="373"/>
      <x:c r="G460" s="373"/>
      <x:c r="H460" s="373"/>
      <x:c r="I460" s="373"/>
      <x:c r="J460" s="373"/>
      <x:c r="K460" s="373"/>
      <x:c r="L460" s="373"/>
      <x:c r="M460" s="373"/>
      <x:c r="N460" s="373"/>
      <x:c r="O460" s="373"/>
      <x:c r="P460" s="373"/>
      <x:c r="Q460" s="373"/>
      <x:c r="R460" s="373"/>
      <x:c r="S460" s="373"/>
      <x:c r="T460" s="373"/>
      <x:c r="U460" s="373"/>
      <x:c r="V460" s="373"/>
      <x:c r="W460" s="373"/>
      <x:c r="X460" s="373"/>
      <x:c r="Y460" s="373"/>
      <x:c r="Z460" s="373"/>
    </x:row>
    <x:row r="461">
      <x:c r="A461" s="373"/>
      <x:c r="B461" s="373"/>
      <x:c r="C461" s="373"/>
      <x:c r="D461" s="373"/>
      <x:c r="E461" s="373"/>
      <x:c r="F461" s="373"/>
      <x:c r="G461" s="373"/>
      <x:c r="H461" s="373"/>
      <x:c r="I461" s="373"/>
      <x:c r="J461" s="373"/>
      <x:c r="K461" s="373"/>
      <x:c r="L461" s="373"/>
      <x:c r="M461" s="373"/>
      <x:c r="N461" s="373"/>
      <x:c r="O461" s="373"/>
      <x:c r="P461" s="373"/>
      <x:c r="Q461" s="373"/>
      <x:c r="R461" s="373"/>
      <x:c r="S461" s="373"/>
      <x:c r="T461" s="373"/>
      <x:c r="U461" s="373"/>
      <x:c r="V461" s="373"/>
      <x:c r="W461" s="373"/>
      <x:c r="X461" s="373"/>
      <x:c r="Y461" s="373"/>
      <x:c r="Z461" s="373"/>
    </x:row>
    <x:row r="462">
      <x:c r="A462" s="373"/>
      <x:c r="B462" s="373"/>
      <x:c r="C462" s="373"/>
      <x:c r="D462" s="373"/>
      <x:c r="E462" s="373"/>
      <x:c r="F462" s="373"/>
      <x:c r="G462" s="373"/>
      <x:c r="H462" s="373"/>
      <x:c r="I462" s="373"/>
      <x:c r="J462" s="373"/>
      <x:c r="K462" s="373"/>
      <x:c r="L462" s="373"/>
      <x:c r="M462" s="373"/>
      <x:c r="N462" s="373"/>
      <x:c r="O462" s="373"/>
      <x:c r="P462" s="373"/>
      <x:c r="Q462" s="373"/>
      <x:c r="R462" s="373"/>
      <x:c r="S462" s="373"/>
      <x:c r="T462" s="373"/>
      <x:c r="U462" s="373"/>
      <x:c r="V462" s="373"/>
      <x:c r="W462" s="373"/>
      <x:c r="X462" s="373"/>
      <x:c r="Y462" s="373"/>
      <x:c r="Z462" s="373"/>
    </x:row>
    <x:row r="463">
      <x:c r="A463" s="373"/>
      <x:c r="B463" s="373"/>
      <x:c r="C463" s="373"/>
      <x:c r="D463" s="373"/>
      <x:c r="E463" s="373"/>
      <x:c r="F463" s="373"/>
      <x:c r="G463" s="373"/>
      <x:c r="H463" s="373"/>
      <x:c r="I463" s="373"/>
      <x:c r="J463" s="373"/>
      <x:c r="K463" s="373"/>
      <x:c r="L463" s="373"/>
      <x:c r="M463" s="373"/>
      <x:c r="N463" s="373"/>
      <x:c r="O463" s="373"/>
      <x:c r="P463" s="373"/>
      <x:c r="Q463" s="373"/>
      <x:c r="R463" s="373"/>
      <x:c r="S463" s="373"/>
      <x:c r="T463" s="373"/>
      <x:c r="U463" s="373"/>
      <x:c r="V463" s="373"/>
      <x:c r="W463" s="373"/>
      <x:c r="X463" s="373"/>
      <x:c r="Y463" s="373"/>
      <x:c r="Z463" s="373"/>
    </x:row>
    <x:row r="464">
      <x:c r="A464" s="373"/>
      <x:c r="B464" s="373"/>
      <x:c r="C464" s="373"/>
      <x:c r="D464" s="373"/>
      <x:c r="E464" s="373"/>
      <x:c r="F464" s="373"/>
      <x:c r="G464" s="373"/>
      <x:c r="H464" s="373"/>
      <x:c r="I464" s="373"/>
      <x:c r="J464" s="373"/>
      <x:c r="K464" s="373"/>
      <x:c r="L464" s="373"/>
      <x:c r="M464" s="373"/>
      <x:c r="N464" s="373"/>
      <x:c r="O464" s="373"/>
      <x:c r="P464" s="373"/>
      <x:c r="Q464" s="373"/>
      <x:c r="R464" s="373"/>
      <x:c r="S464" s="373"/>
      <x:c r="T464" s="373"/>
      <x:c r="U464" s="373"/>
      <x:c r="V464" s="373"/>
      <x:c r="W464" s="373"/>
      <x:c r="X464" s="373"/>
      <x:c r="Y464" s="373"/>
      <x:c r="Z464" s="373"/>
    </x:row>
    <x:row r="465">
      <x:c r="A465" s="373"/>
      <x:c r="B465" s="373"/>
      <x:c r="C465" s="373"/>
      <x:c r="D465" s="373"/>
      <x:c r="E465" s="373"/>
      <x:c r="F465" s="373"/>
      <x:c r="G465" s="373"/>
      <x:c r="H465" s="373"/>
      <x:c r="I465" s="373"/>
      <x:c r="J465" s="373"/>
      <x:c r="K465" s="373"/>
      <x:c r="L465" s="373"/>
      <x:c r="M465" s="373"/>
      <x:c r="N465" s="373"/>
      <x:c r="O465" s="373"/>
      <x:c r="P465" s="373"/>
      <x:c r="Q465" s="373"/>
      <x:c r="R465" s="373"/>
      <x:c r="S465" s="373"/>
      <x:c r="T465" s="373"/>
      <x:c r="U465" s="373"/>
      <x:c r="V465" s="373"/>
      <x:c r="W465" s="373"/>
      <x:c r="X465" s="373"/>
      <x:c r="Y465" s="373"/>
      <x:c r="Z465" s="373"/>
    </x:row>
    <x:row r="466">
      <x:c r="A466" s="373"/>
      <x:c r="B466" s="373"/>
      <x:c r="C466" s="373"/>
      <x:c r="D466" s="373"/>
      <x:c r="E466" s="373"/>
      <x:c r="F466" s="373"/>
      <x:c r="G466" s="373"/>
      <x:c r="H466" s="373"/>
      <x:c r="I466" s="373"/>
      <x:c r="J466" s="373"/>
      <x:c r="K466" s="373"/>
      <x:c r="L466" s="373"/>
      <x:c r="M466" s="373"/>
      <x:c r="N466" s="373"/>
      <x:c r="O466" s="373"/>
      <x:c r="P466" s="373"/>
      <x:c r="Q466" s="373"/>
      <x:c r="R466" s="373"/>
      <x:c r="S466" s="373"/>
      <x:c r="T466" s="373"/>
      <x:c r="U466" s="373"/>
      <x:c r="V466" s="373"/>
      <x:c r="W466" s="373"/>
      <x:c r="X466" s="373"/>
      <x:c r="Y466" s="373"/>
      <x:c r="Z466" s="373"/>
    </x:row>
    <x:row r="467">
      <x:c r="A467" s="373"/>
      <x:c r="B467" s="373"/>
      <x:c r="C467" s="373"/>
      <x:c r="D467" s="373"/>
      <x:c r="E467" s="373"/>
      <x:c r="F467" s="373"/>
      <x:c r="G467" s="373"/>
      <x:c r="H467" s="373"/>
      <x:c r="I467" s="373"/>
      <x:c r="J467" s="373"/>
      <x:c r="K467" s="373"/>
      <x:c r="L467" s="373"/>
      <x:c r="M467" s="373"/>
      <x:c r="N467" s="373"/>
      <x:c r="O467" s="373"/>
      <x:c r="P467" s="373"/>
      <x:c r="Q467" s="373"/>
      <x:c r="R467" s="373"/>
      <x:c r="S467" s="373"/>
      <x:c r="T467" s="373"/>
      <x:c r="U467" s="373"/>
      <x:c r="V467" s="373"/>
      <x:c r="W467" s="373"/>
      <x:c r="X467" s="373"/>
      <x:c r="Y467" s="373"/>
      <x:c r="Z467" s="373"/>
    </x:row>
    <x:row r="468">
      <x:c r="A468" s="373"/>
      <x:c r="B468" s="373"/>
      <x:c r="C468" s="373"/>
      <x:c r="D468" s="373"/>
      <x:c r="E468" s="373"/>
      <x:c r="F468" s="373"/>
      <x:c r="G468" s="373"/>
      <x:c r="H468" s="373"/>
      <x:c r="I468" s="373"/>
      <x:c r="J468" s="373"/>
      <x:c r="K468" s="373"/>
      <x:c r="L468" s="373"/>
      <x:c r="M468" s="373"/>
      <x:c r="N468" s="373"/>
      <x:c r="O468" s="373"/>
      <x:c r="P468" s="373"/>
      <x:c r="Q468" s="373"/>
      <x:c r="R468" s="373"/>
      <x:c r="S468" s="373"/>
      <x:c r="T468" s="373"/>
      <x:c r="U468" s="373"/>
      <x:c r="V468" s="373"/>
      <x:c r="W468" s="373"/>
      <x:c r="X468" s="373"/>
      <x:c r="Y468" s="373"/>
      <x:c r="Z468" s="373"/>
    </x:row>
    <x:row r="469">
      <x:c r="A469" s="373"/>
      <x:c r="B469" s="373"/>
      <x:c r="C469" s="373"/>
      <x:c r="D469" s="373"/>
      <x:c r="E469" s="373"/>
      <x:c r="F469" s="373"/>
      <x:c r="G469" s="373"/>
      <x:c r="H469" s="373"/>
      <x:c r="I469" s="373"/>
      <x:c r="J469" s="373"/>
      <x:c r="K469" s="373"/>
      <x:c r="L469" s="373"/>
      <x:c r="M469" s="373"/>
      <x:c r="N469" s="373"/>
      <x:c r="O469" s="373"/>
      <x:c r="P469" s="373"/>
      <x:c r="Q469" s="373"/>
      <x:c r="R469" s="373"/>
      <x:c r="S469" s="373"/>
      <x:c r="T469" s="373"/>
      <x:c r="U469" s="373"/>
      <x:c r="V469" s="373"/>
      <x:c r="W469" s="373"/>
      <x:c r="X469" s="373"/>
      <x:c r="Y469" s="373"/>
      <x:c r="Z469" s="373"/>
    </x:row>
    <x:row r="470">
      <x:c r="A470" s="373"/>
      <x:c r="B470" s="373"/>
      <x:c r="C470" s="373"/>
      <x:c r="D470" s="373"/>
      <x:c r="E470" s="373"/>
      <x:c r="F470" s="373"/>
      <x:c r="G470" s="373"/>
      <x:c r="H470" s="373"/>
      <x:c r="I470" s="373"/>
      <x:c r="J470" s="373"/>
      <x:c r="K470" s="373"/>
      <x:c r="L470" s="373"/>
      <x:c r="M470" s="373"/>
      <x:c r="N470" s="373"/>
      <x:c r="O470" s="373"/>
      <x:c r="P470" s="373"/>
      <x:c r="Q470" s="373"/>
      <x:c r="R470" s="373"/>
      <x:c r="S470" s="373"/>
      <x:c r="T470" s="373"/>
      <x:c r="U470" s="373"/>
      <x:c r="V470" s="373"/>
      <x:c r="W470" s="373"/>
      <x:c r="X470" s="373"/>
      <x:c r="Y470" s="373"/>
      <x:c r="Z470" s="373"/>
    </x:row>
    <x:row r="471">
      <x:c r="A471" s="373"/>
      <x:c r="B471" s="373"/>
      <x:c r="C471" s="373"/>
      <x:c r="D471" s="373"/>
      <x:c r="E471" s="373"/>
      <x:c r="F471" s="373"/>
      <x:c r="G471" s="373"/>
      <x:c r="H471" s="373"/>
      <x:c r="I471" s="373"/>
      <x:c r="J471" s="373"/>
      <x:c r="K471" s="373"/>
      <x:c r="L471" s="373"/>
      <x:c r="M471" s="373"/>
      <x:c r="N471" s="373"/>
      <x:c r="O471" s="373"/>
      <x:c r="P471" s="373"/>
      <x:c r="Q471" s="373"/>
      <x:c r="R471" s="373"/>
      <x:c r="S471" s="373"/>
      <x:c r="T471" s="373"/>
      <x:c r="U471" s="373"/>
      <x:c r="V471" s="373"/>
      <x:c r="W471" s="373"/>
      <x:c r="X471" s="373"/>
      <x:c r="Y471" s="373"/>
      <x:c r="Z471" s="373"/>
    </x:row>
    <x:row r="472">
      <x:c r="A472" s="373"/>
      <x:c r="B472" s="373"/>
      <x:c r="C472" s="373"/>
      <x:c r="D472" s="373"/>
      <x:c r="E472" s="373"/>
      <x:c r="F472" s="373"/>
      <x:c r="G472" s="373"/>
      <x:c r="H472" s="373"/>
      <x:c r="I472" s="373"/>
      <x:c r="J472" s="373"/>
      <x:c r="K472" s="373"/>
      <x:c r="L472" s="373"/>
      <x:c r="M472" s="373"/>
      <x:c r="N472" s="373"/>
      <x:c r="O472" s="373"/>
      <x:c r="P472" s="373"/>
      <x:c r="Q472" s="373"/>
      <x:c r="R472" s="373"/>
      <x:c r="S472" s="373"/>
      <x:c r="T472" s="373"/>
      <x:c r="U472" s="373"/>
      <x:c r="V472" s="373"/>
      <x:c r="W472" s="373"/>
      <x:c r="X472" s="373"/>
      <x:c r="Y472" s="373"/>
      <x:c r="Z472" s="373"/>
    </x:row>
    <x:row r="473">
      <x:c r="A473" s="373"/>
      <x:c r="B473" s="373"/>
      <x:c r="C473" s="373"/>
      <x:c r="D473" s="373"/>
      <x:c r="E473" s="373"/>
      <x:c r="F473" s="373"/>
      <x:c r="G473" s="373"/>
      <x:c r="H473" s="373"/>
      <x:c r="I473" s="373"/>
      <x:c r="J473" s="373"/>
      <x:c r="K473" s="373"/>
      <x:c r="L473" s="373"/>
      <x:c r="M473" s="373"/>
      <x:c r="N473" s="373"/>
      <x:c r="O473" s="373"/>
      <x:c r="P473" s="373"/>
      <x:c r="Q473" s="373"/>
      <x:c r="R473" s="373"/>
      <x:c r="S473" s="373"/>
      <x:c r="T473" s="373"/>
      <x:c r="U473" s="373"/>
      <x:c r="V473" s="373"/>
      <x:c r="W473" s="373"/>
      <x:c r="X473" s="373"/>
      <x:c r="Y473" s="373"/>
      <x:c r="Z473" s="373"/>
    </x:row>
    <x:row r="474">
      <x:c r="A474" s="373"/>
      <x:c r="B474" s="373"/>
      <x:c r="C474" s="373"/>
      <x:c r="D474" s="373"/>
      <x:c r="E474" s="373"/>
      <x:c r="F474" s="373"/>
      <x:c r="G474" s="373"/>
      <x:c r="H474" s="373"/>
      <x:c r="I474" s="373"/>
      <x:c r="J474" s="373"/>
      <x:c r="K474" s="373"/>
      <x:c r="L474" s="373"/>
      <x:c r="M474" s="373"/>
      <x:c r="N474" s="373"/>
      <x:c r="O474" s="373"/>
      <x:c r="P474" s="373"/>
      <x:c r="Q474" s="373"/>
      <x:c r="R474" s="373"/>
      <x:c r="S474" s="373"/>
      <x:c r="T474" s="373"/>
      <x:c r="U474" s="373"/>
      <x:c r="V474" s="373"/>
      <x:c r="W474" s="373"/>
      <x:c r="X474" s="373"/>
      <x:c r="Y474" s="373"/>
      <x:c r="Z474" s="373"/>
    </x:row>
    <x:row r="475">
      <x:c r="A475" s="373"/>
      <x:c r="B475" s="373"/>
      <x:c r="C475" s="373"/>
      <x:c r="D475" s="373"/>
      <x:c r="E475" s="373"/>
      <x:c r="F475" s="373"/>
      <x:c r="G475" s="373"/>
      <x:c r="H475" s="373"/>
      <x:c r="I475" s="373"/>
      <x:c r="J475" s="373"/>
      <x:c r="K475" s="373"/>
      <x:c r="L475" s="373"/>
      <x:c r="M475" s="373"/>
      <x:c r="N475" s="373"/>
      <x:c r="O475" s="373"/>
      <x:c r="P475" s="373"/>
      <x:c r="Q475" s="373"/>
      <x:c r="R475" s="373"/>
      <x:c r="S475" s="373"/>
      <x:c r="T475" s="373"/>
      <x:c r="U475" s="373"/>
      <x:c r="V475" s="373"/>
      <x:c r="W475" s="373"/>
      <x:c r="X475" s="373"/>
      <x:c r="Y475" s="373"/>
      <x:c r="Z475" s="373"/>
    </x:row>
    <x:row r="476">
      <x:c r="A476" s="373"/>
      <x:c r="B476" s="373"/>
      <x:c r="C476" s="373"/>
      <x:c r="D476" s="373"/>
      <x:c r="E476" s="373"/>
      <x:c r="F476" s="373"/>
      <x:c r="G476" s="373"/>
      <x:c r="H476" s="373"/>
      <x:c r="I476" s="373"/>
      <x:c r="J476" s="373"/>
      <x:c r="K476" s="373"/>
      <x:c r="L476" s="373"/>
      <x:c r="M476" s="373"/>
      <x:c r="N476" s="373"/>
      <x:c r="O476" s="373"/>
      <x:c r="P476" s="373"/>
      <x:c r="Q476" s="373"/>
      <x:c r="R476" s="373"/>
      <x:c r="S476" s="373"/>
      <x:c r="T476" s="373"/>
      <x:c r="U476" s="373"/>
      <x:c r="V476" s="373"/>
      <x:c r="W476" s="373"/>
      <x:c r="X476" s="373"/>
      <x:c r="Y476" s="373"/>
      <x:c r="Z476" s="373"/>
    </x:row>
    <x:row r="477">
      <x:c r="A477" s="373"/>
      <x:c r="B477" s="373"/>
      <x:c r="C477" s="373"/>
      <x:c r="D477" s="373"/>
      <x:c r="E477" s="373"/>
      <x:c r="F477" s="373"/>
      <x:c r="G477" s="373"/>
      <x:c r="H477" s="373"/>
      <x:c r="I477" s="373"/>
      <x:c r="J477" s="373"/>
      <x:c r="K477" s="373"/>
      <x:c r="L477" s="373"/>
      <x:c r="M477" s="373"/>
      <x:c r="N477" s="373"/>
      <x:c r="O477" s="373"/>
      <x:c r="P477" s="373"/>
      <x:c r="Q477" s="373"/>
      <x:c r="R477" s="373"/>
      <x:c r="S477" s="373"/>
      <x:c r="T477" s="373"/>
      <x:c r="U477" s="373"/>
      <x:c r="V477" s="373"/>
      <x:c r="W477" s="373"/>
      <x:c r="X477" s="373"/>
      <x:c r="Y477" s="373"/>
      <x:c r="Z477" s="373"/>
    </x:row>
    <x:row r="478">
      <x:c r="A478" s="373"/>
      <x:c r="B478" s="373"/>
      <x:c r="C478" s="373"/>
      <x:c r="D478" s="373"/>
      <x:c r="E478" s="373"/>
      <x:c r="F478" s="373"/>
      <x:c r="G478" s="373"/>
      <x:c r="H478" s="373"/>
      <x:c r="I478" s="373"/>
      <x:c r="J478" s="373"/>
      <x:c r="K478" s="373"/>
      <x:c r="L478" s="373"/>
      <x:c r="M478" s="373"/>
      <x:c r="N478" s="373"/>
      <x:c r="O478" s="373"/>
      <x:c r="P478" s="373"/>
      <x:c r="Q478" s="373"/>
      <x:c r="R478" s="373"/>
      <x:c r="S478" s="373"/>
      <x:c r="T478" s="373"/>
      <x:c r="U478" s="373"/>
      <x:c r="V478" s="373"/>
      <x:c r="W478" s="373"/>
      <x:c r="X478" s="373"/>
      <x:c r="Y478" s="373"/>
      <x:c r="Z478" s="373"/>
    </x:row>
    <x:row r="479">
      <x:c r="A479" s="373"/>
      <x:c r="B479" s="373"/>
      <x:c r="C479" s="373"/>
      <x:c r="D479" s="373"/>
      <x:c r="E479" s="373"/>
      <x:c r="F479" s="373"/>
      <x:c r="G479" s="373"/>
      <x:c r="H479" s="373"/>
      <x:c r="I479" s="373"/>
      <x:c r="J479" s="373"/>
      <x:c r="K479" s="373"/>
      <x:c r="L479" s="373"/>
      <x:c r="M479" s="373"/>
      <x:c r="N479" s="373"/>
      <x:c r="O479" s="373"/>
      <x:c r="P479" s="373"/>
      <x:c r="Q479" s="373"/>
      <x:c r="R479" s="373"/>
      <x:c r="S479" s="373"/>
      <x:c r="T479" s="373"/>
      <x:c r="U479" s="373"/>
      <x:c r="V479" s="373"/>
      <x:c r="W479" s="373"/>
      <x:c r="X479" s="373"/>
      <x:c r="Y479" s="373"/>
      <x:c r="Z479" s="373"/>
    </x:row>
    <x:row r="480">
      <x:c r="A480" s="373"/>
      <x:c r="B480" s="373"/>
      <x:c r="C480" s="373"/>
      <x:c r="D480" s="373"/>
      <x:c r="E480" s="373"/>
      <x:c r="F480" s="373"/>
      <x:c r="G480" s="373"/>
      <x:c r="H480" s="373"/>
      <x:c r="I480" s="373"/>
      <x:c r="J480" s="373"/>
      <x:c r="K480" s="373"/>
      <x:c r="L480" s="373"/>
      <x:c r="M480" s="373"/>
      <x:c r="N480" s="373"/>
      <x:c r="O480" s="373"/>
      <x:c r="P480" s="373"/>
      <x:c r="Q480" s="373"/>
      <x:c r="R480" s="373"/>
      <x:c r="S480" s="373"/>
      <x:c r="T480" s="373"/>
      <x:c r="U480" s="373"/>
      <x:c r="V480" s="373"/>
      <x:c r="W480" s="373"/>
      <x:c r="X480" s="373"/>
      <x:c r="Y480" s="373"/>
      <x:c r="Z480" s="373"/>
    </x:row>
    <x:row r="481">
      <x:c r="A481" s="373"/>
      <x:c r="B481" s="373"/>
      <x:c r="C481" s="373"/>
      <x:c r="D481" s="373"/>
      <x:c r="E481" s="373"/>
      <x:c r="F481" s="373"/>
      <x:c r="G481" s="373"/>
      <x:c r="H481" s="373"/>
      <x:c r="I481" s="373"/>
      <x:c r="J481" s="373"/>
      <x:c r="K481" s="373"/>
      <x:c r="L481" s="373"/>
      <x:c r="M481" s="373"/>
      <x:c r="N481" s="373"/>
      <x:c r="O481" s="373"/>
      <x:c r="P481" s="373"/>
      <x:c r="Q481" s="373"/>
      <x:c r="R481" s="373"/>
      <x:c r="S481" s="373"/>
      <x:c r="T481" s="373"/>
      <x:c r="U481" s="373"/>
      <x:c r="V481" s="373"/>
      <x:c r="W481" s="373"/>
      <x:c r="X481" s="373"/>
      <x:c r="Y481" s="373"/>
      <x:c r="Z481" s="373"/>
    </x:row>
    <x:row r="482">
      <x:c r="A482" s="373"/>
      <x:c r="B482" s="373"/>
      <x:c r="C482" s="373"/>
      <x:c r="D482" s="373"/>
      <x:c r="E482" s="373"/>
      <x:c r="F482" s="373"/>
      <x:c r="G482" s="373"/>
      <x:c r="H482" s="373"/>
      <x:c r="I482" s="373"/>
      <x:c r="J482" s="373"/>
      <x:c r="K482" s="373"/>
      <x:c r="L482" s="373"/>
      <x:c r="M482" s="373"/>
      <x:c r="N482" s="373"/>
      <x:c r="O482" s="373"/>
      <x:c r="P482" s="373"/>
      <x:c r="Q482" s="373"/>
      <x:c r="R482" s="373"/>
      <x:c r="S482" s="373"/>
      <x:c r="T482" s="373"/>
      <x:c r="U482" s="373"/>
      <x:c r="V482" s="373"/>
      <x:c r="W482" s="373"/>
      <x:c r="X482" s="373"/>
      <x:c r="Y482" s="373"/>
      <x:c r="Z482" s="373"/>
    </x:row>
    <x:row r="483">
      <x:c r="A483" s="373"/>
      <x:c r="B483" s="373"/>
      <x:c r="C483" s="373"/>
      <x:c r="D483" s="373"/>
      <x:c r="E483" s="373"/>
      <x:c r="F483" s="373"/>
      <x:c r="G483" s="373"/>
      <x:c r="H483" s="373"/>
      <x:c r="I483" s="373"/>
      <x:c r="J483" s="373"/>
      <x:c r="K483" s="373"/>
      <x:c r="L483" s="373"/>
      <x:c r="M483" s="373"/>
      <x:c r="N483" s="373"/>
      <x:c r="O483" s="373"/>
      <x:c r="P483" s="373"/>
      <x:c r="Q483" s="373"/>
      <x:c r="R483" s="373"/>
      <x:c r="S483" s="373"/>
      <x:c r="T483" s="373"/>
      <x:c r="U483" s="373"/>
      <x:c r="V483" s="373"/>
      <x:c r="W483" s="373"/>
      <x:c r="X483" s="373"/>
      <x:c r="Y483" s="373"/>
      <x:c r="Z483" s="373"/>
    </x:row>
    <x:row r="484">
      <x:c r="A484" s="373"/>
      <x:c r="B484" s="373"/>
      <x:c r="C484" s="373"/>
      <x:c r="D484" s="373"/>
      <x:c r="E484" s="373"/>
      <x:c r="F484" s="373"/>
      <x:c r="G484" s="373"/>
      <x:c r="H484" s="373"/>
      <x:c r="I484" s="373"/>
      <x:c r="J484" s="373"/>
      <x:c r="K484" s="373"/>
      <x:c r="L484" s="373"/>
      <x:c r="M484" s="373"/>
      <x:c r="N484" s="373"/>
      <x:c r="O484" s="373"/>
      <x:c r="P484" s="373"/>
      <x:c r="Q484" s="373"/>
      <x:c r="R484" s="373"/>
      <x:c r="S484" s="373"/>
      <x:c r="T484" s="373"/>
      <x:c r="U484" s="373"/>
      <x:c r="V484" s="373"/>
      <x:c r="W484" s="373"/>
      <x:c r="X484" s="373"/>
      <x:c r="Y484" s="373"/>
      <x:c r="Z484" s="373"/>
    </x:row>
    <x:row r="485">
      <x:c r="A485" s="373"/>
      <x:c r="B485" s="373"/>
      <x:c r="C485" s="373"/>
      <x:c r="D485" s="373"/>
      <x:c r="E485" s="373"/>
      <x:c r="F485" s="373"/>
      <x:c r="G485" s="373"/>
      <x:c r="H485" s="373"/>
      <x:c r="I485" s="373"/>
      <x:c r="J485" s="373"/>
      <x:c r="K485" s="373"/>
      <x:c r="L485" s="373"/>
      <x:c r="M485" s="373"/>
      <x:c r="N485" s="373"/>
      <x:c r="O485" s="373"/>
      <x:c r="P485" s="373"/>
      <x:c r="Q485" s="373"/>
      <x:c r="R485" s="373"/>
      <x:c r="S485" s="373"/>
      <x:c r="T485" s="373"/>
      <x:c r="U485" s="373"/>
      <x:c r="V485" s="373"/>
      <x:c r="W485" s="373"/>
      <x:c r="X485" s="373"/>
      <x:c r="Y485" s="373"/>
      <x:c r="Z485" s="373"/>
    </x:row>
    <x:row r="486">
      <x:c r="A486" s="373"/>
      <x:c r="B486" s="373"/>
      <x:c r="C486" s="373"/>
      <x:c r="D486" s="373"/>
      <x:c r="E486" s="373"/>
      <x:c r="F486" s="373"/>
      <x:c r="G486" s="373"/>
      <x:c r="H486" s="373"/>
      <x:c r="I486" s="373"/>
      <x:c r="J486" s="373"/>
      <x:c r="K486" s="373"/>
      <x:c r="L486" s="373"/>
      <x:c r="M486" s="373"/>
      <x:c r="N486" s="373"/>
      <x:c r="O486" s="373"/>
      <x:c r="P486" s="373"/>
      <x:c r="Q486" s="373"/>
      <x:c r="R486" s="373"/>
      <x:c r="S486" s="373"/>
      <x:c r="T486" s="373"/>
      <x:c r="U486" s="373"/>
      <x:c r="V486" s="373"/>
      <x:c r="W486" s="373"/>
      <x:c r="X486" s="373"/>
      <x:c r="Y486" s="373"/>
      <x:c r="Z486" s="373"/>
    </x:row>
    <x:row r="487">
      <x:c r="A487" s="373"/>
      <x:c r="B487" s="373"/>
      <x:c r="C487" s="373"/>
      <x:c r="D487" s="373"/>
      <x:c r="E487" s="373"/>
      <x:c r="F487" s="373"/>
      <x:c r="G487" s="373"/>
      <x:c r="H487" s="373"/>
      <x:c r="I487" s="373"/>
      <x:c r="J487" s="373"/>
      <x:c r="K487" s="373"/>
      <x:c r="L487" s="373"/>
      <x:c r="M487" s="373"/>
      <x:c r="N487" s="373"/>
      <x:c r="O487" s="373"/>
      <x:c r="P487" s="373"/>
      <x:c r="Q487" s="373"/>
      <x:c r="R487" s="373"/>
      <x:c r="S487" s="373"/>
      <x:c r="T487" s="373"/>
      <x:c r="U487" s="373"/>
      <x:c r="V487" s="373"/>
      <x:c r="W487" s="373"/>
      <x:c r="X487" s="373"/>
      <x:c r="Y487" s="373"/>
      <x:c r="Z487" s="373"/>
    </x:row>
    <x:row r="488">
      <x:c r="A488" s="373"/>
      <x:c r="B488" s="373"/>
      <x:c r="C488" s="373"/>
      <x:c r="D488" s="373"/>
      <x:c r="E488" s="373"/>
      <x:c r="F488" s="373"/>
      <x:c r="G488" s="373"/>
      <x:c r="H488" s="373"/>
      <x:c r="I488" s="373"/>
      <x:c r="J488" s="373"/>
      <x:c r="K488" s="373"/>
      <x:c r="L488" s="373"/>
      <x:c r="M488" s="373"/>
      <x:c r="N488" s="373"/>
      <x:c r="O488" s="373"/>
      <x:c r="P488" s="373"/>
      <x:c r="Q488" s="373"/>
      <x:c r="R488" s="373"/>
      <x:c r="S488" s="373"/>
      <x:c r="T488" s="373"/>
      <x:c r="U488" s="373"/>
      <x:c r="V488" s="373"/>
      <x:c r="W488" s="373"/>
      <x:c r="X488" s="373"/>
      <x:c r="Y488" s="373"/>
      <x:c r="Z488" s="373"/>
    </x:row>
    <x:row r="489">
      <x:c r="A489" s="373"/>
      <x:c r="B489" s="373"/>
      <x:c r="C489" s="373"/>
      <x:c r="D489" s="373"/>
      <x:c r="E489" s="373"/>
      <x:c r="F489" s="373"/>
      <x:c r="G489" s="373"/>
      <x:c r="H489" s="373"/>
      <x:c r="I489" s="373"/>
      <x:c r="J489" s="373"/>
      <x:c r="K489" s="373"/>
      <x:c r="L489" s="373"/>
      <x:c r="M489" s="373"/>
      <x:c r="N489" s="373"/>
      <x:c r="O489" s="373"/>
      <x:c r="P489" s="373"/>
      <x:c r="Q489" s="373"/>
      <x:c r="R489" s="373"/>
      <x:c r="S489" s="373"/>
      <x:c r="T489" s="373"/>
      <x:c r="U489" s="373"/>
      <x:c r="V489" s="373"/>
      <x:c r="W489" s="373"/>
      <x:c r="X489" s="373"/>
      <x:c r="Y489" s="373"/>
      <x:c r="Z489" s="373"/>
    </x:row>
    <x:row r="490">
      <x:c r="A490" s="373"/>
      <x:c r="B490" s="373"/>
      <x:c r="C490" s="373"/>
      <x:c r="D490" s="373"/>
      <x:c r="E490" s="373"/>
      <x:c r="F490" s="373"/>
      <x:c r="G490" s="373"/>
      <x:c r="H490" s="373"/>
      <x:c r="I490" s="373"/>
      <x:c r="J490" s="373"/>
      <x:c r="K490" s="373"/>
      <x:c r="L490" s="373"/>
      <x:c r="M490" s="373"/>
      <x:c r="N490" s="373"/>
      <x:c r="O490" s="373"/>
      <x:c r="P490" s="373"/>
      <x:c r="Q490" s="373"/>
      <x:c r="R490" s="373"/>
      <x:c r="S490" s="373"/>
      <x:c r="T490" s="373"/>
      <x:c r="U490" s="373"/>
      <x:c r="V490" s="373"/>
      <x:c r="W490" s="373"/>
      <x:c r="X490" s="373"/>
      <x:c r="Y490" s="373"/>
      <x:c r="Z490" s="373"/>
    </x:row>
    <x:row r="491">
      <x:c r="A491" s="373"/>
      <x:c r="B491" s="373"/>
      <x:c r="C491" s="373"/>
      <x:c r="D491" s="373"/>
      <x:c r="E491" s="373"/>
      <x:c r="F491" s="373"/>
      <x:c r="G491" s="373"/>
      <x:c r="H491" s="373"/>
      <x:c r="I491" s="373"/>
      <x:c r="J491" s="373"/>
      <x:c r="K491" s="373"/>
      <x:c r="L491" s="373"/>
      <x:c r="M491" s="373"/>
      <x:c r="N491" s="373"/>
      <x:c r="O491" s="373"/>
      <x:c r="P491" s="373"/>
      <x:c r="Q491" s="373"/>
      <x:c r="R491" s="373"/>
      <x:c r="S491" s="373"/>
      <x:c r="T491" s="373"/>
      <x:c r="U491" s="373"/>
      <x:c r="V491" s="373"/>
      <x:c r="W491" s="373"/>
      <x:c r="X491" s="373"/>
      <x:c r="Y491" s="373"/>
      <x:c r="Z491" s="373"/>
    </x:row>
    <x:row r="492">
      <x:c r="A492" s="373"/>
      <x:c r="B492" s="373"/>
      <x:c r="C492" s="373"/>
      <x:c r="D492" s="373"/>
      <x:c r="E492" s="373"/>
      <x:c r="F492" s="373"/>
      <x:c r="G492" s="373"/>
      <x:c r="H492" s="373"/>
      <x:c r="I492" s="373"/>
      <x:c r="J492" s="373"/>
      <x:c r="K492" s="373"/>
      <x:c r="L492" s="373"/>
      <x:c r="M492" s="373"/>
      <x:c r="N492" s="373"/>
      <x:c r="O492" s="373"/>
      <x:c r="P492" s="373"/>
      <x:c r="Q492" s="373"/>
      <x:c r="R492" s="373"/>
      <x:c r="S492" s="373"/>
      <x:c r="T492" s="373"/>
      <x:c r="U492" s="373"/>
      <x:c r="V492" s="373"/>
      <x:c r="W492" s="373"/>
      <x:c r="X492" s="373"/>
      <x:c r="Y492" s="373"/>
      <x:c r="Z492" s="373"/>
    </x:row>
    <x:row r="493">
      <x:c r="A493" s="373"/>
      <x:c r="B493" s="373"/>
      <x:c r="C493" s="373"/>
      <x:c r="D493" s="373"/>
      <x:c r="E493" s="373"/>
      <x:c r="F493" s="373"/>
      <x:c r="G493" s="373"/>
      <x:c r="H493" s="373"/>
      <x:c r="I493" s="373"/>
      <x:c r="J493" s="373"/>
      <x:c r="K493" s="373"/>
      <x:c r="L493" s="373"/>
      <x:c r="M493" s="373"/>
      <x:c r="N493" s="373"/>
      <x:c r="O493" s="373"/>
      <x:c r="P493" s="373"/>
      <x:c r="Q493" s="373"/>
      <x:c r="R493" s="373"/>
      <x:c r="S493" s="373"/>
      <x:c r="T493" s="373"/>
      <x:c r="U493" s="373"/>
      <x:c r="V493" s="373"/>
      <x:c r="W493" s="373"/>
      <x:c r="X493" s="373"/>
      <x:c r="Y493" s="373"/>
      <x:c r="Z493" s="373"/>
    </x:row>
    <x:row r="494">
      <x:c r="A494" s="373"/>
      <x:c r="B494" s="373"/>
      <x:c r="C494" s="373"/>
      <x:c r="D494" s="373"/>
      <x:c r="E494" s="373"/>
      <x:c r="F494" s="373"/>
      <x:c r="G494" s="373"/>
      <x:c r="H494" s="373"/>
      <x:c r="I494" s="373"/>
      <x:c r="J494" s="373"/>
      <x:c r="K494" s="373"/>
      <x:c r="L494" s="373"/>
      <x:c r="M494" s="373"/>
      <x:c r="N494" s="373"/>
      <x:c r="O494" s="373"/>
      <x:c r="P494" s="373"/>
      <x:c r="Q494" s="373"/>
      <x:c r="R494" s="373"/>
      <x:c r="S494" s="373"/>
      <x:c r="T494" s="373"/>
      <x:c r="U494" s="373"/>
      <x:c r="V494" s="373"/>
      <x:c r="W494" s="373"/>
      <x:c r="X494" s="373"/>
      <x:c r="Y494" s="373"/>
      <x:c r="Z494" s="373"/>
    </x:row>
    <x:row r="495">
      <x:c r="A495" s="373"/>
      <x:c r="B495" s="373"/>
      <x:c r="C495" s="373"/>
      <x:c r="D495" s="373"/>
      <x:c r="E495" s="373"/>
      <x:c r="F495" s="373"/>
      <x:c r="G495" s="373"/>
      <x:c r="H495" s="373"/>
      <x:c r="I495" s="373"/>
      <x:c r="J495" s="373"/>
      <x:c r="K495" s="373"/>
      <x:c r="L495" s="373"/>
      <x:c r="M495" s="373"/>
      <x:c r="N495" s="373"/>
      <x:c r="O495" s="373"/>
      <x:c r="P495" s="373"/>
      <x:c r="Q495" s="373"/>
      <x:c r="R495" s="373"/>
      <x:c r="S495" s="373"/>
      <x:c r="T495" s="373"/>
      <x:c r="U495" s="373"/>
      <x:c r="V495" s="373"/>
      <x:c r="W495" s="373"/>
      <x:c r="X495" s="373"/>
      <x:c r="Y495" s="373"/>
      <x:c r="Z495" s="373"/>
    </x:row>
    <x:row r="496">
      <x:c r="A496" s="373"/>
      <x:c r="B496" s="373"/>
      <x:c r="C496" s="373"/>
      <x:c r="D496" s="373"/>
      <x:c r="E496" s="373"/>
      <x:c r="F496" s="373"/>
      <x:c r="G496" s="373"/>
      <x:c r="H496" s="373"/>
      <x:c r="I496" s="373"/>
      <x:c r="J496" s="373"/>
      <x:c r="K496" s="373"/>
      <x:c r="L496" s="373"/>
      <x:c r="M496" s="373"/>
      <x:c r="N496" s="373"/>
      <x:c r="O496" s="373"/>
      <x:c r="P496" s="373"/>
      <x:c r="Q496" s="373"/>
      <x:c r="R496" s="373"/>
      <x:c r="S496" s="373"/>
      <x:c r="T496" s="373"/>
      <x:c r="U496" s="373"/>
      <x:c r="V496" s="373"/>
      <x:c r="W496" s="373"/>
      <x:c r="X496" s="373"/>
      <x:c r="Y496" s="373"/>
      <x:c r="Z496" s="373"/>
    </x:row>
    <x:row r="497">
      <x:c r="A497" s="373"/>
      <x:c r="B497" s="373"/>
      <x:c r="C497" s="373"/>
      <x:c r="D497" s="373"/>
      <x:c r="E497" s="373"/>
      <x:c r="F497" s="373"/>
      <x:c r="G497" s="373"/>
      <x:c r="H497" s="373"/>
      <x:c r="I497" s="373"/>
      <x:c r="J497" s="373"/>
      <x:c r="K497" s="373"/>
      <x:c r="L497" s="373"/>
      <x:c r="M497" s="373"/>
      <x:c r="N497" s="373"/>
      <x:c r="O497" s="373"/>
      <x:c r="P497" s="373"/>
      <x:c r="Q497" s="373"/>
      <x:c r="R497" s="373"/>
      <x:c r="S497" s="373"/>
      <x:c r="T497" s="373"/>
      <x:c r="U497" s="373"/>
      <x:c r="V497" s="373"/>
      <x:c r="W497" s="373"/>
      <x:c r="X497" s="373"/>
      <x:c r="Y497" s="373"/>
      <x:c r="Z497" s="373"/>
    </x:row>
    <x:row r="498">
      <x:c r="A498" s="373"/>
      <x:c r="B498" s="373"/>
      <x:c r="C498" s="373"/>
      <x:c r="D498" s="373"/>
      <x:c r="E498" s="373"/>
      <x:c r="F498" s="373"/>
      <x:c r="G498" s="373"/>
      <x:c r="H498" s="373"/>
      <x:c r="I498" s="373"/>
      <x:c r="J498" s="373"/>
      <x:c r="K498" s="373"/>
      <x:c r="L498" s="373"/>
      <x:c r="M498" s="373"/>
      <x:c r="N498" s="373"/>
      <x:c r="O498" s="373"/>
      <x:c r="P498" s="373"/>
      <x:c r="Q498" s="373"/>
      <x:c r="R498" s="373"/>
      <x:c r="S498" s="373"/>
      <x:c r="T498" s="373"/>
      <x:c r="U498" s="373"/>
      <x:c r="V498" s="373"/>
      <x:c r="W498" s="373"/>
      <x:c r="X498" s="373"/>
      <x:c r="Y498" s="373"/>
      <x:c r="Z498" s="373"/>
    </x:row>
    <x:row r="499">
      <x:c r="A499" s="373"/>
      <x:c r="B499" s="373"/>
      <x:c r="C499" s="373"/>
      <x:c r="D499" s="373"/>
      <x:c r="E499" s="373"/>
      <x:c r="F499" s="373"/>
      <x:c r="G499" s="373"/>
      <x:c r="H499" s="373"/>
      <x:c r="I499" s="373"/>
      <x:c r="J499" s="373"/>
      <x:c r="K499" s="373"/>
      <x:c r="L499" s="373"/>
      <x:c r="M499" s="373"/>
      <x:c r="N499" s="373"/>
      <x:c r="O499" s="373"/>
      <x:c r="P499" s="373"/>
      <x:c r="Q499" s="373"/>
      <x:c r="R499" s="373"/>
      <x:c r="S499" s="373"/>
      <x:c r="T499" s="373"/>
      <x:c r="U499" s="373"/>
      <x:c r="V499" s="373"/>
      <x:c r="W499" s="373"/>
      <x:c r="X499" s="373"/>
      <x:c r="Y499" s="373"/>
      <x:c r="Z499" s="373"/>
    </x:row>
    <x:row r="500">
      <x:c r="A500" s="373"/>
      <x:c r="B500" s="373"/>
      <x:c r="C500" s="373"/>
      <x:c r="D500" s="373"/>
      <x:c r="E500" s="373"/>
      <x:c r="F500" s="373"/>
      <x:c r="G500" s="373"/>
      <x:c r="H500" s="373"/>
      <x:c r="I500" s="373"/>
      <x:c r="J500" s="373"/>
      <x:c r="K500" s="373"/>
      <x:c r="L500" s="373"/>
      <x:c r="M500" s="373"/>
      <x:c r="N500" s="373"/>
      <x:c r="O500" s="373"/>
      <x:c r="P500" s="373"/>
      <x:c r="Q500" s="373"/>
      <x:c r="R500" s="373"/>
      <x:c r="S500" s="373"/>
      <x:c r="T500" s="373"/>
      <x:c r="U500" s="373"/>
      <x:c r="V500" s="373"/>
      <x:c r="W500" s="373"/>
      <x:c r="X500" s="373"/>
      <x:c r="Y500" s="373"/>
      <x:c r="Z500" s="373"/>
    </x:row>
  </x:sheetData>
  <x:mergeCells>
    <x:mergeCell ref="A1:L1"/>
    <x:mergeCell ref="A2:L2"/>
  </x:mergeCells>
  <x:conditionalFormatting sqref="I5:I88">
    <x:cfRule type="expression" dxfId="48" priority="1">
      <x:formula>I5="Done"</x:formula>
    </x:cfRule>
    <x:cfRule type="expression" dxfId="49" priority="2">
      <x:formula>I5="Passed"</x:formula>
    </x:cfRule>
    <x:cfRule type="expression" dxfId="50" priority="3">
      <x:formula>I5="In Progress"</x:formula>
    </x:cfRule>
    <x:cfRule type="expression" dxfId="51" priority="4">
      <x:formula>I5="In Review"</x:formula>
    </x:cfRule>
    <x:cfRule type="expression" dxfId="52" priority="5">
      <x:formula>I5="Blocked"</x:formula>
    </x:cfRule>
    <x:cfRule type="expression" dxfId="53" priority="6">
      <x:formula>I5="Failed"</x:formula>
    </x:cfRule>
    <x:cfRule type="expression" dxfId="54" priority="7">
      <x:formula>I5="Not Run"</x:formula>
    </x:cfRule>
    <x:cfRule type="expression" dxfId="55" priority="8">
      <x:formula>I5="Backlog"</x:formula>
    </x:cfRule>
  </x:conditionalFormatting>
  <x:dataValidations count="1">
    <x:dataValidation type="list" sqref="I5:I88">
      <x:formula1>"Not Evaluated,Passed,Failed,Waived"</x:formula1>
    </x:dataValidation>
  </x:dataValidations>
  <x:pageMargins left="0.7" right="0.7" top="0.75" bottom="0.75" header="0.3" footer="0.3"/>
  <x:tableParts count="1">
    <x:tablePart xmlns:r="http://schemas.openxmlformats.org/officeDocument/2006/relationships" r:id="R93da995384df4ed1"/>
  </x:tableParts>
</x:worksheet>
</file>

<file path=xl/worksheets/sheet11.xml><?xml version="1.0" encoding="utf-8"?>
<x:worksheet xmlns:x="http://schemas.openxmlformats.org/spreadsheetml/2006/main">
  <x:sheetFormatPr defaultRowHeight="15"/>
  <x:cols>
    <x:col min="1" max="1" width="12" hidden="0" customWidth="1"/>
    <x:col min="2" max="2" width="10" hidden="0" customWidth="1"/>
    <x:col min="3" max="3" width="14" hidden="0" customWidth="1"/>
    <x:col min="4" max="4" width="13" hidden="0" customWidth="1"/>
    <x:col min="5" max="5" width="19" hidden="0" customWidth="1"/>
    <x:col min="6" max="6" width="14" hidden="0" customWidth="1"/>
    <x:col min="7" max="7" width="31" hidden="0" customWidth="1"/>
    <x:col min="8" max="8" width="44" hidden="0" customWidth="1"/>
    <x:col min="9" max="9" width="44" hidden="0" customWidth="1"/>
    <x:col min="10" max="10" width="11" hidden="0" customWidth="1"/>
    <x:col min="11" max="11" width="12" hidden="0" customWidth="1"/>
    <x:col min="12" max="12" width="14" hidden="0" customWidth="1"/>
    <x:col min="13" max="13" width="13" hidden="0" customWidth="1"/>
    <x:col min="14" max="14" width="16" hidden="0" customWidth="1"/>
    <x:col min="15" max="15" width="28" hidden="0" customWidth="1"/>
    <x:col min="16" max="16" width="32" hidden="0" customWidth="1"/>
    <x:col min="17" max="17" width="34" hidden="0" customWidth="1"/>
    <x:col min="18" max="18" width="16" hidden="0" customWidth="1"/>
  </x:cols>
  <x:sheetData>
    <x:row r="1" ht="32" customHeight="1">
      <x:c r="A1" s="486" t="str">
        <x:v>14-Day Execution Log</x:v>
      </x:c>
      <x:c r="B1" s="486"/>
      <x:c r="C1" s="486"/>
      <x:c r="D1" s="486"/>
      <x:c r="E1" s="486"/>
      <x:c r="F1" s="486"/>
      <x:c r="G1" s="486"/>
      <x:c r="H1" s="486"/>
      <x:c r="I1" s="486"/>
      <x:c r="J1" s="486"/>
      <x:c r="K1" s="486"/>
      <x:c r="L1" s="486"/>
      <x:c r="M1" s="486"/>
      <x:c r="N1" s="486"/>
      <x:c r="O1" s="486"/>
      <x:c r="P1" s="486"/>
      <x:c r="Q1" s="486"/>
      <x:c r="R1" s="486"/>
      <x:c r="S1" s="373"/>
      <x:c r="T1" s="373"/>
      <x:c r="U1" s="373"/>
      <x:c r="V1" s="373"/>
      <x:c r="W1" s="373"/>
      <x:c r="X1" s="373"/>
      <x:c r="Y1" s="373"/>
      <x:c r="Z1" s="373"/>
    </x:row>
    <x:row r="2" ht="22" customHeight="1">
      <x:c r="A2" s="374" t="str">
        <x:v>Targets: 5 hours coding, 8 hours AMR engineering, 3 hours quality applications, and 7 hours protected sleep.</x:v>
      </x:c>
      <x:c r="B2" s="374"/>
      <x:c r="C2" s="374"/>
      <x:c r="D2" s="374"/>
      <x:c r="E2" s="374"/>
      <x:c r="F2" s="374"/>
      <x:c r="G2" s="374"/>
      <x:c r="H2" s="374"/>
      <x:c r="I2" s="374"/>
      <x:c r="J2" s="374"/>
      <x:c r="K2" s="374"/>
      <x:c r="L2" s="374"/>
      <x:c r="M2" s="374"/>
      <x:c r="N2" s="374"/>
      <x:c r="O2" s="374"/>
      <x:c r="P2" s="374"/>
      <x:c r="Q2" s="374"/>
      <x:c r="R2" s="374"/>
      <x:c r="S2" s="373"/>
      <x:c r="T2" s="373"/>
      <x:c r="U2" s="373"/>
      <x:c r="V2" s="373"/>
      <x:c r="W2" s="373"/>
      <x:c r="X2" s="373"/>
      <x:c r="Y2" s="373"/>
      <x:c r="Z2" s="373"/>
    </x:row>
    <x:row r="3">
      <x:c r="A3" s="373"/>
      <x:c r="B3" s="373"/>
      <x:c r="C3" s="373"/>
      <x:c r="D3" s="373"/>
      <x:c r="E3" s="373"/>
      <x:c r="F3" s="373"/>
      <x:c r="G3" s="373"/>
      <x:c r="H3" s="373"/>
      <x:c r="I3" s="373"/>
      <x:c r="J3" s="373"/>
      <x:c r="K3" s="373"/>
      <x:c r="L3" s="373"/>
      <x:c r="M3" s="373"/>
      <x:c r="N3" s="373"/>
      <x:c r="O3" s="373"/>
      <x:c r="P3" s="373"/>
      <x:c r="Q3" s="373"/>
      <x:c r="R3" s="373"/>
      <x:c r="S3" s="373"/>
      <x:c r="T3" s="373"/>
      <x:c r="U3" s="373"/>
      <x:c r="V3" s="373"/>
      <x:c r="W3" s="373"/>
      <x:c r="X3" s="373"/>
      <x:c r="Y3" s="373"/>
      <x:c r="Z3" s="373"/>
    </x:row>
    <x:row r="4">
      <x:c r="A4" s="409" t="str">
        <x:v>Date</x:v>
      </x:c>
      <x:c r="B4" s="413" t="str">
        <x:v>Release</x:v>
      </x:c>
      <x:c r="C4" s="413" t="str">
        <x:v>Coding Target (h)</x:v>
      </x:c>
      <x:c r="D4" s="413" t="str">
        <x:v>AMR Target (h)</x:v>
      </x:c>
      <x:c r="E4" s="413" t="str">
        <x:v>Applications Target (h)</x:v>
      </x:c>
      <x:c r="F4" s="413" t="str">
        <x:v>Feature ID</x:v>
      </x:c>
      <x:c r="G4" s="413" t="str">
        <x:v>Primary Focus</x:v>
      </x:c>
      <x:c r="H4" s="413" t="str">
        <x:v>Planned Deliverable</x:v>
      </x:c>
      <x:c r="I4" s="413" t="str">
        <x:v>Actual Deliverable</x:v>
      </x:c>
      <x:c r="J4" s="413" t="str">
        <x:v>Tests Added</x:v>
      </x:c>
      <x:c r="K4" s="413" t="str">
        <x:v>Tests Passed</x:v>
      </x:c>
      <x:c r="L4" s="413" t="str">
        <x:v>Defects Opened</x:v>
      </x:c>
      <x:c r="M4" s="413" t="str">
        <x:v>Defects Closed</x:v>
      </x:c>
      <x:c r="N4" s="413" t="str">
        <x:v>Commit SHA</x:v>
      </x:c>
      <x:c r="O4" s="413" t="str">
        <x:v>Blocker</x:v>
      </x:c>
      <x:c r="P4" s="413" t="str">
        <x:v>Learning</x:v>
      </x:c>
      <x:c r="Q4" s="413" t="str">
        <x:v>Next First Task</x:v>
      </x:c>
      <x:c r="R4" s="410" t="str">
        <x:v>Daily Completion %</x:v>
      </x:c>
      <x:c r="S4" s="373"/>
      <x:c r="T4" s="373"/>
      <x:c r="U4" s="373"/>
      <x:c r="V4" s="373"/>
      <x:c r="W4" s="373"/>
      <x:c r="X4" s="373"/>
      <x:c r="Y4" s="373"/>
      <x:c r="Z4" s="373"/>
    </x:row>
    <x:row r="5">
      <x:c r="A5" s="460" t="n">
        <x:v>46239</x:v>
      </x:c>
      <x:c r="B5" s="411" t="str">
        <x:v>v0.1.1</x:v>
      </x:c>
      <x:c r="C5" s="411" t="n">
        <x:v>5</x:v>
      </x:c>
      <x:c r="D5" s="411" t="n">
        <x:v>8</x:v>
      </x:c>
      <x:c r="E5" s="411" t="n">
        <x:v>3</x:v>
      </x:c>
      <x:c r="F5" s="411" t="str"/>
      <x:c r="G5" s="411" t="str">
        <x:v>Baseline inventory + running-instance guard</x:v>
      </x:c>
      <x:c r="H5" s="411" t="str">
        <x:v>Capture process/node baseline; implement duplicate-start guard.</x:v>
      </x:c>
      <x:c r="I5" s="411" t="str"/>
      <x:c r="J5" s="411"/>
      <x:c r="K5" s="411"/>
      <x:c r="L5" s="411"/>
      <x:c r="M5" s="411"/>
      <x:c r="N5" s="411" t="str"/>
      <x:c r="O5" s="411" t="str"/>
      <x:c r="P5" s="411" t="str"/>
      <x:c r="Q5" s="411" t="str"/>
      <x:c r="R5" s="414" t="str">
        <x:f>IF(I5="","",MIN(1,IF(J5="",0,0.25)+IF(K5="",0,0.25)+IF(N5="",0,0.25)+IF(Q5="",0,0.25)))</x:f>
      </x:c>
      <x:c r="S5" s="373"/>
      <x:c r="T5" s="373"/>
      <x:c r="U5" s="373"/>
      <x:c r="V5" s="373"/>
      <x:c r="W5" s="373"/>
      <x:c r="X5" s="373"/>
      <x:c r="Y5" s="373"/>
      <x:c r="Z5" s="373"/>
    </x:row>
    <x:row r="6">
      <x:c r="A6" s="460" t="n">
        <x:v>46240</x:v>
      </x:c>
      <x:c r="B6" s="411" t="str">
        <x:v>v0.1.1</x:v>
      </x:c>
      <x:c r="C6" s="411" t="n">
        <x:v>5</x:v>
      </x:c>
      <x:c r="D6" s="411" t="n">
        <x:v>8</x:v>
      </x:c>
      <x:c r="E6" s="411" t="n">
        <x:v>3</x:v>
      </x:c>
      <x:c r="F6" s="411" t="str"/>
      <x:c r="G6" s="411" t="str">
        <x:v>Shutdown sequence + process registry</x:v>
      </x:c>
      <x:c r="H6" s="411" t="str">
        <x:v>Centralize process ownership and implement graceful shutdown.</x:v>
      </x:c>
      <x:c r="I6" s="411" t="str"/>
      <x:c r="J6" s="411"/>
      <x:c r="K6" s="411"/>
      <x:c r="L6" s="411"/>
      <x:c r="M6" s="411"/>
      <x:c r="N6" s="411" t="str"/>
      <x:c r="O6" s="411" t="str"/>
      <x:c r="P6" s="411" t="str"/>
      <x:c r="Q6" s="411" t="str"/>
      <x:c r="R6" s="414" t="str">
        <x:f>IF(I6="","",MIN(1,IF(J6="",0,0.25)+IF(K6="",0,0.25)+IF(N6="",0,0.25)+IF(Q6="",0,0.25)))</x:f>
      </x:c>
      <x:c r="S6" s="373"/>
      <x:c r="T6" s="373"/>
      <x:c r="U6" s="373"/>
      <x:c r="V6" s="373"/>
      <x:c r="W6" s="373"/>
      <x:c r="X6" s="373"/>
      <x:c r="Y6" s="373"/>
      <x:c r="Z6" s="373"/>
    </x:row>
    <x:row r="7">
      <x:c r="A7" s="460" t="n">
        <x:v>46241</x:v>
      </x:c>
      <x:c r="B7" s="411" t="str">
        <x:v>v0.1.2</x:v>
      </x:c>
      <x:c r="C7" s="411" t="n">
        <x:v>5</x:v>
      </x:c>
      <x:c r="D7" s="411" t="n">
        <x:v>8</x:v>
      </x:c>
      <x:c r="E7" s="411" t="n">
        <x:v>3</x:v>
      </x:c>
      <x:c r="F7" s="411" t="str"/>
      <x:c r="G7" s="411" t="str">
        <x:v>Lifecycle foundation</x:v>
      </x:c>
      <x:c r="H7" s="411" t="str">
        <x:v>Implement lifecycle contracts, transition table, and orchestrator skeleton.</x:v>
      </x:c>
      <x:c r="I7" s="411" t="str"/>
      <x:c r="J7" s="411"/>
      <x:c r="K7" s="411"/>
      <x:c r="L7" s="411"/>
      <x:c r="M7" s="411"/>
      <x:c r="N7" s="411" t="str"/>
      <x:c r="O7" s="411" t="str"/>
      <x:c r="P7" s="411" t="str"/>
      <x:c r="Q7" s="411" t="str"/>
      <x:c r="R7" s="414" t="str">
        <x:f>IF(I7="","",MIN(1,IF(J7="",0,0.25)+IF(K7="",0,0.25)+IF(N7="",0,0.25)+IF(Q7="",0,0.25)))</x:f>
      </x:c>
      <x:c r="S7" s="373"/>
      <x:c r="T7" s="373"/>
      <x:c r="U7" s="373"/>
      <x:c r="V7" s="373"/>
      <x:c r="W7" s="373"/>
      <x:c r="X7" s="373"/>
      <x:c r="Y7" s="373"/>
      <x:c r="Z7" s="373"/>
    </x:row>
    <x:row r="8">
      <x:c r="A8" s="460" t="n">
        <x:v>46242</x:v>
      </x:c>
      <x:c r="B8" s="411" t="str">
        <x:v>v0.1.2</x:v>
      </x:c>
      <x:c r="C8" s="411" t="n">
        <x:v>5</x:v>
      </x:c>
      <x:c r="D8" s="411" t="n">
        <x:v>8</x:v>
      </x:c>
      <x:c r="E8" s="411" t="n">
        <x:v>3</x:v>
      </x:c>
      <x:c r="F8" s="411" t="str"/>
      <x:c r="G8" s="411" t="str">
        <x:v>Lifecycle tests and recovery</x:v>
      </x:c>
      <x:c r="H8" s="411" t="str">
        <x:v>Complete transition, illegal-state, cleanup, and error-recovery tests.</x:v>
      </x:c>
      <x:c r="I8" s="411" t="str"/>
      <x:c r="J8" s="411"/>
      <x:c r="K8" s="411"/>
      <x:c r="L8" s="411"/>
      <x:c r="M8" s="411"/>
      <x:c r="N8" s="411" t="str"/>
      <x:c r="O8" s="411" t="str"/>
      <x:c r="P8" s="411" t="str"/>
      <x:c r="Q8" s="411" t="str"/>
      <x:c r="R8" s="414" t="str">
        <x:f>IF(I8="","",MIN(1,IF(J8="",0,0.25)+IF(K8="",0,0.25)+IF(N8="",0,0.25)+IF(Q8="",0,0.25)))</x:f>
      </x:c>
      <x:c r="S8" s="373"/>
      <x:c r="T8" s="373"/>
      <x:c r="U8" s="373"/>
      <x:c r="V8" s="373"/>
      <x:c r="W8" s="373"/>
      <x:c r="X8" s="373"/>
      <x:c r="Y8" s="373"/>
      <x:c r="Z8" s="373"/>
    </x:row>
    <x:row r="9">
      <x:c r="A9" s="460" t="n">
        <x:v>46243</x:v>
      </x:c>
      <x:c r="B9" s="411" t="str">
        <x:v>v0.1.3</x:v>
      </x:c>
      <x:c r="C9" s="411" t="n">
        <x:v>5</x:v>
      </x:c>
      <x:c r="D9" s="411" t="n">
        <x:v>8</x:v>
      </x:c>
      <x:c r="E9" s="411" t="n">
        <x:v>3</x:v>
      </x:c>
      <x:c r="F9" s="411" t="str"/>
      <x:c r="G9" s="411" t="str">
        <x:v>Readiness contracts</x:v>
      </x:c>
      <x:c r="H9" s="411" t="str">
        <x:v>Implement clock/topic/TF/service/action/controller checks.</x:v>
      </x:c>
      <x:c r="I9" s="411" t="str"/>
      <x:c r="J9" s="411"/>
      <x:c r="K9" s="411"/>
      <x:c r="L9" s="411"/>
      <x:c r="M9" s="411"/>
      <x:c r="N9" s="411" t="str"/>
      <x:c r="O9" s="411" t="str"/>
      <x:c r="P9" s="411" t="str"/>
      <x:c r="Q9" s="411" t="str"/>
      <x:c r="R9" s="414" t="str">
        <x:f>IF(I9="","",MIN(1,IF(J9="",0,0.25)+IF(K9="",0,0.25)+IF(N9="",0,0.25)+IF(Q9="",0,0.25)))</x:f>
      </x:c>
      <x:c r="S9" s="373"/>
      <x:c r="T9" s="373"/>
      <x:c r="U9" s="373"/>
      <x:c r="V9" s="373"/>
      <x:c r="W9" s="373"/>
      <x:c r="X9" s="373"/>
      <x:c r="Y9" s="373"/>
      <x:c r="Z9" s="373"/>
    </x:row>
    <x:row r="10">
      <x:c r="A10" s="460" t="n">
        <x:v>46244</x:v>
      </x:c>
      <x:c r="B10" s="411" t="str">
        <x:v>v0.1.4</x:v>
      </x:c>
      <x:c r="C10" s="411" t="n">
        <x:v>5</x:v>
      </x:c>
      <x:c r="D10" s="411" t="n">
        <x:v>8</x:v>
      </x:c>
      <x:c r="E10" s="411" t="n">
        <x:v>3</x:v>
      </x:c>
      <x:c r="F10" s="411" t="str"/>
      <x:c r="G10" s="411" t="str">
        <x:v>Mode state machine</x:v>
      </x:c>
      <x:c r="H10" s="411" t="str">
        <x:v>Add dependency graph, gates, rollback, and active-goal handling.</x:v>
      </x:c>
      <x:c r="I10" s="411" t="str"/>
      <x:c r="J10" s="411"/>
      <x:c r="K10" s="411"/>
      <x:c r="L10" s="411"/>
      <x:c r="M10" s="411"/>
      <x:c r="N10" s="411" t="str"/>
      <x:c r="O10" s="411" t="str"/>
      <x:c r="P10" s="411" t="str"/>
      <x:c r="Q10" s="411" t="str"/>
      <x:c r="R10" s="414" t="str">
        <x:f>IF(I10="","",MIN(1,IF(J10="",0,0.25)+IF(K10="",0,0.25)+IF(N10="",0,0.25)+IF(Q10="",0,0.25)))</x:f>
      </x:c>
      <x:c r="S10" s="373"/>
      <x:c r="T10" s="373"/>
      <x:c r="U10" s="373"/>
      <x:c r="V10" s="373"/>
      <x:c r="W10" s="373"/>
      <x:c r="X10" s="373"/>
      <x:c r="Y10" s="373"/>
      <x:c r="Z10" s="373"/>
    </x:row>
    <x:row r="11">
      <x:c r="A11" s="460" t="n">
        <x:v>46245</x:v>
      </x:c>
      <x:c r="B11" s="411" t="str">
        <x:v>v0.1.5</x:v>
      </x:c>
      <x:c r="C11" s="411" t="n">
        <x:v>5</x:v>
      </x:c>
      <x:c r="D11" s="411" t="n">
        <x:v>8</x:v>
      </x:c>
      <x:c r="E11" s="411" t="n">
        <x:v>3</x:v>
      </x:c>
      <x:c r="F11" s="411" t="str"/>
      <x:c r="G11" s="411" t="str">
        <x:v>IMU health + TF ownership</x:v>
      </x:c>
      <x:c r="H11" s="411" t="str">
        <x:v>Validate sensors and document/test every dynamic TF owner.</x:v>
      </x:c>
      <x:c r="I11" s="411" t="str"/>
      <x:c r="J11" s="411"/>
      <x:c r="K11" s="411"/>
      <x:c r="L11" s="411"/>
      <x:c r="M11" s="411"/>
      <x:c r="N11" s="411" t="str"/>
      <x:c r="O11" s="411" t="str"/>
      <x:c r="P11" s="411" t="str"/>
      <x:c r="Q11" s="411" t="str"/>
      <x:c r="R11" s="414" t="str">
        <x:f>IF(I11="","",MIN(1,IF(J11="",0,0.25)+IF(K11="",0,0.25)+IF(N11="",0,0.25)+IF(Q11="",0,0.25)))</x:f>
      </x:c>
      <x:c r="S11" s="373"/>
      <x:c r="T11" s="373"/>
      <x:c r="U11" s="373"/>
      <x:c r="V11" s="373"/>
      <x:c r="W11" s="373"/>
      <x:c r="X11" s="373"/>
      <x:c r="Y11" s="373"/>
      <x:c r="Z11" s="373"/>
    </x:row>
    <x:row r="12">
      <x:c r="A12" s="460" t="n">
        <x:v>46246</x:v>
      </x:c>
      <x:c r="B12" s="411" t="str">
        <x:v>v0.1.6</x:v>
      </x:c>
      <x:c r="C12" s="411" t="n">
        <x:v>5</x:v>
      </x:c>
      <x:c r="D12" s="411" t="n">
        <x:v>8</x:v>
      </x:c>
      <x:c r="E12" s="411" t="n">
        <x:v>3</x:v>
      </x:c>
      <x:c r="F12" s="411" t="str"/>
      <x:c r="G12" s="411" t="str">
        <x:v>EKF integration</x:v>
      </x:c>
      <x:c r="H12" s="411" t="str">
        <x:v>Fuse wheel odometry + IMU; compare against ground truth.</x:v>
      </x:c>
      <x:c r="I12" s="411" t="str"/>
      <x:c r="J12" s="411"/>
      <x:c r="K12" s="411"/>
      <x:c r="L12" s="411"/>
      <x:c r="M12" s="411"/>
      <x:c r="N12" s="411" t="str"/>
      <x:c r="O12" s="411" t="str"/>
      <x:c r="P12" s="411" t="str"/>
      <x:c r="Q12" s="411" t="str"/>
      <x:c r="R12" s="414" t="str">
        <x:f>IF(I12="","",MIN(1,IF(J12="",0,0.25)+IF(K12="",0,0.25)+IF(N12="",0,0.25)+IF(Q12="",0,0.25)))</x:f>
      </x:c>
      <x:c r="S12" s="373"/>
      <x:c r="T12" s="373"/>
      <x:c r="U12" s="373"/>
      <x:c r="V12" s="373"/>
      <x:c r="W12" s="373"/>
      <x:c r="X12" s="373"/>
      <x:c r="Y12" s="373"/>
      <x:c r="Z12" s="373"/>
    </x:row>
    <x:row r="13">
      <x:c r="A13" s="460" t="n">
        <x:v>46247</x:v>
      </x:c>
      <x:c r="B13" s="411" t="str">
        <x:v>v0.1.7</x:v>
      </x:c>
      <x:c r="C13" s="411" t="n">
        <x:v>5</x:v>
      </x:c>
      <x:c r="D13" s="411" t="n">
        <x:v>8</x:v>
      </x:c>
      <x:c r="E13" s="411" t="n">
        <x:v>3</x:v>
      </x:c>
      <x:c r="F13" s="411" t="str"/>
      <x:c r="G13" s="411" t="str">
        <x:v>RViz observability</x:v>
      </x:c>
      <x:c r="H13" s="411" t="str">
        <x:v>Create mapping/localization/navigation debug profiles.</x:v>
      </x:c>
      <x:c r="I13" s="411" t="str"/>
      <x:c r="J13" s="411"/>
      <x:c r="K13" s="411"/>
      <x:c r="L13" s="411"/>
      <x:c r="M13" s="411"/>
      <x:c r="N13" s="411" t="str"/>
      <x:c r="O13" s="411" t="str"/>
      <x:c r="P13" s="411" t="str"/>
      <x:c r="Q13" s="411" t="str"/>
      <x:c r="R13" s="414" t="str">
        <x:f>IF(I13="","",MIN(1,IF(J13="",0,0.25)+IF(K13="",0,0.25)+IF(N13="",0,0.25)+IF(Q13="",0,0.25)))</x:f>
      </x:c>
      <x:c r="S13" s="373"/>
      <x:c r="T13" s="373"/>
      <x:c r="U13" s="373"/>
      <x:c r="V13" s="373"/>
      <x:c r="W13" s="373"/>
      <x:c r="X13" s="373"/>
      <x:c r="Y13" s="373"/>
      <x:c r="Z13" s="373"/>
    </x:row>
    <x:row r="14">
      <x:c r="A14" s="460" t="n">
        <x:v>46248</x:v>
      </x:c>
      <x:c r="B14" s="411" t="str">
        <x:v>v0.1.8</x:v>
      </x:c>
      <x:c r="C14" s="411" t="n">
        <x:v>5</x:v>
      </x:c>
      <x:c r="D14" s="411" t="n">
        <x:v>8</x:v>
      </x:c>
      <x:c r="E14" s="411" t="n">
        <x:v>3</x:v>
      </x:c>
      <x:c r="F14" s="411" t="str"/>
      <x:c r="G14" s="411" t="str">
        <x:v>SLAM reliability</x:v>
      </x:c>
      <x:c r="H14" s="411" t="str">
        <x:v>Run controlled benchmark and lock evidence-backed parameter profile.</x:v>
      </x:c>
      <x:c r="I14" s="411" t="str"/>
      <x:c r="J14" s="411"/>
      <x:c r="K14" s="411"/>
      <x:c r="L14" s="411"/>
      <x:c r="M14" s="411"/>
      <x:c r="N14" s="411" t="str"/>
      <x:c r="O14" s="411" t="str"/>
      <x:c r="P14" s="411" t="str"/>
      <x:c r="Q14" s="411" t="str"/>
      <x:c r="R14" s="414" t="str">
        <x:f>IF(I14="","",MIN(1,IF(J14="",0,0.25)+IF(K14="",0,0.25)+IF(N14="",0,0.25)+IF(Q14="",0,0.25)))</x:f>
      </x:c>
      <x:c r="S14" s="373"/>
      <x:c r="T14" s="373"/>
      <x:c r="U14" s="373"/>
      <x:c r="V14" s="373"/>
      <x:c r="W14" s="373"/>
      <x:c r="X14" s="373"/>
      <x:c r="Y14" s="373"/>
      <x:c r="Z14" s="373"/>
    </x:row>
    <x:row r="15">
      <x:c r="A15" s="460" t="n">
        <x:v>46249</x:v>
      </x:c>
      <x:c r="B15" s="411" t="str">
        <x:v>v0.1.9</x:v>
      </x:c>
      <x:c r="C15" s="411" t="n">
        <x:v>5</x:v>
      </x:c>
      <x:c r="D15" s="411" t="n">
        <x:v>8</x:v>
      </x:c>
      <x:c r="E15" s="411" t="n">
        <x:v>3</x:v>
      </x:c>
      <x:c r="F15" s="411" t="str"/>
      <x:c r="G15" s="411" t="str">
        <x:v>AMCL reliability</x:v>
      </x:c>
      <x:c r="H15" s="411" t="str">
        <x:v>Benchmark initialization, convergence, recovery, and profile.</x:v>
      </x:c>
      <x:c r="I15" s="411" t="str"/>
      <x:c r="J15" s="411"/>
      <x:c r="K15" s="411"/>
      <x:c r="L15" s="411"/>
      <x:c r="M15" s="411"/>
      <x:c r="N15" s="411" t="str"/>
      <x:c r="O15" s="411" t="str"/>
      <x:c r="P15" s="411" t="str"/>
      <x:c r="Q15" s="411" t="str"/>
      <x:c r="R15" s="414" t="str">
        <x:f>IF(I15="","",MIN(1,IF(J15="",0,0.25)+IF(K15="",0,0.25)+IF(N15="",0,0.25)+IF(Q15="",0,0.25)))</x:f>
      </x:c>
      <x:c r="S15" s="373"/>
      <x:c r="T15" s="373"/>
      <x:c r="U15" s="373"/>
      <x:c r="V15" s="373"/>
      <x:c r="W15" s="373"/>
      <x:c r="X15" s="373"/>
      <x:c r="Y15" s="373"/>
      <x:c r="Z15" s="373"/>
    </x:row>
    <x:row r="16">
      <x:c r="A16" s="460" t="n">
        <x:v>46250</x:v>
      </x:c>
      <x:c r="B16" s="411" t="str">
        <x:v>v0.1.10</x:v>
      </x:c>
      <x:c r="C16" s="411" t="n">
        <x:v>5</x:v>
      </x:c>
      <x:c r="D16" s="411" t="n">
        <x:v>8</x:v>
      </x:c>
      <x:c r="E16" s="411" t="n">
        <x:v>3</x:v>
      </x:c>
      <x:c r="F16" s="411" t="str"/>
      <x:c r="G16" s="411" t="str">
        <x:v>Nav2 hardening</x:v>
      </x:c>
      <x:c r="H16" s="411" t="str">
        <x:v>Harden readiness, cancellation, costmaps, planner/controller, and scenarios.</x:v>
      </x:c>
      <x:c r="I16" s="411" t="str"/>
      <x:c r="J16" s="411"/>
      <x:c r="K16" s="411"/>
      <x:c r="L16" s="411"/>
      <x:c r="M16" s="411"/>
      <x:c r="N16" s="411" t="str"/>
      <x:c r="O16" s="411" t="str"/>
      <x:c r="P16" s="411" t="str"/>
      <x:c r="Q16" s="411" t="str"/>
      <x:c r="R16" s="414" t="str">
        <x:f>IF(I16="","",MIN(1,IF(J16="",0,0.25)+IF(K16="",0,0.25)+IF(N16="",0,0.25)+IF(Q16="",0,0.25)))</x:f>
      </x:c>
      <x:c r="S16" s="373"/>
      <x:c r="T16" s="373"/>
      <x:c r="U16" s="373"/>
      <x:c r="V16" s="373"/>
      <x:c r="W16" s="373"/>
      <x:c r="X16" s="373"/>
      <x:c r="Y16" s="373"/>
      <x:c r="Z16" s="373"/>
    </x:row>
    <x:row r="17">
      <x:c r="A17" s="460" t="n">
        <x:v>46251</x:v>
      </x:c>
      <x:c r="B17" s="411" t="str">
        <x:v>v0.1.11</x:v>
      </x:c>
      <x:c r="C17" s="411" t="n">
        <x:v>5</x:v>
      </x:c>
      <x:c r="D17" s="411" t="n">
        <x:v>8</x:v>
      </x:c>
      <x:c r="E17" s="411" t="n">
        <x:v>3</x:v>
      </x:c>
      <x:c r="F17" s="411" t="str"/>
      <x:c r="G17" s="411" t="str">
        <x:v>Fault + E2E</x:v>
      </x:c>
      <x:c r="H17" s="411" t="str">
        <x:v>Implement fault controls, safety regression, and evidence pipeline.</x:v>
      </x:c>
      <x:c r="I17" s="411" t="str"/>
      <x:c r="J17" s="411"/>
      <x:c r="K17" s="411"/>
      <x:c r="L17" s="411"/>
      <x:c r="M17" s="411"/>
      <x:c r="N17" s="411" t="str"/>
      <x:c r="O17" s="411" t="str"/>
      <x:c r="P17" s="411" t="str"/>
      <x:c r="Q17" s="411" t="str"/>
      <x:c r="R17" s="414" t="str">
        <x:f>IF(I17="","",MIN(1,IF(J17="",0,0.25)+IF(K17="",0,0.25)+IF(N17="",0,0.25)+IF(Q17="",0,0.25)))</x:f>
      </x:c>
      <x:c r="S17" s="373"/>
      <x:c r="T17" s="373"/>
      <x:c r="U17" s="373"/>
      <x:c r="V17" s="373"/>
      <x:c r="W17" s="373"/>
      <x:c r="X17" s="373"/>
      <x:c r="Y17" s="373"/>
      <x:c r="Z17" s="373"/>
    </x:row>
    <x:row r="18">
      <x:c r="A18" s="461" t="n">
        <x:v>46252</x:v>
      </x:c>
      <x:c r="B18" s="412" t="str">
        <x:v>v0.1.12</x:v>
      </x:c>
      <x:c r="C18" s="412" t="n">
        <x:v>5</x:v>
      </x:c>
      <x:c r="D18" s="412" t="n">
        <x:v>8</x:v>
      </x:c>
      <x:c r="E18" s="412" t="n">
        <x:v>3</x:v>
      </x:c>
      <x:c r="F18" s="412" t="str"/>
      <x:c r="G18" s="412" t="str">
        <x:v>CI + release candidate</x:v>
      </x:c>
      <x:c r="H18" s="412" t="str">
        <x:v>Fresh clone, Docker, CI tiers, docs, gates, and v0.2.0 RC.</x:v>
      </x:c>
      <x:c r="I18" s="412" t="str"/>
      <x:c r="J18" s="412"/>
      <x:c r="K18" s="412"/>
      <x:c r="L18" s="412"/>
      <x:c r="M18" s="412"/>
      <x:c r="N18" s="412" t="str"/>
      <x:c r="O18" s="412" t="str"/>
      <x:c r="P18" s="412" t="str"/>
      <x:c r="Q18" s="412" t="str"/>
      <x:c r="R18" s="415" t="str">
        <x:f>IF(I18="","",MIN(1,IF(J18="",0,0.25)+IF(K18="",0,0.25)+IF(N18="",0,0.25)+IF(Q18="",0,0.25)))</x:f>
      </x:c>
      <x:c r="S18" s="373"/>
      <x:c r="T18" s="373"/>
      <x:c r="U18" s="373"/>
      <x:c r="V18" s="373"/>
      <x:c r="W18" s="373"/>
      <x:c r="X18" s="373"/>
      <x:c r="Y18" s="373"/>
      <x:c r="Z18" s="373"/>
    </x:row>
    <x:row r="19">
      <x:c r="A19" s="373"/>
      <x:c r="B19" s="373"/>
      <x:c r="C19" s="373"/>
      <x:c r="D19" s="373"/>
      <x:c r="E19" s="373"/>
      <x:c r="F19" s="373"/>
      <x:c r="G19" s="373"/>
      <x:c r="H19" s="373"/>
      <x:c r="I19" s="373"/>
      <x:c r="J19" s="373"/>
      <x:c r="K19" s="373"/>
      <x:c r="L19" s="373"/>
      <x:c r="M19" s="373"/>
      <x:c r="N19" s="373"/>
      <x:c r="O19" s="373"/>
      <x:c r="P19" s="373"/>
      <x:c r="Q19" s="373"/>
      <x:c r="R19" s="373"/>
      <x:c r="S19" s="373"/>
      <x:c r="T19" s="373"/>
      <x:c r="U19" s="373"/>
      <x:c r="V19" s="373"/>
      <x:c r="W19" s="373"/>
      <x:c r="X19" s="373"/>
      <x:c r="Y19" s="373"/>
      <x:c r="Z19" s="373"/>
    </x:row>
    <x:row r="20">
      <x:c r="A20" s="373"/>
      <x:c r="B20" s="373"/>
      <x:c r="C20" s="373"/>
      <x:c r="D20" s="373"/>
      <x:c r="E20" s="373"/>
      <x:c r="F20" s="373"/>
      <x:c r="G20" s="373"/>
      <x:c r="H20" s="373"/>
      <x:c r="I20" s="373"/>
      <x:c r="J20" s="373"/>
      <x:c r="K20" s="373"/>
      <x:c r="L20" s="373"/>
      <x:c r="M20" s="373"/>
      <x:c r="N20" s="373"/>
      <x:c r="O20" s="373"/>
      <x:c r="P20" s="373"/>
      <x:c r="Q20" s="373"/>
      <x:c r="R20" s="373"/>
      <x:c r="S20" s="373"/>
      <x:c r="T20" s="373"/>
      <x:c r="U20" s="373"/>
      <x:c r="V20" s="373"/>
      <x:c r="W20" s="373"/>
      <x:c r="X20" s="373"/>
      <x:c r="Y20" s="373"/>
      <x:c r="Z20" s="373"/>
    </x:row>
    <x:row r="21">
      <x:c r="A21" s="373"/>
      <x:c r="B21" s="373"/>
      <x:c r="C21" s="373"/>
      <x:c r="D21" s="373"/>
      <x:c r="E21" s="373"/>
      <x:c r="F21" s="373"/>
      <x:c r="G21" s="373"/>
      <x:c r="H21" s="373"/>
      <x:c r="I21" s="373"/>
      <x:c r="J21" s="373"/>
      <x:c r="K21" s="373"/>
      <x:c r="L21" s="373"/>
      <x:c r="M21" s="373"/>
      <x:c r="N21" s="373"/>
      <x:c r="O21" s="373"/>
      <x:c r="P21" s="373"/>
      <x:c r="Q21" s="373"/>
      <x:c r="R21" s="373"/>
      <x:c r="S21" s="373"/>
      <x:c r="T21" s="373"/>
      <x:c r="U21" s="373"/>
      <x:c r="V21" s="373"/>
      <x:c r="W21" s="373"/>
      <x:c r="X21" s="373"/>
      <x:c r="Y21" s="373"/>
      <x:c r="Z21" s="373"/>
    </x:row>
    <x:row r="22">
      <x:c r="A22" s="373"/>
      <x:c r="B22" s="373"/>
      <x:c r="C22" s="373"/>
      <x:c r="D22" s="373"/>
      <x:c r="E22" s="373"/>
      <x:c r="F22" s="373"/>
      <x:c r="G22" s="373"/>
      <x:c r="H22" s="373"/>
      <x:c r="I22" s="373"/>
      <x:c r="J22" s="373"/>
      <x:c r="K22" s="373"/>
      <x:c r="L22" s="373"/>
      <x:c r="M22" s="373"/>
      <x:c r="N22" s="373"/>
      <x:c r="O22" s="373"/>
      <x:c r="P22" s="373"/>
      <x:c r="Q22" s="373"/>
      <x:c r="R22" s="373"/>
      <x:c r="S22" s="373"/>
      <x:c r="T22" s="373"/>
      <x:c r="U22" s="373"/>
      <x:c r="V22" s="373"/>
      <x:c r="W22" s="373"/>
      <x:c r="X22" s="373"/>
      <x:c r="Y22" s="373"/>
      <x:c r="Z22" s="373"/>
    </x:row>
    <x:row r="23">
      <x:c r="A23" s="373"/>
      <x:c r="B23" s="373"/>
      <x:c r="C23" s="373"/>
      <x:c r="D23" s="373"/>
      <x:c r="E23" s="373"/>
      <x:c r="F23" s="373"/>
      <x:c r="G23" s="373"/>
      <x:c r="H23" s="373"/>
      <x:c r="I23" s="373"/>
      <x:c r="J23" s="373"/>
      <x:c r="K23" s="373"/>
      <x:c r="L23" s="373"/>
      <x:c r="M23" s="373"/>
      <x:c r="N23" s="373"/>
      <x:c r="O23" s="373"/>
      <x:c r="P23" s="373"/>
      <x:c r="Q23" s="373"/>
      <x:c r="R23" s="373"/>
      <x:c r="S23" s="373"/>
      <x:c r="T23" s="373"/>
      <x:c r="U23" s="373"/>
      <x:c r="V23" s="373"/>
      <x:c r="W23" s="373"/>
      <x:c r="X23" s="373"/>
      <x:c r="Y23" s="373"/>
      <x:c r="Z23" s="373"/>
    </x:row>
    <x:row r="24">
      <x:c r="A24" s="373"/>
      <x:c r="B24" s="373"/>
      <x:c r="C24" s="373"/>
      <x:c r="D24" s="373"/>
      <x:c r="E24" s="373"/>
      <x:c r="F24" s="373"/>
      <x:c r="G24" s="373"/>
      <x:c r="H24" s="373"/>
      <x:c r="I24" s="373"/>
      <x:c r="J24" s="373"/>
      <x:c r="K24" s="373"/>
      <x:c r="L24" s="373"/>
      <x:c r="M24" s="373"/>
      <x:c r="N24" s="373"/>
      <x:c r="O24" s="373"/>
      <x:c r="P24" s="373"/>
      <x:c r="Q24" s="373"/>
      <x:c r="R24" s="373"/>
      <x:c r="S24" s="373"/>
      <x:c r="T24" s="373"/>
      <x:c r="U24" s="373"/>
      <x:c r="V24" s="373"/>
      <x:c r="W24" s="373"/>
      <x:c r="X24" s="373"/>
      <x:c r="Y24" s="373"/>
      <x:c r="Z24" s="373"/>
    </x:row>
    <x:row r="25">
      <x:c r="A25" s="373"/>
      <x:c r="B25" s="373"/>
      <x:c r="C25" s="373"/>
      <x:c r="D25" s="373"/>
      <x:c r="E25" s="373"/>
      <x:c r="F25" s="373"/>
      <x:c r="G25" s="373"/>
      <x:c r="H25" s="373"/>
      <x:c r="I25" s="373"/>
      <x:c r="J25" s="373"/>
      <x:c r="K25" s="373"/>
      <x:c r="L25" s="373"/>
      <x:c r="M25" s="373"/>
      <x:c r="N25" s="373"/>
      <x:c r="O25" s="373"/>
      <x:c r="P25" s="373"/>
      <x:c r="Q25" s="373"/>
      <x:c r="R25" s="373"/>
      <x:c r="S25" s="373"/>
      <x:c r="T25" s="373"/>
      <x:c r="U25" s="373"/>
      <x:c r="V25" s="373"/>
      <x:c r="W25" s="373"/>
      <x:c r="X25" s="373"/>
      <x:c r="Y25" s="373"/>
      <x:c r="Z25" s="373"/>
    </x:row>
    <x:row r="26">
      <x:c r="A26" s="373"/>
      <x:c r="B26" s="373"/>
      <x:c r="C26" s="373"/>
      <x:c r="D26" s="373"/>
      <x:c r="E26" s="373"/>
      <x:c r="F26" s="373"/>
      <x:c r="G26" s="373"/>
      <x:c r="H26" s="373"/>
      <x:c r="I26" s="373"/>
      <x:c r="J26" s="373"/>
      <x:c r="K26" s="373"/>
      <x:c r="L26" s="373"/>
      <x:c r="M26" s="373"/>
      <x:c r="N26" s="373"/>
      <x:c r="O26" s="373"/>
      <x:c r="P26" s="373"/>
      <x:c r="Q26" s="373"/>
      <x:c r="R26" s="373"/>
      <x:c r="S26" s="373"/>
      <x:c r="T26" s="373"/>
      <x:c r="U26" s="373"/>
      <x:c r="V26" s="373"/>
      <x:c r="W26" s="373"/>
      <x:c r="X26" s="373"/>
      <x:c r="Y26" s="373"/>
      <x:c r="Z26" s="373"/>
    </x:row>
    <x:row r="27">
      <x:c r="A27" s="373"/>
      <x:c r="B27" s="373"/>
      <x:c r="C27" s="373"/>
      <x:c r="D27" s="373"/>
      <x:c r="E27" s="373"/>
      <x:c r="F27" s="373"/>
      <x:c r="G27" s="373"/>
      <x:c r="H27" s="373"/>
      <x:c r="I27" s="373"/>
      <x:c r="J27" s="373"/>
      <x:c r="K27" s="373"/>
      <x:c r="L27" s="373"/>
      <x:c r="M27" s="373"/>
      <x:c r="N27" s="373"/>
      <x:c r="O27" s="373"/>
      <x:c r="P27" s="373"/>
      <x:c r="Q27" s="373"/>
      <x:c r="R27" s="373"/>
      <x:c r="S27" s="373"/>
      <x:c r="T27" s="373"/>
      <x:c r="U27" s="373"/>
      <x:c r="V27" s="373"/>
      <x:c r="W27" s="373"/>
      <x:c r="X27" s="373"/>
      <x:c r="Y27" s="373"/>
      <x:c r="Z27" s="373"/>
    </x:row>
    <x:row r="28">
      <x:c r="A28" s="373"/>
      <x:c r="B28" s="373"/>
      <x:c r="C28" s="373"/>
      <x:c r="D28" s="373"/>
      <x:c r="E28" s="373"/>
      <x:c r="F28" s="373"/>
      <x:c r="G28" s="373"/>
      <x:c r="H28" s="373"/>
      <x:c r="I28" s="373"/>
      <x:c r="J28" s="373"/>
      <x:c r="K28" s="373"/>
      <x:c r="L28" s="373"/>
      <x:c r="M28" s="373"/>
      <x:c r="N28" s="373"/>
      <x:c r="O28" s="373"/>
      <x:c r="P28" s="373"/>
      <x:c r="Q28" s="373"/>
      <x:c r="R28" s="373"/>
      <x:c r="S28" s="373"/>
      <x:c r="T28" s="373"/>
      <x:c r="U28" s="373"/>
      <x:c r="V28" s="373"/>
      <x:c r="W28" s="373"/>
      <x:c r="X28" s="373"/>
      <x:c r="Y28" s="373"/>
      <x:c r="Z28" s="373"/>
    </x:row>
    <x:row r="29">
      <x:c r="A29" s="373"/>
      <x:c r="B29" s="373"/>
      <x:c r="C29" s="373"/>
      <x:c r="D29" s="373"/>
      <x:c r="E29" s="373"/>
      <x:c r="F29" s="373"/>
      <x:c r="G29" s="373"/>
      <x:c r="H29" s="373"/>
      <x:c r="I29" s="373"/>
      <x:c r="J29" s="373"/>
      <x:c r="K29" s="373"/>
      <x:c r="L29" s="373"/>
      <x:c r="M29" s="373"/>
      <x:c r="N29" s="373"/>
      <x:c r="O29" s="373"/>
      <x:c r="P29" s="373"/>
      <x:c r="Q29" s="373"/>
      <x:c r="R29" s="373"/>
      <x:c r="S29" s="373"/>
      <x:c r="T29" s="373"/>
      <x:c r="U29" s="373"/>
      <x:c r="V29" s="373"/>
      <x:c r="W29" s="373"/>
      <x:c r="X29" s="373"/>
      <x:c r="Y29" s="373"/>
      <x:c r="Z29" s="373"/>
    </x:row>
    <x:row r="30">
      <x:c r="A30" s="373"/>
      <x:c r="B30" s="373"/>
      <x:c r="C30" s="373"/>
      <x:c r="D30" s="373"/>
      <x:c r="E30" s="373"/>
      <x:c r="F30" s="373"/>
      <x:c r="G30" s="373"/>
      <x:c r="H30" s="373"/>
      <x:c r="I30" s="373"/>
      <x:c r="J30" s="373"/>
      <x:c r="K30" s="373"/>
      <x:c r="L30" s="373"/>
      <x:c r="M30" s="373"/>
      <x:c r="N30" s="373"/>
      <x:c r="O30" s="373"/>
      <x:c r="P30" s="373"/>
      <x:c r="Q30" s="373"/>
      <x:c r="R30" s="373"/>
      <x:c r="S30" s="373"/>
      <x:c r="T30" s="373"/>
      <x:c r="U30" s="373"/>
      <x:c r="V30" s="373"/>
      <x:c r="W30" s="373"/>
      <x:c r="X30" s="373"/>
      <x:c r="Y30" s="373"/>
      <x:c r="Z30" s="373"/>
    </x:row>
    <x:row r="31">
      <x:c r="A31" s="373"/>
      <x:c r="B31" s="373"/>
      <x:c r="C31" s="373"/>
      <x:c r="D31" s="373"/>
      <x:c r="E31" s="373"/>
      <x:c r="F31" s="373"/>
      <x:c r="G31" s="373"/>
      <x:c r="H31" s="373"/>
      <x:c r="I31" s="373"/>
      <x:c r="J31" s="373"/>
      <x:c r="K31" s="373"/>
      <x:c r="L31" s="373"/>
      <x:c r="M31" s="373"/>
      <x:c r="N31" s="373"/>
      <x:c r="O31" s="373"/>
      <x:c r="P31" s="373"/>
      <x:c r="Q31" s="373"/>
      <x:c r="R31" s="373"/>
      <x:c r="S31" s="373"/>
      <x:c r="T31" s="373"/>
      <x:c r="U31" s="373"/>
      <x:c r="V31" s="373"/>
      <x:c r="W31" s="373"/>
      <x:c r="X31" s="373"/>
      <x:c r="Y31" s="373"/>
      <x:c r="Z31" s="373"/>
    </x:row>
    <x:row r="32">
      <x:c r="A32" s="373"/>
      <x:c r="B32" s="373"/>
      <x:c r="C32" s="373"/>
      <x:c r="D32" s="373"/>
      <x:c r="E32" s="373"/>
      <x:c r="F32" s="373"/>
      <x:c r="G32" s="373"/>
      <x:c r="H32" s="373"/>
      <x:c r="I32" s="373"/>
      <x:c r="J32" s="373"/>
      <x:c r="K32" s="373"/>
      <x:c r="L32" s="373"/>
      <x:c r="M32" s="373"/>
      <x:c r="N32" s="373"/>
      <x:c r="O32" s="373"/>
      <x:c r="P32" s="373"/>
      <x:c r="Q32" s="373"/>
      <x:c r="R32" s="373"/>
      <x:c r="S32" s="373"/>
      <x:c r="T32" s="373"/>
      <x:c r="U32" s="373"/>
      <x:c r="V32" s="373"/>
      <x:c r="W32" s="373"/>
      <x:c r="X32" s="373"/>
      <x:c r="Y32" s="373"/>
      <x:c r="Z32" s="373"/>
    </x:row>
    <x:row r="33">
      <x:c r="A33" s="373"/>
      <x:c r="B33" s="373"/>
      <x:c r="C33" s="373"/>
      <x:c r="D33" s="373"/>
      <x:c r="E33" s="373"/>
      <x:c r="F33" s="373"/>
      <x:c r="G33" s="373"/>
      <x:c r="H33" s="373"/>
      <x:c r="I33" s="373"/>
      <x:c r="J33" s="373"/>
      <x:c r="K33" s="373"/>
      <x:c r="L33" s="373"/>
      <x:c r="M33" s="373"/>
      <x:c r="N33" s="373"/>
      <x:c r="O33" s="373"/>
      <x:c r="P33" s="373"/>
      <x:c r="Q33" s="373"/>
      <x:c r="R33" s="373"/>
      <x:c r="S33" s="373"/>
      <x:c r="T33" s="373"/>
      <x:c r="U33" s="373"/>
      <x:c r="V33" s="373"/>
      <x:c r="W33" s="373"/>
      <x:c r="X33" s="373"/>
      <x:c r="Y33" s="373"/>
      <x:c r="Z33" s="373"/>
    </x:row>
    <x:row r="34">
      <x:c r="A34" s="373"/>
      <x:c r="B34" s="373"/>
      <x:c r="C34" s="373"/>
      <x:c r="D34" s="373"/>
      <x:c r="E34" s="373"/>
      <x:c r="F34" s="373"/>
      <x:c r="G34" s="373"/>
      <x:c r="H34" s="373"/>
      <x:c r="I34" s="373"/>
      <x:c r="J34" s="373"/>
      <x:c r="K34" s="373"/>
      <x:c r="L34" s="373"/>
      <x:c r="M34" s="373"/>
      <x:c r="N34" s="373"/>
      <x:c r="O34" s="373"/>
      <x:c r="P34" s="373"/>
      <x:c r="Q34" s="373"/>
      <x:c r="R34" s="373"/>
      <x:c r="S34" s="373"/>
      <x:c r="T34" s="373"/>
      <x:c r="U34" s="373"/>
      <x:c r="V34" s="373"/>
      <x:c r="W34" s="373"/>
      <x:c r="X34" s="373"/>
      <x:c r="Y34" s="373"/>
      <x:c r="Z34" s="373"/>
    </x:row>
    <x:row r="35">
      <x:c r="A35" s="373"/>
      <x:c r="B35" s="373"/>
      <x:c r="C35" s="373"/>
      <x:c r="D35" s="373"/>
      <x:c r="E35" s="373"/>
      <x:c r="F35" s="373"/>
      <x:c r="G35" s="373"/>
      <x:c r="H35" s="373"/>
      <x:c r="I35" s="373"/>
      <x:c r="J35" s="373"/>
      <x:c r="K35" s="373"/>
      <x:c r="L35" s="373"/>
      <x:c r="M35" s="373"/>
      <x:c r="N35" s="373"/>
      <x:c r="O35" s="373"/>
      <x:c r="P35" s="373"/>
      <x:c r="Q35" s="373"/>
      <x:c r="R35" s="373"/>
      <x:c r="S35" s="373"/>
      <x:c r="T35" s="373"/>
      <x:c r="U35" s="373"/>
      <x:c r="V35" s="373"/>
      <x:c r="W35" s="373"/>
      <x:c r="X35" s="373"/>
      <x:c r="Y35" s="373"/>
      <x:c r="Z35" s="373"/>
    </x:row>
    <x:row r="36">
      <x:c r="A36" s="373"/>
      <x:c r="B36" s="373"/>
      <x:c r="C36" s="373"/>
      <x:c r="D36" s="373"/>
      <x:c r="E36" s="373"/>
      <x:c r="F36" s="373"/>
      <x:c r="G36" s="373"/>
      <x:c r="H36" s="373"/>
      <x:c r="I36" s="373"/>
      <x:c r="J36" s="373"/>
      <x:c r="K36" s="373"/>
      <x:c r="L36" s="373"/>
      <x:c r="M36" s="373"/>
      <x:c r="N36" s="373"/>
      <x:c r="O36" s="373"/>
      <x:c r="P36" s="373"/>
      <x:c r="Q36" s="373"/>
      <x:c r="R36" s="373"/>
      <x:c r="S36" s="373"/>
      <x:c r="T36" s="373"/>
      <x:c r="U36" s="373"/>
      <x:c r="V36" s="373"/>
      <x:c r="W36" s="373"/>
      <x:c r="X36" s="373"/>
      <x:c r="Y36" s="373"/>
      <x:c r="Z36" s="373"/>
    </x:row>
    <x:row r="37">
      <x:c r="A37" s="373"/>
      <x:c r="B37" s="373"/>
      <x:c r="C37" s="373"/>
      <x:c r="D37" s="373"/>
      <x:c r="E37" s="373"/>
      <x:c r="F37" s="373"/>
      <x:c r="G37" s="373"/>
      <x:c r="H37" s="373"/>
      <x:c r="I37" s="373"/>
      <x:c r="J37" s="373"/>
      <x:c r="K37" s="373"/>
      <x:c r="L37" s="373"/>
      <x:c r="M37" s="373"/>
      <x:c r="N37" s="373"/>
      <x:c r="O37" s="373"/>
      <x:c r="P37" s="373"/>
      <x:c r="Q37" s="373"/>
      <x:c r="R37" s="373"/>
      <x:c r="S37" s="373"/>
      <x:c r="T37" s="373"/>
      <x:c r="U37" s="373"/>
      <x:c r="V37" s="373"/>
      <x:c r="W37" s="373"/>
      <x:c r="X37" s="373"/>
      <x:c r="Y37" s="373"/>
      <x:c r="Z37" s="373"/>
    </x:row>
    <x:row r="38">
      <x:c r="A38" s="373"/>
      <x:c r="B38" s="373"/>
      <x:c r="C38" s="373"/>
      <x:c r="D38" s="373"/>
      <x:c r="E38" s="373"/>
      <x:c r="F38" s="373"/>
      <x:c r="G38" s="373"/>
      <x:c r="H38" s="373"/>
      <x:c r="I38" s="373"/>
      <x:c r="J38" s="373"/>
      <x:c r="K38" s="373"/>
      <x:c r="L38" s="373"/>
      <x:c r="M38" s="373"/>
      <x:c r="N38" s="373"/>
      <x:c r="O38" s="373"/>
      <x:c r="P38" s="373"/>
      <x:c r="Q38" s="373"/>
      <x:c r="R38" s="373"/>
      <x:c r="S38" s="373"/>
      <x:c r="T38" s="373"/>
      <x:c r="U38" s="373"/>
      <x:c r="V38" s="373"/>
      <x:c r="W38" s="373"/>
      <x:c r="X38" s="373"/>
      <x:c r="Y38" s="373"/>
      <x:c r="Z38" s="373"/>
    </x:row>
    <x:row r="39">
      <x:c r="A39" s="373"/>
      <x:c r="B39" s="373"/>
      <x:c r="C39" s="373"/>
      <x:c r="D39" s="373"/>
      <x:c r="E39" s="373"/>
      <x:c r="F39" s="373"/>
      <x:c r="G39" s="373"/>
      <x:c r="H39" s="373"/>
      <x:c r="I39" s="373"/>
      <x:c r="J39" s="373"/>
      <x:c r="K39" s="373"/>
      <x:c r="L39" s="373"/>
      <x:c r="M39" s="373"/>
      <x:c r="N39" s="373"/>
      <x:c r="O39" s="373"/>
      <x:c r="P39" s="373"/>
      <x:c r="Q39" s="373"/>
      <x:c r="R39" s="373"/>
      <x:c r="S39" s="373"/>
      <x:c r="T39" s="373"/>
      <x:c r="U39" s="373"/>
      <x:c r="V39" s="373"/>
      <x:c r="W39" s="373"/>
      <x:c r="X39" s="373"/>
      <x:c r="Y39" s="373"/>
      <x:c r="Z39" s="373"/>
    </x:row>
    <x:row r="40">
      <x:c r="A40" s="373"/>
      <x:c r="B40" s="373"/>
      <x:c r="C40" s="373"/>
      <x:c r="D40" s="373"/>
      <x:c r="E40" s="373"/>
      <x:c r="F40" s="373"/>
      <x:c r="G40" s="373"/>
      <x:c r="H40" s="373"/>
      <x:c r="I40" s="373"/>
      <x:c r="J40" s="373"/>
      <x:c r="K40" s="373"/>
      <x:c r="L40" s="373"/>
      <x:c r="M40" s="373"/>
      <x:c r="N40" s="373"/>
      <x:c r="O40" s="373"/>
      <x:c r="P40" s="373"/>
      <x:c r="Q40" s="373"/>
      <x:c r="R40" s="373"/>
      <x:c r="S40" s="373"/>
      <x:c r="T40" s="373"/>
      <x:c r="U40" s="373"/>
      <x:c r="V40" s="373"/>
      <x:c r="W40" s="373"/>
      <x:c r="X40" s="373"/>
      <x:c r="Y40" s="373"/>
      <x:c r="Z40" s="373"/>
    </x:row>
    <x:row r="41">
      <x:c r="A41" s="373"/>
      <x:c r="B41" s="373"/>
      <x:c r="C41" s="373"/>
      <x:c r="D41" s="373"/>
      <x:c r="E41" s="373"/>
      <x:c r="F41" s="373"/>
      <x:c r="G41" s="373"/>
      <x:c r="H41" s="373"/>
      <x:c r="I41" s="373"/>
      <x:c r="J41" s="373"/>
      <x:c r="K41" s="373"/>
      <x:c r="L41" s="373"/>
      <x:c r="M41" s="373"/>
      <x:c r="N41" s="373"/>
      <x:c r="O41" s="373"/>
      <x:c r="P41" s="373"/>
      <x:c r="Q41" s="373"/>
      <x:c r="R41" s="373"/>
      <x:c r="S41" s="373"/>
      <x:c r="T41" s="373"/>
      <x:c r="U41" s="373"/>
      <x:c r="V41" s="373"/>
      <x:c r="W41" s="373"/>
      <x:c r="X41" s="373"/>
      <x:c r="Y41" s="373"/>
      <x:c r="Z41" s="373"/>
    </x:row>
    <x:row r="42">
      <x:c r="A42" s="373"/>
      <x:c r="B42" s="373"/>
      <x:c r="C42" s="373"/>
      <x:c r="D42" s="373"/>
      <x:c r="E42" s="373"/>
      <x:c r="F42" s="373"/>
      <x:c r="G42" s="373"/>
      <x:c r="H42" s="373"/>
      <x:c r="I42" s="373"/>
      <x:c r="J42" s="373"/>
      <x:c r="K42" s="373"/>
      <x:c r="L42" s="373"/>
      <x:c r="M42" s="373"/>
      <x:c r="N42" s="373"/>
      <x:c r="O42" s="373"/>
      <x:c r="P42" s="373"/>
      <x:c r="Q42" s="373"/>
      <x:c r="R42" s="373"/>
      <x:c r="S42" s="373"/>
      <x:c r="T42" s="373"/>
      <x:c r="U42" s="373"/>
      <x:c r="V42" s="373"/>
      <x:c r="W42" s="373"/>
      <x:c r="X42" s="373"/>
      <x:c r="Y42" s="373"/>
      <x:c r="Z42" s="373"/>
    </x:row>
    <x:row r="43">
      <x:c r="A43" s="373"/>
      <x:c r="B43" s="373"/>
      <x:c r="C43" s="373"/>
      <x:c r="D43" s="373"/>
      <x:c r="E43" s="373"/>
      <x:c r="F43" s="373"/>
      <x:c r="G43" s="373"/>
      <x:c r="H43" s="373"/>
      <x:c r="I43" s="373"/>
      <x:c r="J43" s="373"/>
      <x:c r="K43" s="373"/>
      <x:c r="L43" s="373"/>
      <x:c r="M43" s="373"/>
      <x:c r="N43" s="373"/>
      <x:c r="O43" s="373"/>
      <x:c r="P43" s="373"/>
      <x:c r="Q43" s="373"/>
      <x:c r="R43" s="373"/>
      <x:c r="S43" s="373"/>
      <x:c r="T43" s="373"/>
      <x:c r="U43" s="373"/>
      <x:c r="V43" s="373"/>
      <x:c r="W43" s="373"/>
      <x:c r="X43" s="373"/>
      <x:c r="Y43" s="373"/>
      <x:c r="Z43" s="373"/>
    </x:row>
    <x:row r="44">
      <x:c r="A44" s="373"/>
      <x:c r="B44" s="373"/>
      <x:c r="C44" s="373"/>
      <x:c r="D44" s="373"/>
      <x:c r="E44" s="373"/>
      <x:c r="F44" s="373"/>
      <x:c r="G44" s="373"/>
      <x:c r="H44" s="373"/>
      <x:c r="I44" s="373"/>
      <x:c r="J44" s="373"/>
      <x:c r="K44" s="373"/>
      <x:c r="L44" s="373"/>
      <x:c r="M44" s="373"/>
      <x:c r="N44" s="373"/>
      <x:c r="O44" s="373"/>
      <x:c r="P44" s="373"/>
      <x:c r="Q44" s="373"/>
      <x:c r="R44" s="373"/>
      <x:c r="S44" s="373"/>
      <x:c r="T44" s="373"/>
      <x:c r="U44" s="373"/>
      <x:c r="V44" s="373"/>
      <x:c r="W44" s="373"/>
      <x:c r="X44" s="373"/>
      <x:c r="Y44" s="373"/>
      <x:c r="Z44" s="373"/>
    </x:row>
    <x:row r="45">
      <x:c r="A45" s="373"/>
      <x:c r="B45" s="373"/>
      <x:c r="C45" s="373"/>
      <x:c r="D45" s="373"/>
      <x:c r="E45" s="373"/>
      <x:c r="F45" s="373"/>
      <x:c r="G45" s="373"/>
      <x:c r="H45" s="373"/>
      <x:c r="I45" s="373"/>
      <x:c r="J45" s="373"/>
      <x:c r="K45" s="373"/>
      <x:c r="L45" s="373"/>
      <x:c r="M45" s="373"/>
      <x:c r="N45" s="373"/>
      <x:c r="O45" s="373"/>
      <x:c r="P45" s="373"/>
      <x:c r="Q45" s="373"/>
      <x:c r="R45" s="373"/>
      <x:c r="S45" s="373"/>
      <x:c r="T45" s="373"/>
      <x:c r="U45" s="373"/>
      <x:c r="V45" s="373"/>
      <x:c r="W45" s="373"/>
      <x:c r="X45" s="373"/>
      <x:c r="Y45" s="373"/>
      <x:c r="Z45" s="373"/>
    </x:row>
    <x:row r="46">
      <x:c r="A46" s="373"/>
      <x:c r="B46" s="373"/>
      <x:c r="C46" s="373"/>
      <x:c r="D46" s="373"/>
      <x:c r="E46" s="373"/>
      <x:c r="F46" s="373"/>
      <x:c r="G46" s="373"/>
      <x:c r="H46" s="373"/>
      <x:c r="I46" s="373"/>
      <x:c r="J46" s="373"/>
      <x:c r="K46" s="373"/>
      <x:c r="L46" s="373"/>
      <x:c r="M46" s="373"/>
      <x:c r="N46" s="373"/>
      <x:c r="O46" s="373"/>
      <x:c r="P46" s="373"/>
      <x:c r="Q46" s="373"/>
      <x:c r="R46" s="373"/>
      <x:c r="S46" s="373"/>
      <x:c r="T46" s="373"/>
      <x:c r="U46" s="373"/>
      <x:c r="V46" s="373"/>
      <x:c r="W46" s="373"/>
      <x:c r="X46" s="373"/>
      <x:c r="Y46" s="373"/>
      <x:c r="Z46" s="373"/>
    </x:row>
    <x:row r="47">
      <x:c r="A47" s="373"/>
      <x:c r="B47" s="373"/>
      <x:c r="C47" s="373"/>
      <x:c r="D47" s="373"/>
      <x:c r="E47" s="373"/>
      <x:c r="F47" s="373"/>
      <x:c r="G47" s="373"/>
      <x:c r="H47" s="373"/>
      <x:c r="I47" s="373"/>
      <x:c r="J47" s="373"/>
      <x:c r="K47" s="373"/>
      <x:c r="L47" s="373"/>
      <x:c r="M47" s="373"/>
      <x:c r="N47" s="373"/>
      <x:c r="O47" s="373"/>
      <x:c r="P47" s="373"/>
      <x:c r="Q47" s="373"/>
      <x:c r="R47" s="373"/>
      <x:c r="S47" s="373"/>
      <x:c r="T47" s="373"/>
      <x:c r="U47" s="373"/>
      <x:c r="V47" s="373"/>
      <x:c r="W47" s="373"/>
      <x:c r="X47" s="373"/>
      <x:c r="Y47" s="373"/>
      <x:c r="Z47" s="373"/>
    </x:row>
    <x:row r="48">
      <x:c r="A48" s="373"/>
      <x:c r="B48" s="373"/>
      <x:c r="C48" s="373"/>
      <x:c r="D48" s="373"/>
      <x:c r="E48" s="373"/>
      <x:c r="F48" s="373"/>
      <x:c r="G48" s="373"/>
      <x:c r="H48" s="373"/>
      <x:c r="I48" s="373"/>
      <x:c r="J48" s="373"/>
      <x:c r="K48" s="373"/>
      <x:c r="L48" s="373"/>
      <x:c r="M48" s="373"/>
      <x:c r="N48" s="373"/>
      <x:c r="O48" s="373"/>
      <x:c r="P48" s="373"/>
      <x:c r="Q48" s="373"/>
      <x:c r="R48" s="373"/>
      <x:c r="S48" s="373"/>
      <x:c r="T48" s="373"/>
      <x:c r="U48" s="373"/>
      <x:c r="V48" s="373"/>
      <x:c r="W48" s="373"/>
      <x:c r="X48" s="373"/>
      <x:c r="Y48" s="373"/>
      <x:c r="Z48" s="373"/>
    </x:row>
    <x:row r="49">
      <x:c r="A49" s="373"/>
      <x:c r="B49" s="373"/>
      <x:c r="C49" s="373"/>
      <x:c r="D49" s="373"/>
      <x:c r="E49" s="373"/>
      <x:c r="F49" s="373"/>
      <x:c r="G49" s="373"/>
      <x:c r="H49" s="373"/>
      <x:c r="I49" s="373"/>
      <x:c r="J49" s="373"/>
      <x:c r="K49" s="373"/>
      <x:c r="L49" s="373"/>
      <x:c r="M49" s="373"/>
      <x:c r="N49" s="373"/>
      <x:c r="O49" s="373"/>
      <x:c r="P49" s="373"/>
      <x:c r="Q49" s="373"/>
      <x:c r="R49" s="373"/>
      <x:c r="S49" s="373"/>
      <x:c r="T49" s="373"/>
      <x:c r="U49" s="373"/>
      <x:c r="V49" s="373"/>
      <x:c r="W49" s="373"/>
      <x:c r="X49" s="373"/>
      <x:c r="Y49" s="373"/>
      <x:c r="Z49" s="373"/>
    </x:row>
    <x:row r="50">
      <x:c r="A50" s="373"/>
      <x:c r="B50" s="373"/>
      <x:c r="C50" s="373"/>
      <x:c r="D50" s="373"/>
      <x:c r="E50" s="373"/>
      <x:c r="F50" s="373"/>
      <x:c r="G50" s="373"/>
      <x:c r="H50" s="373"/>
      <x:c r="I50" s="373"/>
      <x:c r="J50" s="373"/>
      <x:c r="K50" s="373"/>
      <x:c r="L50" s="373"/>
      <x:c r="M50" s="373"/>
      <x:c r="N50" s="373"/>
      <x:c r="O50" s="373"/>
      <x:c r="P50" s="373"/>
      <x:c r="Q50" s="373"/>
      <x:c r="R50" s="373"/>
      <x:c r="S50" s="373"/>
      <x:c r="T50" s="373"/>
      <x:c r="U50" s="373"/>
      <x:c r="V50" s="373"/>
      <x:c r="W50" s="373"/>
      <x:c r="X50" s="373"/>
      <x:c r="Y50" s="373"/>
      <x:c r="Z50" s="373"/>
    </x:row>
    <x:row r="51">
      <x:c r="A51" s="373"/>
      <x:c r="B51" s="373"/>
      <x:c r="C51" s="373"/>
      <x:c r="D51" s="373"/>
      <x:c r="E51" s="373"/>
      <x:c r="F51" s="373"/>
      <x:c r="G51" s="373"/>
      <x:c r="H51" s="373"/>
      <x:c r="I51" s="373"/>
      <x:c r="J51" s="373"/>
      <x:c r="K51" s="373"/>
      <x:c r="L51" s="373"/>
      <x:c r="M51" s="373"/>
      <x:c r="N51" s="373"/>
      <x:c r="O51" s="373"/>
      <x:c r="P51" s="373"/>
      <x:c r="Q51" s="373"/>
      <x:c r="R51" s="373"/>
      <x:c r="S51" s="373"/>
      <x:c r="T51" s="373"/>
      <x:c r="U51" s="373"/>
      <x:c r="V51" s="373"/>
      <x:c r="W51" s="373"/>
      <x:c r="X51" s="373"/>
      <x:c r="Y51" s="373"/>
      <x:c r="Z51" s="373"/>
    </x:row>
    <x:row r="52">
      <x:c r="A52" s="373"/>
      <x:c r="B52" s="373"/>
      <x:c r="C52" s="373"/>
      <x:c r="D52" s="373"/>
      <x:c r="E52" s="373"/>
      <x:c r="F52" s="373"/>
      <x:c r="G52" s="373"/>
      <x:c r="H52" s="373"/>
      <x:c r="I52" s="373"/>
      <x:c r="J52" s="373"/>
      <x:c r="K52" s="373"/>
      <x:c r="L52" s="373"/>
      <x:c r="M52" s="373"/>
      <x:c r="N52" s="373"/>
      <x:c r="O52" s="373"/>
      <x:c r="P52" s="373"/>
      <x:c r="Q52" s="373"/>
      <x:c r="R52" s="373"/>
      <x:c r="S52" s="373"/>
      <x:c r="T52" s="373"/>
      <x:c r="U52" s="373"/>
      <x:c r="V52" s="373"/>
      <x:c r="W52" s="373"/>
      <x:c r="X52" s="373"/>
      <x:c r="Y52" s="373"/>
      <x:c r="Z52" s="373"/>
    </x:row>
    <x:row r="53">
      <x:c r="A53" s="373"/>
      <x:c r="B53" s="373"/>
      <x:c r="C53" s="373"/>
      <x:c r="D53" s="373"/>
      <x:c r="E53" s="373"/>
      <x:c r="F53" s="373"/>
      <x:c r="G53" s="373"/>
      <x:c r="H53" s="373"/>
      <x:c r="I53" s="373"/>
      <x:c r="J53" s="373"/>
      <x:c r="K53" s="373"/>
      <x:c r="L53" s="373"/>
      <x:c r="M53" s="373"/>
      <x:c r="N53" s="373"/>
      <x:c r="O53" s="373"/>
      <x:c r="P53" s="373"/>
      <x:c r="Q53" s="373"/>
      <x:c r="R53" s="373"/>
      <x:c r="S53" s="373"/>
      <x:c r="T53" s="373"/>
      <x:c r="U53" s="373"/>
      <x:c r="V53" s="373"/>
      <x:c r="W53" s="373"/>
      <x:c r="X53" s="373"/>
      <x:c r="Y53" s="373"/>
      <x:c r="Z53" s="373"/>
    </x:row>
    <x:row r="54">
      <x:c r="A54" s="373"/>
      <x:c r="B54" s="373"/>
      <x:c r="C54" s="373"/>
      <x:c r="D54" s="373"/>
      <x:c r="E54" s="373"/>
      <x:c r="F54" s="373"/>
      <x:c r="G54" s="373"/>
      <x:c r="H54" s="373"/>
      <x:c r="I54" s="373"/>
      <x:c r="J54" s="373"/>
      <x:c r="K54" s="373"/>
      <x:c r="L54" s="373"/>
      <x:c r="M54" s="373"/>
      <x:c r="N54" s="373"/>
      <x:c r="O54" s="373"/>
      <x:c r="P54" s="373"/>
      <x:c r="Q54" s="373"/>
      <x:c r="R54" s="373"/>
      <x:c r="S54" s="373"/>
      <x:c r="T54" s="373"/>
      <x:c r="U54" s="373"/>
      <x:c r="V54" s="373"/>
      <x:c r="W54" s="373"/>
      <x:c r="X54" s="373"/>
      <x:c r="Y54" s="373"/>
      <x:c r="Z54" s="373"/>
    </x:row>
    <x:row r="55">
      <x:c r="A55" s="373"/>
      <x:c r="B55" s="373"/>
      <x:c r="C55" s="373"/>
      <x:c r="D55" s="373"/>
      <x:c r="E55" s="373"/>
      <x:c r="F55" s="373"/>
      <x:c r="G55" s="373"/>
      <x:c r="H55" s="373"/>
      <x:c r="I55" s="373"/>
      <x:c r="J55" s="373"/>
      <x:c r="K55" s="373"/>
      <x:c r="L55" s="373"/>
      <x:c r="M55" s="373"/>
      <x:c r="N55" s="373"/>
      <x:c r="O55" s="373"/>
      <x:c r="P55" s="373"/>
      <x:c r="Q55" s="373"/>
      <x:c r="R55" s="373"/>
      <x:c r="S55" s="373"/>
      <x:c r="T55" s="373"/>
      <x:c r="U55" s="373"/>
      <x:c r="V55" s="373"/>
      <x:c r="W55" s="373"/>
      <x:c r="X55" s="373"/>
      <x:c r="Y55" s="373"/>
      <x:c r="Z55" s="373"/>
    </x:row>
    <x:row r="56">
      <x:c r="A56" s="373"/>
      <x:c r="B56" s="373"/>
      <x:c r="C56" s="373"/>
      <x:c r="D56" s="373"/>
      <x:c r="E56" s="373"/>
      <x:c r="F56" s="373"/>
      <x:c r="G56" s="373"/>
      <x:c r="H56" s="373"/>
      <x:c r="I56" s="373"/>
      <x:c r="J56" s="373"/>
      <x:c r="K56" s="373"/>
      <x:c r="L56" s="373"/>
      <x:c r="M56" s="373"/>
      <x:c r="N56" s="373"/>
      <x:c r="O56" s="373"/>
      <x:c r="P56" s="373"/>
      <x:c r="Q56" s="373"/>
      <x:c r="R56" s="373"/>
      <x:c r="S56" s="373"/>
      <x:c r="T56" s="373"/>
      <x:c r="U56" s="373"/>
      <x:c r="V56" s="373"/>
      <x:c r="W56" s="373"/>
      <x:c r="X56" s="373"/>
      <x:c r="Y56" s="373"/>
      <x:c r="Z56" s="373"/>
    </x:row>
    <x:row r="57">
      <x:c r="A57" s="373"/>
      <x:c r="B57" s="373"/>
      <x:c r="C57" s="373"/>
      <x:c r="D57" s="373"/>
      <x:c r="E57" s="373"/>
      <x:c r="F57" s="373"/>
      <x:c r="G57" s="373"/>
      <x:c r="H57" s="373"/>
      <x:c r="I57" s="373"/>
      <x:c r="J57" s="373"/>
      <x:c r="K57" s="373"/>
      <x:c r="L57" s="373"/>
      <x:c r="M57" s="373"/>
      <x:c r="N57" s="373"/>
      <x:c r="O57" s="373"/>
      <x:c r="P57" s="373"/>
      <x:c r="Q57" s="373"/>
      <x:c r="R57" s="373"/>
      <x:c r="S57" s="373"/>
      <x:c r="T57" s="373"/>
      <x:c r="U57" s="373"/>
      <x:c r="V57" s="373"/>
      <x:c r="W57" s="373"/>
      <x:c r="X57" s="373"/>
      <x:c r="Y57" s="373"/>
      <x:c r="Z57" s="373"/>
    </x:row>
    <x:row r="58">
      <x:c r="A58" s="373"/>
      <x:c r="B58" s="373"/>
      <x:c r="C58" s="373"/>
      <x:c r="D58" s="373"/>
      <x:c r="E58" s="373"/>
      <x:c r="F58" s="373"/>
      <x:c r="G58" s="373"/>
      <x:c r="H58" s="373"/>
      <x:c r="I58" s="373"/>
      <x:c r="J58" s="373"/>
      <x:c r="K58" s="373"/>
      <x:c r="L58" s="373"/>
      <x:c r="M58" s="373"/>
      <x:c r="N58" s="373"/>
      <x:c r="O58" s="373"/>
      <x:c r="P58" s="373"/>
      <x:c r="Q58" s="373"/>
      <x:c r="R58" s="373"/>
      <x:c r="S58" s="373"/>
      <x:c r="T58" s="373"/>
      <x:c r="U58" s="373"/>
      <x:c r="V58" s="373"/>
      <x:c r="W58" s="373"/>
      <x:c r="X58" s="373"/>
      <x:c r="Y58" s="373"/>
      <x:c r="Z58" s="373"/>
    </x:row>
    <x:row r="59">
      <x:c r="A59" s="373"/>
      <x:c r="B59" s="373"/>
      <x:c r="C59" s="373"/>
      <x:c r="D59" s="373"/>
      <x:c r="E59" s="373"/>
      <x:c r="F59" s="373"/>
      <x:c r="G59" s="373"/>
      <x:c r="H59" s="373"/>
      <x:c r="I59" s="373"/>
      <x:c r="J59" s="373"/>
      <x:c r="K59" s="373"/>
      <x:c r="L59" s="373"/>
      <x:c r="M59" s="373"/>
      <x:c r="N59" s="373"/>
      <x:c r="O59" s="373"/>
      <x:c r="P59" s="373"/>
      <x:c r="Q59" s="373"/>
      <x:c r="R59" s="373"/>
      <x:c r="S59" s="373"/>
      <x:c r="T59" s="373"/>
      <x:c r="U59" s="373"/>
      <x:c r="V59" s="373"/>
      <x:c r="W59" s="373"/>
      <x:c r="X59" s="373"/>
      <x:c r="Y59" s="373"/>
      <x:c r="Z59" s="373"/>
    </x:row>
    <x:row r="60">
      <x:c r="A60" s="373"/>
      <x:c r="B60" s="373"/>
      <x:c r="C60" s="373"/>
      <x:c r="D60" s="373"/>
      <x:c r="E60" s="373"/>
      <x:c r="F60" s="373"/>
      <x:c r="G60" s="373"/>
      <x:c r="H60" s="373"/>
      <x:c r="I60" s="373"/>
      <x:c r="J60" s="373"/>
      <x:c r="K60" s="373"/>
      <x:c r="L60" s="373"/>
      <x:c r="M60" s="373"/>
      <x:c r="N60" s="373"/>
      <x:c r="O60" s="373"/>
      <x:c r="P60" s="373"/>
      <x:c r="Q60" s="373"/>
      <x:c r="R60" s="373"/>
      <x:c r="S60" s="373"/>
      <x:c r="T60" s="373"/>
      <x:c r="U60" s="373"/>
      <x:c r="V60" s="373"/>
      <x:c r="W60" s="373"/>
      <x:c r="X60" s="373"/>
      <x:c r="Y60" s="373"/>
      <x:c r="Z60" s="373"/>
    </x:row>
    <x:row r="61">
      <x:c r="A61" s="373"/>
      <x:c r="B61" s="373"/>
      <x:c r="C61" s="373"/>
      <x:c r="D61" s="373"/>
      <x:c r="E61" s="373"/>
      <x:c r="F61" s="373"/>
      <x:c r="G61" s="373"/>
      <x:c r="H61" s="373"/>
      <x:c r="I61" s="373"/>
      <x:c r="J61" s="373"/>
      <x:c r="K61" s="373"/>
      <x:c r="L61" s="373"/>
      <x:c r="M61" s="373"/>
      <x:c r="N61" s="373"/>
      <x:c r="O61" s="373"/>
      <x:c r="P61" s="373"/>
      <x:c r="Q61" s="373"/>
      <x:c r="R61" s="373"/>
      <x:c r="S61" s="373"/>
      <x:c r="T61" s="373"/>
      <x:c r="U61" s="373"/>
      <x:c r="V61" s="373"/>
      <x:c r="W61" s="373"/>
      <x:c r="X61" s="373"/>
      <x:c r="Y61" s="373"/>
      <x:c r="Z61" s="373"/>
    </x:row>
    <x:row r="62">
      <x:c r="A62" s="373"/>
      <x:c r="B62" s="373"/>
      <x:c r="C62" s="373"/>
      <x:c r="D62" s="373"/>
      <x:c r="E62" s="373"/>
      <x:c r="F62" s="373"/>
      <x:c r="G62" s="373"/>
      <x:c r="H62" s="373"/>
      <x:c r="I62" s="373"/>
      <x:c r="J62" s="373"/>
      <x:c r="K62" s="373"/>
      <x:c r="L62" s="373"/>
      <x:c r="M62" s="373"/>
      <x:c r="N62" s="373"/>
      <x:c r="O62" s="373"/>
      <x:c r="P62" s="373"/>
      <x:c r="Q62" s="373"/>
      <x:c r="R62" s="373"/>
      <x:c r="S62" s="373"/>
      <x:c r="T62" s="373"/>
      <x:c r="U62" s="373"/>
      <x:c r="V62" s="373"/>
      <x:c r="W62" s="373"/>
      <x:c r="X62" s="373"/>
      <x:c r="Y62" s="373"/>
      <x:c r="Z62" s="373"/>
    </x:row>
    <x:row r="63">
      <x:c r="A63" s="373"/>
      <x:c r="B63" s="373"/>
      <x:c r="C63" s="373"/>
      <x:c r="D63" s="373"/>
      <x:c r="E63" s="373"/>
      <x:c r="F63" s="373"/>
      <x:c r="G63" s="373"/>
      <x:c r="H63" s="373"/>
      <x:c r="I63" s="373"/>
      <x:c r="J63" s="373"/>
      <x:c r="K63" s="373"/>
      <x:c r="L63" s="373"/>
      <x:c r="M63" s="373"/>
      <x:c r="N63" s="373"/>
      <x:c r="O63" s="373"/>
      <x:c r="P63" s="373"/>
      <x:c r="Q63" s="373"/>
      <x:c r="R63" s="373"/>
      <x:c r="S63" s="373"/>
      <x:c r="T63" s="373"/>
      <x:c r="U63" s="373"/>
      <x:c r="V63" s="373"/>
      <x:c r="W63" s="373"/>
      <x:c r="X63" s="373"/>
      <x:c r="Y63" s="373"/>
      <x:c r="Z63" s="373"/>
    </x:row>
    <x:row r="64">
      <x:c r="A64" s="373"/>
      <x:c r="B64" s="373"/>
      <x:c r="C64" s="373"/>
      <x:c r="D64" s="373"/>
      <x:c r="E64" s="373"/>
      <x:c r="F64" s="373"/>
      <x:c r="G64" s="373"/>
      <x:c r="H64" s="373"/>
      <x:c r="I64" s="373"/>
      <x:c r="J64" s="373"/>
      <x:c r="K64" s="373"/>
      <x:c r="L64" s="373"/>
      <x:c r="M64" s="373"/>
      <x:c r="N64" s="373"/>
      <x:c r="O64" s="373"/>
      <x:c r="P64" s="373"/>
      <x:c r="Q64" s="373"/>
      <x:c r="R64" s="373"/>
      <x:c r="S64" s="373"/>
      <x:c r="T64" s="373"/>
      <x:c r="U64" s="373"/>
      <x:c r="V64" s="373"/>
      <x:c r="W64" s="373"/>
      <x:c r="X64" s="373"/>
      <x:c r="Y64" s="373"/>
      <x:c r="Z64" s="373"/>
    </x:row>
    <x:row r="65">
      <x:c r="A65" s="373"/>
      <x:c r="B65" s="373"/>
      <x:c r="C65" s="373"/>
      <x:c r="D65" s="373"/>
      <x:c r="E65" s="373"/>
      <x:c r="F65" s="373"/>
      <x:c r="G65" s="373"/>
      <x:c r="H65" s="373"/>
      <x:c r="I65" s="373"/>
      <x:c r="J65" s="373"/>
      <x:c r="K65" s="373"/>
      <x:c r="L65" s="373"/>
      <x:c r="M65" s="373"/>
      <x:c r="N65" s="373"/>
      <x:c r="O65" s="373"/>
      <x:c r="P65" s="373"/>
      <x:c r="Q65" s="373"/>
      <x:c r="R65" s="373"/>
      <x:c r="S65" s="373"/>
      <x:c r="T65" s="373"/>
      <x:c r="U65" s="373"/>
      <x:c r="V65" s="373"/>
      <x:c r="W65" s="373"/>
      <x:c r="X65" s="373"/>
      <x:c r="Y65" s="373"/>
      <x:c r="Z65" s="373"/>
    </x:row>
    <x:row r="66">
      <x:c r="A66" s="373"/>
      <x:c r="B66" s="373"/>
      <x:c r="C66" s="373"/>
      <x:c r="D66" s="373"/>
      <x:c r="E66" s="373"/>
      <x:c r="F66" s="373"/>
      <x:c r="G66" s="373"/>
      <x:c r="H66" s="373"/>
      <x:c r="I66" s="373"/>
      <x:c r="J66" s="373"/>
      <x:c r="K66" s="373"/>
      <x:c r="L66" s="373"/>
      <x:c r="M66" s="373"/>
      <x:c r="N66" s="373"/>
      <x:c r="O66" s="373"/>
      <x:c r="P66" s="373"/>
      <x:c r="Q66" s="373"/>
      <x:c r="R66" s="373"/>
      <x:c r="S66" s="373"/>
      <x:c r="T66" s="373"/>
      <x:c r="U66" s="373"/>
      <x:c r="V66" s="373"/>
      <x:c r="W66" s="373"/>
      <x:c r="X66" s="373"/>
      <x:c r="Y66" s="373"/>
      <x:c r="Z66" s="373"/>
    </x:row>
    <x:row r="67">
      <x:c r="A67" s="373"/>
      <x:c r="B67" s="373"/>
      <x:c r="C67" s="373"/>
      <x:c r="D67" s="373"/>
      <x:c r="E67" s="373"/>
      <x:c r="F67" s="373"/>
      <x:c r="G67" s="373"/>
      <x:c r="H67" s="373"/>
      <x:c r="I67" s="373"/>
      <x:c r="J67" s="373"/>
      <x:c r="K67" s="373"/>
      <x:c r="L67" s="373"/>
      <x:c r="M67" s="373"/>
      <x:c r="N67" s="373"/>
      <x:c r="O67" s="373"/>
      <x:c r="P67" s="373"/>
      <x:c r="Q67" s="373"/>
      <x:c r="R67" s="373"/>
      <x:c r="S67" s="373"/>
      <x:c r="T67" s="373"/>
      <x:c r="U67" s="373"/>
      <x:c r="V67" s="373"/>
      <x:c r="W67" s="373"/>
      <x:c r="X67" s="373"/>
      <x:c r="Y67" s="373"/>
      <x:c r="Z67" s="373"/>
    </x:row>
    <x:row r="68">
      <x:c r="A68" s="373"/>
      <x:c r="B68" s="373"/>
      <x:c r="C68" s="373"/>
      <x:c r="D68" s="373"/>
      <x:c r="E68" s="373"/>
      <x:c r="F68" s="373"/>
      <x:c r="G68" s="373"/>
      <x:c r="H68" s="373"/>
      <x:c r="I68" s="373"/>
      <x:c r="J68" s="373"/>
      <x:c r="K68" s="373"/>
      <x:c r="L68" s="373"/>
      <x:c r="M68" s="373"/>
      <x:c r="N68" s="373"/>
      <x:c r="O68" s="373"/>
      <x:c r="P68" s="373"/>
      <x:c r="Q68" s="373"/>
      <x:c r="R68" s="373"/>
      <x:c r="S68" s="373"/>
      <x:c r="T68" s="373"/>
      <x:c r="U68" s="373"/>
      <x:c r="V68" s="373"/>
      <x:c r="W68" s="373"/>
      <x:c r="X68" s="373"/>
      <x:c r="Y68" s="373"/>
      <x:c r="Z68" s="373"/>
    </x:row>
    <x:row r="69">
      <x:c r="A69" s="373"/>
      <x:c r="B69" s="373"/>
      <x:c r="C69" s="373"/>
      <x:c r="D69" s="373"/>
      <x:c r="E69" s="373"/>
      <x:c r="F69" s="373"/>
      <x:c r="G69" s="373"/>
      <x:c r="H69" s="373"/>
      <x:c r="I69" s="373"/>
      <x:c r="J69" s="373"/>
      <x:c r="K69" s="373"/>
      <x:c r="L69" s="373"/>
      <x:c r="M69" s="373"/>
      <x:c r="N69" s="373"/>
      <x:c r="O69" s="373"/>
      <x:c r="P69" s="373"/>
      <x:c r="Q69" s="373"/>
      <x:c r="R69" s="373"/>
      <x:c r="S69" s="373"/>
      <x:c r="T69" s="373"/>
      <x:c r="U69" s="373"/>
      <x:c r="V69" s="373"/>
      <x:c r="W69" s="373"/>
      <x:c r="X69" s="373"/>
      <x:c r="Y69" s="373"/>
      <x:c r="Z69" s="373"/>
    </x:row>
    <x:row r="70">
      <x:c r="A70" s="373"/>
      <x:c r="B70" s="373"/>
      <x:c r="C70" s="373"/>
      <x:c r="D70" s="373"/>
      <x:c r="E70" s="373"/>
      <x:c r="F70" s="373"/>
      <x:c r="G70" s="373"/>
      <x:c r="H70" s="373"/>
      <x:c r="I70" s="373"/>
      <x:c r="J70" s="373"/>
      <x:c r="K70" s="373"/>
      <x:c r="L70" s="373"/>
      <x:c r="M70" s="373"/>
      <x:c r="N70" s="373"/>
      <x:c r="O70" s="373"/>
      <x:c r="P70" s="373"/>
      <x:c r="Q70" s="373"/>
      <x:c r="R70" s="373"/>
      <x:c r="S70" s="373"/>
      <x:c r="T70" s="373"/>
      <x:c r="U70" s="373"/>
      <x:c r="V70" s="373"/>
      <x:c r="W70" s="373"/>
      <x:c r="X70" s="373"/>
      <x:c r="Y70" s="373"/>
      <x:c r="Z70" s="373"/>
    </x:row>
    <x:row r="71">
      <x:c r="A71" s="373"/>
      <x:c r="B71" s="373"/>
      <x:c r="C71" s="373"/>
      <x:c r="D71" s="373"/>
      <x:c r="E71" s="373"/>
      <x:c r="F71" s="373"/>
      <x:c r="G71" s="373"/>
      <x:c r="H71" s="373"/>
      <x:c r="I71" s="373"/>
      <x:c r="J71" s="373"/>
      <x:c r="K71" s="373"/>
      <x:c r="L71" s="373"/>
      <x:c r="M71" s="373"/>
      <x:c r="N71" s="373"/>
      <x:c r="O71" s="373"/>
      <x:c r="P71" s="373"/>
      <x:c r="Q71" s="373"/>
      <x:c r="R71" s="373"/>
      <x:c r="S71" s="373"/>
      <x:c r="T71" s="373"/>
      <x:c r="U71" s="373"/>
      <x:c r="V71" s="373"/>
      <x:c r="W71" s="373"/>
      <x:c r="X71" s="373"/>
      <x:c r="Y71" s="373"/>
      <x:c r="Z71" s="373"/>
    </x:row>
    <x:row r="72">
      <x:c r="A72" s="373"/>
      <x:c r="B72" s="373"/>
      <x:c r="C72" s="373"/>
      <x:c r="D72" s="373"/>
      <x:c r="E72" s="373"/>
      <x:c r="F72" s="373"/>
      <x:c r="G72" s="373"/>
      <x:c r="H72" s="373"/>
      <x:c r="I72" s="373"/>
      <x:c r="J72" s="373"/>
      <x:c r="K72" s="373"/>
      <x:c r="L72" s="373"/>
      <x:c r="M72" s="373"/>
      <x:c r="N72" s="373"/>
      <x:c r="O72" s="373"/>
      <x:c r="P72" s="373"/>
      <x:c r="Q72" s="373"/>
      <x:c r="R72" s="373"/>
      <x:c r="S72" s="373"/>
      <x:c r="T72" s="373"/>
      <x:c r="U72" s="373"/>
      <x:c r="V72" s="373"/>
      <x:c r="W72" s="373"/>
      <x:c r="X72" s="373"/>
      <x:c r="Y72" s="373"/>
      <x:c r="Z72" s="373"/>
    </x:row>
    <x:row r="73">
      <x:c r="A73" s="373"/>
      <x:c r="B73" s="373"/>
      <x:c r="C73" s="373"/>
      <x:c r="D73" s="373"/>
      <x:c r="E73" s="373"/>
      <x:c r="F73" s="373"/>
      <x:c r="G73" s="373"/>
      <x:c r="H73" s="373"/>
      <x:c r="I73" s="373"/>
      <x:c r="J73" s="373"/>
      <x:c r="K73" s="373"/>
      <x:c r="L73" s="373"/>
      <x:c r="M73" s="373"/>
      <x:c r="N73" s="373"/>
      <x:c r="O73" s="373"/>
      <x:c r="P73" s="373"/>
      <x:c r="Q73" s="373"/>
      <x:c r="R73" s="373"/>
      <x:c r="S73" s="373"/>
      <x:c r="T73" s="373"/>
      <x:c r="U73" s="373"/>
      <x:c r="V73" s="373"/>
      <x:c r="W73" s="373"/>
      <x:c r="X73" s="373"/>
      <x:c r="Y73" s="373"/>
      <x:c r="Z73" s="373"/>
    </x:row>
    <x:row r="74">
      <x:c r="A74" s="373"/>
      <x:c r="B74" s="373"/>
      <x:c r="C74" s="373"/>
      <x:c r="D74" s="373"/>
      <x:c r="E74" s="373"/>
      <x:c r="F74" s="373"/>
      <x:c r="G74" s="373"/>
      <x:c r="H74" s="373"/>
      <x:c r="I74" s="373"/>
      <x:c r="J74" s="373"/>
      <x:c r="K74" s="373"/>
      <x:c r="L74" s="373"/>
      <x:c r="M74" s="373"/>
      <x:c r="N74" s="373"/>
      <x:c r="O74" s="373"/>
      <x:c r="P74" s="373"/>
      <x:c r="Q74" s="373"/>
      <x:c r="R74" s="373"/>
      <x:c r="S74" s="373"/>
      <x:c r="T74" s="373"/>
      <x:c r="U74" s="373"/>
      <x:c r="V74" s="373"/>
      <x:c r="W74" s="373"/>
      <x:c r="X74" s="373"/>
      <x:c r="Y74" s="373"/>
      <x:c r="Z74" s="373"/>
    </x:row>
    <x:row r="75">
      <x:c r="A75" s="373"/>
      <x:c r="B75" s="373"/>
      <x:c r="C75" s="373"/>
      <x:c r="D75" s="373"/>
      <x:c r="E75" s="373"/>
      <x:c r="F75" s="373"/>
      <x:c r="G75" s="373"/>
      <x:c r="H75" s="373"/>
      <x:c r="I75" s="373"/>
      <x:c r="J75" s="373"/>
      <x:c r="K75" s="373"/>
      <x:c r="L75" s="373"/>
      <x:c r="M75" s="373"/>
      <x:c r="N75" s="373"/>
      <x:c r="O75" s="373"/>
      <x:c r="P75" s="373"/>
      <x:c r="Q75" s="373"/>
      <x:c r="R75" s="373"/>
      <x:c r="S75" s="373"/>
      <x:c r="T75" s="373"/>
      <x:c r="U75" s="373"/>
      <x:c r="V75" s="373"/>
      <x:c r="W75" s="373"/>
      <x:c r="X75" s="373"/>
      <x:c r="Y75" s="373"/>
      <x:c r="Z75" s="373"/>
    </x:row>
    <x:row r="76">
      <x:c r="A76" s="373"/>
      <x:c r="B76" s="373"/>
      <x:c r="C76" s="373"/>
      <x:c r="D76" s="373"/>
      <x:c r="E76" s="373"/>
      <x:c r="F76" s="373"/>
      <x:c r="G76" s="373"/>
      <x:c r="H76" s="373"/>
      <x:c r="I76" s="373"/>
      <x:c r="J76" s="373"/>
      <x:c r="K76" s="373"/>
      <x:c r="L76" s="373"/>
      <x:c r="M76" s="373"/>
      <x:c r="N76" s="373"/>
      <x:c r="O76" s="373"/>
      <x:c r="P76" s="373"/>
      <x:c r="Q76" s="373"/>
      <x:c r="R76" s="373"/>
      <x:c r="S76" s="373"/>
      <x:c r="T76" s="373"/>
      <x:c r="U76" s="373"/>
      <x:c r="V76" s="373"/>
      <x:c r="W76" s="373"/>
      <x:c r="X76" s="373"/>
      <x:c r="Y76" s="373"/>
      <x:c r="Z76" s="373"/>
    </x:row>
    <x:row r="77">
      <x:c r="A77" s="373"/>
      <x:c r="B77" s="373"/>
      <x:c r="C77" s="373"/>
      <x:c r="D77" s="373"/>
      <x:c r="E77" s="373"/>
      <x:c r="F77" s="373"/>
      <x:c r="G77" s="373"/>
      <x:c r="H77" s="373"/>
      <x:c r="I77" s="373"/>
      <x:c r="J77" s="373"/>
      <x:c r="K77" s="373"/>
      <x:c r="L77" s="373"/>
      <x:c r="M77" s="373"/>
      <x:c r="N77" s="373"/>
      <x:c r="O77" s="373"/>
      <x:c r="P77" s="373"/>
      <x:c r="Q77" s="373"/>
      <x:c r="R77" s="373"/>
      <x:c r="S77" s="373"/>
      <x:c r="T77" s="373"/>
      <x:c r="U77" s="373"/>
      <x:c r="V77" s="373"/>
      <x:c r="W77" s="373"/>
      <x:c r="X77" s="373"/>
      <x:c r="Y77" s="373"/>
      <x:c r="Z77" s="373"/>
    </x:row>
    <x:row r="78">
      <x:c r="A78" s="373"/>
      <x:c r="B78" s="373"/>
      <x:c r="C78" s="373"/>
      <x:c r="D78" s="373"/>
      <x:c r="E78" s="373"/>
      <x:c r="F78" s="373"/>
      <x:c r="G78" s="373"/>
      <x:c r="H78" s="373"/>
      <x:c r="I78" s="373"/>
      <x:c r="J78" s="373"/>
      <x:c r="K78" s="373"/>
      <x:c r="L78" s="373"/>
      <x:c r="M78" s="373"/>
      <x:c r="N78" s="373"/>
      <x:c r="O78" s="373"/>
      <x:c r="P78" s="373"/>
      <x:c r="Q78" s="373"/>
      <x:c r="R78" s="373"/>
      <x:c r="S78" s="373"/>
      <x:c r="T78" s="373"/>
      <x:c r="U78" s="373"/>
      <x:c r="V78" s="373"/>
      <x:c r="W78" s="373"/>
      <x:c r="X78" s="373"/>
      <x:c r="Y78" s="373"/>
      <x:c r="Z78" s="373"/>
    </x:row>
    <x:row r="79">
      <x:c r="A79" s="373"/>
      <x:c r="B79" s="373"/>
      <x:c r="C79" s="373"/>
      <x:c r="D79" s="373"/>
      <x:c r="E79" s="373"/>
      <x:c r="F79" s="373"/>
      <x:c r="G79" s="373"/>
      <x:c r="H79" s="373"/>
      <x:c r="I79" s="373"/>
      <x:c r="J79" s="373"/>
      <x:c r="K79" s="373"/>
      <x:c r="L79" s="373"/>
      <x:c r="M79" s="373"/>
      <x:c r="N79" s="373"/>
      <x:c r="O79" s="373"/>
      <x:c r="P79" s="373"/>
      <x:c r="Q79" s="373"/>
      <x:c r="R79" s="373"/>
      <x:c r="S79" s="373"/>
      <x:c r="T79" s="373"/>
      <x:c r="U79" s="373"/>
      <x:c r="V79" s="373"/>
      <x:c r="W79" s="373"/>
      <x:c r="X79" s="373"/>
      <x:c r="Y79" s="373"/>
      <x:c r="Z79" s="373"/>
    </x:row>
    <x:row r="80">
      <x:c r="A80" s="373"/>
      <x:c r="B80" s="373"/>
      <x:c r="C80" s="373"/>
      <x:c r="D80" s="373"/>
      <x:c r="E80" s="373"/>
      <x:c r="F80" s="373"/>
      <x:c r="G80" s="373"/>
      <x:c r="H80" s="373"/>
      <x:c r="I80" s="373"/>
      <x:c r="J80" s="373"/>
      <x:c r="K80" s="373"/>
      <x:c r="L80" s="373"/>
      <x:c r="M80" s="373"/>
      <x:c r="N80" s="373"/>
      <x:c r="O80" s="373"/>
      <x:c r="P80" s="373"/>
      <x:c r="Q80" s="373"/>
      <x:c r="R80" s="373"/>
      <x:c r="S80" s="373"/>
      <x:c r="T80" s="373"/>
      <x:c r="U80" s="373"/>
      <x:c r="V80" s="373"/>
      <x:c r="W80" s="373"/>
      <x:c r="X80" s="373"/>
      <x:c r="Y80" s="373"/>
      <x:c r="Z80" s="373"/>
    </x:row>
    <x:row r="81">
      <x:c r="A81" s="373"/>
      <x:c r="B81" s="373"/>
      <x:c r="C81" s="373"/>
      <x:c r="D81" s="373"/>
      <x:c r="E81" s="373"/>
      <x:c r="F81" s="373"/>
      <x:c r="G81" s="373"/>
      <x:c r="H81" s="373"/>
      <x:c r="I81" s="373"/>
      <x:c r="J81" s="373"/>
      <x:c r="K81" s="373"/>
      <x:c r="L81" s="373"/>
      <x:c r="M81" s="373"/>
      <x:c r="N81" s="373"/>
      <x:c r="O81" s="373"/>
      <x:c r="P81" s="373"/>
      <x:c r="Q81" s="373"/>
      <x:c r="R81" s="373"/>
      <x:c r="S81" s="373"/>
      <x:c r="T81" s="373"/>
      <x:c r="U81" s="373"/>
      <x:c r="V81" s="373"/>
      <x:c r="W81" s="373"/>
      <x:c r="X81" s="373"/>
      <x:c r="Y81" s="373"/>
      <x:c r="Z81" s="373"/>
    </x:row>
    <x:row r="82">
      <x:c r="A82" s="373"/>
      <x:c r="B82" s="373"/>
      <x:c r="C82" s="373"/>
      <x:c r="D82" s="373"/>
      <x:c r="E82" s="373"/>
      <x:c r="F82" s="373"/>
      <x:c r="G82" s="373"/>
      <x:c r="H82" s="373"/>
      <x:c r="I82" s="373"/>
      <x:c r="J82" s="373"/>
      <x:c r="K82" s="373"/>
      <x:c r="L82" s="373"/>
      <x:c r="M82" s="373"/>
      <x:c r="N82" s="373"/>
      <x:c r="O82" s="373"/>
      <x:c r="P82" s="373"/>
      <x:c r="Q82" s="373"/>
      <x:c r="R82" s="373"/>
      <x:c r="S82" s="373"/>
      <x:c r="T82" s="373"/>
      <x:c r="U82" s="373"/>
      <x:c r="V82" s="373"/>
      <x:c r="W82" s="373"/>
      <x:c r="X82" s="373"/>
      <x:c r="Y82" s="373"/>
      <x:c r="Z82" s="373"/>
    </x:row>
    <x:row r="83">
      <x:c r="A83" s="373"/>
      <x:c r="B83" s="373"/>
      <x:c r="C83" s="373"/>
      <x:c r="D83" s="373"/>
      <x:c r="E83" s="373"/>
      <x:c r="F83" s="373"/>
      <x:c r="G83" s="373"/>
      <x:c r="H83" s="373"/>
      <x:c r="I83" s="373"/>
      <x:c r="J83" s="373"/>
      <x:c r="K83" s="373"/>
      <x:c r="L83" s="373"/>
      <x:c r="M83" s="373"/>
      <x:c r="N83" s="373"/>
      <x:c r="O83" s="373"/>
      <x:c r="P83" s="373"/>
      <x:c r="Q83" s="373"/>
      <x:c r="R83" s="373"/>
      <x:c r="S83" s="373"/>
      <x:c r="T83" s="373"/>
      <x:c r="U83" s="373"/>
      <x:c r="V83" s="373"/>
      <x:c r="W83" s="373"/>
      <x:c r="X83" s="373"/>
      <x:c r="Y83" s="373"/>
      <x:c r="Z83" s="373"/>
    </x:row>
    <x:row r="84">
      <x:c r="A84" s="373"/>
      <x:c r="B84" s="373"/>
      <x:c r="C84" s="373"/>
      <x:c r="D84" s="373"/>
      <x:c r="E84" s="373"/>
      <x:c r="F84" s="373"/>
      <x:c r="G84" s="373"/>
      <x:c r="H84" s="373"/>
      <x:c r="I84" s="373"/>
      <x:c r="J84" s="373"/>
      <x:c r="K84" s="373"/>
      <x:c r="L84" s="373"/>
      <x:c r="M84" s="373"/>
      <x:c r="N84" s="373"/>
      <x:c r="O84" s="373"/>
      <x:c r="P84" s="373"/>
      <x:c r="Q84" s="373"/>
      <x:c r="R84" s="373"/>
      <x:c r="S84" s="373"/>
      <x:c r="T84" s="373"/>
      <x:c r="U84" s="373"/>
      <x:c r="V84" s="373"/>
      <x:c r="W84" s="373"/>
      <x:c r="X84" s="373"/>
      <x:c r="Y84" s="373"/>
      <x:c r="Z84" s="373"/>
    </x:row>
    <x:row r="85">
      <x:c r="A85" s="373"/>
      <x:c r="B85" s="373"/>
      <x:c r="C85" s="373"/>
      <x:c r="D85" s="373"/>
      <x:c r="E85" s="373"/>
      <x:c r="F85" s="373"/>
      <x:c r="G85" s="373"/>
      <x:c r="H85" s="373"/>
      <x:c r="I85" s="373"/>
      <x:c r="J85" s="373"/>
      <x:c r="K85" s="373"/>
      <x:c r="L85" s="373"/>
      <x:c r="M85" s="373"/>
      <x:c r="N85" s="373"/>
      <x:c r="O85" s="373"/>
      <x:c r="P85" s="373"/>
      <x:c r="Q85" s="373"/>
      <x:c r="R85" s="373"/>
      <x:c r="S85" s="373"/>
      <x:c r="T85" s="373"/>
      <x:c r="U85" s="373"/>
      <x:c r="V85" s="373"/>
      <x:c r="W85" s="373"/>
      <x:c r="X85" s="373"/>
      <x:c r="Y85" s="373"/>
      <x:c r="Z85" s="373"/>
    </x:row>
    <x:row r="86">
      <x:c r="A86" s="373"/>
      <x:c r="B86" s="373"/>
      <x:c r="C86" s="373"/>
      <x:c r="D86" s="373"/>
      <x:c r="E86" s="373"/>
      <x:c r="F86" s="373"/>
      <x:c r="G86" s="373"/>
      <x:c r="H86" s="373"/>
      <x:c r="I86" s="373"/>
      <x:c r="J86" s="373"/>
      <x:c r="K86" s="373"/>
      <x:c r="L86" s="373"/>
      <x:c r="M86" s="373"/>
      <x:c r="N86" s="373"/>
      <x:c r="O86" s="373"/>
      <x:c r="P86" s="373"/>
      <x:c r="Q86" s="373"/>
      <x:c r="R86" s="373"/>
      <x:c r="S86" s="373"/>
      <x:c r="T86" s="373"/>
      <x:c r="U86" s="373"/>
      <x:c r="V86" s="373"/>
      <x:c r="W86" s="373"/>
      <x:c r="X86" s="373"/>
      <x:c r="Y86" s="373"/>
      <x:c r="Z86" s="373"/>
    </x:row>
    <x:row r="87">
      <x:c r="A87" s="373"/>
      <x:c r="B87" s="373"/>
      <x:c r="C87" s="373"/>
      <x:c r="D87" s="373"/>
      <x:c r="E87" s="373"/>
      <x:c r="F87" s="373"/>
      <x:c r="G87" s="373"/>
      <x:c r="H87" s="373"/>
      <x:c r="I87" s="373"/>
      <x:c r="J87" s="373"/>
      <x:c r="K87" s="373"/>
      <x:c r="L87" s="373"/>
      <x:c r="M87" s="373"/>
      <x:c r="N87" s="373"/>
      <x:c r="O87" s="373"/>
      <x:c r="P87" s="373"/>
      <x:c r="Q87" s="373"/>
      <x:c r="R87" s="373"/>
      <x:c r="S87" s="373"/>
      <x:c r="T87" s="373"/>
      <x:c r="U87" s="373"/>
      <x:c r="V87" s="373"/>
      <x:c r="W87" s="373"/>
      <x:c r="X87" s="373"/>
      <x:c r="Y87" s="373"/>
      <x:c r="Z87" s="373"/>
    </x:row>
    <x:row r="88">
      <x:c r="A88" s="373"/>
      <x:c r="B88" s="373"/>
      <x:c r="C88" s="373"/>
      <x:c r="D88" s="373"/>
      <x:c r="E88" s="373"/>
      <x:c r="F88" s="373"/>
      <x:c r="G88" s="373"/>
      <x:c r="H88" s="373"/>
      <x:c r="I88" s="373"/>
      <x:c r="J88" s="373"/>
      <x:c r="K88" s="373"/>
      <x:c r="L88" s="373"/>
      <x:c r="M88" s="373"/>
      <x:c r="N88" s="373"/>
      <x:c r="O88" s="373"/>
      <x:c r="P88" s="373"/>
      <x:c r="Q88" s="373"/>
      <x:c r="R88" s="373"/>
      <x:c r="S88" s="373"/>
      <x:c r="T88" s="373"/>
      <x:c r="U88" s="373"/>
      <x:c r="V88" s="373"/>
      <x:c r="W88" s="373"/>
      <x:c r="X88" s="373"/>
      <x:c r="Y88" s="373"/>
      <x:c r="Z88" s="373"/>
    </x:row>
    <x:row r="89">
      <x:c r="A89" s="373"/>
      <x:c r="B89" s="373"/>
      <x:c r="C89" s="373"/>
      <x:c r="D89" s="373"/>
      <x:c r="E89" s="373"/>
      <x:c r="F89" s="373"/>
      <x:c r="G89" s="373"/>
      <x:c r="H89" s="373"/>
      <x:c r="I89" s="373"/>
      <x:c r="J89" s="373"/>
      <x:c r="K89" s="373"/>
      <x:c r="L89" s="373"/>
      <x:c r="M89" s="373"/>
      <x:c r="N89" s="373"/>
      <x:c r="O89" s="373"/>
      <x:c r="P89" s="373"/>
      <x:c r="Q89" s="373"/>
      <x:c r="R89" s="373"/>
      <x:c r="S89" s="373"/>
      <x:c r="T89" s="373"/>
      <x:c r="U89" s="373"/>
      <x:c r="V89" s="373"/>
      <x:c r="W89" s="373"/>
      <x:c r="X89" s="373"/>
      <x:c r="Y89" s="373"/>
      <x:c r="Z89" s="373"/>
    </x:row>
    <x:row r="90">
      <x:c r="A90" s="373"/>
      <x:c r="B90" s="373"/>
      <x:c r="C90" s="373"/>
      <x:c r="D90" s="373"/>
      <x:c r="E90" s="373"/>
      <x:c r="F90" s="373"/>
      <x:c r="G90" s="373"/>
      <x:c r="H90" s="373"/>
      <x:c r="I90" s="373"/>
      <x:c r="J90" s="373"/>
      <x:c r="K90" s="373"/>
      <x:c r="L90" s="373"/>
      <x:c r="M90" s="373"/>
      <x:c r="N90" s="373"/>
      <x:c r="O90" s="373"/>
      <x:c r="P90" s="373"/>
      <x:c r="Q90" s="373"/>
      <x:c r="R90" s="373"/>
      <x:c r="S90" s="373"/>
      <x:c r="T90" s="373"/>
      <x:c r="U90" s="373"/>
      <x:c r="V90" s="373"/>
      <x:c r="W90" s="373"/>
      <x:c r="X90" s="373"/>
      <x:c r="Y90" s="373"/>
      <x:c r="Z90" s="373"/>
    </x:row>
    <x:row r="91">
      <x:c r="A91" s="373"/>
      <x:c r="B91" s="373"/>
      <x:c r="C91" s="373"/>
      <x:c r="D91" s="373"/>
      <x:c r="E91" s="373"/>
      <x:c r="F91" s="373"/>
      <x:c r="G91" s="373"/>
      <x:c r="H91" s="373"/>
      <x:c r="I91" s="373"/>
      <x:c r="J91" s="373"/>
      <x:c r="K91" s="373"/>
      <x:c r="L91" s="373"/>
      <x:c r="M91" s="373"/>
      <x:c r="N91" s="373"/>
      <x:c r="O91" s="373"/>
      <x:c r="P91" s="373"/>
      <x:c r="Q91" s="373"/>
      <x:c r="R91" s="373"/>
      <x:c r="S91" s="373"/>
      <x:c r="T91" s="373"/>
      <x:c r="U91" s="373"/>
      <x:c r="V91" s="373"/>
      <x:c r="W91" s="373"/>
      <x:c r="X91" s="373"/>
      <x:c r="Y91" s="373"/>
      <x:c r="Z91" s="373"/>
    </x:row>
    <x:row r="92">
      <x:c r="A92" s="373"/>
      <x:c r="B92" s="373"/>
      <x:c r="C92" s="373"/>
      <x:c r="D92" s="373"/>
      <x:c r="E92" s="373"/>
      <x:c r="F92" s="373"/>
      <x:c r="G92" s="373"/>
      <x:c r="H92" s="373"/>
      <x:c r="I92" s="373"/>
      <x:c r="J92" s="373"/>
      <x:c r="K92" s="373"/>
      <x:c r="L92" s="373"/>
      <x:c r="M92" s="373"/>
      <x:c r="N92" s="373"/>
      <x:c r="O92" s="373"/>
      <x:c r="P92" s="373"/>
      <x:c r="Q92" s="373"/>
      <x:c r="R92" s="373"/>
      <x:c r="S92" s="373"/>
      <x:c r="T92" s="373"/>
      <x:c r="U92" s="373"/>
      <x:c r="V92" s="373"/>
      <x:c r="W92" s="373"/>
      <x:c r="X92" s="373"/>
      <x:c r="Y92" s="373"/>
      <x:c r="Z92" s="373"/>
    </x:row>
    <x:row r="93">
      <x:c r="A93" s="373"/>
      <x:c r="B93" s="373"/>
      <x:c r="C93" s="373"/>
      <x:c r="D93" s="373"/>
      <x:c r="E93" s="373"/>
      <x:c r="F93" s="373"/>
      <x:c r="G93" s="373"/>
      <x:c r="H93" s="373"/>
      <x:c r="I93" s="373"/>
      <x:c r="J93" s="373"/>
      <x:c r="K93" s="373"/>
      <x:c r="L93" s="373"/>
      <x:c r="M93" s="373"/>
      <x:c r="N93" s="373"/>
      <x:c r="O93" s="373"/>
      <x:c r="P93" s="373"/>
      <x:c r="Q93" s="373"/>
      <x:c r="R93" s="373"/>
      <x:c r="S93" s="373"/>
      <x:c r="T93" s="373"/>
      <x:c r="U93" s="373"/>
      <x:c r="V93" s="373"/>
      <x:c r="W93" s="373"/>
      <x:c r="X93" s="373"/>
      <x:c r="Y93" s="373"/>
      <x:c r="Z93" s="373"/>
    </x:row>
    <x:row r="94">
      <x:c r="A94" s="373"/>
      <x:c r="B94" s="373"/>
      <x:c r="C94" s="373"/>
      <x:c r="D94" s="373"/>
      <x:c r="E94" s="373"/>
      <x:c r="F94" s="373"/>
      <x:c r="G94" s="373"/>
      <x:c r="H94" s="373"/>
      <x:c r="I94" s="373"/>
      <x:c r="J94" s="373"/>
      <x:c r="K94" s="373"/>
      <x:c r="L94" s="373"/>
      <x:c r="M94" s="373"/>
      <x:c r="N94" s="373"/>
      <x:c r="O94" s="373"/>
      <x:c r="P94" s="373"/>
      <x:c r="Q94" s="373"/>
      <x:c r="R94" s="373"/>
      <x:c r="S94" s="373"/>
      <x:c r="T94" s="373"/>
      <x:c r="U94" s="373"/>
      <x:c r="V94" s="373"/>
      <x:c r="W94" s="373"/>
      <x:c r="X94" s="373"/>
      <x:c r="Y94" s="373"/>
      <x:c r="Z94" s="373"/>
    </x:row>
    <x:row r="95">
      <x:c r="A95" s="373"/>
      <x:c r="B95" s="373"/>
      <x:c r="C95" s="373"/>
      <x:c r="D95" s="373"/>
      <x:c r="E95" s="373"/>
      <x:c r="F95" s="373"/>
      <x:c r="G95" s="373"/>
      <x:c r="H95" s="373"/>
      <x:c r="I95" s="373"/>
      <x:c r="J95" s="373"/>
      <x:c r="K95" s="373"/>
      <x:c r="L95" s="373"/>
      <x:c r="M95" s="373"/>
      <x:c r="N95" s="373"/>
      <x:c r="O95" s="373"/>
      <x:c r="P95" s="373"/>
      <x:c r="Q95" s="373"/>
      <x:c r="R95" s="373"/>
      <x:c r="S95" s="373"/>
      <x:c r="T95" s="373"/>
      <x:c r="U95" s="373"/>
      <x:c r="V95" s="373"/>
      <x:c r="W95" s="373"/>
      <x:c r="X95" s="373"/>
      <x:c r="Y95" s="373"/>
      <x:c r="Z95" s="373"/>
    </x:row>
    <x:row r="96">
      <x:c r="A96" s="373"/>
      <x:c r="B96" s="373"/>
      <x:c r="C96" s="373"/>
      <x:c r="D96" s="373"/>
      <x:c r="E96" s="373"/>
      <x:c r="F96" s="373"/>
      <x:c r="G96" s="373"/>
      <x:c r="H96" s="373"/>
      <x:c r="I96" s="373"/>
      <x:c r="J96" s="373"/>
      <x:c r="K96" s="373"/>
      <x:c r="L96" s="373"/>
      <x:c r="M96" s="373"/>
      <x:c r="N96" s="373"/>
      <x:c r="O96" s="373"/>
      <x:c r="P96" s="373"/>
      <x:c r="Q96" s="373"/>
      <x:c r="R96" s="373"/>
      <x:c r="S96" s="373"/>
      <x:c r="T96" s="373"/>
      <x:c r="U96" s="373"/>
      <x:c r="V96" s="373"/>
      <x:c r="W96" s="373"/>
      <x:c r="X96" s="373"/>
      <x:c r="Y96" s="373"/>
      <x:c r="Z96" s="373"/>
    </x:row>
    <x:row r="97">
      <x:c r="A97" s="373"/>
      <x:c r="B97" s="373"/>
      <x:c r="C97" s="373"/>
      <x:c r="D97" s="373"/>
      <x:c r="E97" s="373"/>
      <x:c r="F97" s="373"/>
      <x:c r="G97" s="373"/>
      <x:c r="H97" s="373"/>
      <x:c r="I97" s="373"/>
      <x:c r="J97" s="373"/>
      <x:c r="K97" s="373"/>
      <x:c r="L97" s="373"/>
      <x:c r="M97" s="373"/>
      <x:c r="N97" s="373"/>
      <x:c r="O97" s="373"/>
      <x:c r="P97" s="373"/>
      <x:c r="Q97" s="373"/>
      <x:c r="R97" s="373"/>
      <x:c r="S97" s="373"/>
      <x:c r="T97" s="373"/>
      <x:c r="U97" s="373"/>
      <x:c r="V97" s="373"/>
      <x:c r="W97" s="373"/>
      <x:c r="X97" s="373"/>
      <x:c r="Y97" s="373"/>
      <x:c r="Z97" s="373"/>
    </x:row>
    <x:row r="98">
      <x:c r="A98" s="373"/>
      <x:c r="B98" s="373"/>
      <x:c r="C98" s="373"/>
      <x:c r="D98" s="373"/>
      <x:c r="E98" s="373"/>
      <x:c r="F98" s="373"/>
      <x:c r="G98" s="373"/>
      <x:c r="H98" s="373"/>
      <x:c r="I98" s="373"/>
      <x:c r="J98" s="373"/>
      <x:c r="K98" s="373"/>
      <x:c r="L98" s="373"/>
      <x:c r="M98" s="373"/>
      <x:c r="N98" s="373"/>
      <x:c r="O98" s="373"/>
      <x:c r="P98" s="373"/>
      <x:c r="Q98" s="373"/>
      <x:c r="R98" s="373"/>
      <x:c r="S98" s="373"/>
      <x:c r="T98" s="373"/>
      <x:c r="U98" s="373"/>
      <x:c r="V98" s="373"/>
      <x:c r="W98" s="373"/>
      <x:c r="X98" s="373"/>
      <x:c r="Y98" s="373"/>
      <x:c r="Z98" s="373"/>
    </x:row>
    <x:row r="99">
      <x:c r="A99" s="373"/>
      <x:c r="B99" s="373"/>
      <x:c r="C99" s="373"/>
      <x:c r="D99" s="373"/>
      <x:c r="E99" s="373"/>
      <x:c r="F99" s="373"/>
      <x:c r="G99" s="373"/>
      <x:c r="H99" s="373"/>
      <x:c r="I99" s="373"/>
      <x:c r="J99" s="373"/>
      <x:c r="K99" s="373"/>
      <x:c r="L99" s="373"/>
      <x:c r="M99" s="373"/>
      <x:c r="N99" s="373"/>
      <x:c r="O99" s="373"/>
      <x:c r="P99" s="373"/>
      <x:c r="Q99" s="373"/>
      <x:c r="R99" s="373"/>
      <x:c r="S99" s="373"/>
      <x:c r="T99" s="373"/>
      <x:c r="U99" s="373"/>
      <x:c r="V99" s="373"/>
      <x:c r="W99" s="373"/>
      <x:c r="X99" s="373"/>
      <x:c r="Y99" s="373"/>
      <x:c r="Z99" s="373"/>
    </x:row>
    <x:row r="100">
      <x:c r="A100" s="373"/>
      <x:c r="B100" s="373"/>
      <x:c r="C100" s="373"/>
      <x:c r="D100" s="373"/>
      <x:c r="E100" s="373"/>
      <x:c r="F100" s="373"/>
      <x:c r="G100" s="373"/>
      <x:c r="H100" s="373"/>
      <x:c r="I100" s="373"/>
      <x:c r="J100" s="373"/>
      <x:c r="K100" s="373"/>
      <x:c r="L100" s="373"/>
      <x:c r="M100" s="373"/>
      <x:c r="N100" s="373"/>
      <x:c r="O100" s="373"/>
      <x:c r="P100" s="373"/>
      <x:c r="Q100" s="373"/>
      <x:c r="R100" s="373"/>
      <x:c r="S100" s="373"/>
      <x:c r="T100" s="373"/>
      <x:c r="U100" s="373"/>
      <x:c r="V100" s="373"/>
      <x:c r="W100" s="373"/>
      <x:c r="X100" s="373"/>
      <x:c r="Y100" s="373"/>
      <x:c r="Z100" s="373"/>
    </x:row>
    <x:row r="101">
      <x:c r="A101" s="373"/>
      <x:c r="B101" s="373"/>
      <x:c r="C101" s="373"/>
      <x:c r="D101" s="373"/>
      <x:c r="E101" s="373"/>
      <x:c r="F101" s="373"/>
      <x:c r="G101" s="373"/>
      <x:c r="H101" s="373"/>
      <x:c r="I101" s="373"/>
      <x:c r="J101" s="373"/>
      <x:c r="K101" s="373"/>
      <x:c r="L101" s="373"/>
      <x:c r="M101" s="373"/>
      <x:c r="N101" s="373"/>
      <x:c r="O101" s="373"/>
      <x:c r="P101" s="373"/>
      <x:c r="Q101" s="373"/>
      <x:c r="R101" s="373"/>
      <x:c r="S101" s="373"/>
      <x:c r="T101" s="373"/>
      <x:c r="U101" s="373"/>
      <x:c r="V101" s="373"/>
      <x:c r="W101" s="373"/>
      <x:c r="X101" s="373"/>
      <x:c r="Y101" s="373"/>
      <x:c r="Z101" s="373"/>
    </x:row>
    <x:row r="102">
      <x:c r="A102" s="373"/>
      <x:c r="B102" s="373"/>
      <x:c r="C102" s="373"/>
      <x:c r="D102" s="373"/>
      <x:c r="E102" s="373"/>
      <x:c r="F102" s="373"/>
      <x:c r="G102" s="373"/>
      <x:c r="H102" s="373"/>
      <x:c r="I102" s="373"/>
      <x:c r="J102" s="373"/>
      <x:c r="K102" s="373"/>
      <x:c r="L102" s="373"/>
      <x:c r="M102" s="373"/>
      <x:c r="N102" s="373"/>
      <x:c r="O102" s="373"/>
      <x:c r="P102" s="373"/>
      <x:c r="Q102" s="373"/>
      <x:c r="R102" s="373"/>
      <x:c r="S102" s="373"/>
      <x:c r="T102" s="373"/>
      <x:c r="U102" s="373"/>
      <x:c r="V102" s="373"/>
      <x:c r="W102" s="373"/>
      <x:c r="X102" s="373"/>
      <x:c r="Y102" s="373"/>
      <x:c r="Z102" s="373"/>
    </x:row>
    <x:row r="103">
      <x:c r="A103" s="373"/>
      <x:c r="B103" s="373"/>
      <x:c r="C103" s="373"/>
      <x:c r="D103" s="373"/>
      <x:c r="E103" s="373"/>
      <x:c r="F103" s="373"/>
      <x:c r="G103" s="373"/>
      <x:c r="H103" s="373"/>
      <x:c r="I103" s="373"/>
      <x:c r="J103" s="373"/>
      <x:c r="K103" s="373"/>
      <x:c r="L103" s="373"/>
      <x:c r="M103" s="373"/>
      <x:c r="N103" s="373"/>
      <x:c r="O103" s="373"/>
      <x:c r="P103" s="373"/>
      <x:c r="Q103" s="373"/>
      <x:c r="R103" s="373"/>
      <x:c r="S103" s="373"/>
      <x:c r="T103" s="373"/>
      <x:c r="U103" s="373"/>
      <x:c r="V103" s="373"/>
      <x:c r="W103" s="373"/>
      <x:c r="X103" s="373"/>
      <x:c r="Y103" s="373"/>
      <x:c r="Z103" s="373"/>
    </x:row>
    <x:row r="104">
      <x:c r="A104" s="373"/>
      <x:c r="B104" s="373"/>
      <x:c r="C104" s="373"/>
      <x:c r="D104" s="373"/>
      <x:c r="E104" s="373"/>
      <x:c r="F104" s="373"/>
      <x:c r="G104" s="373"/>
      <x:c r="H104" s="373"/>
      <x:c r="I104" s="373"/>
      <x:c r="J104" s="373"/>
      <x:c r="K104" s="373"/>
      <x:c r="L104" s="373"/>
      <x:c r="M104" s="373"/>
      <x:c r="N104" s="373"/>
      <x:c r="O104" s="373"/>
      <x:c r="P104" s="373"/>
      <x:c r="Q104" s="373"/>
      <x:c r="R104" s="373"/>
      <x:c r="S104" s="373"/>
      <x:c r="T104" s="373"/>
      <x:c r="U104" s="373"/>
      <x:c r="V104" s="373"/>
      <x:c r="W104" s="373"/>
      <x:c r="X104" s="373"/>
      <x:c r="Y104" s="373"/>
      <x:c r="Z104" s="373"/>
    </x:row>
    <x:row r="105">
      <x:c r="A105" s="373"/>
      <x:c r="B105" s="373"/>
      <x:c r="C105" s="373"/>
      <x:c r="D105" s="373"/>
      <x:c r="E105" s="373"/>
      <x:c r="F105" s="373"/>
      <x:c r="G105" s="373"/>
      <x:c r="H105" s="373"/>
      <x:c r="I105" s="373"/>
      <x:c r="J105" s="373"/>
      <x:c r="K105" s="373"/>
      <x:c r="L105" s="373"/>
      <x:c r="M105" s="373"/>
      <x:c r="N105" s="373"/>
      <x:c r="O105" s="373"/>
      <x:c r="P105" s="373"/>
      <x:c r="Q105" s="373"/>
      <x:c r="R105" s="373"/>
      <x:c r="S105" s="373"/>
      <x:c r="T105" s="373"/>
      <x:c r="U105" s="373"/>
      <x:c r="V105" s="373"/>
      <x:c r="W105" s="373"/>
      <x:c r="X105" s="373"/>
      <x:c r="Y105" s="373"/>
      <x:c r="Z105" s="373"/>
    </x:row>
    <x:row r="106">
      <x:c r="A106" s="373"/>
      <x:c r="B106" s="373"/>
      <x:c r="C106" s="373"/>
      <x:c r="D106" s="373"/>
      <x:c r="E106" s="373"/>
      <x:c r="F106" s="373"/>
      <x:c r="G106" s="373"/>
      <x:c r="H106" s="373"/>
      <x:c r="I106" s="373"/>
      <x:c r="J106" s="373"/>
      <x:c r="K106" s="373"/>
      <x:c r="L106" s="373"/>
      <x:c r="M106" s="373"/>
      <x:c r="N106" s="373"/>
      <x:c r="O106" s="373"/>
      <x:c r="P106" s="373"/>
      <x:c r="Q106" s="373"/>
      <x:c r="R106" s="373"/>
      <x:c r="S106" s="373"/>
      <x:c r="T106" s="373"/>
      <x:c r="U106" s="373"/>
      <x:c r="V106" s="373"/>
      <x:c r="W106" s="373"/>
      <x:c r="X106" s="373"/>
      <x:c r="Y106" s="373"/>
      <x:c r="Z106" s="373"/>
    </x:row>
    <x:row r="107">
      <x:c r="A107" s="373"/>
      <x:c r="B107" s="373"/>
      <x:c r="C107" s="373"/>
      <x:c r="D107" s="373"/>
      <x:c r="E107" s="373"/>
      <x:c r="F107" s="373"/>
      <x:c r="G107" s="373"/>
      <x:c r="H107" s="373"/>
      <x:c r="I107" s="373"/>
      <x:c r="J107" s="373"/>
      <x:c r="K107" s="373"/>
      <x:c r="L107" s="373"/>
      <x:c r="M107" s="373"/>
      <x:c r="N107" s="373"/>
      <x:c r="O107" s="373"/>
      <x:c r="P107" s="373"/>
      <x:c r="Q107" s="373"/>
      <x:c r="R107" s="373"/>
      <x:c r="S107" s="373"/>
      <x:c r="T107" s="373"/>
      <x:c r="U107" s="373"/>
      <x:c r="V107" s="373"/>
      <x:c r="W107" s="373"/>
      <x:c r="X107" s="373"/>
      <x:c r="Y107" s="373"/>
      <x:c r="Z107" s="373"/>
    </x:row>
    <x:row r="108">
      <x:c r="A108" s="373"/>
      <x:c r="B108" s="373"/>
      <x:c r="C108" s="373"/>
      <x:c r="D108" s="373"/>
      <x:c r="E108" s="373"/>
      <x:c r="F108" s="373"/>
      <x:c r="G108" s="373"/>
      <x:c r="H108" s="373"/>
      <x:c r="I108" s="373"/>
      <x:c r="J108" s="373"/>
      <x:c r="K108" s="373"/>
      <x:c r="L108" s="373"/>
      <x:c r="M108" s="373"/>
      <x:c r="N108" s="373"/>
      <x:c r="O108" s="373"/>
      <x:c r="P108" s="373"/>
      <x:c r="Q108" s="373"/>
      <x:c r="R108" s="373"/>
      <x:c r="S108" s="373"/>
      <x:c r="T108" s="373"/>
      <x:c r="U108" s="373"/>
      <x:c r="V108" s="373"/>
      <x:c r="W108" s="373"/>
      <x:c r="X108" s="373"/>
      <x:c r="Y108" s="373"/>
      <x:c r="Z108" s="373"/>
    </x:row>
    <x:row r="109">
      <x:c r="A109" s="373"/>
      <x:c r="B109" s="373"/>
      <x:c r="C109" s="373"/>
      <x:c r="D109" s="373"/>
      <x:c r="E109" s="373"/>
      <x:c r="F109" s="373"/>
      <x:c r="G109" s="373"/>
      <x:c r="H109" s="373"/>
      <x:c r="I109" s="373"/>
      <x:c r="J109" s="373"/>
      <x:c r="K109" s="373"/>
      <x:c r="L109" s="373"/>
      <x:c r="M109" s="373"/>
      <x:c r="N109" s="373"/>
      <x:c r="O109" s="373"/>
      <x:c r="P109" s="373"/>
      <x:c r="Q109" s="373"/>
      <x:c r="R109" s="373"/>
      <x:c r="S109" s="373"/>
      <x:c r="T109" s="373"/>
      <x:c r="U109" s="373"/>
      <x:c r="V109" s="373"/>
      <x:c r="W109" s="373"/>
      <x:c r="X109" s="373"/>
      <x:c r="Y109" s="373"/>
      <x:c r="Z109" s="373"/>
    </x:row>
    <x:row r="110">
      <x:c r="A110" s="373"/>
      <x:c r="B110" s="373"/>
      <x:c r="C110" s="373"/>
      <x:c r="D110" s="373"/>
      <x:c r="E110" s="373"/>
      <x:c r="F110" s="373"/>
      <x:c r="G110" s="373"/>
      <x:c r="H110" s="373"/>
      <x:c r="I110" s="373"/>
      <x:c r="J110" s="373"/>
      <x:c r="K110" s="373"/>
      <x:c r="L110" s="373"/>
      <x:c r="M110" s="373"/>
      <x:c r="N110" s="373"/>
      <x:c r="O110" s="373"/>
      <x:c r="P110" s="373"/>
      <x:c r="Q110" s="373"/>
      <x:c r="R110" s="373"/>
      <x:c r="S110" s="373"/>
      <x:c r="T110" s="373"/>
      <x:c r="U110" s="373"/>
      <x:c r="V110" s="373"/>
      <x:c r="W110" s="373"/>
      <x:c r="X110" s="373"/>
      <x:c r="Y110" s="373"/>
      <x:c r="Z110" s="373"/>
    </x:row>
    <x:row r="111">
      <x:c r="A111" s="373"/>
      <x:c r="B111" s="373"/>
      <x:c r="C111" s="373"/>
      <x:c r="D111" s="373"/>
      <x:c r="E111" s="373"/>
      <x:c r="F111" s="373"/>
      <x:c r="G111" s="373"/>
      <x:c r="H111" s="373"/>
      <x:c r="I111" s="373"/>
      <x:c r="J111" s="373"/>
      <x:c r="K111" s="373"/>
      <x:c r="L111" s="373"/>
      <x:c r="M111" s="373"/>
      <x:c r="N111" s="373"/>
      <x:c r="O111" s="373"/>
      <x:c r="P111" s="373"/>
      <x:c r="Q111" s="373"/>
      <x:c r="R111" s="373"/>
      <x:c r="S111" s="373"/>
      <x:c r="T111" s="373"/>
      <x:c r="U111" s="373"/>
      <x:c r="V111" s="373"/>
      <x:c r="W111" s="373"/>
      <x:c r="X111" s="373"/>
      <x:c r="Y111" s="373"/>
      <x:c r="Z111" s="373"/>
    </x:row>
    <x:row r="112">
      <x:c r="A112" s="373"/>
      <x:c r="B112" s="373"/>
      <x:c r="C112" s="373"/>
      <x:c r="D112" s="373"/>
      <x:c r="E112" s="373"/>
      <x:c r="F112" s="373"/>
      <x:c r="G112" s="373"/>
      <x:c r="H112" s="373"/>
      <x:c r="I112" s="373"/>
      <x:c r="J112" s="373"/>
      <x:c r="K112" s="373"/>
      <x:c r="L112" s="373"/>
      <x:c r="M112" s="373"/>
      <x:c r="N112" s="373"/>
      <x:c r="O112" s="373"/>
      <x:c r="P112" s="373"/>
      <x:c r="Q112" s="373"/>
      <x:c r="R112" s="373"/>
      <x:c r="S112" s="373"/>
      <x:c r="T112" s="373"/>
      <x:c r="U112" s="373"/>
      <x:c r="V112" s="373"/>
      <x:c r="W112" s="373"/>
      <x:c r="X112" s="373"/>
      <x:c r="Y112" s="373"/>
      <x:c r="Z112" s="373"/>
    </x:row>
    <x:row r="113">
      <x:c r="A113" s="373"/>
      <x:c r="B113" s="373"/>
      <x:c r="C113" s="373"/>
      <x:c r="D113" s="373"/>
      <x:c r="E113" s="373"/>
      <x:c r="F113" s="373"/>
      <x:c r="G113" s="373"/>
      <x:c r="H113" s="373"/>
      <x:c r="I113" s="373"/>
      <x:c r="J113" s="373"/>
      <x:c r="K113" s="373"/>
      <x:c r="L113" s="373"/>
      <x:c r="M113" s="373"/>
      <x:c r="N113" s="373"/>
      <x:c r="O113" s="373"/>
      <x:c r="P113" s="373"/>
      <x:c r="Q113" s="373"/>
      <x:c r="R113" s="373"/>
      <x:c r="S113" s="373"/>
      <x:c r="T113" s="373"/>
      <x:c r="U113" s="373"/>
      <x:c r="V113" s="373"/>
      <x:c r="W113" s="373"/>
      <x:c r="X113" s="373"/>
      <x:c r="Y113" s="373"/>
      <x:c r="Z113" s="373"/>
    </x:row>
    <x:row r="114">
      <x:c r="A114" s="373"/>
      <x:c r="B114" s="373"/>
      <x:c r="C114" s="373"/>
      <x:c r="D114" s="373"/>
      <x:c r="E114" s="373"/>
      <x:c r="F114" s="373"/>
      <x:c r="G114" s="373"/>
      <x:c r="H114" s="373"/>
      <x:c r="I114" s="373"/>
      <x:c r="J114" s="373"/>
      <x:c r="K114" s="373"/>
      <x:c r="L114" s="373"/>
      <x:c r="M114" s="373"/>
      <x:c r="N114" s="373"/>
      <x:c r="O114" s="373"/>
      <x:c r="P114" s="373"/>
      <x:c r="Q114" s="373"/>
      <x:c r="R114" s="373"/>
      <x:c r="S114" s="373"/>
      <x:c r="T114" s="373"/>
      <x:c r="U114" s="373"/>
      <x:c r="V114" s="373"/>
      <x:c r="W114" s="373"/>
      <x:c r="X114" s="373"/>
      <x:c r="Y114" s="373"/>
      <x:c r="Z114" s="373"/>
    </x:row>
    <x:row r="115">
      <x:c r="A115" s="373"/>
      <x:c r="B115" s="373"/>
      <x:c r="C115" s="373"/>
      <x:c r="D115" s="373"/>
      <x:c r="E115" s="373"/>
      <x:c r="F115" s="373"/>
      <x:c r="G115" s="373"/>
      <x:c r="H115" s="373"/>
      <x:c r="I115" s="373"/>
      <x:c r="J115" s="373"/>
      <x:c r="K115" s="373"/>
      <x:c r="L115" s="373"/>
      <x:c r="M115" s="373"/>
      <x:c r="N115" s="373"/>
      <x:c r="O115" s="373"/>
      <x:c r="P115" s="373"/>
      <x:c r="Q115" s="373"/>
      <x:c r="R115" s="373"/>
      <x:c r="S115" s="373"/>
      <x:c r="T115" s="373"/>
      <x:c r="U115" s="373"/>
      <x:c r="V115" s="373"/>
      <x:c r="W115" s="373"/>
      <x:c r="X115" s="373"/>
      <x:c r="Y115" s="373"/>
      <x:c r="Z115" s="373"/>
    </x:row>
    <x:row r="116">
      <x:c r="A116" s="373"/>
      <x:c r="B116" s="373"/>
      <x:c r="C116" s="373"/>
      <x:c r="D116" s="373"/>
      <x:c r="E116" s="373"/>
      <x:c r="F116" s="373"/>
      <x:c r="G116" s="373"/>
      <x:c r="H116" s="373"/>
      <x:c r="I116" s="373"/>
      <x:c r="J116" s="373"/>
      <x:c r="K116" s="373"/>
      <x:c r="L116" s="373"/>
      <x:c r="M116" s="373"/>
      <x:c r="N116" s="373"/>
      <x:c r="O116" s="373"/>
      <x:c r="P116" s="373"/>
      <x:c r="Q116" s="373"/>
      <x:c r="R116" s="373"/>
      <x:c r="S116" s="373"/>
      <x:c r="T116" s="373"/>
      <x:c r="U116" s="373"/>
      <x:c r="V116" s="373"/>
      <x:c r="W116" s="373"/>
      <x:c r="X116" s="373"/>
      <x:c r="Y116" s="373"/>
      <x:c r="Z116" s="373"/>
    </x:row>
    <x:row r="117">
      <x:c r="A117" s="373"/>
      <x:c r="B117" s="373"/>
      <x:c r="C117" s="373"/>
      <x:c r="D117" s="373"/>
      <x:c r="E117" s="373"/>
      <x:c r="F117" s="373"/>
      <x:c r="G117" s="373"/>
      <x:c r="H117" s="373"/>
      <x:c r="I117" s="373"/>
      <x:c r="J117" s="373"/>
      <x:c r="K117" s="373"/>
      <x:c r="L117" s="373"/>
      <x:c r="M117" s="373"/>
      <x:c r="N117" s="373"/>
      <x:c r="O117" s="373"/>
      <x:c r="P117" s="373"/>
      <x:c r="Q117" s="373"/>
      <x:c r="R117" s="373"/>
      <x:c r="S117" s="373"/>
      <x:c r="T117" s="373"/>
      <x:c r="U117" s="373"/>
      <x:c r="V117" s="373"/>
      <x:c r="W117" s="373"/>
      <x:c r="X117" s="373"/>
      <x:c r="Y117" s="373"/>
      <x:c r="Z117" s="373"/>
    </x:row>
    <x:row r="118">
      <x:c r="A118" s="373"/>
      <x:c r="B118" s="373"/>
      <x:c r="C118" s="373"/>
      <x:c r="D118" s="373"/>
      <x:c r="E118" s="373"/>
      <x:c r="F118" s="373"/>
      <x:c r="G118" s="373"/>
      <x:c r="H118" s="373"/>
      <x:c r="I118" s="373"/>
      <x:c r="J118" s="373"/>
      <x:c r="K118" s="373"/>
      <x:c r="L118" s="373"/>
      <x:c r="M118" s="373"/>
      <x:c r="N118" s="373"/>
      <x:c r="O118" s="373"/>
      <x:c r="P118" s="373"/>
      <x:c r="Q118" s="373"/>
      <x:c r="R118" s="373"/>
      <x:c r="S118" s="373"/>
      <x:c r="T118" s="373"/>
      <x:c r="U118" s="373"/>
      <x:c r="V118" s="373"/>
      <x:c r="W118" s="373"/>
      <x:c r="X118" s="373"/>
      <x:c r="Y118" s="373"/>
      <x:c r="Z118" s="373"/>
    </x:row>
    <x:row r="119">
      <x:c r="A119" s="373"/>
      <x:c r="B119" s="373"/>
      <x:c r="C119" s="373"/>
      <x:c r="D119" s="373"/>
      <x:c r="E119" s="373"/>
      <x:c r="F119" s="373"/>
      <x:c r="G119" s="373"/>
      <x:c r="H119" s="373"/>
      <x:c r="I119" s="373"/>
      <x:c r="J119" s="373"/>
      <x:c r="K119" s="373"/>
      <x:c r="L119" s="373"/>
      <x:c r="M119" s="373"/>
      <x:c r="N119" s="373"/>
      <x:c r="O119" s="373"/>
      <x:c r="P119" s="373"/>
      <x:c r="Q119" s="373"/>
      <x:c r="R119" s="373"/>
      <x:c r="S119" s="373"/>
      <x:c r="T119" s="373"/>
      <x:c r="U119" s="373"/>
      <x:c r="V119" s="373"/>
      <x:c r="W119" s="373"/>
      <x:c r="X119" s="373"/>
      <x:c r="Y119" s="373"/>
      <x:c r="Z119" s="373"/>
    </x:row>
    <x:row r="120">
      <x:c r="A120" s="373"/>
      <x:c r="B120" s="373"/>
      <x:c r="C120" s="373"/>
      <x:c r="D120" s="373"/>
      <x:c r="E120" s="373"/>
      <x:c r="F120" s="373"/>
      <x:c r="G120" s="373"/>
      <x:c r="H120" s="373"/>
      <x:c r="I120" s="373"/>
      <x:c r="J120" s="373"/>
      <x:c r="K120" s="373"/>
      <x:c r="L120" s="373"/>
      <x:c r="M120" s="373"/>
      <x:c r="N120" s="373"/>
      <x:c r="O120" s="373"/>
      <x:c r="P120" s="373"/>
      <x:c r="Q120" s="373"/>
      <x:c r="R120" s="373"/>
      <x:c r="S120" s="373"/>
      <x:c r="T120" s="373"/>
      <x:c r="U120" s="373"/>
      <x:c r="V120" s="373"/>
      <x:c r="W120" s="373"/>
      <x:c r="X120" s="373"/>
      <x:c r="Y120" s="373"/>
      <x:c r="Z120" s="373"/>
    </x:row>
    <x:row r="121">
      <x:c r="A121" s="373"/>
      <x:c r="B121" s="373"/>
      <x:c r="C121" s="373"/>
      <x:c r="D121" s="373"/>
      <x:c r="E121" s="373"/>
      <x:c r="F121" s="373"/>
      <x:c r="G121" s="373"/>
      <x:c r="H121" s="373"/>
      <x:c r="I121" s="373"/>
      <x:c r="J121" s="373"/>
      <x:c r="K121" s="373"/>
      <x:c r="L121" s="373"/>
      <x:c r="M121" s="373"/>
      <x:c r="N121" s="373"/>
      <x:c r="O121" s="373"/>
      <x:c r="P121" s="373"/>
      <x:c r="Q121" s="373"/>
      <x:c r="R121" s="373"/>
      <x:c r="S121" s="373"/>
      <x:c r="T121" s="373"/>
      <x:c r="U121" s="373"/>
      <x:c r="V121" s="373"/>
      <x:c r="W121" s="373"/>
      <x:c r="X121" s="373"/>
      <x:c r="Y121" s="373"/>
      <x:c r="Z121" s="373"/>
    </x:row>
    <x:row r="122">
      <x:c r="A122" s="373"/>
      <x:c r="B122" s="373"/>
      <x:c r="C122" s="373"/>
      <x:c r="D122" s="373"/>
      <x:c r="E122" s="373"/>
      <x:c r="F122" s="373"/>
      <x:c r="G122" s="373"/>
      <x:c r="H122" s="373"/>
      <x:c r="I122" s="373"/>
      <x:c r="J122" s="373"/>
      <x:c r="K122" s="373"/>
      <x:c r="L122" s="373"/>
      <x:c r="M122" s="373"/>
      <x:c r="N122" s="373"/>
      <x:c r="O122" s="373"/>
      <x:c r="P122" s="373"/>
      <x:c r="Q122" s="373"/>
      <x:c r="R122" s="373"/>
      <x:c r="S122" s="373"/>
      <x:c r="T122" s="373"/>
      <x:c r="U122" s="373"/>
      <x:c r="V122" s="373"/>
      <x:c r="W122" s="373"/>
      <x:c r="X122" s="373"/>
      <x:c r="Y122" s="373"/>
      <x:c r="Z122" s="373"/>
    </x:row>
    <x:row r="123">
      <x:c r="A123" s="373"/>
      <x:c r="B123" s="373"/>
      <x:c r="C123" s="373"/>
      <x:c r="D123" s="373"/>
      <x:c r="E123" s="373"/>
      <x:c r="F123" s="373"/>
      <x:c r="G123" s="373"/>
      <x:c r="H123" s="373"/>
      <x:c r="I123" s="373"/>
      <x:c r="J123" s="373"/>
      <x:c r="K123" s="373"/>
      <x:c r="L123" s="373"/>
      <x:c r="M123" s="373"/>
      <x:c r="N123" s="373"/>
      <x:c r="O123" s="373"/>
      <x:c r="P123" s="373"/>
      <x:c r="Q123" s="373"/>
      <x:c r="R123" s="373"/>
      <x:c r="S123" s="373"/>
      <x:c r="T123" s="373"/>
      <x:c r="U123" s="373"/>
      <x:c r="V123" s="373"/>
      <x:c r="W123" s="373"/>
      <x:c r="X123" s="373"/>
      <x:c r="Y123" s="373"/>
      <x:c r="Z123" s="373"/>
    </x:row>
    <x:row r="124">
      <x:c r="A124" s="373"/>
      <x:c r="B124" s="373"/>
      <x:c r="C124" s="373"/>
      <x:c r="D124" s="373"/>
      <x:c r="E124" s="373"/>
      <x:c r="F124" s="373"/>
      <x:c r="G124" s="373"/>
      <x:c r="H124" s="373"/>
      <x:c r="I124" s="373"/>
      <x:c r="J124" s="373"/>
      <x:c r="K124" s="373"/>
      <x:c r="L124" s="373"/>
      <x:c r="M124" s="373"/>
      <x:c r="N124" s="373"/>
      <x:c r="O124" s="373"/>
      <x:c r="P124" s="373"/>
      <x:c r="Q124" s="373"/>
      <x:c r="R124" s="373"/>
      <x:c r="S124" s="373"/>
      <x:c r="T124" s="373"/>
      <x:c r="U124" s="373"/>
      <x:c r="V124" s="373"/>
      <x:c r="W124" s="373"/>
      <x:c r="X124" s="373"/>
      <x:c r="Y124" s="373"/>
      <x:c r="Z124" s="373"/>
    </x:row>
    <x:row r="125">
      <x:c r="A125" s="373"/>
      <x:c r="B125" s="373"/>
      <x:c r="C125" s="373"/>
      <x:c r="D125" s="373"/>
      <x:c r="E125" s="373"/>
      <x:c r="F125" s="373"/>
      <x:c r="G125" s="373"/>
      <x:c r="H125" s="373"/>
      <x:c r="I125" s="373"/>
      <x:c r="J125" s="373"/>
      <x:c r="K125" s="373"/>
      <x:c r="L125" s="373"/>
      <x:c r="M125" s="373"/>
      <x:c r="N125" s="373"/>
      <x:c r="O125" s="373"/>
      <x:c r="P125" s="373"/>
      <x:c r="Q125" s="373"/>
      <x:c r="R125" s="373"/>
      <x:c r="S125" s="373"/>
      <x:c r="T125" s="373"/>
      <x:c r="U125" s="373"/>
      <x:c r="V125" s="373"/>
      <x:c r="W125" s="373"/>
      <x:c r="X125" s="373"/>
      <x:c r="Y125" s="373"/>
      <x:c r="Z125" s="373"/>
    </x:row>
    <x:row r="126">
      <x:c r="A126" s="373"/>
      <x:c r="B126" s="373"/>
      <x:c r="C126" s="373"/>
      <x:c r="D126" s="373"/>
      <x:c r="E126" s="373"/>
      <x:c r="F126" s="373"/>
      <x:c r="G126" s="373"/>
      <x:c r="H126" s="373"/>
      <x:c r="I126" s="373"/>
      <x:c r="J126" s="373"/>
      <x:c r="K126" s="373"/>
      <x:c r="L126" s="373"/>
      <x:c r="M126" s="373"/>
      <x:c r="N126" s="373"/>
      <x:c r="O126" s="373"/>
      <x:c r="P126" s="373"/>
      <x:c r="Q126" s="373"/>
      <x:c r="R126" s="373"/>
      <x:c r="S126" s="373"/>
      <x:c r="T126" s="373"/>
      <x:c r="U126" s="373"/>
      <x:c r="V126" s="373"/>
      <x:c r="W126" s="373"/>
      <x:c r="X126" s="373"/>
      <x:c r="Y126" s="373"/>
      <x:c r="Z126" s="373"/>
    </x:row>
    <x:row r="127">
      <x:c r="A127" s="373"/>
      <x:c r="B127" s="373"/>
      <x:c r="C127" s="373"/>
      <x:c r="D127" s="373"/>
      <x:c r="E127" s="373"/>
      <x:c r="F127" s="373"/>
      <x:c r="G127" s="373"/>
      <x:c r="H127" s="373"/>
      <x:c r="I127" s="373"/>
      <x:c r="J127" s="373"/>
      <x:c r="K127" s="373"/>
      <x:c r="L127" s="373"/>
      <x:c r="M127" s="373"/>
      <x:c r="N127" s="373"/>
      <x:c r="O127" s="373"/>
      <x:c r="P127" s="373"/>
      <x:c r="Q127" s="373"/>
      <x:c r="R127" s="373"/>
      <x:c r="S127" s="373"/>
      <x:c r="T127" s="373"/>
      <x:c r="U127" s="373"/>
      <x:c r="V127" s="373"/>
      <x:c r="W127" s="373"/>
      <x:c r="X127" s="373"/>
      <x:c r="Y127" s="373"/>
      <x:c r="Z127" s="373"/>
    </x:row>
    <x:row r="128">
      <x:c r="A128" s="373"/>
      <x:c r="B128" s="373"/>
      <x:c r="C128" s="373"/>
      <x:c r="D128" s="373"/>
      <x:c r="E128" s="373"/>
      <x:c r="F128" s="373"/>
      <x:c r="G128" s="373"/>
      <x:c r="H128" s="373"/>
      <x:c r="I128" s="373"/>
      <x:c r="J128" s="373"/>
      <x:c r="K128" s="373"/>
      <x:c r="L128" s="373"/>
      <x:c r="M128" s="373"/>
      <x:c r="N128" s="373"/>
      <x:c r="O128" s="373"/>
      <x:c r="P128" s="373"/>
      <x:c r="Q128" s="373"/>
      <x:c r="R128" s="373"/>
      <x:c r="S128" s="373"/>
      <x:c r="T128" s="373"/>
      <x:c r="U128" s="373"/>
      <x:c r="V128" s="373"/>
      <x:c r="W128" s="373"/>
      <x:c r="X128" s="373"/>
      <x:c r="Y128" s="373"/>
      <x:c r="Z128" s="373"/>
    </x:row>
    <x:row r="129">
      <x:c r="A129" s="373"/>
      <x:c r="B129" s="373"/>
      <x:c r="C129" s="373"/>
      <x:c r="D129" s="373"/>
      <x:c r="E129" s="373"/>
      <x:c r="F129" s="373"/>
      <x:c r="G129" s="373"/>
      <x:c r="H129" s="373"/>
      <x:c r="I129" s="373"/>
      <x:c r="J129" s="373"/>
      <x:c r="K129" s="373"/>
      <x:c r="L129" s="373"/>
      <x:c r="M129" s="373"/>
      <x:c r="N129" s="373"/>
      <x:c r="O129" s="373"/>
      <x:c r="P129" s="373"/>
      <x:c r="Q129" s="373"/>
      <x:c r="R129" s="373"/>
      <x:c r="S129" s="373"/>
      <x:c r="T129" s="373"/>
      <x:c r="U129" s="373"/>
      <x:c r="V129" s="373"/>
      <x:c r="W129" s="373"/>
      <x:c r="X129" s="373"/>
      <x:c r="Y129" s="373"/>
      <x:c r="Z129" s="373"/>
    </x:row>
    <x:row r="130">
      <x:c r="A130" s="373"/>
      <x:c r="B130" s="373"/>
      <x:c r="C130" s="373"/>
      <x:c r="D130" s="373"/>
      <x:c r="E130" s="373"/>
      <x:c r="F130" s="373"/>
      <x:c r="G130" s="373"/>
      <x:c r="H130" s="373"/>
      <x:c r="I130" s="373"/>
      <x:c r="J130" s="373"/>
      <x:c r="K130" s="373"/>
      <x:c r="L130" s="373"/>
      <x:c r="M130" s="373"/>
      <x:c r="N130" s="373"/>
      <x:c r="O130" s="373"/>
      <x:c r="P130" s="373"/>
      <x:c r="Q130" s="373"/>
      <x:c r="R130" s="373"/>
      <x:c r="S130" s="373"/>
      <x:c r="T130" s="373"/>
      <x:c r="U130" s="373"/>
      <x:c r="V130" s="373"/>
      <x:c r="W130" s="373"/>
      <x:c r="X130" s="373"/>
      <x:c r="Y130" s="373"/>
      <x:c r="Z130" s="373"/>
    </x:row>
    <x:row r="131">
      <x:c r="A131" s="373"/>
      <x:c r="B131" s="373"/>
      <x:c r="C131" s="373"/>
      <x:c r="D131" s="373"/>
      <x:c r="E131" s="373"/>
      <x:c r="F131" s="373"/>
      <x:c r="G131" s="373"/>
      <x:c r="H131" s="373"/>
      <x:c r="I131" s="373"/>
      <x:c r="J131" s="373"/>
      <x:c r="K131" s="373"/>
      <x:c r="L131" s="373"/>
      <x:c r="M131" s="373"/>
      <x:c r="N131" s="373"/>
      <x:c r="O131" s="373"/>
      <x:c r="P131" s="373"/>
      <x:c r="Q131" s="373"/>
      <x:c r="R131" s="373"/>
      <x:c r="S131" s="373"/>
      <x:c r="T131" s="373"/>
      <x:c r="U131" s="373"/>
      <x:c r="V131" s="373"/>
      <x:c r="W131" s="373"/>
      <x:c r="X131" s="373"/>
      <x:c r="Y131" s="373"/>
      <x:c r="Z131" s="373"/>
    </x:row>
    <x:row r="132">
      <x:c r="A132" s="373"/>
      <x:c r="B132" s="373"/>
      <x:c r="C132" s="373"/>
      <x:c r="D132" s="373"/>
      <x:c r="E132" s="373"/>
      <x:c r="F132" s="373"/>
      <x:c r="G132" s="373"/>
      <x:c r="H132" s="373"/>
      <x:c r="I132" s="373"/>
      <x:c r="J132" s="373"/>
      <x:c r="K132" s="373"/>
      <x:c r="L132" s="373"/>
      <x:c r="M132" s="373"/>
      <x:c r="N132" s="373"/>
      <x:c r="O132" s="373"/>
      <x:c r="P132" s="373"/>
      <x:c r="Q132" s="373"/>
      <x:c r="R132" s="373"/>
      <x:c r="S132" s="373"/>
      <x:c r="T132" s="373"/>
      <x:c r="U132" s="373"/>
      <x:c r="V132" s="373"/>
      <x:c r="W132" s="373"/>
      <x:c r="X132" s="373"/>
      <x:c r="Y132" s="373"/>
      <x:c r="Z132" s="373"/>
    </x:row>
    <x:row r="133">
      <x:c r="A133" s="373"/>
      <x:c r="B133" s="373"/>
      <x:c r="C133" s="373"/>
      <x:c r="D133" s="373"/>
      <x:c r="E133" s="373"/>
      <x:c r="F133" s="373"/>
      <x:c r="G133" s="373"/>
      <x:c r="H133" s="373"/>
      <x:c r="I133" s="373"/>
      <x:c r="J133" s="373"/>
      <x:c r="K133" s="373"/>
      <x:c r="L133" s="373"/>
      <x:c r="M133" s="373"/>
      <x:c r="N133" s="373"/>
      <x:c r="O133" s="373"/>
      <x:c r="P133" s="373"/>
      <x:c r="Q133" s="373"/>
      <x:c r="R133" s="373"/>
      <x:c r="S133" s="373"/>
      <x:c r="T133" s="373"/>
      <x:c r="U133" s="373"/>
      <x:c r="V133" s="373"/>
      <x:c r="W133" s="373"/>
      <x:c r="X133" s="373"/>
      <x:c r="Y133" s="373"/>
      <x:c r="Z133" s="373"/>
    </x:row>
    <x:row r="134">
      <x:c r="A134" s="373"/>
      <x:c r="B134" s="373"/>
      <x:c r="C134" s="373"/>
      <x:c r="D134" s="373"/>
      <x:c r="E134" s="373"/>
      <x:c r="F134" s="373"/>
      <x:c r="G134" s="373"/>
      <x:c r="H134" s="373"/>
      <x:c r="I134" s="373"/>
      <x:c r="J134" s="373"/>
      <x:c r="K134" s="373"/>
      <x:c r="L134" s="373"/>
      <x:c r="M134" s="373"/>
      <x:c r="N134" s="373"/>
      <x:c r="O134" s="373"/>
      <x:c r="P134" s="373"/>
      <x:c r="Q134" s="373"/>
      <x:c r="R134" s="373"/>
      <x:c r="S134" s="373"/>
      <x:c r="T134" s="373"/>
      <x:c r="U134" s="373"/>
      <x:c r="V134" s="373"/>
      <x:c r="W134" s="373"/>
      <x:c r="X134" s="373"/>
      <x:c r="Y134" s="373"/>
      <x:c r="Z134" s="373"/>
    </x:row>
    <x:row r="135">
      <x:c r="A135" s="373"/>
      <x:c r="B135" s="373"/>
      <x:c r="C135" s="373"/>
      <x:c r="D135" s="373"/>
      <x:c r="E135" s="373"/>
      <x:c r="F135" s="373"/>
      <x:c r="G135" s="373"/>
      <x:c r="H135" s="373"/>
      <x:c r="I135" s="373"/>
      <x:c r="J135" s="373"/>
      <x:c r="K135" s="373"/>
      <x:c r="L135" s="373"/>
      <x:c r="M135" s="373"/>
      <x:c r="N135" s="373"/>
      <x:c r="O135" s="373"/>
      <x:c r="P135" s="373"/>
      <x:c r="Q135" s="373"/>
      <x:c r="R135" s="373"/>
      <x:c r="S135" s="373"/>
      <x:c r="T135" s="373"/>
      <x:c r="U135" s="373"/>
      <x:c r="V135" s="373"/>
      <x:c r="W135" s="373"/>
      <x:c r="X135" s="373"/>
      <x:c r="Y135" s="373"/>
      <x:c r="Z135" s="373"/>
    </x:row>
    <x:row r="136">
      <x:c r="A136" s="373"/>
      <x:c r="B136" s="373"/>
      <x:c r="C136" s="373"/>
      <x:c r="D136" s="373"/>
      <x:c r="E136" s="373"/>
      <x:c r="F136" s="373"/>
      <x:c r="G136" s="373"/>
      <x:c r="H136" s="373"/>
      <x:c r="I136" s="373"/>
      <x:c r="J136" s="373"/>
      <x:c r="K136" s="373"/>
      <x:c r="L136" s="373"/>
      <x:c r="M136" s="373"/>
      <x:c r="N136" s="373"/>
      <x:c r="O136" s="373"/>
      <x:c r="P136" s="373"/>
      <x:c r="Q136" s="373"/>
      <x:c r="R136" s="373"/>
      <x:c r="S136" s="373"/>
      <x:c r="T136" s="373"/>
      <x:c r="U136" s="373"/>
      <x:c r="V136" s="373"/>
      <x:c r="W136" s="373"/>
      <x:c r="X136" s="373"/>
      <x:c r="Y136" s="373"/>
      <x:c r="Z136" s="373"/>
    </x:row>
    <x:row r="137">
      <x:c r="A137" s="373"/>
      <x:c r="B137" s="373"/>
      <x:c r="C137" s="373"/>
      <x:c r="D137" s="373"/>
      <x:c r="E137" s="373"/>
      <x:c r="F137" s="373"/>
      <x:c r="G137" s="373"/>
      <x:c r="H137" s="373"/>
      <x:c r="I137" s="373"/>
      <x:c r="J137" s="373"/>
      <x:c r="K137" s="373"/>
      <x:c r="L137" s="373"/>
      <x:c r="M137" s="373"/>
      <x:c r="N137" s="373"/>
      <x:c r="O137" s="373"/>
      <x:c r="P137" s="373"/>
      <x:c r="Q137" s="373"/>
      <x:c r="R137" s="373"/>
      <x:c r="S137" s="373"/>
      <x:c r="T137" s="373"/>
      <x:c r="U137" s="373"/>
      <x:c r="V137" s="373"/>
      <x:c r="W137" s="373"/>
      <x:c r="X137" s="373"/>
      <x:c r="Y137" s="373"/>
      <x:c r="Z137" s="373"/>
    </x:row>
    <x:row r="138">
      <x:c r="A138" s="373"/>
      <x:c r="B138" s="373"/>
      <x:c r="C138" s="373"/>
      <x:c r="D138" s="373"/>
      <x:c r="E138" s="373"/>
      <x:c r="F138" s="373"/>
      <x:c r="G138" s="373"/>
      <x:c r="H138" s="373"/>
      <x:c r="I138" s="373"/>
      <x:c r="J138" s="373"/>
      <x:c r="K138" s="373"/>
      <x:c r="L138" s="373"/>
      <x:c r="M138" s="373"/>
      <x:c r="N138" s="373"/>
      <x:c r="O138" s="373"/>
      <x:c r="P138" s="373"/>
      <x:c r="Q138" s="373"/>
      <x:c r="R138" s="373"/>
      <x:c r="S138" s="373"/>
      <x:c r="T138" s="373"/>
      <x:c r="U138" s="373"/>
      <x:c r="V138" s="373"/>
      <x:c r="W138" s="373"/>
      <x:c r="X138" s="373"/>
      <x:c r="Y138" s="373"/>
      <x:c r="Z138" s="373"/>
    </x:row>
    <x:row r="139">
      <x:c r="A139" s="373"/>
      <x:c r="B139" s="373"/>
      <x:c r="C139" s="373"/>
      <x:c r="D139" s="373"/>
      <x:c r="E139" s="373"/>
      <x:c r="F139" s="373"/>
      <x:c r="G139" s="373"/>
      <x:c r="H139" s="373"/>
      <x:c r="I139" s="373"/>
      <x:c r="J139" s="373"/>
      <x:c r="K139" s="373"/>
      <x:c r="L139" s="373"/>
      <x:c r="M139" s="373"/>
      <x:c r="N139" s="373"/>
      <x:c r="O139" s="373"/>
      <x:c r="P139" s="373"/>
      <x:c r="Q139" s="373"/>
      <x:c r="R139" s="373"/>
      <x:c r="S139" s="373"/>
      <x:c r="T139" s="373"/>
      <x:c r="U139" s="373"/>
      <x:c r="V139" s="373"/>
      <x:c r="W139" s="373"/>
      <x:c r="X139" s="373"/>
      <x:c r="Y139" s="373"/>
      <x:c r="Z139" s="373"/>
    </x:row>
    <x:row r="140">
      <x:c r="A140" s="373"/>
      <x:c r="B140" s="373"/>
      <x:c r="C140" s="373"/>
      <x:c r="D140" s="373"/>
      <x:c r="E140" s="373"/>
      <x:c r="F140" s="373"/>
      <x:c r="G140" s="373"/>
      <x:c r="H140" s="373"/>
      <x:c r="I140" s="373"/>
      <x:c r="J140" s="373"/>
      <x:c r="K140" s="373"/>
      <x:c r="L140" s="373"/>
      <x:c r="M140" s="373"/>
      <x:c r="N140" s="373"/>
      <x:c r="O140" s="373"/>
      <x:c r="P140" s="373"/>
      <x:c r="Q140" s="373"/>
      <x:c r="R140" s="373"/>
      <x:c r="S140" s="373"/>
      <x:c r="T140" s="373"/>
      <x:c r="U140" s="373"/>
      <x:c r="V140" s="373"/>
      <x:c r="W140" s="373"/>
      <x:c r="X140" s="373"/>
      <x:c r="Y140" s="373"/>
      <x:c r="Z140" s="373"/>
    </x:row>
    <x:row r="141">
      <x:c r="A141" s="373"/>
      <x:c r="B141" s="373"/>
      <x:c r="C141" s="373"/>
      <x:c r="D141" s="373"/>
      <x:c r="E141" s="373"/>
      <x:c r="F141" s="373"/>
      <x:c r="G141" s="373"/>
      <x:c r="H141" s="373"/>
      <x:c r="I141" s="373"/>
      <x:c r="J141" s="373"/>
      <x:c r="K141" s="373"/>
      <x:c r="L141" s="373"/>
      <x:c r="M141" s="373"/>
      <x:c r="N141" s="373"/>
      <x:c r="O141" s="373"/>
      <x:c r="P141" s="373"/>
      <x:c r="Q141" s="373"/>
      <x:c r="R141" s="373"/>
      <x:c r="S141" s="373"/>
      <x:c r="T141" s="373"/>
      <x:c r="U141" s="373"/>
      <x:c r="V141" s="373"/>
      <x:c r="W141" s="373"/>
      <x:c r="X141" s="373"/>
      <x:c r="Y141" s="373"/>
      <x:c r="Z141" s="373"/>
    </x:row>
    <x:row r="142">
      <x:c r="A142" s="373"/>
      <x:c r="B142" s="373"/>
      <x:c r="C142" s="373"/>
      <x:c r="D142" s="373"/>
      <x:c r="E142" s="373"/>
      <x:c r="F142" s="373"/>
      <x:c r="G142" s="373"/>
      <x:c r="H142" s="373"/>
      <x:c r="I142" s="373"/>
      <x:c r="J142" s="373"/>
      <x:c r="K142" s="373"/>
      <x:c r="L142" s="373"/>
      <x:c r="M142" s="373"/>
      <x:c r="N142" s="373"/>
      <x:c r="O142" s="373"/>
      <x:c r="P142" s="373"/>
      <x:c r="Q142" s="373"/>
      <x:c r="R142" s="373"/>
      <x:c r="S142" s="373"/>
      <x:c r="T142" s="373"/>
      <x:c r="U142" s="373"/>
      <x:c r="V142" s="373"/>
      <x:c r="W142" s="373"/>
      <x:c r="X142" s="373"/>
      <x:c r="Y142" s="373"/>
      <x:c r="Z142" s="373"/>
    </x:row>
    <x:row r="143">
      <x:c r="A143" s="373"/>
      <x:c r="B143" s="373"/>
      <x:c r="C143" s="373"/>
      <x:c r="D143" s="373"/>
      <x:c r="E143" s="373"/>
      <x:c r="F143" s="373"/>
      <x:c r="G143" s="373"/>
      <x:c r="H143" s="373"/>
      <x:c r="I143" s="373"/>
      <x:c r="J143" s="373"/>
      <x:c r="K143" s="373"/>
      <x:c r="L143" s="373"/>
      <x:c r="M143" s="373"/>
      <x:c r="N143" s="373"/>
      <x:c r="O143" s="373"/>
      <x:c r="P143" s="373"/>
      <x:c r="Q143" s="373"/>
      <x:c r="R143" s="373"/>
      <x:c r="S143" s="373"/>
      <x:c r="T143" s="373"/>
      <x:c r="U143" s="373"/>
      <x:c r="V143" s="373"/>
      <x:c r="W143" s="373"/>
      <x:c r="X143" s="373"/>
      <x:c r="Y143" s="373"/>
      <x:c r="Z143" s="373"/>
    </x:row>
    <x:row r="144">
      <x:c r="A144" s="373"/>
      <x:c r="B144" s="373"/>
      <x:c r="C144" s="373"/>
      <x:c r="D144" s="373"/>
      <x:c r="E144" s="373"/>
      <x:c r="F144" s="373"/>
      <x:c r="G144" s="373"/>
      <x:c r="H144" s="373"/>
      <x:c r="I144" s="373"/>
      <x:c r="J144" s="373"/>
      <x:c r="K144" s="373"/>
      <x:c r="L144" s="373"/>
      <x:c r="M144" s="373"/>
      <x:c r="N144" s="373"/>
      <x:c r="O144" s="373"/>
      <x:c r="P144" s="373"/>
      <x:c r="Q144" s="373"/>
      <x:c r="R144" s="373"/>
      <x:c r="S144" s="373"/>
      <x:c r="T144" s="373"/>
      <x:c r="U144" s="373"/>
      <x:c r="V144" s="373"/>
      <x:c r="W144" s="373"/>
      <x:c r="X144" s="373"/>
      <x:c r="Y144" s="373"/>
      <x:c r="Z144" s="373"/>
    </x:row>
    <x:row r="145">
      <x:c r="A145" s="373"/>
      <x:c r="B145" s="373"/>
      <x:c r="C145" s="373"/>
      <x:c r="D145" s="373"/>
      <x:c r="E145" s="373"/>
      <x:c r="F145" s="373"/>
      <x:c r="G145" s="373"/>
      <x:c r="H145" s="373"/>
      <x:c r="I145" s="373"/>
      <x:c r="J145" s="373"/>
      <x:c r="K145" s="373"/>
      <x:c r="L145" s="373"/>
      <x:c r="M145" s="373"/>
      <x:c r="N145" s="373"/>
      <x:c r="O145" s="373"/>
      <x:c r="P145" s="373"/>
      <x:c r="Q145" s="373"/>
      <x:c r="R145" s="373"/>
      <x:c r="S145" s="373"/>
      <x:c r="T145" s="373"/>
      <x:c r="U145" s="373"/>
      <x:c r="V145" s="373"/>
      <x:c r="W145" s="373"/>
      <x:c r="X145" s="373"/>
      <x:c r="Y145" s="373"/>
      <x:c r="Z145" s="373"/>
    </x:row>
    <x:row r="146">
      <x:c r="A146" s="373"/>
      <x:c r="B146" s="373"/>
      <x:c r="C146" s="373"/>
      <x:c r="D146" s="373"/>
      <x:c r="E146" s="373"/>
      <x:c r="F146" s="373"/>
      <x:c r="G146" s="373"/>
      <x:c r="H146" s="373"/>
      <x:c r="I146" s="373"/>
      <x:c r="J146" s="373"/>
      <x:c r="K146" s="373"/>
      <x:c r="L146" s="373"/>
      <x:c r="M146" s="373"/>
      <x:c r="N146" s="373"/>
      <x:c r="O146" s="373"/>
      <x:c r="P146" s="373"/>
      <x:c r="Q146" s="373"/>
      <x:c r="R146" s="373"/>
      <x:c r="S146" s="373"/>
      <x:c r="T146" s="373"/>
      <x:c r="U146" s="373"/>
      <x:c r="V146" s="373"/>
      <x:c r="W146" s="373"/>
      <x:c r="X146" s="373"/>
      <x:c r="Y146" s="373"/>
      <x:c r="Z146" s="373"/>
    </x:row>
    <x:row r="147">
      <x:c r="A147" s="373"/>
      <x:c r="B147" s="373"/>
      <x:c r="C147" s="373"/>
      <x:c r="D147" s="373"/>
      <x:c r="E147" s="373"/>
      <x:c r="F147" s="373"/>
      <x:c r="G147" s="373"/>
      <x:c r="H147" s="373"/>
      <x:c r="I147" s="373"/>
      <x:c r="J147" s="373"/>
      <x:c r="K147" s="373"/>
      <x:c r="L147" s="373"/>
      <x:c r="M147" s="373"/>
      <x:c r="N147" s="373"/>
      <x:c r="O147" s="373"/>
      <x:c r="P147" s="373"/>
      <x:c r="Q147" s="373"/>
      <x:c r="R147" s="373"/>
      <x:c r="S147" s="373"/>
      <x:c r="T147" s="373"/>
      <x:c r="U147" s="373"/>
      <x:c r="V147" s="373"/>
      <x:c r="W147" s="373"/>
      <x:c r="X147" s="373"/>
      <x:c r="Y147" s="373"/>
      <x:c r="Z147" s="373"/>
    </x:row>
    <x:row r="148">
      <x:c r="A148" s="373"/>
      <x:c r="B148" s="373"/>
      <x:c r="C148" s="373"/>
      <x:c r="D148" s="373"/>
      <x:c r="E148" s="373"/>
      <x:c r="F148" s="373"/>
      <x:c r="G148" s="373"/>
      <x:c r="H148" s="373"/>
      <x:c r="I148" s="373"/>
      <x:c r="J148" s="373"/>
      <x:c r="K148" s="373"/>
      <x:c r="L148" s="373"/>
      <x:c r="M148" s="373"/>
      <x:c r="N148" s="373"/>
      <x:c r="O148" s="373"/>
      <x:c r="P148" s="373"/>
      <x:c r="Q148" s="373"/>
      <x:c r="R148" s="373"/>
      <x:c r="S148" s="373"/>
      <x:c r="T148" s="373"/>
      <x:c r="U148" s="373"/>
      <x:c r="V148" s="373"/>
      <x:c r="W148" s="373"/>
      <x:c r="X148" s="373"/>
      <x:c r="Y148" s="373"/>
      <x:c r="Z148" s="373"/>
    </x:row>
    <x:row r="149">
      <x:c r="A149" s="373"/>
      <x:c r="B149" s="373"/>
      <x:c r="C149" s="373"/>
      <x:c r="D149" s="373"/>
      <x:c r="E149" s="373"/>
      <x:c r="F149" s="373"/>
      <x:c r="G149" s="373"/>
      <x:c r="H149" s="373"/>
      <x:c r="I149" s="373"/>
      <x:c r="J149" s="373"/>
      <x:c r="K149" s="373"/>
      <x:c r="L149" s="373"/>
      <x:c r="M149" s="373"/>
      <x:c r="N149" s="373"/>
      <x:c r="O149" s="373"/>
      <x:c r="P149" s="373"/>
      <x:c r="Q149" s="373"/>
      <x:c r="R149" s="373"/>
      <x:c r="S149" s="373"/>
      <x:c r="T149" s="373"/>
      <x:c r="U149" s="373"/>
      <x:c r="V149" s="373"/>
      <x:c r="W149" s="373"/>
      <x:c r="X149" s="373"/>
      <x:c r="Y149" s="373"/>
      <x:c r="Z149" s="373"/>
    </x:row>
    <x:row r="150">
      <x:c r="A150" s="373"/>
      <x:c r="B150" s="373"/>
      <x:c r="C150" s="373"/>
      <x:c r="D150" s="373"/>
      <x:c r="E150" s="373"/>
      <x:c r="F150" s="373"/>
      <x:c r="G150" s="373"/>
      <x:c r="H150" s="373"/>
      <x:c r="I150" s="373"/>
      <x:c r="J150" s="373"/>
      <x:c r="K150" s="373"/>
      <x:c r="L150" s="373"/>
      <x:c r="M150" s="373"/>
      <x:c r="N150" s="373"/>
      <x:c r="O150" s="373"/>
      <x:c r="P150" s="373"/>
      <x:c r="Q150" s="373"/>
      <x:c r="R150" s="373"/>
      <x:c r="S150" s="373"/>
      <x:c r="T150" s="373"/>
      <x:c r="U150" s="373"/>
      <x:c r="V150" s="373"/>
      <x:c r="W150" s="373"/>
      <x:c r="X150" s="373"/>
      <x:c r="Y150" s="373"/>
      <x:c r="Z150" s="373"/>
    </x:row>
    <x:row r="151">
      <x:c r="A151" s="373"/>
      <x:c r="B151" s="373"/>
      <x:c r="C151" s="373"/>
      <x:c r="D151" s="373"/>
      <x:c r="E151" s="373"/>
      <x:c r="F151" s="373"/>
      <x:c r="G151" s="373"/>
      <x:c r="H151" s="373"/>
      <x:c r="I151" s="373"/>
      <x:c r="J151" s="373"/>
      <x:c r="K151" s="373"/>
      <x:c r="L151" s="373"/>
      <x:c r="M151" s="373"/>
      <x:c r="N151" s="373"/>
      <x:c r="O151" s="373"/>
      <x:c r="P151" s="373"/>
      <x:c r="Q151" s="373"/>
      <x:c r="R151" s="373"/>
      <x:c r="S151" s="373"/>
      <x:c r="T151" s="373"/>
      <x:c r="U151" s="373"/>
      <x:c r="V151" s="373"/>
      <x:c r="W151" s="373"/>
      <x:c r="X151" s="373"/>
      <x:c r="Y151" s="373"/>
      <x:c r="Z151" s="373"/>
    </x:row>
    <x:row r="152">
      <x:c r="A152" s="373"/>
      <x:c r="B152" s="373"/>
      <x:c r="C152" s="373"/>
      <x:c r="D152" s="373"/>
      <x:c r="E152" s="373"/>
      <x:c r="F152" s="373"/>
      <x:c r="G152" s="373"/>
      <x:c r="H152" s="373"/>
      <x:c r="I152" s="373"/>
      <x:c r="J152" s="373"/>
      <x:c r="K152" s="373"/>
      <x:c r="L152" s="373"/>
      <x:c r="M152" s="373"/>
      <x:c r="N152" s="373"/>
      <x:c r="O152" s="373"/>
      <x:c r="P152" s="373"/>
      <x:c r="Q152" s="373"/>
      <x:c r="R152" s="373"/>
      <x:c r="S152" s="373"/>
      <x:c r="T152" s="373"/>
      <x:c r="U152" s="373"/>
      <x:c r="V152" s="373"/>
      <x:c r="W152" s="373"/>
      <x:c r="X152" s="373"/>
      <x:c r="Y152" s="373"/>
      <x:c r="Z152" s="373"/>
    </x:row>
    <x:row r="153">
      <x:c r="A153" s="373"/>
      <x:c r="B153" s="373"/>
      <x:c r="C153" s="373"/>
      <x:c r="D153" s="373"/>
      <x:c r="E153" s="373"/>
      <x:c r="F153" s="373"/>
      <x:c r="G153" s="373"/>
      <x:c r="H153" s="373"/>
      <x:c r="I153" s="373"/>
      <x:c r="J153" s="373"/>
      <x:c r="K153" s="373"/>
      <x:c r="L153" s="373"/>
      <x:c r="M153" s="373"/>
      <x:c r="N153" s="373"/>
      <x:c r="O153" s="373"/>
      <x:c r="P153" s="373"/>
      <x:c r="Q153" s="373"/>
      <x:c r="R153" s="373"/>
      <x:c r="S153" s="373"/>
      <x:c r="T153" s="373"/>
      <x:c r="U153" s="373"/>
      <x:c r="V153" s="373"/>
      <x:c r="W153" s="373"/>
      <x:c r="X153" s="373"/>
      <x:c r="Y153" s="373"/>
      <x:c r="Z153" s="373"/>
    </x:row>
    <x:row r="154">
      <x:c r="A154" s="373"/>
      <x:c r="B154" s="373"/>
      <x:c r="C154" s="373"/>
      <x:c r="D154" s="373"/>
      <x:c r="E154" s="373"/>
      <x:c r="F154" s="373"/>
      <x:c r="G154" s="373"/>
      <x:c r="H154" s="373"/>
      <x:c r="I154" s="373"/>
      <x:c r="J154" s="373"/>
      <x:c r="K154" s="373"/>
      <x:c r="L154" s="373"/>
      <x:c r="M154" s="373"/>
      <x:c r="N154" s="373"/>
      <x:c r="O154" s="373"/>
      <x:c r="P154" s="373"/>
      <x:c r="Q154" s="373"/>
      <x:c r="R154" s="373"/>
      <x:c r="S154" s="373"/>
      <x:c r="T154" s="373"/>
      <x:c r="U154" s="373"/>
      <x:c r="V154" s="373"/>
      <x:c r="W154" s="373"/>
      <x:c r="X154" s="373"/>
      <x:c r="Y154" s="373"/>
      <x:c r="Z154" s="373"/>
    </x:row>
    <x:row r="155">
      <x:c r="A155" s="373"/>
      <x:c r="B155" s="373"/>
      <x:c r="C155" s="373"/>
      <x:c r="D155" s="373"/>
      <x:c r="E155" s="373"/>
      <x:c r="F155" s="373"/>
      <x:c r="G155" s="373"/>
      <x:c r="H155" s="373"/>
      <x:c r="I155" s="373"/>
      <x:c r="J155" s="373"/>
      <x:c r="K155" s="373"/>
      <x:c r="L155" s="373"/>
      <x:c r="M155" s="373"/>
      <x:c r="N155" s="373"/>
      <x:c r="O155" s="373"/>
      <x:c r="P155" s="373"/>
      <x:c r="Q155" s="373"/>
      <x:c r="R155" s="373"/>
      <x:c r="S155" s="373"/>
      <x:c r="T155" s="373"/>
      <x:c r="U155" s="373"/>
      <x:c r="V155" s="373"/>
      <x:c r="W155" s="373"/>
      <x:c r="X155" s="373"/>
      <x:c r="Y155" s="373"/>
      <x:c r="Z155" s="373"/>
    </x:row>
    <x:row r="156">
      <x:c r="A156" s="373"/>
      <x:c r="B156" s="373"/>
      <x:c r="C156" s="373"/>
      <x:c r="D156" s="373"/>
      <x:c r="E156" s="373"/>
      <x:c r="F156" s="373"/>
      <x:c r="G156" s="373"/>
      <x:c r="H156" s="373"/>
      <x:c r="I156" s="373"/>
      <x:c r="J156" s="373"/>
      <x:c r="K156" s="373"/>
      <x:c r="L156" s="373"/>
      <x:c r="M156" s="373"/>
      <x:c r="N156" s="373"/>
      <x:c r="O156" s="373"/>
      <x:c r="P156" s="373"/>
      <x:c r="Q156" s="373"/>
      <x:c r="R156" s="373"/>
      <x:c r="S156" s="373"/>
      <x:c r="T156" s="373"/>
      <x:c r="U156" s="373"/>
      <x:c r="V156" s="373"/>
      <x:c r="W156" s="373"/>
      <x:c r="X156" s="373"/>
      <x:c r="Y156" s="373"/>
      <x:c r="Z156" s="373"/>
    </x:row>
    <x:row r="157">
      <x:c r="A157" s="373"/>
      <x:c r="B157" s="373"/>
      <x:c r="C157" s="373"/>
      <x:c r="D157" s="373"/>
      <x:c r="E157" s="373"/>
      <x:c r="F157" s="373"/>
      <x:c r="G157" s="373"/>
      <x:c r="H157" s="373"/>
      <x:c r="I157" s="373"/>
      <x:c r="J157" s="373"/>
      <x:c r="K157" s="373"/>
      <x:c r="L157" s="373"/>
      <x:c r="M157" s="373"/>
      <x:c r="N157" s="373"/>
      <x:c r="O157" s="373"/>
      <x:c r="P157" s="373"/>
      <x:c r="Q157" s="373"/>
      <x:c r="R157" s="373"/>
      <x:c r="S157" s="373"/>
      <x:c r="T157" s="373"/>
      <x:c r="U157" s="373"/>
      <x:c r="V157" s="373"/>
      <x:c r="W157" s="373"/>
      <x:c r="X157" s="373"/>
      <x:c r="Y157" s="373"/>
      <x:c r="Z157" s="373"/>
    </x:row>
    <x:row r="158">
      <x:c r="A158" s="373"/>
      <x:c r="B158" s="373"/>
      <x:c r="C158" s="373"/>
      <x:c r="D158" s="373"/>
      <x:c r="E158" s="373"/>
      <x:c r="F158" s="373"/>
      <x:c r="G158" s="373"/>
      <x:c r="H158" s="373"/>
      <x:c r="I158" s="373"/>
      <x:c r="J158" s="373"/>
      <x:c r="K158" s="373"/>
      <x:c r="L158" s="373"/>
      <x:c r="M158" s="373"/>
      <x:c r="N158" s="373"/>
      <x:c r="O158" s="373"/>
      <x:c r="P158" s="373"/>
      <x:c r="Q158" s="373"/>
      <x:c r="R158" s="373"/>
      <x:c r="S158" s="373"/>
      <x:c r="T158" s="373"/>
      <x:c r="U158" s="373"/>
      <x:c r="V158" s="373"/>
      <x:c r="W158" s="373"/>
      <x:c r="X158" s="373"/>
      <x:c r="Y158" s="373"/>
      <x:c r="Z158" s="373"/>
    </x:row>
    <x:row r="159">
      <x:c r="A159" s="373"/>
      <x:c r="B159" s="373"/>
      <x:c r="C159" s="373"/>
      <x:c r="D159" s="373"/>
      <x:c r="E159" s="373"/>
      <x:c r="F159" s="373"/>
      <x:c r="G159" s="373"/>
      <x:c r="H159" s="373"/>
      <x:c r="I159" s="373"/>
      <x:c r="J159" s="373"/>
      <x:c r="K159" s="373"/>
      <x:c r="L159" s="373"/>
      <x:c r="M159" s="373"/>
      <x:c r="N159" s="373"/>
      <x:c r="O159" s="373"/>
      <x:c r="P159" s="373"/>
      <x:c r="Q159" s="373"/>
      <x:c r="R159" s="373"/>
      <x:c r="S159" s="373"/>
      <x:c r="T159" s="373"/>
      <x:c r="U159" s="373"/>
      <x:c r="V159" s="373"/>
      <x:c r="W159" s="373"/>
      <x:c r="X159" s="373"/>
      <x:c r="Y159" s="373"/>
      <x:c r="Z159" s="373"/>
    </x:row>
    <x:row r="160">
      <x:c r="A160" s="373"/>
      <x:c r="B160" s="373"/>
      <x:c r="C160" s="373"/>
      <x:c r="D160" s="373"/>
      <x:c r="E160" s="373"/>
      <x:c r="F160" s="373"/>
      <x:c r="G160" s="373"/>
      <x:c r="H160" s="373"/>
      <x:c r="I160" s="373"/>
      <x:c r="J160" s="373"/>
      <x:c r="K160" s="373"/>
      <x:c r="L160" s="373"/>
      <x:c r="M160" s="373"/>
      <x:c r="N160" s="373"/>
      <x:c r="O160" s="373"/>
      <x:c r="P160" s="373"/>
      <x:c r="Q160" s="373"/>
      <x:c r="R160" s="373"/>
      <x:c r="S160" s="373"/>
      <x:c r="T160" s="373"/>
      <x:c r="U160" s="373"/>
      <x:c r="V160" s="373"/>
      <x:c r="W160" s="373"/>
      <x:c r="X160" s="373"/>
      <x:c r="Y160" s="373"/>
      <x:c r="Z160" s="373"/>
    </x:row>
    <x:row r="161">
      <x:c r="A161" s="373"/>
      <x:c r="B161" s="373"/>
      <x:c r="C161" s="373"/>
      <x:c r="D161" s="373"/>
      <x:c r="E161" s="373"/>
      <x:c r="F161" s="373"/>
      <x:c r="G161" s="373"/>
      <x:c r="H161" s="373"/>
      <x:c r="I161" s="373"/>
      <x:c r="J161" s="373"/>
      <x:c r="K161" s="373"/>
      <x:c r="L161" s="373"/>
      <x:c r="M161" s="373"/>
      <x:c r="N161" s="373"/>
      <x:c r="O161" s="373"/>
      <x:c r="P161" s="373"/>
      <x:c r="Q161" s="373"/>
      <x:c r="R161" s="373"/>
      <x:c r="S161" s="373"/>
      <x:c r="T161" s="373"/>
      <x:c r="U161" s="373"/>
      <x:c r="V161" s="373"/>
      <x:c r="W161" s="373"/>
      <x:c r="X161" s="373"/>
      <x:c r="Y161" s="373"/>
      <x:c r="Z161" s="373"/>
    </x:row>
    <x:row r="162">
      <x:c r="A162" s="373"/>
      <x:c r="B162" s="373"/>
      <x:c r="C162" s="373"/>
      <x:c r="D162" s="373"/>
      <x:c r="E162" s="373"/>
      <x:c r="F162" s="373"/>
      <x:c r="G162" s="373"/>
      <x:c r="H162" s="373"/>
      <x:c r="I162" s="373"/>
      <x:c r="J162" s="373"/>
      <x:c r="K162" s="373"/>
      <x:c r="L162" s="373"/>
      <x:c r="M162" s="373"/>
      <x:c r="N162" s="373"/>
      <x:c r="O162" s="373"/>
      <x:c r="P162" s="373"/>
      <x:c r="Q162" s="373"/>
      <x:c r="R162" s="373"/>
      <x:c r="S162" s="373"/>
      <x:c r="T162" s="373"/>
      <x:c r="U162" s="373"/>
      <x:c r="V162" s="373"/>
      <x:c r="W162" s="373"/>
      <x:c r="X162" s="373"/>
      <x:c r="Y162" s="373"/>
      <x:c r="Z162" s="373"/>
    </x:row>
    <x:row r="163">
      <x:c r="A163" s="373"/>
      <x:c r="B163" s="373"/>
      <x:c r="C163" s="373"/>
      <x:c r="D163" s="373"/>
      <x:c r="E163" s="373"/>
      <x:c r="F163" s="373"/>
      <x:c r="G163" s="373"/>
      <x:c r="H163" s="373"/>
      <x:c r="I163" s="373"/>
      <x:c r="J163" s="373"/>
      <x:c r="K163" s="373"/>
      <x:c r="L163" s="373"/>
      <x:c r="M163" s="373"/>
      <x:c r="N163" s="373"/>
      <x:c r="O163" s="373"/>
      <x:c r="P163" s="373"/>
      <x:c r="Q163" s="373"/>
      <x:c r="R163" s="373"/>
      <x:c r="S163" s="373"/>
      <x:c r="T163" s="373"/>
      <x:c r="U163" s="373"/>
      <x:c r="V163" s="373"/>
      <x:c r="W163" s="373"/>
      <x:c r="X163" s="373"/>
      <x:c r="Y163" s="373"/>
      <x:c r="Z163" s="373"/>
    </x:row>
    <x:row r="164">
      <x:c r="A164" s="373"/>
      <x:c r="B164" s="373"/>
      <x:c r="C164" s="373"/>
      <x:c r="D164" s="373"/>
      <x:c r="E164" s="373"/>
      <x:c r="F164" s="373"/>
      <x:c r="G164" s="373"/>
      <x:c r="H164" s="373"/>
      <x:c r="I164" s="373"/>
      <x:c r="J164" s="373"/>
      <x:c r="K164" s="373"/>
      <x:c r="L164" s="373"/>
      <x:c r="M164" s="373"/>
      <x:c r="N164" s="373"/>
      <x:c r="O164" s="373"/>
      <x:c r="P164" s="373"/>
      <x:c r="Q164" s="373"/>
      <x:c r="R164" s="373"/>
      <x:c r="S164" s="373"/>
      <x:c r="T164" s="373"/>
      <x:c r="U164" s="373"/>
      <x:c r="V164" s="373"/>
      <x:c r="W164" s="373"/>
      <x:c r="X164" s="373"/>
      <x:c r="Y164" s="373"/>
      <x:c r="Z164" s="373"/>
    </x:row>
    <x:row r="165">
      <x:c r="A165" s="373"/>
      <x:c r="B165" s="373"/>
      <x:c r="C165" s="373"/>
      <x:c r="D165" s="373"/>
      <x:c r="E165" s="373"/>
      <x:c r="F165" s="373"/>
      <x:c r="G165" s="373"/>
      <x:c r="H165" s="373"/>
      <x:c r="I165" s="373"/>
      <x:c r="J165" s="373"/>
      <x:c r="K165" s="373"/>
      <x:c r="L165" s="373"/>
      <x:c r="M165" s="373"/>
      <x:c r="N165" s="373"/>
      <x:c r="O165" s="373"/>
      <x:c r="P165" s="373"/>
      <x:c r="Q165" s="373"/>
      <x:c r="R165" s="373"/>
      <x:c r="S165" s="373"/>
      <x:c r="T165" s="373"/>
      <x:c r="U165" s="373"/>
      <x:c r="V165" s="373"/>
      <x:c r="W165" s="373"/>
      <x:c r="X165" s="373"/>
      <x:c r="Y165" s="373"/>
      <x:c r="Z165" s="373"/>
    </x:row>
    <x:row r="166">
      <x:c r="A166" s="373"/>
      <x:c r="B166" s="373"/>
      <x:c r="C166" s="373"/>
      <x:c r="D166" s="373"/>
      <x:c r="E166" s="373"/>
      <x:c r="F166" s="373"/>
      <x:c r="G166" s="373"/>
      <x:c r="H166" s="373"/>
      <x:c r="I166" s="373"/>
      <x:c r="J166" s="373"/>
      <x:c r="K166" s="373"/>
      <x:c r="L166" s="373"/>
      <x:c r="M166" s="373"/>
      <x:c r="N166" s="373"/>
      <x:c r="O166" s="373"/>
      <x:c r="P166" s="373"/>
      <x:c r="Q166" s="373"/>
      <x:c r="R166" s="373"/>
      <x:c r="S166" s="373"/>
      <x:c r="T166" s="373"/>
      <x:c r="U166" s="373"/>
      <x:c r="V166" s="373"/>
      <x:c r="W166" s="373"/>
      <x:c r="X166" s="373"/>
      <x:c r="Y166" s="373"/>
      <x:c r="Z166" s="373"/>
    </x:row>
    <x:row r="167">
      <x:c r="A167" s="373"/>
      <x:c r="B167" s="373"/>
      <x:c r="C167" s="373"/>
      <x:c r="D167" s="373"/>
      <x:c r="E167" s="373"/>
      <x:c r="F167" s="373"/>
      <x:c r="G167" s="373"/>
      <x:c r="H167" s="373"/>
      <x:c r="I167" s="373"/>
      <x:c r="J167" s="373"/>
      <x:c r="K167" s="373"/>
      <x:c r="L167" s="373"/>
      <x:c r="M167" s="373"/>
      <x:c r="N167" s="373"/>
      <x:c r="O167" s="373"/>
      <x:c r="P167" s="373"/>
      <x:c r="Q167" s="373"/>
      <x:c r="R167" s="373"/>
      <x:c r="S167" s="373"/>
      <x:c r="T167" s="373"/>
      <x:c r="U167" s="373"/>
      <x:c r="V167" s="373"/>
      <x:c r="W167" s="373"/>
      <x:c r="X167" s="373"/>
      <x:c r="Y167" s="373"/>
      <x:c r="Z167" s="373"/>
    </x:row>
    <x:row r="168">
      <x:c r="A168" s="373"/>
      <x:c r="B168" s="373"/>
      <x:c r="C168" s="373"/>
      <x:c r="D168" s="373"/>
      <x:c r="E168" s="373"/>
      <x:c r="F168" s="373"/>
      <x:c r="G168" s="373"/>
      <x:c r="H168" s="373"/>
      <x:c r="I168" s="373"/>
      <x:c r="J168" s="373"/>
      <x:c r="K168" s="373"/>
      <x:c r="L168" s="373"/>
      <x:c r="M168" s="373"/>
      <x:c r="N168" s="373"/>
      <x:c r="O168" s="373"/>
      <x:c r="P168" s="373"/>
      <x:c r="Q168" s="373"/>
      <x:c r="R168" s="373"/>
      <x:c r="S168" s="373"/>
      <x:c r="T168" s="373"/>
      <x:c r="U168" s="373"/>
      <x:c r="V168" s="373"/>
      <x:c r="W168" s="373"/>
      <x:c r="X168" s="373"/>
      <x:c r="Y168" s="373"/>
      <x:c r="Z168" s="373"/>
    </x:row>
    <x:row r="169">
      <x:c r="A169" s="373"/>
      <x:c r="B169" s="373"/>
      <x:c r="C169" s="373"/>
      <x:c r="D169" s="373"/>
      <x:c r="E169" s="373"/>
      <x:c r="F169" s="373"/>
      <x:c r="G169" s="373"/>
      <x:c r="H169" s="373"/>
      <x:c r="I169" s="373"/>
      <x:c r="J169" s="373"/>
      <x:c r="K169" s="373"/>
      <x:c r="L169" s="373"/>
      <x:c r="M169" s="373"/>
      <x:c r="N169" s="373"/>
      <x:c r="O169" s="373"/>
      <x:c r="P169" s="373"/>
      <x:c r="Q169" s="373"/>
      <x:c r="R169" s="373"/>
      <x:c r="S169" s="373"/>
      <x:c r="T169" s="373"/>
      <x:c r="U169" s="373"/>
      <x:c r="V169" s="373"/>
      <x:c r="W169" s="373"/>
      <x:c r="X169" s="373"/>
      <x:c r="Y169" s="373"/>
      <x:c r="Z169" s="373"/>
    </x:row>
    <x:row r="170">
      <x:c r="A170" s="373"/>
      <x:c r="B170" s="373"/>
      <x:c r="C170" s="373"/>
      <x:c r="D170" s="373"/>
      <x:c r="E170" s="373"/>
      <x:c r="F170" s="373"/>
      <x:c r="G170" s="373"/>
      <x:c r="H170" s="373"/>
      <x:c r="I170" s="373"/>
      <x:c r="J170" s="373"/>
      <x:c r="K170" s="373"/>
      <x:c r="L170" s="373"/>
      <x:c r="M170" s="373"/>
      <x:c r="N170" s="373"/>
      <x:c r="O170" s="373"/>
      <x:c r="P170" s="373"/>
      <x:c r="Q170" s="373"/>
      <x:c r="R170" s="373"/>
      <x:c r="S170" s="373"/>
      <x:c r="T170" s="373"/>
      <x:c r="U170" s="373"/>
      <x:c r="V170" s="373"/>
      <x:c r="W170" s="373"/>
      <x:c r="X170" s="373"/>
      <x:c r="Y170" s="373"/>
      <x:c r="Z170" s="373"/>
    </x:row>
    <x:row r="171">
      <x:c r="A171" s="373"/>
      <x:c r="B171" s="373"/>
      <x:c r="C171" s="373"/>
      <x:c r="D171" s="373"/>
      <x:c r="E171" s="373"/>
      <x:c r="F171" s="373"/>
      <x:c r="G171" s="373"/>
      <x:c r="H171" s="373"/>
      <x:c r="I171" s="373"/>
      <x:c r="J171" s="373"/>
      <x:c r="K171" s="373"/>
      <x:c r="L171" s="373"/>
      <x:c r="M171" s="373"/>
      <x:c r="N171" s="373"/>
      <x:c r="O171" s="373"/>
      <x:c r="P171" s="373"/>
      <x:c r="Q171" s="373"/>
      <x:c r="R171" s="373"/>
      <x:c r="S171" s="373"/>
      <x:c r="T171" s="373"/>
      <x:c r="U171" s="373"/>
      <x:c r="V171" s="373"/>
      <x:c r="W171" s="373"/>
      <x:c r="X171" s="373"/>
      <x:c r="Y171" s="373"/>
      <x:c r="Z171" s="373"/>
    </x:row>
    <x:row r="172">
      <x:c r="A172" s="373"/>
      <x:c r="B172" s="373"/>
      <x:c r="C172" s="373"/>
      <x:c r="D172" s="373"/>
      <x:c r="E172" s="373"/>
      <x:c r="F172" s="373"/>
      <x:c r="G172" s="373"/>
      <x:c r="H172" s="373"/>
      <x:c r="I172" s="373"/>
      <x:c r="J172" s="373"/>
      <x:c r="K172" s="373"/>
      <x:c r="L172" s="373"/>
      <x:c r="M172" s="373"/>
      <x:c r="N172" s="373"/>
      <x:c r="O172" s="373"/>
      <x:c r="P172" s="373"/>
      <x:c r="Q172" s="373"/>
      <x:c r="R172" s="373"/>
      <x:c r="S172" s="373"/>
      <x:c r="T172" s="373"/>
      <x:c r="U172" s="373"/>
      <x:c r="V172" s="373"/>
      <x:c r="W172" s="373"/>
      <x:c r="X172" s="373"/>
      <x:c r="Y172" s="373"/>
      <x:c r="Z172" s="373"/>
    </x:row>
    <x:row r="173">
      <x:c r="A173" s="373"/>
      <x:c r="B173" s="373"/>
      <x:c r="C173" s="373"/>
      <x:c r="D173" s="373"/>
      <x:c r="E173" s="373"/>
      <x:c r="F173" s="373"/>
      <x:c r="G173" s="373"/>
      <x:c r="H173" s="373"/>
      <x:c r="I173" s="373"/>
      <x:c r="J173" s="373"/>
      <x:c r="K173" s="373"/>
      <x:c r="L173" s="373"/>
      <x:c r="M173" s="373"/>
      <x:c r="N173" s="373"/>
      <x:c r="O173" s="373"/>
      <x:c r="P173" s="373"/>
      <x:c r="Q173" s="373"/>
      <x:c r="R173" s="373"/>
      <x:c r="S173" s="373"/>
      <x:c r="T173" s="373"/>
      <x:c r="U173" s="373"/>
      <x:c r="V173" s="373"/>
      <x:c r="W173" s="373"/>
      <x:c r="X173" s="373"/>
      <x:c r="Y173" s="373"/>
      <x:c r="Z173" s="373"/>
    </x:row>
    <x:row r="174">
      <x:c r="A174" s="373"/>
      <x:c r="B174" s="373"/>
      <x:c r="C174" s="373"/>
      <x:c r="D174" s="373"/>
      <x:c r="E174" s="373"/>
      <x:c r="F174" s="373"/>
      <x:c r="G174" s="373"/>
      <x:c r="H174" s="373"/>
      <x:c r="I174" s="373"/>
      <x:c r="J174" s="373"/>
      <x:c r="K174" s="373"/>
      <x:c r="L174" s="373"/>
      <x:c r="M174" s="373"/>
      <x:c r="N174" s="373"/>
      <x:c r="O174" s="373"/>
      <x:c r="P174" s="373"/>
      <x:c r="Q174" s="373"/>
      <x:c r="R174" s="373"/>
      <x:c r="S174" s="373"/>
      <x:c r="T174" s="373"/>
      <x:c r="U174" s="373"/>
      <x:c r="V174" s="373"/>
      <x:c r="W174" s="373"/>
      <x:c r="X174" s="373"/>
      <x:c r="Y174" s="373"/>
      <x:c r="Z174" s="373"/>
    </x:row>
    <x:row r="175">
      <x:c r="A175" s="373"/>
      <x:c r="B175" s="373"/>
      <x:c r="C175" s="373"/>
      <x:c r="D175" s="373"/>
      <x:c r="E175" s="373"/>
      <x:c r="F175" s="373"/>
      <x:c r="G175" s="373"/>
      <x:c r="H175" s="373"/>
      <x:c r="I175" s="373"/>
      <x:c r="J175" s="373"/>
      <x:c r="K175" s="373"/>
      <x:c r="L175" s="373"/>
      <x:c r="M175" s="373"/>
      <x:c r="N175" s="373"/>
      <x:c r="O175" s="373"/>
      <x:c r="P175" s="373"/>
      <x:c r="Q175" s="373"/>
      <x:c r="R175" s="373"/>
      <x:c r="S175" s="373"/>
      <x:c r="T175" s="373"/>
      <x:c r="U175" s="373"/>
      <x:c r="V175" s="373"/>
      <x:c r="W175" s="373"/>
      <x:c r="X175" s="373"/>
      <x:c r="Y175" s="373"/>
      <x:c r="Z175" s="373"/>
    </x:row>
    <x:row r="176">
      <x:c r="A176" s="373"/>
      <x:c r="B176" s="373"/>
      <x:c r="C176" s="373"/>
      <x:c r="D176" s="373"/>
      <x:c r="E176" s="373"/>
      <x:c r="F176" s="373"/>
      <x:c r="G176" s="373"/>
      <x:c r="H176" s="373"/>
      <x:c r="I176" s="373"/>
      <x:c r="J176" s="373"/>
      <x:c r="K176" s="373"/>
      <x:c r="L176" s="373"/>
      <x:c r="M176" s="373"/>
      <x:c r="N176" s="373"/>
      <x:c r="O176" s="373"/>
      <x:c r="P176" s="373"/>
      <x:c r="Q176" s="373"/>
      <x:c r="R176" s="373"/>
      <x:c r="S176" s="373"/>
      <x:c r="T176" s="373"/>
      <x:c r="U176" s="373"/>
      <x:c r="V176" s="373"/>
      <x:c r="W176" s="373"/>
      <x:c r="X176" s="373"/>
      <x:c r="Y176" s="373"/>
      <x:c r="Z176" s="373"/>
    </x:row>
    <x:row r="177">
      <x:c r="A177" s="373"/>
      <x:c r="B177" s="373"/>
      <x:c r="C177" s="373"/>
      <x:c r="D177" s="373"/>
      <x:c r="E177" s="373"/>
      <x:c r="F177" s="373"/>
      <x:c r="G177" s="373"/>
      <x:c r="H177" s="373"/>
      <x:c r="I177" s="373"/>
      <x:c r="J177" s="373"/>
      <x:c r="K177" s="373"/>
      <x:c r="L177" s="373"/>
      <x:c r="M177" s="373"/>
      <x:c r="N177" s="373"/>
      <x:c r="O177" s="373"/>
      <x:c r="P177" s="373"/>
      <x:c r="Q177" s="373"/>
      <x:c r="R177" s="373"/>
      <x:c r="S177" s="373"/>
      <x:c r="T177" s="373"/>
      <x:c r="U177" s="373"/>
      <x:c r="V177" s="373"/>
      <x:c r="W177" s="373"/>
      <x:c r="X177" s="373"/>
      <x:c r="Y177" s="373"/>
      <x:c r="Z177" s="373"/>
    </x:row>
    <x:row r="178">
      <x:c r="A178" s="373"/>
      <x:c r="B178" s="373"/>
      <x:c r="C178" s="373"/>
      <x:c r="D178" s="373"/>
      <x:c r="E178" s="373"/>
      <x:c r="F178" s="373"/>
      <x:c r="G178" s="373"/>
      <x:c r="H178" s="373"/>
      <x:c r="I178" s="373"/>
      <x:c r="J178" s="373"/>
      <x:c r="K178" s="373"/>
      <x:c r="L178" s="373"/>
      <x:c r="M178" s="373"/>
      <x:c r="N178" s="373"/>
      <x:c r="O178" s="373"/>
      <x:c r="P178" s="373"/>
      <x:c r="Q178" s="373"/>
      <x:c r="R178" s="373"/>
      <x:c r="S178" s="373"/>
      <x:c r="T178" s="373"/>
      <x:c r="U178" s="373"/>
      <x:c r="V178" s="373"/>
      <x:c r="W178" s="373"/>
      <x:c r="X178" s="373"/>
      <x:c r="Y178" s="373"/>
      <x:c r="Z178" s="373"/>
    </x:row>
    <x:row r="179">
      <x:c r="A179" s="373"/>
      <x:c r="B179" s="373"/>
      <x:c r="C179" s="373"/>
      <x:c r="D179" s="373"/>
      <x:c r="E179" s="373"/>
      <x:c r="F179" s="373"/>
      <x:c r="G179" s="373"/>
      <x:c r="H179" s="373"/>
      <x:c r="I179" s="373"/>
      <x:c r="J179" s="373"/>
      <x:c r="K179" s="373"/>
      <x:c r="L179" s="373"/>
      <x:c r="M179" s="373"/>
      <x:c r="N179" s="373"/>
      <x:c r="O179" s="373"/>
      <x:c r="P179" s="373"/>
      <x:c r="Q179" s="373"/>
      <x:c r="R179" s="373"/>
      <x:c r="S179" s="373"/>
      <x:c r="T179" s="373"/>
      <x:c r="U179" s="373"/>
      <x:c r="V179" s="373"/>
      <x:c r="W179" s="373"/>
      <x:c r="X179" s="373"/>
      <x:c r="Y179" s="373"/>
      <x:c r="Z179" s="373"/>
    </x:row>
    <x:row r="180">
      <x:c r="A180" s="373"/>
      <x:c r="B180" s="373"/>
      <x:c r="C180" s="373"/>
      <x:c r="D180" s="373"/>
      <x:c r="E180" s="373"/>
      <x:c r="F180" s="373"/>
      <x:c r="G180" s="373"/>
      <x:c r="H180" s="373"/>
      <x:c r="I180" s="373"/>
      <x:c r="J180" s="373"/>
      <x:c r="K180" s="373"/>
      <x:c r="L180" s="373"/>
      <x:c r="M180" s="373"/>
      <x:c r="N180" s="373"/>
      <x:c r="O180" s="373"/>
      <x:c r="P180" s="373"/>
      <x:c r="Q180" s="373"/>
      <x:c r="R180" s="373"/>
      <x:c r="S180" s="373"/>
      <x:c r="T180" s="373"/>
      <x:c r="U180" s="373"/>
      <x:c r="V180" s="373"/>
      <x:c r="W180" s="373"/>
      <x:c r="X180" s="373"/>
      <x:c r="Y180" s="373"/>
      <x:c r="Z180" s="373"/>
    </x:row>
    <x:row r="181">
      <x:c r="A181" s="373"/>
      <x:c r="B181" s="373"/>
      <x:c r="C181" s="373"/>
      <x:c r="D181" s="373"/>
      <x:c r="E181" s="373"/>
      <x:c r="F181" s="373"/>
      <x:c r="G181" s="373"/>
      <x:c r="H181" s="373"/>
      <x:c r="I181" s="373"/>
      <x:c r="J181" s="373"/>
      <x:c r="K181" s="373"/>
      <x:c r="L181" s="373"/>
      <x:c r="M181" s="373"/>
      <x:c r="N181" s="373"/>
      <x:c r="O181" s="373"/>
      <x:c r="P181" s="373"/>
      <x:c r="Q181" s="373"/>
      <x:c r="R181" s="373"/>
      <x:c r="S181" s="373"/>
      <x:c r="T181" s="373"/>
      <x:c r="U181" s="373"/>
      <x:c r="V181" s="373"/>
      <x:c r="W181" s="373"/>
      <x:c r="X181" s="373"/>
      <x:c r="Y181" s="373"/>
      <x:c r="Z181" s="373"/>
    </x:row>
    <x:row r="182">
      <x:c r="A182" s="373"/>
      <x:c r="B182" s="373"/>
      <x:c r="C182" s="373"/>
      <x:c r="D182" s="373"/>
      <x:c r="E182" s="373"/>
      <x:c r="F182" s="373"/>
      <x:c r="G182" s="373"/>
      <x:c r="H182" s="373"/>
      <x:c r="I182" s="373"/>
      <x:c r="J182" s="373"/>
      <x:c r="K182" s="373"/>
      <x:c r="L182" s="373"/>
      <x:c r="M182" s="373"/>
      <x:c r="N182" s="373"/>
      <x:c r="O182" s="373"/>
      <x:c r="P182" s="373"/>
      <x:c r="Q182" s="373"/>
      <x:c r="R182" s="373"/>
      <x:c r="S182" s="373"/>
      <x:c r="T182" s="373"/>
      <x:c r="U182" s="373"/>
      <x:c r="V182" s="373"/>
      <x:c r="W182" s="373"/>
      <x:c r="X182" s="373"/>
      <x:c r="Y182" s="373"/>
      <x:c r="Z182" s="373"/>
    </x:row>
    <x:row r="183">
      <x:c r="A183" s="373"/>
      <x:c r="B183" s="373"/>
      <x:c r="C183" s="373"/>
      <x:c r="D183" s="373"/>
      <x:c r="E183" s="373"/>
      <x:c r="F183" s="373"/>
      <x:c r="G183" s="373"/>
      <x:c r="H183" s="373"/>
      <x:c r="I183" s="373"/>
      <x:c r="J183" s="373"/>
      <x:c r="K183" s="373"/>
      <x:c r="L183" s="373"/>
      <x:c r="M183" s="373"/>
      <x:c r="N183" s="373"/>
      <x:c r="O183" s="373"/>
      <x:c r="P183" s="373"/>
      <x:c r="Q183" s="373"/>
      <x:c r="R183" s="373"/>
      <x:c r="S183" s="373"/>
      <x:c r="T183" s="373"/>
      <x:c r="U183" s="373"/>
      <x:c r="V183" s="373"/>
      <x:c r="W183" s="373"/>
      <x:c r="X183" s="373"/>
      <x:c r="Y183" s="373"/>
      <x:c r="Z183" s="373"/>
    </x:row>
    <x:row r="184">
      <x:c r="A184" s="373"/>
      <x:c r="B184" s="373"/>
      <x:c r="C184" s="373"/>
      <x:c r="D184" s="373"/>
      <x:c r="E184" s="373"/>
      <x:c r="F184" s="373"/>
      <x:c r="G184" s="373"/>
      <x:c r="H184" s="373"/>
      <x:c r="I184" s="373"/>
      <x:c r="J184" s="373"/>
      <x:c r="K184" s="373"/>
      <x:c r="L184" s="373"/>
      <x:c r="M184" s="373"/>
      <x:c r="N184" s="373"/>
      <x:c r="O184" s="373"/>
      <x:c r="P184" s="373"/>
      <x:c r="Q184" s="373"/>
      <x:c r="R184" s="373"/>
      <x:c r="S184" s="373"/>
      <x:c r="T184" s="373"/>
      <x:c r="U184" s="373"/>
      <x:c r="V184" s="373"/>
      <x:c r="W184" s="373"/>
      <x:c r="X184" s="373"/>
      <x:c r="Y184" s="373"/>
      <x:c r="Z184" s="373"/>
    </x:row>
    <x:row r="185">
      <x:c r="A185" s="373"/>
      <x:c r="B185" s="373"/>
      <x:c r="C185" s="373"/>
      <x:c r="D185" s="373"/>
      <x:c r="E185" s="373"/>
      <x:c r="F185" s="373"/>
      <x:c r="G185" s="373"/>
      <x:c r="H185" s="373"/>
      <x:c r="I185" s="373"/>
      <x:c r="J185" s="373"/>
      <x:c r="K185" s="373"/>
      <x:c r="L185" s="373"/>
      <x:c r="M185" s="373"/>
      <x:c r="N185" s="373"/>
      <x:c r="O185" s="373"/>
      <x:c r="P185" s="373"/>
      <x:c r="Q185" s="373"/>
      <x:c r="R185" s="373"/>
      <x:c r="S185" s="373"/>
      <x:c r="T185" s="373"/>
      <x:c r="U185" s="373"/>
      <x:c r="V185" s="373"/>
      <x:c r="W185" s="373"/>
      <x:c r="X185" s="373"/>
      <x:c r="Y185" s="373"/>
      <x:c r="Z185" s="373"/>
    </x:row>
    <x:row r="186">
      <x:c r="A186" s="373"/>
      <x:c r="B186" s="373"/>
      <x:c r="C186" s="373"/>
      <x:c r="D186" s="373"/>
      <x:c r="E186" s="373"/>
      <x:c r="F186" s="373"/>
      <x:c r="G186" s="373"/>
      <x:c r="H186" s="373"/>
      <x:c r="I186" s="373"/>
      <x:c r="J186" s="373"/>
      <x:c r="K186" s="373"/>
      <x:c r="L186" s="373"/>
      <x:c r="M186" s="373"/>
      <x:c r="N186" s="373"/>
      <x:c r="O186" s="373"/>
      <x:c r="P186" s="373"/>
      <x:c r="Q186" s="373"/>
      <x:c r="R186" s="373"/>
      <x:c r="S186" s="373"/>
      <x:c r="T186" s="373"/>
      <x:c r="U186" s="373"/>
      <x:c r="V186" s="373"/>
      <x:c r="W186" s="373"/>
      <x:c r="X186" s="373"/>
      <x:c r="Y186" s="373"/>
      <x:c r="Z186" s="373"/>
    </x:row>
    <x:row r="187">
      <x:c r="A187" s="373"/>
      <x:c r="B187" s="373"/>
      <x:c r="C187" s="373"/>
      <x:c r="D187" s="373"/>
      <x:c r="E187" s="373"/>
      <x:c r="F187" s="373"/>
      <x:c r="G187" s="373"/>
      <x:c r="H187" s="373"/>
      <x:c r="I187" s="373"/>
      <x:c r="J187" s="373"/>
      <x:c r="K187" s="373"/>
      <x:c r="L187" s="373"/>
      <x:c r="M187" s="373"/>
      <x:c r="N187" s="373"/>
      <x:c r="O187" s="373"/>
      <x:c r="P187" s="373"/>
      <x:c r="Q187" s="373"/>
      <x:c r="R187" s="373"/>
      <x:c r="S187" s="373"/>
      <x:c r="T187" s="373"/>
      <x:c r="U187" s="373"/>
      <x:c r="V187" s="373"/>
      <x:c r="W187" s="373"/>
      <x:c r="X187" s="373"/>
      <x:c r="Y187" s="373"/>
      <x:c r="Z187" s="373"/>
    </x:row>
    <x:row r="188">
      <x:c r="A188" s="373"/>
      <x:c r="B188" s="373"/>
      <x:c r="C188" s="373"/>
      <x:c r="D188" s="373"/>
      <x:c r="E188" s="373"/>
      <x:c r="F188" s="373"/>
      <x:c r="G188" s="373"/>
      <x:c r="H188" s="373"/>
      <x:c r="I188" s="373"/>
      <x:c r="J188" s="373"/>
      <x:c r="K188" s="373"/>
      <x:c r="L188" s="373"/>
      <x:c r="M188" s="373"/>
      <x:c r="N188" s="373"/>
      <x:c r="O188" s="373"/>
      <x:c r="P188" s="373"/>
      <x:c r="Q188" s="373"/>
      <x:c r="R188" s="373"/>
      <x:c r="S188" s="373"/>
      <x:c r="T188" s="373"/>
      <x:c r="U188" s="373"/>
      <x:c r="V188" s="373"/>
      <x:c r="W188" s="373"/>
      <x:c r="X188" s="373"/>
      <x:c r="Y188" s="373"/>
      <x:c r="Z188" s="373"/>
    </x:row>
    <x:row r="189">
      <x:c r="A189" s="373"/>
      <x:c r="B189" s="373"/>
      <x:c r="C189" s="373"/>
      <x:c r="D189" s="373"/>
      <x:c r="E189" s="373"/>
      <x:c r="F189" s="373"/>
      <x:c r="G189" s="373"/>
      <x:c r="H189" s="373"/>
      <x:c r="I189" s="373"/>
      <x:c r="J189" s="373"/>
      <x:c r="K189" s="373"/>
      <x:c r="L189" s="373"/>
      <x:c r="M189" s="373"/>
      <x:c r="N189" s="373"/>
      <x:c r="O189" s="373"/>
      <x:c r="P189" s="373"/>
      <x:c r="Q189" s="373"/>
      <x:c r="R189" s="373"/>
      <x:c r="S189" s="373"/>
      <x:c r="T189" s="373"/>
      <x:c r="U189" s="373"/>
      <x:c r="V189" s="373"/>
      <x:c r="W189" s="373"/>
      <x:c r="X189" s="373"/>
      <x:c r="Y189" s="373"/>
      <x:c r="Z189" s="373"/>
    </x:row>
    <x:row r="190">
      <x:c r="A190" s="373"/>
      <x:c r="B190" s="373"/>
      <x:c r="C190" s="373"/>
      <x:c r="D190" s="373"/>
      <x:c r="E190" s="373"/>
      <x:c r="F190" s="373"/>
      <x:c r="G190" s="373"/>
      <x:c r="H190" s="373"/>
      <x:c r="I190" s="373"/>
      <x:c r="J190" s="373"/>
      <x:c r="K190" s="373"/>
      <x:c r="L190" s="373"/>
      <x:c r="M190" s="373"/>
      <x:c r="N190" s="373"/>
      <x:c r="O190" s="373"/>
      <x:c r="P190" s="373"/>
      <x:c r="Q190" s="373"/>
      <x:c r="R190" s="373"/>
      <x:c r="S190" s="373"/>
      <x:c r="T190" s="373"/>
      <x:c r="U190" s="373"/>
      <x:c r="V190" s="373"/>
      <x:c r="W190" s="373"/>
      <x:c r="X190" s="373"/>
      <x:c r="Y190" s="373"/>
      <x:c r="Z190" s="373"/>
    </x:row>
    <x:row r="191">
      <x:c r="A191" s="373"/>
      <x:c r="B191" s="373"/>
      <x:c r="C191" s="373"/>
      <x:c r="D191" s="373"/>
      <x:c r="E191" s="373"/>
      <x:c r="F191" s="373"/>
      <x:c r="G191" s="373"/>
      <x:c r="H191" s="373"/>
      <x:c r="I191" s="373"/>
      <x:c r="J191" s="373"/>
      <x:c r="K191" s="373"/>
      <x:c r="L191" s="373"/>
      <x:c r="M191" s="373"/>
      <x:c r="N191" s="373"/>
      <x:c r="O191" s="373"/>
      <x:c r="P191" s="373"/>
      <x:c r="Q191" s="373"/>
      <x:c r="R191" s="373"/>
      <x:c r="S191" s="373"/>
      <x:c r="T191" s="373"/>
      <x:c r="U191" s="373"/>
      <x:c r="V191" s="373"/>
      <x:c r="W191" s="373"/>
      <x:c r="X191" s="373"/>
      <x:c r="Y191" s="373"/>
      <x:c r="Z191" s="373"/>
    </x:row>
    <x:row r="192">
      <x:c r="A192" s="373"/>
      <x:c r="B192" s="373"/>
      <x:c r="C192" s="373"/>
      <x:c r="D192" s="373"/>
      <x:c r="E192" s="373"/>
      <x:c r="F192" s="373"/>
      <x:c r="G192" s="373"/>
      <x:c r="H192" s="373"/>
      <x:c r="I192" s="373"/>
      <x:c r="J192" s="373"/>
      <x:c r="K192" s="373"/>
      <x:c r="L192" s="373"/>
      <x:c r="M192" s="373"/>
      <x:c r="N192" s="373"/>
      <x:c r="O192" s="373"/>
      <x:c r="P192" s="373"/>
      <x:c r="Q192" s="373"/>
      <x:c r="R192" s="373"/>
      <x:c r="S192" s="373"/>
      <x:c r="T192" s="373"/>
      <x:c r="U192" s="373"/>
      <x:c r="V192" s="373"/>
      <x:c r="W192" s="373"/>
      <x:c r="X192" s="373"/>
      <x:c r="Y192" s="373"/>
      <x:c r="Z192" s="373"/>
    </x:row>
    <x:row r="193">
      <x:c r="A193" s="373"/>
      <x:c r="B193" s="373"/>
      <x:c r="C193" s="373"/>
      <x:c r="D193" s="373"/>
      <x:c r="E193" s="373"/>
      <x:c r="F193" s="373"/>
      <x:c r="G193" s="373"/>
      <x:c r="H193" s="373"/>
      <x:c r="I193" s="373"/>
      <x:c r="J193" s="373"/>
      <x:c r="K193" s="373"/>
      <x:c r="L193" s="373"/>
      <x:c r="M193" s="373"/>
      <x:c r="N193" s="373"/>
      <x:c r="O193" s="373"/>
      <x:c r="P193" s="373"/>
      <x:c r="Q193" s="373"/>
      <x:c r="R193" s="373"/>
      <x:c r="S193" s="373"/>
      <x:c r="T193" s="373"/>
      <x:c r="U193" s="373"/>
      <x:c r="V193" s="373"/>
      <x:c r="W193" s="373"/>
      <x:c r="X193" s="373"/>
      <x:c r="Y193" s="373"/>
      <x:c r="Z193" s="373"/>
    </x:row>
    <x:row r="194">
      <x:c r="A194" s="373"/>
      <x:c r="B194" s="373"/>
      <x:c r="C194" s="373"/>
      <x:c r="D194" s="373"/>
      <x:c r="E194" s="373"/>
      <x:c r="F194" s="373"/>
      <x:c r="G194" s="373"/>
      <x:c r="H194" s="373"/>
      <x:c r="I194" s="373"/>
      <x:c r="J194" s="373"/>
      <x:c r="K194" s="373"/>
      <x:c r="L194" s="373"/>
      <x:c r="M194" s="373"/>
      <x:c r="N194" s="373"/>
      <x:c r="O194" s="373"/>
      <x:c r="P194" s="373"/>
      <x:c r="Q194" s="373"/>
      <x:c r="R194" s="373"/>
      <x:c r="S194" s="373"/>
      <x:c r="T194" s="373"/>
      <x:c r="U194" s="373"/>
      <x:c r="V194" s="373"/>
      <x:c r="W194" s="373"/>
      <x:c r="X194" s="373"/>
      <x:c r="Y194" s="373"/>
      <x:c r="Z194" s="373"/>
    </x:row>
    <x:row r="195">
      <x:c r="A195" s="373"/>
      <x:c r="B195" s="373"/>
      <x:c r="C195" s="373"/>
      <x:c r="D195" s="373"/>
      <x:c r="E195" s="373"/>
      <x:c r="F195" s="373"/>
      <x:c r="G195" s="373"/>
      <x:c r="H195" s="373"/>
      <x:c r="I195" s="373"/>
      <x:c r="J195" s="373"/>
      <x:c r="K195" s="373"/>
      <x:c r="L195" s="373"/>
      <x:c r="M195" s="373"/>
      <x:c r="N195" s="373"/>
      <x:c r="O195" s="373"/>
      <x:c r="P195" s="373"/>
      <x:c r="Q195" s="373"/>
      <x:c r="R195" s="373"/>
      <x:c r="S195" s="373"/>
      <x:c r="T195" s="373"/>
      <x:c r="U195" s="373"/>
      <x:c r="V195" s="373"/>
      <x:c r="W195" s="373"/>
      <x:c r="X195" s="373"/>
      <x:c r="Y195" s="373"/>
      <x:c r="Z195" s="373"/>
    </x:row>
    <x:row r="196">
      <x:c r="A196" s="373"/>
      <x:c r="B196" s="373"/>
      <x:c r="C196" s="373"/>
      <x:c r="D196" s="373"/>
      <x:c r="E196" s="373"/>
      <x:c r="F196" s="373"/>
      <x:c r="G196" s="373"/>
      <x:c r="H196" s="373"/>
      <x:c r="I196" s="373"/>
      <x:c r="J196" s="373"/>
      <x:c r="K196" s="373"/>
      <x:c r="L196" s="373"/>
      <x:c r="M196" s="373"/>
      <x:c r="N196" s="373"/>
      <x:c r="O196" s="373"/>
      <x:c r="P196" s="373"/>
      <x:c r="Q196" s="373"/>
      <x:c r="R196" s="373"/>
      <x:c r="S196" s="373"/>
      <x:c r="T196" s="373"/>
      <x:c r="U196" s="373"/>
      <x:c r="V196" s="373"/>
      <x:c r="W196" s="373"/>
      <x:c r="X196" s="373"/>
      <x:c r="Y196" s="373"/>
      <x:c r="Z196" s="373"/>
    </x:row>
    <x:row r="197">
      <x:c r="A197" s="373"/>
      <x:c r="B197" s="373"/>
      <x:c r="C197" s="373"/>
      <x:c r="D197" s="373"/>
      <x:c r="E197" s="373"/>
      <x:c r="F197" s="373"/>
      <x:c r="G197" s="373"/>
      <x:c r="H197" s="373"/>
      <x:c r="I197" s="373"/>
      <x:c r="J197" s="373"/>
      <x:c r="K197" s="373"/>
      <x:c r="L197" s="373"/>
      <x:c r="M197" s="373"/>
      <x:c r="N197" s="373"/>
      <x:c r="O197" s="373"/>
      <x:c r="P197" s="373"/>
      <x:c r="Q197" s="373"/>
      <x:c r="R197" s="373"/>
      <x:c r="S197" s="373"/>
      <x:c r="T197" s="373"/>
      <x:c r="U197" s="373"/>
      <x:c r="V197" s="373"/>
      <x:c r="W197" s="373"/>
      <x:c r="X197" s="373"/>
      <x:c r="Y197" s="373"/>
      <x:c r="Z197" s="373"/>
    </x:row>
    <x:row r="198">
      <x:c r="A198" s="373"/>
      <x:c r="B198" s="373"/>
      <x:c r="C198" s="373"/>
      <x:c r="D198" s="373"/>
      <x:c r="E198" s="373"/>
      <x:c r="F198" s="373"/>
      <x:c r="G198" s="373"/>
      <x:c r="H198" s="373"/>
      <x:c r="I198" s="373"/>
      <x:c r="J198" s="373"/>
      <x:c r="K198" s="373"/>
      <x:c r="L198" s="373"/>
      <x:c r="M198" s="373"/>
      <x:c r="N198" s="373"/>
      <x:c r="O198" s="373"/>
      <x:c r="P198" s="373"/>
      <x:c r="Q198" s="373"/>
      <x:c r="R198" s="373"/>
      <x:c r="S198" s="373"/>
      <x:c r="T198" s="373"/>
      <x:c r="U198" s="373"/>
      <x:c r="V198" s="373"/>
      <x:c r="W198" s="373"/>
      <x:c r="X198" s="373"/>
      <x:c r="Y198" s="373"/>
      <x:c r="Z198" s="373"/>
    </x:row>
    <x:row r="199">
      <x:c r="A199" s="373"/>
      <x:c r="B199" s="373"/>
      <x:c r="C199" s="373"/>
      <x:c r="D199" s="373"/>
      <x:c r="E199" s="373"/>
      <x:c r="F199" s="373"/>
      <x:c r="G199" s="373"/>
      <x:c r="H199" s="373"/>
      <x:c r="I199" s="373"/>
      <x:c r="J199" s="373"/>
      <x:c r="K199" s="373"/>
      <x:c r="L199" s="373"/>
      <x:c r="M199" s="373"/>
      <x:c r="N199" s="373"/>
      <x:c r="O199" s="373"/>
      <x:c r="P199" s="373"/>
      <x:c r="Q199" s="373"/>
      <x:c r="R199" s="373"/>
      <x:c r="S199" s="373"/>
      <x:c r="T199" s="373"/>
      <x:c r="U199" s="373"/>
      <x:c r="V199" s="373"/>
      <x:c r="W199" s="373"/>
      <x:c r="X199" s="373"/>
      <x:c r="Y199" s="373"/>
      <x:c r="Z199" s="373"/>
    </x:row>
    <x:row r="200">
      <x:c r="A200" s="373"/>
      <x:c r="B200" s="373"/>
      <x:c r="C200" s="373"/>
      <x:c r="D200" s="373"/>
      <x:c r="E200" s="373"/>
      <x:c r="F200" s="373"/>
      <x:c r="G200" s="373"/>
      <x:c r="H200" s="373"/>
      <x:c r="I200" s="373"/>
      <x:c r="J200" s="373"/>
      <x:c r="K200" s="373"/>
      <x:c r="L200" s="373"/>
      <x:c r="M200" s="373"/>
      <x:c r="N200" s="373"/>
      <x:c r="O200" s="373"/>
      <x:c r="P200" s="373"/>
      <x:c r="Q200" s="373"/>
      <x:c r="R200" s="373"/>
      <x:c r="S200" s="373"/>
      <x:c r="T200" s="373"/>
      <x:c r="U200" s="373"/>
      <x:c r="V200" s="373"/>
      <x:c r="W200" s="373"/>
      <x:c r="X200" s="373"/>
      <x:c r="Y200" s="373"/>
      <x:c r="Z200" s="373"/>
    </x:row>
    <x:row r="201">
      <x:c r="A201" s="373"/>
      <x:c r="B201" s="373"/>
      <x:c r="C201" s="373"/>
      <x:c r="D201" s="373"/>
      <x:c r="E201" s="373"/>
      <x:c r="F201" s="373"/>
      <x:c r="G201" s="373"/>
      <x:c r="H201" s="373"/>
      <x:c r="I201" s="373"/>
      <x:c r="J201" s="373"/>
      <x:c r="K201" s="373"/>
      <x:c r="L201" s="373"/>
      <x:c r="M201" s="373"/>
      <x:c r="N201" s="373"/>
      <x:c r="O201" s="373"/>
      <x:c r="P201" s="373"/>
      <x:c r="Q201" s="373"/>
      <x:c r="R201" s="373"/>
      <x:c r="S201" s="373"/>
      <x:c r="T201" s="373"/>
      <x:c r="U201" s="373"/>
      <x:c r="V201" s="373"/>
      <x:c r="W201" s="373"/>
      <x:c r="X201" s="373"/>
      <x:c r="Y201" s="373"/>
      <x:c r="Z201" s="373"/>
    </x:row>
    <x:row r="202">
      <x:c r="A202" s="373"/>
      <x:c r="B202" s="373"/>
      <x:c r="C202" s="373"/>
      <x:c r="D202" s="373"/>
      <x:c r="E202" s="373"/>
      <x:c r="F202" s="373"/>
      <x:c r="G202" s="373"/>
      <x:c r="H202" s="373"/>
      <x:c r="I202" s="373"/>
      <x:c r="J202" s="373"/>
      <x:c r="K202" s="373"/>
      <x:c r="L202" s="373"/>
      <x:c r="M202" s="373"/>
      <x:c r="N202" s="373"/>
      <x:c r="O202" s="373"/>
      <x:c r="P202" s="373"/>
      <x:c r="Q202" s="373"/>
      <x:c r="R202" s="373"/>
      <x:c r="S202" s="373"/>
      <x:c r="T202" s="373"/>
      <x:c r="U202" s="373"/>
      <x:c r="V202" s="373"/>
      <x:c r="W202" s="373"/>
      <x:c r="X202" s="373"/>
      <x:c r="Y202" s="373"/>
      <x:c r="Z202" s="373"/>
    </x:row>
    <x:row r="203">
      <x:c r="A203" s="373"/>
      <x:c r="B203" s="373"/>
      <x:c r="C203" s="373"/>
      <x:c r="D203" s="373"/>
      <x:c r="E203" s="373"/>
      <x:c r="F203" s="373"/>
      <x:c r="G203" s="373"/>
      <x:c r="H203" s="373"/>
      <x:c r="I203" s="373"/>
      <x:c r="J203" s="373"/>
      <x:c r="K203" s="373"/>
      <x:c r="L203" s="373"/>
      <x:c r="M203" s="373"/>
      <x:c r="N203" s="373"/>
      <x:c r="O203" s="373"/>
      <x:c r="P203" s="373"/>
      <x:c r="Q203" s="373"/>
      <x:c r="R203" s="373"/>
      <x:c r="S203" s="373"/>
      <x:c r="T203" s="373"/>
      <x:c r="U203" s="373"/>
      <x:c r="V203" s="373"/>
      <x:c r="W203" s="373"/>
      <x:c r="X203" s="373"/>
      <x:c r="Y203" s="373"/>
      <x:c r="Z203" s="373"/>
    </x:row>
    <x:row r="204">
      <x:c r="A204" s="373"/>
      <x:c r="B204" s="373"/>
      <x:c r="C204" s="373"/>
      <x:c r="D204" s="373"/>
      <x:c r="E204" s="373"/>
      <x:c r="F204" s="373"/>
      <x:c r="G204" s="373"/>
      <x:c r="H204" s="373"/>
      <x:c r="I204" s="373"/>
      <x:c r="J204" s="373"/>
      <x:c r="K204" s="373"/>
      <x:c r="L204" s="373"/>
      <x:c r="M204" s="373"/>
      <x:c r="N204" s="373"/>
      <x:c r="O204" s="373"/>
      <x:c r="P204" s="373"/>
      <x:c r="Q204" s="373"/>
      <x:c r="R204" s="373"/>
      <x:c r="S204" s="373"/>
      <x:c r="T204" s="373"/>
      <x:c r="U204" s="373"/>
      <x:c r="V204" s="373"/>
      <x:c r="W204" s="373"/>
      <x:c r="X204" s="373"/>
      <x:c r="Y204" s="373"/>
      <x:c r="Z204" s="373"/>
    </x:row>
    <x:row r="205">
      <x:c r="A205" s="373"/>
      <x:c r="B205" s="373"/>
      <x:c r="C205" s="373"/>
      <x:c r="D205" s="373"/>
      <x:c r="E205" s="373"/>
      <x:c r="F205" s="373"/>
      <x:c r="G205" s="373"/>
      <x:c r="H205" s="373"/>
      <x:c r="I205" s="373"/>
      <x:c r="J205" s="373"/>
      <x:c r="K205" s="373"/>
      <x:c r="L205" s="373"/>
      <x:c r="M205" s="373"/>
      <x:c r="N205" s="373"/>
      <x:c r="O205" s="373"/>
      <x:c r="P205" s="373"/>
      <x:c r="Q205" s="373"/>
      <x:c r="R205" s="373"/>
      <x:c r="S205" s="373"/>
      <x:c r="T205" s="373"/>
      <x:c r="U205" s="373"/>
      <x:c r="V205" s="373"/>
      <x:c r="W205" s="373"/>
      <x:c r="X205" s="373"/>
      <x:c r="Y205" s="373"/>
      <x:c r="Z205" s="373"/>
    </x:row>
    <x:row r="206">
      <x:c r="A206" s="373"/>
      <x:c r="B206" s="373"/>
      <x:c r="C206" s="373"/>
      <x:c r="D206" s="373"/>
      <x:c r="E206" s="373"/>
      <x:c r="F206" s="373"/>
      <x:c r="G206" s="373"/>
      <x:c r="H206" s="373"/>
      <x:c r="I206" s="373"/>
      <x:c r="J206" s="373"/>
      <x:c r="K206" s="373"/>
      <x:c r="L206" s="373"/>
      <x:c r="M206" s="373"/>
      <x:c r="N206" s="373"/>
      <x:c r="O206" s="373"/>
      <x:c r="P206" s="373"/>
      <x:c r="Q206" s="373"/>
      <x:c r="R206" s="373"/>
      <x:c r="S206" s="373"/>
      <x:c r="T206" s="373"/>
      <x:c r="U206" s="373"/>
      <x:c r="V206" s="373"/>
      <x:c r="W206" s="373"/>
      <x:c r="X206" s="373"/>
      <x:c r="Y206" s="373"/>
      <x:c r="Z206" s="373"/>
    </x:row>
    <x:row r="207">
      <x:c r="A207" s="373"/>
      <x:c r="B207" s="373"/>
      <x:c r="C207" s="373"/>
      <x:c r="D207" s="373"/>
      <x:c r="E207" s="373"/>
      <x:c r="F207" s="373"/>
      <x:c r="G207" s="373"/>
      <x:c r="H207" s="373"/>
      <x:c r="I207" s="373"/>
      <x:c r="J207" s="373"/>
      <x:c r="K207" s="373"/>
      <x:c r="L207" s="373"/>
      <x:c r="M207" s="373"/>
      <x:c r="N207" s="373"/>
      <x:c r="O207" s="373"/>
      <x:c r="P207" s="373"/>
      <x:c r="Q207" s="373"/>
      <x:c r="R207" s="373"/>
      <x:c r="S207" s="373"/>
      <x:c r="T207" s="373"/>
      <x:c r="U207" s="373"/>
      <x:c r="V207" s="373"/>
      <x:c r="W207" s="373"/>
      <x:c r="X207" s="373"/>
      <x:c r="Y207" s="373"/>
      <x:c r="Z207" s="373"/>
    </x:row>
    <x:row r="208">
      <x:c r="A208" s="373"/>
      <x:c r="B208" s="373"/>
      <x:c r="C208" s="373"/>
      <x:c r="D208" s="373"/>
      <x:c r="E208" s="373"/>
      <x:c r="F208" s="373"/>
      <x:c r="G208" s="373"/>
      <x:c r="H208" s="373"/>
      <x:c r="I208" s="373"/>
      <x:c r="J208" s="373"/>
      <x:c r="K208" s="373"/>
      <x:c r="L208" s="373"/>
      <x:c r="M208" s="373"/>
      <x:c r="N208" s="373"/>
      <x:c r="O208" s="373"/>
      <x:c r="P208" s="373"/>
      <x:c r="Q208" s="373"/>
      <x:c r="R208" s="373"/>
      <x:c r="S208" s="373"/>
      <x:c r="T208" s="373"/>
      <x:c r="U208" s="373"/>
      <x:c r="V208" s="373"/>
      <x:c r="W208" s="373"/>
      <x:c r="X208" s="373"/>
      <x:c r="Y208" s="373"/>
      <x:c r="Z208" s="373"/>
    </x:row>
    <x:row r="209">
      <x:c r="A209" s="373"/>
      <x:c r="B209" s="373"/>
      <x:c r="C209" s="373"/>
      <x:c r="D209" s="373"/>
      <x:c r="E209" s="373"/>
      <x:c r="F209" s="373"/>
      <x:c r="G209" s="373"/>
      <x:c r="H209" s="373"/>
      <x:c r="I209" s="373"/>
      <x:c r="J209" s="373"/>
      <x:c r="K209" s="373"/>
      <x:c r="L209" s="373"/>
      <x:c r="M209" s="373"/>
      <x:c r="N209" s="373"/>
      <x:c r="O209" s="373"/>
      <x:c r="P209" s="373"/>
      <x:c r="Q209" s="373"/>
      <x:c r="R209" s="373"/>
      <x:c r="S209" s="373"/>
      <x:c r="T209" s="373"/>
      <x:c r="U209" s="373"/>
      <x:c r="V209" s="373"/>
      <x:c r="W209" s="373"/>
      <x:c r="X209" s="373"/>
      <x:c r="Y209" s="373"/>
      <x:c r="Z209" s="373"/>
    </x:row>
    <x:row r="210">
      <x:c r="A210" s="373"/>
      <x:c r="B210" s="373"/>
      <x:c r="C210" s="373"/>
      <x:c r="D210" s="373"/>
      <x:c r="E210" s="373"/>
      <x:c r="F210" s="373"/>
      <x:c r="G210" s="373"/>
      <x:c r="H210" s="373"/>
      <x:c r="I210" s="373"/>
      <x:c r="J210" s="373"/>
      <x:c r="K210" s="373"/>
      <x:c r="L210" s="373"/>
      <x:c r="M210" s="373"/>
      <x:c r="N210" s="373"/>
      <x:c r="O210" s="373"/>
      <x:c r="P210" s="373"/>
      <x:c r="Q210" s="373"/>
      <x:c r="R210" s="373"/>
      <x:c r="S210" s="373"/>
      <x:c r="T210" s="373"/>
      <x:c r="U210" s="373"/>
      <x:c r="V210" s="373"/>
      <x:c r="W210" s="373"/>
      <x:c r="X210" s="373"/>
      <x:c r="Y210" s="373"/>
      <x:c r="Z210" s="373"/>
    </x:row>
    <x:row r="211">
      <x:c r="A211" s="373"/>
      <x:c r="B211" s="373"/>
      <x:c r="C211" s="373"/>
      <x:c r="D211" s="373"/>
      <x:c r="E211" s="373"/>
      <x:c r="F211" s="373"/>
      <x:c r="G211" s="373"/>
      <x:c r="H211" s="373"/>
      <x:c r="I211" s="373"/>
      <x:c r="J211" s="373"/>
      <x:c r="K211" s="373"/>
      <x:c r="L211" s="373"/>
      <x:c r="M211" s="373"/>
      <x:c r="N211" s="373"/>
      <x:c r="O211" s="373"/>
      <x:c r="P211" s="373"/>
      <x:c r="Q211" s="373"/>
      <x:c r="R211" s="373"/>
      <x:c r="S211" s="373"/>
      <x:c r="T211" s="373"/>
      <x:c r="U211" s="373"/>
      <x:c r="V211" s="373"/>
      <x:c r="W211" s="373"/>
      <x:c r="X211" s="373"/>
      <x:c r="Y211" s="373"/>
      <x:c r="Z211" s="373"/>
    </x:row>
    <x:row r="212">
      <x:c r="A212" s="373"/>
      <x:c r="B212" s="373"/>
      <x:c r="C212" s="373"/>
      <x:c r="D212" s="373"/>
      <x:c r="E212" s="373"/>
      <x:c r="F212" s="373"/>
      <x:c r="G212" s="373"/>
      <x:c r="H212" s="373"/>
      <x:c r="I212" s="373"/>
      <x:c r="J212" s="373"/>
      <x:c r="K212" s="373"/>
      <x:c r="L212" s="373"/>
      <x:c r="M212" s="373"/>
      <x:c r="N212" s="373"/>
      <x:c r="O212" s="373"/>
      <x:c r="P212" s="373"/>
      <x:c r="Q212" s="373"/>
      <x:c r="R212" s="373"/>
      <x:c r="S212" s="373"/>
      <x:c r="T212" s="373"/>
      <x:c r="U212" s="373"/>
      <x:c r="V212" s="373"/>
      <x:c r="W212" s="373"/>
      <x:c r="X212" s="373"/>
      <x:c r="Y212" s="373"/>
      <x:c r="Z212" s="373"/>
    </x:row>
    <x:row r="213">
      <x:c r="A213" s="373"/>
      <x:c r="B213" s="373"/>
      <x:c r="C213" s="373"/>
      <x:c r="D213" s="373"/>
      <x:c r="E213" s="373"/>
      <x:c r="F213" s="373"/>
      <x:c r="G213" s="373"/>
      <x:c r="H213" s="373"/>
      <x:c r="I213" s="373"/>
      <x:c r="J213" s="373"/>
      <x:c r="K213" s="373"/>
      <x:c r="L213" s="373"/>
      <x:c r="M213" s="373"/>
      <x:c r="N213" s="373"/>
      <x:c r="O213" s="373"/>
      <x:c r="P213" s="373"/>
      <x:c r="Q213" s="373"/>
      <x:c r="R213" s="373"/>
      <x:c r="S213" s="373"/>
      <x:c r="T213" s="373"/>
      <x:c r="U213" s="373"/>
      <x:c r="V213" s="373"/>
      <x:c r="W213" s="373"/>
      <x:c r="X213" s="373"/>
      <x:c r="Y213" s="373"/>
      <x:c r="Z213" s="373"/>
    </x:row>
    <x:row r="214">
      <x:c r="A214" s="373"/>
      <x:c r="B214" s="373"/>
      <x:c r="C214" s="373"/>
      <x:c r="D214" s="373"/>
      <x:c r="E214" s="373"/>
      <x:c r="F214" s="373"/>
      <x:c r="G214" s="373"/>
      <x:c r="H214" s="373"/>
      <x:c r="I214" s="373"/>
      <x:c r="J214" s="373"/>
      <x:c r="K214" s="373"/>
      <x:c r="L214" s="373"/>
      <x:c r="M214" s="373"/>
      <x:c r="N214" s="373"/>
      <x:c r="O214" s="373"/>
      <x:c r="P214" s="373"/>
      <x:c r="Q214" s="373"/>
      <x:c r="R214" s="373"/>
      <x:c r="S214" s="373"/>
      <x:c r="T214" s="373"/>
      <x:c r="U214" s="373"/>
      <x:c r="V214" s="373"/>
      <x:c r="W214" s="373"/>
      <x:c r="X214" s="373"/>
      <x:c r="Y214" s="373"/>
      <x:c r="Z214" s="373"/>
    </x:row>
    <x:row r="215">
      <x:c r="A215" s="373"/>
      <x:c r="B215" s="373"/>
      <x:c r="C215" s="373"/>
      <x:c r="D215" s="373"/>
      <x:c r="E215" s="373"/>
      <x:c r="F215" s="373"/>
      <x:c r="G215" s="373"/>
      <x:c r="H215" s="373"/>
      <x:c r="I215" s="373"/>
      <x:c r="J215" s="373"/>
      <x:c r="K215" s="373"/>
      <x:c r="L215" s="373"/>
      <x:c r="M215" s="373"/>
      <x:c r="N215" s="373"/>
      <x:c r="O215" s="373"/>
      <x:c r="P215" s="373"/>
      <x:c r="Q215" s="373"/>
      <x:c r="R215" s="373"/>
      <x:c r="S215" s="373"/>
      <x:c r="T215" s="373"/>
      <x:c r="U215" s="373"/>
      <x:c r="V215" s="373"/>
      <x:c r="W215" s="373"/>
      <x:c r="X215" s="373"/>
      <x:c r="Y215" s="373"/>
      <x:c r="Z215" s="373"/>
    </x:row>
    <x:row r="216">
      <x:c r="A216" s="373"/>
      <x:c r="B216" s="373"/>
      <x:c r="C216" s="373"/>
      <x:c r="D216" s="373"/>
      <x:c r="E216" s="373"/>
      <x:c r="F216" s="373"/>
      <x:c r="G216" s="373"/>
      <x:c r="H216" s="373"/>
      <x:c r="I216" s="373"/>
      <x:c r="J216" s="373"/>
      <x:c r="K216" s="373"/>
      <x:c r="L216" s="373"/>
      <x:c r="M216" s="373"/>
      <x:c r="N216" s="373"/>
      <x:c r="O216" s="373"/>
      <x:c r="P216" s="373"/>
      <x:c r="Q216" s="373"/>
      <x:c r="R216" s="373"/>
      <x:c r="S216" s="373"/>
      <x:c r="T216" s="373"/>
      <x:c r="U216" s="373"/>
      <x:c r="V216" s="373"/>
      <x:c r="W216" s="373"/>
      <x:c r="X216" s="373"/>
      <x:c r="Y216" s="373"/>
      <x:c r="Z216" s="373"/>
    </x:row>
    <x:row r="217">
      <x:c r="A217" s="373"/>
      <x:c r="B217" s="373"/>
      <x:c r="C217" s="373"/>
      <x:c r="D217" s="373"/>
      <x:c r="E217" s="373"/>
      <x:c r="F217" s="373"/>
      <x:c r="G217" s="373"/>
      <x:c r="H217" s="373"/>
      <x:c r="I217" s="373"/>
      <x:c r="J217" s="373"/>
      <x:c r="K217" s="373"/>
      <x:c r="L217" s="373"/>
      <x:c r="M217" s="373"/>
      <x:c r="N217" s="373"/>
      <x:c r="O217" s="373"/>
      <x:c r="P217" s="373"/>
      <x:c r="Q217" s="373"/>
      <x:c r="R217" s="373"/>
      <x:c r="S217" s="373"/>
      <x:c r="T217" s="373"/>
      <x:c r="U217" s="373"/>
      <x:c r="V217" s="373"/>
      <x:c r="W217" s="373"/>
      <x:c r="X217" s="373"/>
      <x:c r="Y217" s="373"/>
      <x:c r="Z217" s="373"/>
    </x:row>
    <x:row r="218">
      <x:c r="A218" s="373"/>
      <x:c r="B218" s="373"/>
      <x:c r="C218" s="373"/>
      <x:c r="D218" s="373"/>
      <x:c r="E218" s="373"/>
      <x:c r="F218" s="373"/>
      <x:c r="G218" s="373"/>
      <x:c r="H218" s="373"/>
      <x:c r="I218" s="373"/>
      <x:c r="J218" s="373"/>
      <x:c r="K218" s="373"/>
      <x:c r="L218" s="373"/>
      <x:c r="M218" s="373"/>
      <x:c r="N218" s="373"/>
      <x:c r="O218" s="373"/>
      <x:c r="P218" s="373"/>
      <x:c r="Q218" s="373"/>
      <x:c r="R218" s="373"/>
      <x:c r="S218" s="373"/>
      <x:c r="T218" s="373"/>
      <x:c r="U218" s="373"/>
      <x:c r="V218" s="373"/>
      <x:c r="W218" s="373"/>
      <x:c r="X218" s="373"/>
      <x:c r="Y218" s="373"/>
      <x:c r="Z218" s="373"/>
    </x:row>
    <x:row r="219">
      <x:c r="A219" s="373"/>
      <x:c r="B219" s="373"/>
      <x:c r="C219" s="373"/>
      <x:c r="D219" s="373"/>
      <x:c r="E219" s="373"/>
      <x:c r="F219" s="373"/>
      <x:c r="G219" s="373"/>
      <x:c r="H219" s="373"/>
      <x:c r="I219" s="373"/>
      <x:c r="J219" s="373"/>
      <x:c r="K219" s="373"/>
      <x:c r="L219" s="373"/>
      <x:c r="M219" s="373"/>
      <x:c r="N219" s="373"/>
      <x:c r="O219" s="373"/>
      <x:c r="P219" s="373"/>
      <x:c r="Q219" s="373"/>
      <x:c r="R219" s="373"/>
      <x:c r="S219" s="373"/>
      <x:c r="T219" s="373"/>
      <x:c r="U219" s="373"/>
      <x:c r="V219" s="373"/>
      <x:c r="W219" s="373"/>
      <x:c r="X219" s="373"/>
      <x:c r="Y219" s="373"/>
      <x:c r="Z219" s="373"/>
    </x:row>
    <x:row r="220">
      <x:c r="A220" s="373"/>
      <x:c r="B220" s="373"/>
      <x:c r="C220" s="373"/>
      <x:c r="D220" s="373"/>
      <x:c r="E220" s="373"/>
      <x:c r="F220" s="373"/>
      <x:c r="G220" s="373"/>
      <x:c r="H220" s="373"/>
      <x:c r="I220" s="373"/>
      <x:c r="J220" s="373"/>
      <x:c r="K220" s="373"/>
      <x:c r="L220" s="373"/>
      <x:c r="M220" s="373"/>
      <x:c r="N220" s="373"/>
      <x:c r="O220" s="373"/>
      <x:c r="P220" s="373"/>
      <x:c r="Q220" s="373"/>
      <x:c r="R220" s="373"/>
      <x:c r="S220" s="373"/>
      <x:c r="T220" s="373"/>
      <x:c r="U220" s="373"/>
      <x:c r="V220" s="373"/>
      <x:c r="W220" s="373"/>
      <x:c r="X220" s="373"/>
      <x:c r="Y220" s="373"/>
      <x:c r="Z220" s="373"/>
    </x:row>
    <x:row r="221">
      <x:c r="A221" s="373"/>
      <x:c r="B221" s="373"/>
      <x:c r="C221" s="373"/>
      <x:c r="D221" s="373"/>
      <x:c r="E221" s="373"/>
      <x:c r="F221" s="373"/>
      <x:c r="G221" s="373"/>
      <x:c r="H221" s="373"/>
      <x:c r="I221" s="373"/>
      <x:c r="J221" s="373"/>
      <x:c r="K221" s="373"/>
      <x:c r="L221" s="373"/>
      <x:c r="M221" s="373"/>
      <x:c r="N221" s="373"/>
      <x:c r="O221" s="373"/>
      <x:c r="P221" s="373"/>
      <x:c r="Q221" s="373"/>
      <x:c r="R221" s="373"/>
      <x:c r="S221" s="373"/>
      <x:c r="T221" s="373"/>
      <x:c r="U221" s="373"/>
      <x:c r="V221" s="373"/>
      <x:c r="W221" s="373"/>
      <x:c r="X221" s="373"/>
      <x:c r="Y221" s="373"/>
      <x:c r="Z221" s="373"/>
    </x:row>
    <x:row r="222">
      <x:c r="A222" s="373"/>
      <x:c r="B222" s="373"/>
      <x:c r="C222" s="373"/>
      <x:c r="D222" s="373"/>
      <x:c r="E222" s="373"/>
      <x:c r="F222" s="373"/>
      <x:c r="G222" s="373"/>
      <x:c r="H222" s="373"/>
      <x:c r="I222" s="373"/>
      <x:c r="J222" s="373"/>
      <x:c r="K222" s="373"/>
      <x:c r="L222" s="373"/>
      <x:c r="M222" s="373"/>
      <x:c r="N222" s="373"/>
      <x:c r="O222" s="373"/>
      <x:c r="P222" s="373"/>
      <x:c r="Q222" s="373"/>
      <x:c r="R222" s="373"/>
      <x:c r="S222" s="373"/>
      <x:c r="T222" s="373"/>
      <x:c r="U222" s="373"/>
      <x:c r="V222" s="373"/>
      <x:c r="W222" s="373"/>
      <x:c r="X222" s="373"/>
      <x:c r="Y222" s="373"/>
      <x:c r="Z222" s="373"/>
    </x:row>
    <x:row r="223">
      <x:c r="A223" s="373"/>
      <x:c r="B223" s="373"/>
      <x:c r="C223" s="373"/>
      <x:c r="D223" s="373"/>
      <x:c r="E223" s="373"/>
      <x:c r="F223" s="373"/>
      <x:c r="G223" s="373"/>
      <x:c r="H223" s="373"/>
      <x:c r="I223" s="373"/>
      <x:c r="J223" s="373"/>
      <x:c r="K223" s="373"/>
      <x:c r="L223" s="373"/>
      <x:c r="M223" s="373"/>
      <x:c r="N223" s="373"/>
      <x:c r="O223" s="373"/>
      <x:c r="P223" s="373"/>
      <x:c r="Q223" s="373"/>
      <x:c r="R223" s="373"/>
      <x:c r="S223" s="373"/>
      <x:c r="T223" s="373"/>
      <x:c r="U223" s="373"/>
      <x:c r="V223" s="373"/>
      <x:c r="W223" s="373"/>
      <x:c r="X223" s="373"/>
      <x:c r="Y223" s="373"/>
      <x:c r="Z223" s="373"/>
    </x:row>
    <x:row r="224">
      <x:c r="A224" s="373"/>
      <x:c r="B224" s="373"/>
      <x:c r="C224" s="373"/>
      <x:c r="D224" s="373"/>
      <x:c r="E224" s="373"/>
      <x:c r="F224" s="373"/>
      <x:c r="G224" s="373"/>
      <x:c r="H224" s="373"/>
      <x:c r="I224" s="373"/>
      <x:c r="J224" s="373"/>
      <x:c r="K224" s="373"/>
      <x:c r="L224" s="373"/>
      <x:c r="M224" s="373"/>
      <x:c r="N224" s="373"/>
      <x:c r="O224" s="373"/>
      <x:c r="P224" s="373"/>
      <x:c r="Q224" s="373"/>
      <x:c r="R224" s="373"/>
      <x:c r="S224" s="373"/>
      <x:c r="T224" s="373"/>
      <x:c r="U224" s="373"/>
      <x:c r="V224" s="373"/>
      <x:c r="W224" s="373"/>
      <x:c r="X224" s="373"/>
      <x:c r="Y224" s="373"/>
      <x:c r="Z224" s="373"/>
    </x:row>
    <x:row r="225">
      <x:c r="A225" s="373"/>
      <x:c r="B225" s="373"/>
      <x:c r="C225" s="373"/>
      <x:c r="D225" s="373"/>
      <x:c r="E225" s="373"/>
      <x:c r="F225" s="373"/>
      <x:c r="G225" s="373"/>
      <x:c r="H225" s="373"/>
      <x:c r="I225" s="373"/>
      <x:c r="J225" s="373"/>
      <x:c r="K225" s="373"/>
      <x:c r="L225" s="373"/>
      <x:c r="M225" s="373"/>
      <x:c r="N225" s="373"/>
      <x:c r="O225" s="373"/>
      <x:c r="P225" s="373"/>
      <x:c r="Q225" s="373"/>
      <x:c r="R225" s="373"/>
      <x:c r="S225" s="373"/>
      <x:c r="T225" s="373"/>
      <x:c r="U225" s="373"/>
      <x:c r="V225" s="373"/>
      <x:c r="W225" s="373"/>
      <x:c r="X225" s="373"/>
      <x:c r="Y225" s="373"/>
      <x:c r="Z225" s="373"/>
    </x:row>
    <x:row r="226">
      <x:c r="A226" s="373"/>
      <x:c r="B226" s="373"/>
      <x:c r="C226" s="373"/>
      <x:c r="D226" s="373"/>
      <x:c r="E226" s="373"/>
      <x:c r="F226" s="373"/>
      <x:c r="G226" s="373"/>
      <x:c r="H226" s="373"/>
      <x:c r="I226" s="373"/>
      <x:c r="J226" s="373"/>
      <x:c r="K226" s="373"/>
      <x:c r="L226" s="373"/>
      <x:c r="M226" s="373"/>
      <x:c r="N226" s="373"/>
      <x:c r="O226" s="373"/>
      <x:c r="P226" s="373"/>
      <x:c r="Q226" s="373"/>
      <x:c r="R226" s="373"/>
      <x:c r="S226" s="373"/>
      <x:c r="T226" s="373"/>
      <x:c r="U226" s="373"/>
      <x:c r="V226" s="373"/>
      <x:c r="W226" s="373"/>
      <x:c r="X226" s="373"/>
      <x:c r="Y226" s="373"/>
      <x:c r="Z226" s="373"/>
    </x:row>
    <x:row r="227">
      <x:c r="A227" s="373"/>
      <x:c r="B227" s="373"/>
      <x:c r="C227" s="373"/>
      <x:c r="D227" s="373"/>
      <x:c r="E227" s="373"/>
      <x:c r="F227" s="373"/>
      <x:c r="G227" s="373"/>
      <x:c r="H227" s="373"/>
      <x:c r="I227" s="373"/>
      <x:c r="J227" s="373"/>
      <x:c r="K227" s="373"/>
      <x:c r="L227" s="373"/>
      <x:c r="M227" s="373"/>
      <x:c r="N227" s="373"/>
      <x:c r="O227" s="373"/>
      <x:c r="P227" s="373"/>
      <x:c r="Q227" s="373"/>
      <x:c r="R227" s="373"/>
      <x:c r="S227" s="373"/>
      <x:c r="T227" s="373"/>
      <x:c r="U227" s="373"/>
      <x:c r="V227" s="373"/>
      <x:c r="W227" s="373"/>
      <x:c r="X227" s="373"/>
      <x:c r="Y227" s="373"/>
      <x:c r="Z227" s="373"/>
    </x:row>
    <x:row r="228">
      <x:c r="A228" s="373"/>
      <x:c r="B228" s="373"/>
      <x:c r="C228" s="373"/>
      <x:c r="D228" s="373"/>
      <x:c r="E228" s="373"/>
      <x:c r="F228" s="373"/>
      <x:c r="G228" s="373"/>
      <x:c r="H228" s="373"/>
      <x:c r="I228" s="373"/>
      <x:c r="J228" s="373"/>
      <x:c r="K228" s="373"/>
      <x:c r="L228" s="373"/>
      <x:c r="M228" s="373"/>
      <x:c r="N228" s="373"/>
      <x:c r="O228" s="373"/>
      <x:c r="P228" s="373"/>
      <x:c r="Q228" s="373"/>
      <x:c r="R228" s="373"/>
      <x:c r="S228" s="373"/>
      <x:c r="T228" s="373"/>
      <x:c r="U228" s="373"/>
      <x:c r="V228" s="373"/>
      <x:c r="W228" s="373"/>
      <x:c r="X228" s="373"/>
      <x:c r="Y228" s="373"/>
      <x:c r="Z228" s="373"/>
    </x:row>
    <x:row r="229">
      <x:c r="A229" s="373"/>
      <x:c r="B229" s="373"/>
      <x:c r="C229" s="373"/>
      <x:c r="D229" s="373"/>
      <x:c r="E229" s="373"/>
      <x:c r="F229" s="373"/>
      <x:c r="G229" s="373"/>
      <x:c r="H229" s="373"/>
      <x:c r="I229" s="373"/>
      <x:c r="J229" s="373"/>
      <x:c r="K229" s="373"/>
      <x:c r="L229" s="373"/>
      <x:c r="M229" s="373"/>
      <x:c r="N229" s="373"/>
      <x:c r="O229" s="373"/>
      <x:c r="P229" s="373"/>
      <x:c r="Q229" s="373"/>
      <x:c r="R229" s="373"/>
      <x:c r="S229" s="373"/>
      <x:c r="T229" s="373"/>
      <x:c r="U229" s="373"/>
      <x:c r="V229" s="373"/>
      <x:c r="W229" s="373"/>
      <x:c r="X229" s="373"/>
      <x:c r="Y229" s="373"/>
      <x:c r="Z229" s="373"/>
    </x:row>
    <x:row r="230">
      <x:c r="A230" s="373"/>
      <x:c r="B230" s="373"/>
      <x:c r="C230" s="373"/>
      <x:c r="D230" s="373"/>
      <x:c r="E230" s="373"/>
      <x:c r="F230" s="373"/>
      <x:c r="G230" s="373"/>
      <x:c r="H230" s="373"/>
      <x:c r="I230" s="373"/>
      <x:c r="J230" s="373"/>
      <x:c r="K230" s="373"/>
      <x:c r="L230" s="373"/>
      <x:c r="M230" s="373"/>
      <x:c r="N230" s="373"/>
      <x:c r="O230" s="373"/>
      <x:c r="P230" s="373"/>
      <x:c r="Q230" s="373"/>
      <x:c r="R230" s="373"/>
      <x:c r="S230" s="373"/>
      <x:c r="T230" s="373"/>
      <x:c r="U230" s="373"/>
      <x:c r="V230" s="373"/>
      <x:c r="W230" s="373"/>
      <x:c r="X230" s="373"/>
      <x:c r="Y230" s="373"/>
      <x:c r="Z230" s="373"/>
    </x:row>
    <x:row r="231">
      <x:c r="A231" s="373"/>
      <x:c r="B231" s="373"/>
      <x:c r="C231" s="373"/>
      <x:c r="D231" s="373"/>
      <x:c r="E231" s="373"/>
      <x:c r="F231" s="373"/>
      <x:c r="G231" s="373"/>
      <x:c r="H231" s="373"/>
      <x:c r="I231" s="373"/>
      <x:c r="J231" s="373"/>
      <x:c r="K231" s="373"/>
      <x:c r="L231" s="373"/>
      <x:c r="M231" s="373"/>
      <x:c r="N231" s="373"/>
      <x:c r="O231" s="373"/>
      <x:c r="P231" s="373"/>
      <x:c r="Q231" s="373"/>
      <x:c r="R231" s="373"/>
      <x:c r="S231" s="373"/>
      <x:c r="T231" s="373"/>
      <x:c r="U231" s="373"/>
      <x:c r="V231" s="373"/>
      <x:c r="W231" s="373"/>
      <x:c r="X231" s="373"/>
      <x:c r="Y231" s="373"/>
      <x:c r="Z231" s="373"/>
    </x:row>
    <x:row r="232">
      <x:c r="A232" s="373"/>
      <x:c r="B232" s="373"/>
      <x:c r="C232" s="373"/>
      <x:c r="D232" s="373"/>
      <x:c r="E232" s="373"/>
      <x:c r="F232" s="373"/>
      <x:c r="G232" s="373"/>
      <x:c r="H232" s="373"/>
      <x:c r="I232" s="373"/>
      <x:c r="J232" s="373"/>
      <x:c r="K232" s="373"/>
      <x:c r="L232" s="373"/>
      <x:c r="M232" s="373"/>
      <x:c r="N232" s="373"/>
      <x:c r="O232" s="373"/>
      <x:c r="P232" s="373"/>
      <x:c r="Q232" s="373"/>
      <x:c r="R232" s="373"/>
      <x:c r="S232" s="373"/>
      <x:c r="T232" s="373"/>
      <x:c r="U232" s="373"/>
      <x:c r="V232" s="373"/>
      <x:c r="W232" s="373"/>
      <x:c r="X232" s="373"/>
      <x:c r="Y232" s="373"/>
      <x:c r="Z232" s="373"/>
    </x:row>
    <x:row r="233">
      <x:c r="A233" s="373"/>
      <x:c r="B233" s="373"/>
      <x:c r="C233" s="373"/>
      <x:c r="D233" s="373"/>
      <x:c r="E233" s="373"/>
      <x:c r="F233" s="373"/>
      <x:c r="G233" s="373"/>
      <x:c r="H233" s="373"/>
      <x:c r="I233" s="373"/>
      <x:c r="J233" s="373"/>
      <x:c r="K233" s="373"/>
      <x:c r="L233" s="373"/>
      <x:c r="M233" s="373"/>
      <x:c r="N233" s="373"/>
      <x:c r="O233" s="373"/>
      <x:c r="P233" s="373"/>
      <x:c r="Q233" s="373"/>
      <x:c r="R233" s="373"/>
      <x:c r="S233" s="373"/>
      <x:c r="T233" s="373"/>
      <x:c r="U233" s="373"/>
      <x:c r="V233" s="373"/>
      <x:c r="W233" s="373"/>
      <x:c r="X233" s="373"/>
      <x:c r="Y233" s="373"/>
      <x:c r="Z233" s="373"/>
    </x:row>
    <x:row r="234">
      <x:c r="A234" s="373"/>
      <x:c r="B234" s="373"/>
      <x:c r="C234" s="373"/>
      <x:c r="D234" s="373"/>
      <x:c r="E234" s="373"/>
      <x:c r="F234" s="373"/>
      <x:c r="G234" s="373"/>
      <x:c r="H234" s="373"/>
      <x:c r="I234" s="373"/>
      <x:c r="J234" s="373"/>
      <x:c r="K234" s="373"/>
      <x:c r="L234" s="373"/>
      <x:c r="M234" s="373"/>
      <x:c r="N234" s="373"/>
      <x:c r="O234" s="373"/>
      <x:c r="P234" s="373"/>
      <x:c r="Q234" s="373"/>
      <x:c r="R234" s="373"/>
      <x:c r="S234" s="373"/>
      <x:c r="T234" s="373"/>
      <x:c r="U234" s="373"/>
      <x:c r="V234" s="373"/>
      <x:c r="W234" s="373"/>
      <x:c r="X234" s="373"/>
      <x:c r="Y234" s="373"/>
      <x:c r="Z234" s="373"/>
    </x:row>
    <x:row r="235">
      <x:c r="A235" s="373"/>
      <x:c r="B235" s="373"/>
      <x:c r="C235" s="373"/>
      <x:c r="D235" s="373"/>
      <x:c r="E235" s="373"/>
      <x:c r="F235" s="373"/>
      <x:c r="G235" s="373"/>
      <x:c r="H235" s="373"/>
      <x:c r="I235" s="373"/>
      <x:c r="J235" s="373"/>
      <x:c r="K235" s="373"/>
      <x:c r="L235" s="373"/>
      <x:c r="M235" s="373"/>
      <x:c r="N235" s="373"/>
      <x:c r="O235" s="373"/>
      <x:c r="P235" s="373"/>
      <x:c r="Q235" s="373"/>
      <x:c r="R235" s="373"/>
      <x:c r="S235" s="373"/>
      <x:c r="T235" s="373"/>
      <x:c r="U235" s="373"/>
      <x:c r="V235" s="373"/>
      <x:c r="W235" s="373"/>
      <x:c r="X235" s="373"/>
      <x:c r="Y235" s="373"/>
      <x:c r="Z235" s="373"/>
    </x:row>
    <x:row r="236">
      <x:c r="A236" s="373"/>
      <x:c r="B236" s="373"/>
      <x:c r="C236" s="373"/>
      <x:c r="D236" s="373"/>
      <x:c r="E236" s="373"/>
      <x:c r="F236" s="373"/>
      <x:c r="G236" s="373"/>
      <x:c r="H236" s="373"/>
      <x:c r="I236" s="373"/>
      <x:c r="J236" s="373"/>
      <x:c r="K236" s="373"/>
      <x:c r="L236" s="373"/>
      <x:c r="M236" s="373"/>
      <x:c r="N236" s="373"/>
      <x:c r="O236" s="373"/>
      <x:c r="P236" s="373"/>
      <x:c r="Q236" s="373"/>
      <x:c r="R236" s="373"/>
      <x:c r="S236" s="373"/>
      <x:c r="T236" s="373"/>
      <x:c r="U236" s="373"/>
      <x:c r="V236" s="373"/>
      <x:c r="W236" s="373"/>
      <x:c r="X236" s="373"/>
      <x:c r="Y236" s="373"/>
      <x:c r="Z236" s="373"/>
    </x:row>
    <x:row r="237">
      <x:c r="A237" s="373"/>
      <x:c r="B237" s="373"/>
      <x:c r="C237" s="373"/>
      <x:c r="D237" s="373"/>
      <x:c r="E237" s="373"/>
      <x:c r="F237" s="373"/>
      <x:c r="G237" s="373"/>
      <x:c r="H237" s="373"/>
      <x:c r="I237" s="373"/>
      <x:c r="J237" s="373"/>
      <x:c r="K237" s="373"/>
      <x:c r="L237" s="373"/>
      <x:c r="M237" s="373"/>
      <x:c r="N237" s="373"/>
      <x:c r="O237" s="373"/>
      <x:c r="P237" s="373"/>
      <x:c r="Q237" s="373"/>
      <x:c r="R237" s="373"/>
      <x:c r="S237" s="373"/>
      <x:c r="T237" s="373"/>
      <x:c r="U237" s="373"/>
      <x:c r="V237" s="373"/>
      <x:c r="W237" s="373"/>
      <x:c r="X237" s="373"/>
      <x:c r="Y237" s="373"/>
      <x:c r="Z237" s="373"/>
    </x:row>
    <x:row r="238">
      <x:c r="A238" s="373"/>
      <x:c r="B238" s="373"/>
      <x:c r="C238" s="373"/>
      <x:c r="D238" s="373"/>
      <x:c r="E238" s="373"/>
      <x:c r="F238" s="373"/>
      <x:c r="G238" s="373"/>
      <x:c r="H238" s="373"/>
      <x:c r="I238" s="373"/>
      <x:c r="J238" s="373"/>
      <x:c r="K238" s="373"/>
      <x:c r="L238" s="373"/>
      <x:c r="M238" s="373"/>
      <x:c r="N238" s="373"/>
      <x:c r="O238" s="373"/>
      <x:c r="P238" s="373"/>
      <x:c r="Q238" s="373"/>
      <x:c r="R238" s="373"/>
      <x:c r="S238" s="373"/>
      <x:c r="T238" s="373"/>
      <x:c r="U238" s="373"/>
      <x:c r="V238" s="373"/>
      <x:c r="W238" s="373"/>
      <x:c r="X238" s="373"/>
      <x:c r="Y238" s="373"/>
      <x:c r="Z238" s="373"/>
    </x:row>
    <x:row r="239">
      <x:c r="A239" s="373"/>
      <x:c r="B239" s="373"/>
      <x:c r="C239" s="373"/>
      <x:c r="D239" s="373"/>
      <x:c r="E239" s="373"/>
      <x:c r="F239" s="373"/>
      <x:c r="G239" s="373"/>
      <x:c r="H239" s="373"/>
      <x:c r="I239" s="373"/>
      <x:c r="J239" s="373"/>
      <x:c r="K239" s="373"/>
      <x:c r="L239" s="373"/>
      <x:c r="M239" s="373"/>
      <x:c r="N239" s="373"/>
      <x:c r="O239" s="373"/>
      <x:c r="P239" s="373"/>
      <x:c r="Q239" s="373"/>
      <x:c r="R239" s="373"/>
      <x:c r="S239" s="373"/>
      <x:c r="T239" s="373"/>
      <x:c r="U239" s="373"/>
      <x:c r="V239" s="373"/>
      <x:c r="W239" s="373"/>
      <x:c r="X239" s="373"/>
      <x:c r="Y239" s="373"/>
      <x:c r="Z239" s="373"/>
    </x:row>
    <x:row r="240">
      <x:c r="A240" s="373"/>
      <x:c r="B240" s="373"/>
      <x:c r="C240" s="373"/>
      <x:c r="D240" s="373"/>
      <x:c r="E240" s="373"/>
      <x:c r="F240" s="373"/>
      <x:c r="G240" s="373"/>
      <x:c r="H240" s="373"/>
      <x:c r="I240" s="373"/>
      <x:c r="J240" s="373"/>
      <x:c r="K240" s="373"/>
      <x:c r="L240" s="373"/>
      <x:c r="M240" s="373"/>
      <x:c r="N240" s="373"/>
      <x:c r="O240" s="373"/>
      <x:c r="P240" s="373"/>
      <x:c r="Q240" s="373"/>
      <x:c r="R240" s="373"/>
      <x:c r="S240" s="373"/>
      <x:c r="T240" s="373"/>
      <x:c r="U240" s="373"/>
      <x:c r="V240" s="373"/>
      <x:c r="W240" s="373"/>
      <x:c r="X240" s="373"/>
      <x:c r="Y240" s="373"/>
      <x:c r="Z240" s="373"/>
    </x:row>
    <x:row r="241">
      <x:c r="A241" s="373"/>
      <x:c r="B241" s="373"/>
      <x:c r="C241" s="373"/>
      <x:c r="D241" s="373"/>
      <x:c r="E241" s="373"/>
      <x:c r="F241" s="373"/>
      <x:c r="G241" s="373"/>
      <x:c r="H241" s="373"/>
      <x:c r="I241" s="373"/>
      <x:c r="J241" s="373"/>
      <x:c r="K241" s="373"/>
      <x:c r="L241" s="373"/>
      <x:c r="M241" s="373"/>
      <x:c r="N241" s="373"/>
      <x:c r="O241" s="373"/>
      <x:c r="P241" s="373"/>
      <x:c r="Q241" s="373"/>
      <x:c r="R241" s="373"/>
      <x:c r="S241" s="373"/>
      <x:c r="T241" s="373"/>
      <x:c r="U241" s="373"/>
      <x:c r="V241" s="373"/>
      <x:c r="W241" s="373"/>
      <x:c r="X241" s="373"/>
      <x:c r="Y241" s="373"/>
      <x:c r="Z241" s="373"/>
    </x:row>
    <x:row r="242">
      <x:c r="A242" s="373"/>
      <x:c r="B242" s="373"/>
      <x:c r="C242" s="373"/>
      <x:c r="D242" s="373"/>
      <x:c r="E242" s="373"/>
      <x:c r="F242" s="373"/>
      <x:c r="G242" s="373"/>
      <x:c r="H242" s="373"/>
      <x:c r="I242" s="373"/>
      <x:c r="J242" s="373"/>
      <x:c r="K242" s="373"/>
      <x:c r="L242" s="373"/>
      <x:c r="M242" s="373"/>
      <x:c r="N242" s="373"/>
      <x:c r="O242" s="373"/>
      <x:c r="P242" s="373"/>
      <x:c r="Q242" s="373"/>
      <x:c r="R242" s="373"/>
      <x:c r="S242" s="373"/>
      <x:c r="T242" s="373"/>
      <x:c r="U242" s="373"/>
      <x:c r="V242" s="373"/>
      <x:c r="W242" s="373"/>
      <x:c r="X242" s="373"/>
      <x:c r="Y242" s="373"/>
      <x:c r="Z242" s="373"/>
    </x:row>
    <x:row r="243">
      <x:c r="A243" s="373"/>
      <x:c r="B243" s="373"/>
      <x:c r="C243" s="373"/>
      <x:c r="D243" s="373"/>
      <x:c r="E243" s="373"/>
      <x:c r="F243" s="373"/>
      <x:c r="G243" s="373"/>
      <x:c r="H243" s="373"/>
      <x:c r="I243" s="373"/>
      <x:c r="J243" s="373"/>
      <x:c r="K243" s="373"/>
      <x:c r="L243" s="373"/>
      <x:c r="M243" s="373"/>
      <x:c r="N243" s="373"/>
      <x:c r="O243" s="373"/>
      <x:c r="P243" s="373"/>
      <x:c r="Q243" s="373"/>
      <x:c r="R243" s="373"/>
      <x:c r="S243" s="373"/>
      <x:c r="T243" s="373"/>
      <x:c r="U243" s="373"/>
      <x:c r="V243" s="373"/>
      <x:c r="W243" s="373"/>
      <x:c r="X243" s="373"/>
      <x:c r="Y243" s="373"/>
      <x:c r="Z243" s="373"/>
    </x:row>
    <x:row r="244">
      <x:c r="A244" s="373"/>
      <x:c r="B244" s="373"/>
      <x:c r="C244" s="373"/>
      <x:c r="D244" s="373"/>
      <x:c r="E244" s="373"/>
      <x:c r="F244" s="373"/>
      <x:c r="G244" s="373"/>
      <x:c r="H244" s="373"/>
      <x:c r="I244" s="373"/>
      <x:c r="J244" s="373"/>
      <x:c r="K244" s="373"/>
      <x:c r="L244" s="373"/>
      <x:c r="M244" s="373"/>
      <x:c r="N244" s="373"/>
      <x:c r="O244" s="373"/>
      <x:c r="P244" s="373"/>
      <x:c r="Q244" s="373"/>
      <x:c r="R244" s="373"/>
      <x:c r="S244" s="373"/>
      <x:c r="T244" s="373"/>
      <x:c r="U244" s="373"/>
      <x:c r="V244" s="373"/>
      <x:c r="W244" s="373"/>
      <x:c r="X244" s="373"/>
      <x:c r="Y244" s="373"/>
      <x:c r="Z244" s="373"/>
    </x:row>
    <x:row r="245">
      <x:c r="A245" s="373"/>
      <x:c r="B245" s="373"/>
      <x:c r="C245" s="373"/>
      <x:c r="D245" s="373"/>
      <x:c r="E245" s="373"/>
      <x:c r="F245" s="373"/>
      <x:c r="G245" s="373"/>
      <x:c r="H245" s="373"/>
      <x:c r="I245" s="373"/>
      <x:c r="J245" s="373"/>
      <x:c r="K245" s="373"/>
      <x:c r="L245" s="373"/>
      <x:c r="M245" s="373"/>
      <x:c r="N245" s="373"/>
      <x:c r="O245" s="373"/>
      <x:c r="P245" s="373"/>
      <x:c r="Q245" s="373"/>
      <x:c r="R245" s="373"/>
      <x:c r="S245" s="373"/>
      <x:c r="T245" s="373"/>
      <x:c r="U245" s="373"/>
      <x:c r="V245" s="373"/>
      <x:c r="W245" s="373"/>
      <x:c r="X245" s="373"/>
      <x:c r="Y245" s="373"/>
      <x:c r="Z245" s="373"/>
    </x:row>
    <x:row r="246">
      <x:c r="A246" s="373"/>
      <x:c r="B246" s="373"/>
      <x:c r="C246" s="373"/>
      <x:c r="D246" s="373"/>
      <x:c r="E246" s="373"/>
      <x:c r="F246" s="373"/>
      <x:c r="G246" s="373"/>
      <x:c r="H246" s="373"/>
      <x:c r="I246" s="373"/>
      <x:c r="J246" s="373"/>
      <x:c r="K246" s="373"/>
      <x:c r="L246" s="373"/>
      <x:c r="M246" s="373"/>
      <x:c r="N246" s="373"/>
      <x:c r="O246" s="373"/>
      <x:c r="P246" s="373"/>
      <x:c r="Q246" s="373"/>
      <x:c r="R246" s="373"/>
      <x:c r="S246" s="373"/>
      <x:c r="T246" s="373"/>
      <x:c r="U246" s="373"/>
      <x:c r="V246" s="373"/>
      <x:c r="W246" s="373"/>
      <x:c r="X246" s="373"/>
      <x:c r="Y246" s="373"/>
      <x:c r="Z246" s="373"/>
    </x:row>
    <x:row r="247">
      <x:c r="A247" s="373"/>
      <x:c r="B247" s="373"/>
      <x:c r="C247" s="373"/>
      <x:c r="D247" s="373"/>
      <x:c r="E247" s="373"/>
      <x:c r="F247" s="373"/>
      <x:c r="G247" s="373"/>
      <x:c r="H247" s="373"/>
      <x:c r="I247" s="373"/>
      <x:c r="J247" s="373"/>
      <x:c r="K247" s="373"/>
      <x:c r="L247" s="373"/>
      <x:c r="M247" s="373"/>
      <x:c r="N247" s="373"/>
      <x:c r="O247" s="373"/>
      <x:c r="P247" s="373"/>
      <x:c r="Q247" s="373"/>
      <x:c r="R247" s="373"/>
      <x:c r="S247" s="373"/>
      <x:c r="T247" s="373"/>
      <x:c r="U247" s="373"/>
      <x:c r="V247" s="373"/>
      <x:c r="W247" s="373"/>
      <x:c r="X247" s="373"/>
      <x:c r="Y247" s="373"/>
      <x:c r="Z247" s="373"/>
    </x:row>
    <x:row r="248">
      <x:c r="A248" s="373"/>
      <x:c r="B248" s="373"/>
      <x:c r="C248" s="373"/>
      <x:c r="D248" s="373"/>
      <x:c r="E248" s="373"/>
      <x:c r="F248" s="373"/>
      <x:c r="G248" s="373"/>
      <x:c r="H248" s="373"/>
      <x:c r="I248" s="373"/>
      <x:c r="J248" s="373"/>
      <x:c r="K248" s="373"/>
      <x:c r="L248" s="373"/>
      <x:c r="M248" s="373"/>
      <x:c r="N248" s="373"/>
      <x:c r="O248" s="373"/>
      <x:c r="P248" s="373"/>
      <x:c r="Q248" s="373"/>
      <x:c r="R248" s="373"/>
      <x:c r="S248" s="373"/>
      <x:c r="T248" s="373"/>
      <x:c r="U248" s="373"/>
      <x:c r="V248" s="373"/>
      <x:c r="W248" s="373"/>
      <x:c r="X248" s="373"/>
      <x:c r="Y248" s="373"/>
      <x:c r="Z248" s="373"/>
    </x:row>
    <x:row r="249">
      <x:c r="A249" s="373"/>
      <x:c r="B249" s="373"/>
      <x:c r="C249" s="373"/>
      <x:c r="D249" s="373"/>
      <x:c r="E249" s="373"/>
      <x:c r="F249" s="373"/>
      <x:c r="G249" s="373"/>
      <x:c r="H249" s="373"/>
      <x:c r="I249" s="373"/>
      <x:c r="J249" s="373"/>
      <x:c r="K249" s="373"/>
      <x:c r="L249" s="373"/>
      <x:c r="M249" s="373"/>
      <x:c r="N249" s="373"/>
      <x:c r="O249" s="373"/>
      <x:c r="P249" s="373"/>
      <x:c r="Q249" s="373"/>
      <x:c r="R249" s="373"/>
      <x:c r="S249" s="373"/>
      <x:c r="T249" s="373"/>
      <x:c r="U249" s="373"/>
      <x:c r="V249" s="373"/>
      <x:c r="W249" s="373"/>
      <x:c r="X249" s="373"/>
      <x:c r="Y249" s="373"/>
      <x:c r="Z249" s="373"/>
    </x:row>
    <x:row r="250">
      <x:c r="A250" s="373"/>
      <x:c r="B250" s="373"/>
      <x:c r="C250" s="373"/>
      <x:c r="D250" s="373"/>
      <x:c r="E250" s="373"/>
      <x:c r="F250" s="373"/>
      <x:c r="G250" s="373"/>
      <x:c r="H250" s="373"/>
      <x:c r="I250" s="373"/>
      <x:c r="J250" s="373"/>
      <x:c r="K250" s="373"/>
      <x:c r="L250" s="373"/>
      <x:c r="M250" s="373"/>
      <x:c r="N250" s="373"/>
      <x:c r="O250" s="373"/>
      <x:c r="P250" s="373"/>
      <x:c r="Q250" s="373"/>
      <x:c r="R250" s="373"/>
      <x:c r="S250" s="373"/>
      <x:c r="T250" s="373"/>
      <x:c r="U250" s="373"/>
      <x:c r="V250" s="373"/>
      <x:c r="W250" s="373"/>
      <x:c r="X250" s="373"/>
      <x:c r="Y250" s="373"/>
      <x:c r="Z250" s="373"/>
    </x:row>
    <x:row r="251">
      <x:c r="A251" s="373"/>
      <x:c r="B251" s="373"/>
      <x:c r="C251" s="373"/>
      <x:c r="D251" s="373"/>
      <x:c r="E251" s="373"/>
      <x:c r="F251" s="373"/>
      <x:c r="G251" s="373"/>
      <x:c r="H251" s="373"/>
      <x:c r="I251" s="373"/>
      <x:c r="J251" s="373"/>
      <x:c r="K251" s="373"/>
      <x:c r="L251" s="373"/>
      <x:c r="M251" s="373"/>
      <x:c r="N251" s="373"/>
      <x:c r="O251" s="373"/>
      <x:c r="P251" s="373"/>
      <x:c r="Q251" s="373"/>
      <x:c r="R251" s="373"/>
      <x:c r="S251" s="373"/>
      <x:c r="T251" s="373"/>
      <x:c r="U251" s="373"/>
      <x:c r="V251" s="373"/>
      <x:c r="W251" s="373"/>
      <x:c r="X251" s="373"/>
      <x:c r="Y251" s="373"/>
      <x:c r="Z251" s="373"/>
    </x:row>
    <x:row r="252">
      <x:c r="A252" s="373"/>
      <x:c r="B252" s="373"/>
      <x:c r="C252" s="373"/>
      <x:c r="D252" s="373"/>
      <x:c r="E252" s="373"/>
      <x:c r="F252" s="373"/>
      <x:c r="G252" s="373"/>
      <x:c r="H252" s="373"/>
      <x:c r="I252" s="373"/>
      <x:c r="J252" s="373"/>
      <x:c r="K252" s="373"/>
      <x:c r="L252" s="373"/>
      <x:c r="M252" s="373"/>
      <x:c r="N252" s="373"/>
      <x:c r="O252" s="373"/>
      <x:c r="P252" s="373"/>
      <x:c r="Q252" s="373"/>
      <x:c r="R252" s="373"/>
      <x:c r="S252" s="373"/>
      <x:c r="T252" s="373"/>
      <x:c r="U252" s="373"/>
      <x:c r="V252" s="373"/>
      <x:c r="W252" s="373"/>
      <x:c r="X252" s="373"/>
      <x:c r="Y252" s="373"/>
      <x:c r="Z252" s="373"/>
    </x:row>
    <x:row r="253">
      <x:c r="A253" s="373"/>
      <x:c r="B253" s="373"/>
      <x:c r="C253" s="373"/>
      <x:c r="D253" s="373"/>
      <x:c r="E253" s="373"/>
      <x:c r="F253" s="373"/>
      <x:c r="G253" s="373"/>
      <x:c r="H253" s="373"/>
      <x:c r="I253" s="373"/>
      <x:c r="J253" s="373"/>
      <x:c r="K253" s="373"/>
      <x:c r="L253" s="373"/>
      <x:c r="M253" s="373"/>
      <x:c r="N253" s="373"/>
      <x:c r="O253" s="373"/>
      <x:c r="P253" s="373"/>
      <x:c r="Q253" s="373"/>
      <x:c r="R253" s="373"/>
      <x:c r="S253" s="373"/>
      <x:c r="T253" s="373"/>
      <x:c r="U253" s="373"/>
      <x:c r="V253" s="373"/>
      <x:c r="W253" s="373"/>
      <x:c r="X253" s="373"/>
      <x:c r="Y253" s="373"/>
      <x:c r="Z253" s="373"/>
    </x:row>
    <x:row r="254">
      <x:c r="A254" s="373"/>
      <x:c r="B254" s="373"/>
      <x:c r="C254" s="373"/>
      <x:c r="D254" s="373"/>
      <x:c r="E254" s="373"/>
      <x:c r="F254" s="373"/>
      <x:c r="G254" s="373"/>
      <x:c r="H254" s="373"/>
      <x:c r="I254" s="373"/>
      <x:c r="J254" s="373"/>
      <x:c r="K254" s="373"/>
      <x:c r="L254" s="373"/>
      <x:c r="M254" s="373"/>
      <x:c r="N254" s="373"/>
      <x:c r="O254" s="373"/>
      <x:c r="P254" s="373"/>
      <x:c r="Q254" s="373"/>
      <x:c r="R254" s="373"/>
      <x:c r="S254" s="373"/>
      <x:c r="T254" s="373"/>
      <x:c r="U254" s="373"/>
      <x:c r="V254" s="373"/>
      <x:c r="W254" s="373"/>
      <x:c r="X254" s="373"/>
      <x:c r="Y254" s="373"/>
      <x:c r="Z254" s="373"/>
    </x:row>
    <x:row r="255">
      <x:c r="A255" s="373"/>
      <x:c r="B255" s="373"/>
      <x:c r="C255" s="373"/>
      <x:c r="D255" s="373"/>
      <x:c r="E255" s="373"/>
      <x:c r="F255" s="373"/>
      <x:c r="G255" s="373"/>
      <x:c r="H255" s="373"/>
      <x:c r="I255" s="373"/>
      <x:c r="J255" s="373"/>
      <x:c r="K255" s="373"/>
      <x:c r="L255" s="373"/>
      <x:c r="M255" s="373"/>
      <x:c r="N255" s="373"/>
      <x:c r="O255" s="373"/>
      <x:c r="P255" s="373"/>
      <x:c r="Q255" s="373"/>
      <x:c r="R255" s="373"/>
      <x:c r="S255" s="373"/>
      <x:c r="T255" s="373"/>
      <x:c r="U255" s="373"/>
      <x:c r="V255" s="373"/>
      <x:c r="W255" s="373"/>
      <x:c r="X255" s="373"/>
      <x:c r="Y255" s="373"/>
      <x:c r="Z255" s="373"/>
    </x:row>
    <x:row r="256">
      <x:c r="A256" s="373"/>
      <x:c r="B256" s="373"/>
      <x:c r="C256" s="373"/>
      <x:c r="D256" s="373"/>
      <x:c r="E256" s="373"/>
      <x:c r="F256" s="373"/>
      <x:c r="G256" s="373"/>
      <x:c r="H256" s="373"/>
      <x:c r="I256" s="373"/>
      <x:c r="J256" s="373"/>
      <x:c r="K256" s="373"/>
      <x:c r="L256" s="373"/>
      <x:c r="M256" s="373"/>
      <x:c r="N256" s="373"/>
      <x:c r="O256" s="373"/>
      <x:c r="P256" s="373"/>
      <x:c r="Q256" s="373"/>
      <x:c r="R256" s="373"/>
      <x:c r="S256" s="373"/>
      <x:c r="T256" s="373"/>
      <x:c r="U256" s="373"/>
      <x:c r="V256" s="373"/>
      <x:c r="W256" s="373"/>
      <x:c r="X256" s="373"/>
      <x:c r="Y256" s="373"/>
      <x:c r="Z256" s="373"/>
    </x:row>
    <x:row r="257">
      <x:c r="A257" s="373"/>
      <x:c r="B257" s="373"/>
      <x:c r="C257" s="373"/>
      <x:c r="D257" s="373"/>
      <x:c r="E257" s="373"/>
      <x:c r="F257" s="373"/>
      <x:c r="G257" s="373"/>
      <x:c r="H257" s="373"/>
      <x:c r="I257" s="373"/>
      <x:c r="J257" s="373"/>
      <x:c r="K257" s="373"/>
      <x:c r="L257" s="373"/>
      <x:c r="M257" s="373"/>
      <x:c r="N257" s="373"/>
      <x:c r="O257" s="373"/>
      <x:c r="P257" s="373"/>
      <x:c r="Q257" s="373"/>
      <x:c r="R257" s="373"/>
      <x:c r="S257" s="373"/>
      <x:c r="T257" s="373"/>
      <x:c r="U257" s="373"/>
      <x:c r="V257" s="373"/>
      <x:c r="W257" s="373"/>
      <x:c r="X257" s="373"/>
      <x:c r="Y257" s="373"/>
      <x:c r="Z257" s="373"/>
    </x:row>
    <x:row r="258">
      <x:c r="A258" s="373"/>
      <x:c r="B258" s="373"/>
      <x:c r="C258" s="373"/>
      <x:c r="D258" s="373"/>
      <x:c r="E258" s="373"/>
      <x:c r="F258" s="373"/>
      <x:c r="G258" s="373"/>
      <x:c r="H258" s="373"/>
      <x:c r="I258" s="373"/>
      <x:c r="J258" s="373"/>
      <x:c r="K258" s="373"/>
      <x:c r="L258" s="373"/>
      <x:c r="M258" s="373"/>
      <x:c r="N258" s="373"/>
      <x:c r="O258" s="373"/>
      <x:c r="P258" s="373"/>
      <x:c r="Q258" s="373"/>
      <x:c r="R258" s="373"/>
      <x:c r="S258" s="373"/>
      <x:c r="T258" s="373"/>
      <x:c r="U258" s="373"/>
      <x:c r="V258" s="373"/>
      <x:c r="W258" s="373"/>
      <x:c r="X258" s="373"/>
      <x:c r="Y258" s="373"/>
      <x:c r="Z258" s="373"/>
    </x:row>
    <x:row r="259">
      <x:c r="A259" s="373"/>
      <x:c r="B259" s="373"/>
      <x:c r="C259" s="373"/>
      <x:c r="D259" s="373"/>
      <x:c r="E259" s="373"/>
      <x:c r="F259" s="373"/>
      <x:c r="G259" s="373"/>
      <x:c r="H259" s="373"/>
      <x:c r="I259" s="373"/>
      <x:c r="J259" s="373"/>
      <x:c r="K259" s="373"/>
      <x:c r="L259" s="373"/>
      <x:c r="M259" s="373"/>
      <x:c r="N259" s="373"/>
      <x:c r="O259" s="373"/>
      <x:c r="P259" s="373"/>
      <x:c r="Q259" s="373"/>
      <x:c r="R259" s="373"/>
      <x:c r="S259" s="373"/>
      <x:c r="T259" s="373"/>
      <x:c r="U259" s="373"/>
      <x:c r="V259" s="373"/>
      <x:c r="W259" s="373"/>
      <x:c r="X259" s="373"/>
      <x:c r="Y259" s="373"/>
      <x:c r="Z259" s="373"/>
    </x:row>
    <x:row r="260">
      <x:c r="A260" s="373"/>
      <x:c r="B260" s="373"/>
      <x:c r="C260" s="373"/>
      <x:c r="D260" s="373"/>
      <x:c r="E260" s="373"/>
      <x:c r="F260" s="373"/>
      <x:c r="G260" s="373"/>
      <x:c r="H260" s="373"/>
      <x:c r="I260" s="373"/>
      <x:c r="J260" s="373"/>
      <x:c r="K260" s="373"/>
      <x:c r="L260" s="373"/>
      <x:c r="M260" s="373"/>
      <x:c r="N260" s="373"/>
      <x:c r="O260" s="373"/>
      <x:c r="P260" s="373"/>
      <x:c r="Q260" s="373"/>
      <x:c r="R260" s="373"/>
      <x:c r="S260" s="373"/>
      <x:c r="T260" s="373"/>
      <x:c r="U260" s="373"/>
      <x:c r="V260" s="373"/>
      <x:c r="W260" s="373"/>
      <x:c r="X260" s="373"/>
      <x:c r="Y260" s="373"/>
      <x:c r="Z260" s="373"/>
    </x:row>
    <x:row r="261">
      <x:c r="A261" s="373"/>
      <x:c r="B261" s="373"/>
      <x:c r="C261" s="373"/>
      <x:c r="D261" s="373"/>
      <x:c r="E261" s="373"/>
      <x:c r="F261" s="373"/>
      <x:c r="G261" s="373"/>
      <x:c r="H261" s="373"/>
      <x:c r="I261" s="373"/>
      <x:c r="J261" s="373"/>
      <x:c r="K261" s="373"/>
      <x:c r="L261" s="373"/>
      <x:c r="M261" s="373"/>
      <x:c r="N261" s="373"/>
      <x:c r="O261" s="373"/>
      <x:c r="P261" s="373"/>
      <x:c r="Q261" s="373"/>
      <x:c r="R261" s="373"/>
      <x:c r="S261" s="373"/>
      <x:c r="T261" s="373"/>
      <x:c r="U261" s="373"/>
      <x:c r="V261" s="373"/>
      <x:c r="W261" s="373"/>
      <x:c r="X261" s="373"/>
      <x:c r="Y261" s="373"/>
      <x:c r="Z261" s="373"/>
    </x:row>
    <x:row r="262">
      <x:c r="A262" s="373"/>
      <x:c r="B262" s="373"/>
      <x:c r="C262" s="373"/>
      <x:c r="D262" s="373"/>
      <x:c r="E262" s="373"/>
      <x:c r="F262" s="373"/>
      <x:c r="G262" s="373"/>
      <x:c r="H262" s="373"/>
      <x:c r="I262" s="373"/>
      <x:c r="J262" s="373"/>
      <x:c r="K262" s="373"/>
      <x:c r="L262" s="373"/>
      <x:c r="M262" s="373"/>
      <x:c r="N262" s="373"/>
      <x:c r="O262" s="373"/>
      <x:c r="P262" s="373"/>
      <x:c r="Q262" s="373"/>
      <x:c r="R262" s="373"/>
      <x:c r="S262" s="373"/>
      <x:c r="T262" s="373"/>
      <x:c r="U262" s="373"/>
      <x:c r="V262" s="373"/>
      <x:c r="W262" s="373"/>
      <x:c r="X262" s="373"/>
      <x:c r="Y262" s="373"/>
      <x:c r="Z262" s="373"/>
    </x:row>
    <x:row r="263">
      <x:c r="A263" s="373"/>
      <x:c r="B263" s="373"/>
      <x:c r="C263" s="373"/>
      <x:c r="D263" s="373"/>
      <x:c r="E263" s="373"/>
      <x:c r="F263" s="373"/>
      <x:c r="G263" s="373"/>
      <x:c r="H263" s="373"/>
      <x:c r="I263" s="373"/>
      <x:c r="J263" s="373"/>
      <x:c r="K263" s="373"/>
      <x:c r="L263" s="373"/>
      <x:c r="M263" s="373"/>
      <x:c r="N263" s="373"/>
      <x:c r="O263" s="373"/>
      <x:c r="P263" s="373"/>
      <x:c r="Q263" s="373"/>
      <x:c r="R263" s="373"/>
      <x:c r="S263" s="373"/>
      <x:c r="T263" s="373"/>
      <x:c r="U263" s="373"/>
      <x:c r="V263" s="373"/>
      <x:c r="W263" s="373"/>
      <x:c r="X263" s="373"/>
      <x:c r="Y263" s="373"/>
      <x:c r="Z263" s="373"/>
    </x:row>
    <x:row r="264">
      <x:c r="A264" s="373"/>
      <x:c r="B264" s="373"/>
      <x:c r="C264" s="373"/>
      <x:c r="D264" s="373"/>
      <x:c r="E264" s="373"/>
      <x:c r="F264" s="373"/>
      <x:c r="G264" s="373"/>
      <x:c r="H264" s="373"/>
      <x:c r="I264" s="373"/>
      <x:c r="J264" s="373"/>
      <x:c r="K264" s="373"/>
      <x:c r="L264" s="373"/>
      <x:c r="M264" s="373"/>
      <x:c r="N264" s="373"/>
      <x:c r="O264" s="373"/>
      <x:c r="P264" s="373"/>
      <x:c r="Q264" s="373"/>
      <x:c r="R264" s="373"/>
      <x:c r="S264" s="373"/>
      <x:c r="T264" s="373"/>
      <x:c r="U264" s="373"/>
      <x:c r="V264" s="373"/>
      <x:c r="W264" s="373"/>
      <x:c r="X264" s="373"/>
      <x:c r="Y264" s="373"/>
      <x:c r="Z264" s="373"/>
    </x:row>
    <x:row r="265">
      <x:c r="A265" s="373"/>
      <x:c r="B265" s="373"/>
      <x:c r="C265" s="373"/>
      <x:c r="D265" s="373"/>
      <x:c r="E265" s="373"/>
      <x:c r="F265" s="373"/>
      <x:c r="G265" s="373"/>
      <x:c r="H265" s="373"/>
      <x:c r="I265" s="373"/>
      <x:c r="J265" s="373"/>
      <x:c r="K265" s="373"/>
      <x:c r="L265" s="373"/>
      <x:c r="M265" s="373"/>
      <x:c r="N265" s="373"/>
      <x:c r="O265" s="373"/>
      <x:c r="P265" s="373"/>
      <x:c r="Q265" s="373"/>
      <x:c r="R265" s="373"/>
      <x:c r="S265" s="373"/>
      <x:c r="T265" s="373"/>
      <x:c r="U265" s="373"/>
      <x:c r="V265" s="373"/>
      <x:c r="W265" s="373"/>
      <x:c r="X265" s="373"/>
      <x:c r="Y265" s="373"/>
      <x:c r="Z265" s="373"/>
    </x:row>
    <x:row r="266">
      <x:c r="A266" s="373"/>
      <x:c r="B266" s="373"/>
      <x:c r="C266" s="373"/>
      <x:c r="D266" s="373"/>
      <x:c r="E266" s="373"/>
      <x:c r="F266" s="373"/>
      <x:c r="G266" s="373"/>
      <x:c r="H266" s="373"/>
      <x:c r="I266" s="373"/>
      <x:c r="J266" s="373"/>
      <x:c r="K266" s="373"/>
      <x:c r="L266" s="373"/>
      <x:c r="M266" s="373"/>
      <x:c r="N266" s="373"/>
      <x:c r="O266" s="373"/>
      <x:c r="P266" s="373"/>
      <x:c r="Q266" s="373"/>
      <x:c r="R266" s="373"/>
      <x:c r="S266" s="373"/>
      <x:c r="T266" s="373"/>
      <x:c r="U266" s="373"/>
      <x:c r="V266" s="373"/>
      <x:c r="W266" s="373"/>
      <x:c r="X266" s="373"/>
      <x:c r="Y266" s="373"/>
      <x:c r="Z266" s="373"/>
    </x:row>
    <x:row r="267">
      <x:c r="A267" s="373"/>
      <x:c r="B267" s="373"/>
      <x:c r="C267" s="373"/>
      <x:c r="D267" s="373"/>
      <x:c r="E267" s="373"/>
      <x:c r="F267" s="373"/>
      <x:c r="G267" s="373"/>
      <x:c r="H267" s="373"/>
      <x:c r="I267" s="373"/>
      <x:c r="J267" s="373"/>
      <x:c r="K267" s="373"/>
      <x:c r="L267" s="373"/>
      <x:c r="M267" s="373"/>
      <x:c r="N267" s="373"/>
      <x:c r="O267" s="373"/>
      <x:c r="P267" s="373"/>
      <x:c r="Q267" s="373"/>
      <x:c r="R267" s="373"/>
      <x:c r="S267" s="373"/>
      <x:c r="T267" s="373"/>
      <x:c r="U267" s="373"/>
      <x:c r="V267" s="373"/>
      <x:c r="W267" s="373"/>
      <x:c r="X267" s="373"/>
      <x:c r="Y267" s="373"/>
      <x:c r="Z267" s="373"/>
    </x:row>
    <x:row r="268">
      <x:c r="A268" s="373"/>
      <x:c r="B268" s="373"/>
      <x:c r="C268" s="373"/>
      <x:c r="D268" s="373"/>
      <x:c r="E268" s="373"/>
      <x:c r="F268" s="373"/>
      <x:c r="G268" s="373"/>
      <x:c r="H268" s="373"/>
      <x:c r="I268" s="373"/>
      <x:c r="J268" s="373"/>
      <x:c r="K268" s="373"/>
      <x:c r="L268" s="373"/>
      <x:c r="M268" s="373"/>
      <x:c r="N268" s="373"/>
      <x:c r="O268" s="373"/>
      <x:c r="P268" s="373"/>
      <x:c r="Q268" s="373"/>
      <x:c r="R268" s="373"/>
      <x:c r="S268" s="373"/>
      <x:c r="T268" s="373"/>
      <x:c r="U268" s="373"/>
      <x:c r="V268" s="373"/>
      <x:c r="W268" s="373"/>
      <x:c r="X268" s="373"/>
      <x:c r="Y268" s="373"/>
      <x:c r="Z268" s="373"/>
    </x:row>
    <x:row r="269">
      <x:c r="A269" s="373"/>
      <x:c r="B269" s="373"/>
      <x:c r="C269" s="373"/>
      <x:c r="D269" s="373"/>
      <x:c r="E269" s="373"/>
      <x:c r="F269" s="373"/>
      <x:c r="G269" s="373"/>
      <x:c r="H269" s="373"/>
      <x:c r="I269" s="373"/>
      <x:c r="J269" s="373"/>
      <x:c r="K269" s="373"/>
      <x:c r="L269" s="373"/>
      <x:c r="M269" s="373"/>
      <x:c r="N269" s="373"/>
      <x:c r="O269" s="373"/>
      <x:c r="P269" s="373"/>
      <x:c r="Q269" s="373"/>
      <x:c r="R269" s="373"/>
      <x:c r="S269" s="373"/>
      <x:c r="T269" s="373"/>
      <x:c r="U269" s="373"/>
      <x:c r="V269" s="373"/>
      <x:c r="W269" s="373"/>
      <x:c r="X269" s="373"/>
      <x:c r="Y269" s="373"/>
      <x:c r="Z269" s="373"/>
    </x:row>
    <x:row r="270">
      <x:c r="A270" s="373"/>
      <x:c r="B270" s="373"/>
      <x:c r="C270" s="373"/>
      <x:c r="D270" s="373"/>
      <x:c r="E270" s="373"/>
      <x:c r="F270" s="373"/>
      <x:c r="G270" s="373"/>
      <x:c r="H270" s="373"/>
      <x:c r="I270" s="373"/>
      <x:c r="J270" s="373"/>
      <x:c r="K270" s="373"/>
      <x:c r="L270" s="373"/>
      <x:c r="M270" s="373"/>
      <x:c r="N270" s="373"/>
      <x:c r="O270" s="373"/>
      <x:c r="P270" s="373"/>
      <x:c r="Q270" s="373"/>
      <x:c r="R270" s="373"/>
      <x:c r="S270" s="373"/>
      <x:c r="T270" s="373"/>
      <x:c r="U270" s="373"/>
      <x:c r="V270" s="373"/>
      <x:c r="W270" s="373"/>
      <x:c r="X270" s="373"/>
      <x:c r="Y270" s="373"/>
      <x:c r="Z270" s="373"/>
    </x:row>
    <x:row r="271">
      <x:c r="A271" s="373"/>
      <x:c r="B271" s="373"/>
      <x:c r="C271" s="373"/>
      <x:c r="D271" s="373"/>
      <x:c r="E271" s="373"/>
      <x:c r="F271" s="373"/>
      <x:c r="G271" s="373"/>
      <x:c r="H271" s="373"/>
      <x:c r="I271" s="373"/>
      <x:c r="J271" s="373"/>
      <x:c r="K271" s="373"/>
      <x:c r="L271" s="373"/>
      <x:c r="M271" s="373"/>
      <x:c r="N271" s="373"/>
      <x:c r="O271" s="373"/>
      <x:c r="P271" s="373"/>
      <x:c r="Q271" s="373"/>
      <x:c r="R271" s="373"/>
      <x:c r="S271" s="373"/>
      <x:c r="T271" s="373"/>
      <x:c r="U271" s="373"/>
      <x:c r="V271" s="373"/>
      <x:c r="W271" s="373"/>
      <x:c r="X271" s="373"/>
      <x:c r="Y271" s="373"/>
      <x:c r="Z271" s="373"/>
    </x:row>
    <x:row r="272">
      <x:c r="A272" s="373"/>
      <x:c r="B272" s="373"/>
      <x:c r="C272" s="373"/>
      <x:c r="D272" s="373"/>
      <x:c r="E272" s="373"/>
      <x:c r="F272" s="373"/>
      <x:c r="G272" s="373"/>
      <x:c r="H272" s="373"/>
      <x:c r="I272" s="373"/>
      <x:c r="J272" s="373"/>
      <x:c r="K272" s="373"/>
      <x:c r="L272" s="373"/>
      <x:c r="M272" s="373"/>
      <x:c r="N272" s="373"/>
      <x:c r="O272" s="373"/>
      <x:c r="P272" s="373"/>
      <x:c r="Q272" s="373"/>
      <x:c r="R272" s="373"/>
      <x:c r="S272" s="373"/>
      <x:c r="T272" s="373"/>
      <x:c r="U272" s="373"/>
      <x:c r="V272" s="373"/>
      <x:c r="W272" s="373"/>
      <x:c r="X272" s="373"/>
      <x:c r="Y272" s="373"/>
      <x:c r="Z272" s="373"/>
    </x:row>
    <x:row r="273">
      <x:c r="A273" s="373"/>
      <x:c r="B273" s="373"/>
      <x:c r="C273" s="373"/>
      <x:c r="D273" s="373"/>
      <x:c r="E273" s="373"/>
      <x:c r="F273" s="373"/>
      <x:c r="G273" s="373"/>
      <x:c r="H273" s="373"/>
      <x:c r="I273" s="373"/>
      <x:c r="J273" s="373"/>
      <x:c r="K273" s="373"/>
      <x:c r="L273" s="373"/>
      <x:c r="M273" s="373"/>
      <x:c r="N273" s="373"/>
      <x:c r="O273" s="373"/>
      <x:c r="P273" s="373"/>
      <x:c r="Q273" s="373"/>
      <x:c r="R273" s="373"/>
      <x:c r="S273" s="373"/>
      <x:c r="T273" s="373"/>
      <x:c r="U273" s="373"/>
      <x:c r="V273" s="373"/>
      <x:c r="W273" s="373"/>
      <x:c r="X273" s="373"/>
      <x:c r="Y273" s="373"/>
      <x:c r="Z273" s="373"/>
    </x:row>
    <x:row r="274">
      <x:c r="A274" s="373"/>
      <x:c r="B274" s="373"/>
      <x:c r="C274" s="373"/>
      <x:c r="D274" s="373"/>
      <x:c r="E274" s="373"/>
      <x:c r="F274" s="373"/>
      <x:c r="G274" s="373"/>
      <x:c r="H274" s="373"/>
      <x:c r="I274" s="373"/>
      <x:c r="J274" s="373"/>
      <x:c r="K274" s="373"/>
      <x:c r="L274" s="373"/>
      <x:c r="M274" s="373"/>
      <x:c r="N274" s="373"/>
      <x:c r="O274" s="373"/>
      <x:c r="P274" s="373"/>
      <x:c r="Q274" s="373"/>
      <x:c r="R274" s="373"/>
      <x:c r="S274" s="373"/>
      <x:c r="T274" s="373"/>
      <x:c r="U274" s="373"/>
      <x:c r="V274" s="373"/>
      <x:c r="W274" s="373"/>
      <x:c r="X274" s="373"/>
      <x:c r="Y274" s="373"/>
      <x:c r="Z274" s="373"/>
    </x:row>
    <x:row r="275">
      <x:c r="A275" s="373"/>
      <x:c r="B275" s="373"/>
      <x:c r="C275" s="373"/>
      <x:c r="D275" s="373"/>
      <x:c r="E275" s="373"/>
      <x:c r="F275" s="373"/>
      <x:c r="G275" s="373"/>
      <x:c r="H275" s="373"/>
      <x:c r="I275" s="373"/>
      <x:c r="J275" s="373"/>
      <x:c r="K275" s="373"/>
      <x:c r="L275" s="373"/>
      <x:c r="M275" s="373"/>
      <x:c r="N275" s="373"/>
      <x:c r="O275" s="373"/>
      <x:c r="P275" s="373"/>
      <x:c r="Q275" s="373"/>
      <x:c r="R275" s="373"/>
      <x:c r="S275" s="373"/>
      <x:c r="T275" s="373"/>
      <x:c r="U275" s="373"/>
      <x:c r="V275" s="373"/>
      <x:c r="W275" s="373"/>
      <x:c r="X275" s="373"/>
      <x:c r="Y275" s="373"/>
      <x:c r="Z275" s="373"/>
    </x:row>
    <x:row r="276">
      <x:c r="A276" s="373"/>
      <x:c r="B276" s="373"/>
      <x:c r="C276" s="373"/>
      <x:c r="D276" s="373"/>
      <x:c r="E276" s="373"/>
      <x:c r="F276" s="373"/>
      <x:c r="G276" s="373"/>
      <x:c r="H276" s="373"/>
      <x:c r="I276" s="373"/>
      <x:c r="J276" s="373"/>
      <x:c r="K276" s="373"/>
      <x:c r="L276" s="373"/>
      <x:c r="M276" s="373"/>
      <x:c r="N276" s="373"/>
      <x:c r="O276" s="373"/>
      <x:c r="P276" s="373"/>
      <x:c r="Q276" s="373"/>
      <x:c r="R276" s="373"/>
      <x:c r="S276" s="373"/>
      <x:c r="T276" s="373"/>
      <x:c r="U276" s="373"/>
      <x:c r="V276" s="373"/>
      <x:c r="W276" s="373"/>
      <x:c r="X276" s="373"/>
      <x:c r="Y276" s="373"/>
      <x:c r="Z276" s="373"/>
    </x:row>
    <x:row r="277">
      <x:c r="A277" s="373"/>
      <x:c r="B277" s="373"/>
      <x:c r="C277" s="373"/>
      <x:c r="D277" s="373"/>
      <x:c r="E277" s="373"/>
      <x:c r="F277" s="373"/>
      <x:c r="G277" s="373"/>
      <x:c r="H277" s="373"/>
      <x:c r="I277" s="373"/>
      <x:c r="J277" s="373"/>
      <x:c r="K277" s="373"/>
      <x:c r="L277" s="373"/>
      <x:c r="M277" s="373"/>
      <x:c r="N277" s="373"/>
      <x:c r="O277" s="373"/>
      <x:c r="P277" s="373"/>
      <x:c r="Q277" s="373"/>
      <x:c r="R277" s="373"/>
      <x:c r="S277" s="373"/>
      <x:c r="T277" s="373"/>
      <x:c r="U277" s="373"/>
      <x:c r="V277" s="373"/>
      <x:c r="W277" s="373"/>
      <x:c r="X277" s="373"/>
      <x:c r="Y277" s="373"/>
      <x:c r="Z277" s="373"/>
    </x:row>
    <x:row r="278">
      <x:c r="A278" s="373"/>
      <x:c r="B278" s="373"/>
      <x:c r="C278" s="373"/>
      <x:c r="D278" s="373"/>
      <x:c r="E278" s="373"/>
      <x:c r="F278" s="373"/>
      <x:c r="G278" s="373"/>
      <x:c r="H278" s="373"/>
      <x:c r="I278" s="373"/>
      <x:c r="J278" s="373"/>
      <x:c r="K278" s="373"/>
      <x:c r="L278" s="373"/>
      <x:c r="M278" s="373"/>
      <x:c r="N278" s="373"/>
      <x:c r="O278" s="373"/>
      <x:c r="P278" s="373"/>
      <x:c r="Q278" s="373"/>
      <x:c r="R278" s="373"/>
      <x:c r="S278" s="373"/>
      <x:c r="T278" s="373"/>
      <x:c r="U278" s="373"/>
      <x:c r="V278" s="373"/>
      <x:c r="W278" s="373"/>
      <x:c r="X278" s="373"/>
      <x:c r="Y278" s="373"/>
      <x:c r="Z278" s="373"/>
    </x:row>
    <x:row r="279">
      <x:c r="A279" s="373"/>
      <x:c r="B279" s="373"/>
      <x:c r="C279" s="373"/>
      <x:c r="D279" s="373"/>
      <x:c r="E279" s="373"/>
      <x:c r="F279" s="373"/>
      <x:c r="G279" s="373"/>
      <x:c r="H279" s="373"/>
      <x:c r="I279" s="373"/>
      <x:c r="J279" s="373"/>
      <x:c r="K279" s="373"/>
      <x:c r="L279" s="373"/>
      <x:c r="M279" s="373"/>
      <x:c r="N279" s="373"/>
      <x:c r="O279" s="373"/>
      <x:c r="P279" s="373"/>
      <x:c r="Q279" s="373"/>
      <x:c r="R279" s="373"/>
      <x:c r="S279" s="373"/>
      <x:c r="T279" s="373"/>
      <x:c r="U279" s="373"/>
      <x:c r="V279" s="373"/>
      <x:c r="W279" s="373"/>
      <x:c r="X279" s="373"/>
      <x:c r="Y279" s="373"/>
      <x:c r="Z279" s="373"/>
    </x:row>
    <x:row r="280">
      <x:c r="A280" s="373"/>
      <x:c r="B280" s="373"/>
      <x:c r="C280" s="373"/>
      <x:c r="D280" s="373"/>
      <x:c r="E280" s="373"/>
      <x:c r="F280" s="373"/>
      <x:c r="G280" s="373"/>
      <x:c r="H280" s="373"/>
      <x:c r="I280" s="373"/>
      <x:c r="J280" s="373"/>
      <x:c r="K280" s="373"/>
      <x:c r="L280" s="373"/>
      <x:c r="M280" s="373"/>
      <x:c r="N280" s="373"/>
      <x:c r="O280" s="373"/>
      <x:c r="P280" s="373"/>
      <x:c r="Q280" s="373"/>
      <x:c r="R280" s="373"/>
      <x:c r="S280" s="373"/>
      <x:c r="T280" s="373"/>
      <x:c r="U280" s="373"/>
      <x:c r="V280" s="373"/>
      <x:c r="W280" s="373"/>
      <x:c r="X280" s="373"/>
      <x:c r="Y280" s="373"/>
      <x:c r="Z280" s="373"/>
    </x:row>
    <x:row r="281">
      <x:c r="A281" s="373"/>
      <x:c r="B281" s="373"/>
      <x:c r="C281" s="373"/>
      <x:c r="D281" s="373"/>
      <x:c r="E281" s="373"/>
      <x:c r="F281" s="373"/>
      <x:c r="G281" s="373"/>
      <x:c r="H281" s="373"/>
      <x:c r="I281" s="373"/>
      <x:c r="J281" s="373"/>
      <x:c r="K281" s="373"/>
      <x:c r="L281" s="373"/>
      <x:c r="M281" s="373"/>
      <x:c r="N281" s="373"/>
      <x:c r="O281" s="373"/>
      <x:c r="P281" s="373"/>
      <x:c r="Q281" s="373"/>
      <x:c r="R281" s="373"/>
      <x:c r="S281" s="373"/>
      <x:c r="T281" s="373"/>
      <x:c r="U281" s="373"/>
      <x:c r="V281" s="373"/>
      <x:c r="W281" s="373"/>
      <x:c r="X281" s="373"/>
      <x:c r="Y281" s="373"/>
      <x:c r="Z281" s="373"/>
    </x:row>
    <x:row r="282">
      <x:c r="A282" s="373"/>
      <x:c r="B282" s="373"/>
      <x:c r="C282" s="373"/>
      <x:c r="D282" s="373"/>
      <x:c r="E282" s="373"/>
      <x:c r="F282" s="373"/>
      <x:c r="G282" s="373"/>
      <x:c r="H282" s="373"/>
      <x:c r="I282" s="373"/>
      <x:c r="J282" s="373"/>
      <x:c r="K282" s="373"/>
      <x:c r="L282" s="373"/>
      <x:c r="M282" s="373"/>
      <x:c r="N282" s="373"/>
      <x:c r="O282" s="373"/>
      <x:c r="P282" s="373"/>
      <x:c r="Q282" s="373"/>
      <x:c r="R282" s="373"/>
      <x:c r="S282" s="373"/>
      <x:c r="T282" s="373"/>
      <x:c r="U282" s="373"/>
      <x:c r="V282" s="373"/>
      <x:c r="W282" s="373"/>
      <x:c r="X282" s="373"/>
      <x:c r="Y282" s="373"/>
      <x:c r="Z282" s="373"/>
    </x:row>
    <x:row r="283">
      <x:c r="A283" s="373"/>
      <x:c r="B283" s="373"/>
      <x:c r="C283" s="373"/>
      <x:c r="D283" s="373"/>
      <x:c r="E283" s="373"/>
      <x:c r="F283" s="373"/>
      <x:c r="G283" s="373"/>
      <x:c r="H283" s="373"/>
      <x:c r="I283" s="373"/>
      <x:c r="J283" s="373"/>
      <x:c r="K283" s="373"/>
      <x:c r="L283" s="373"/>
      <x:c r="M283" s="373"/>
      <x:c r="N283" s="373"/>
      <x:c r="O283" s="373"/>
      <x:c r="P283" s="373"/>
      <x:c r="Q283" s="373"/>
      <x:c r="R283" s="373"/>
      <x:c r="S283" s="373"/>
      <x:c r="T283" s="373"/>
      <x:c r="U283" s="373"/>
      <x:c r="V283" s="373"/>
      <x:c r="W283" s="373"/>
      <x:c r="X283" s="373"/>
      <x:c r="Y283" s="373"/>
      <x:c r="Z283" s="373"/>
    </x:row>
    <x:row r="284">
      <x:c r="A284" s="373"/>
      <x:c r="B284" s="373"/>
      <x:c r="C284" s="373"/>
      <x:c r="D284" s="373"/>
      <x:c r="E284" s="373"/>
      <x:c r="F284" s="373"/>
      <x:c r="G284" s="373"/>
      <x:c r="H284" s="373"/>
      <x:c r="I284" s="373"/>
      <x:c r="J284" s="373"/>
      <x:c r="K284" s="373"/>
      <x:c r="L284" s="373"/>
      <x:c r="M284" s="373"/>
      <x:c r="N284" s="373"/>
      <x:c r="O284" s="373"/>
      <x:c r="P284" s="373"/>
      <x:c r="Q284" s="373"/>
      <x:c r="R284" s="373"/>
      <x:c r="S284" s="373"/>
      <x:c r="T284" s="373"/>
      <x:c r="U284" s="373"/>
      <x:c r="V284" s="373"/>
      <x:c r="W284" s="373"/>
      <x:c r="X284" s="373"/>
      <x:c r="Y284" s="373"/>
      <x:c r="Z284" s="373"/>
    </x:row>
    <x:row r="285">
      <x:c r="A285" s="373"/>
      <x:c r="B285" s="373"/>
      <x:c r="C285" s="373"/>
      <x:c r="D285" s="373"/>
      <x:c r="E285" s="373"/>
      <x:c r="F285" s="373"/>
      <x:c r="G285" s="373"/>
      <x:c r="H285" s="373"/>
      <x:c r="I285" s="373"/>
      <x:c r="J285" s="373"/>
      <x:c r="K285" s="373"/>
      <x:c r="L285" s="373"/>
      <x:c r="M285" s="373"/>
      <x:c r="N285" s="373"/>
      <x:c r="O285" s="373"/>
      <x:c r="P285" s="373"/>
      <x:c r="Q285" s="373"/>
      <x:c r="R285" s="373"/>
      <x:c r="S285" s="373"/>
      <x:c r="T285" s="373"/>
      <x:c r="U285" s="373"/>
      <x:c r="V285" s="373"/>
      <x:c r="W285" s="373"/>
      <x:c r="X285" s="373"/>
      <x:c r="Y285" s="373"/>
      <x:c r="Z285" s="373"/>
    </x:row>
    <x:row r="286">
      <x:c r="A286" s="373"/>
      <x:c r="B286" s="373"/>
      <x:c r="C286" s="373"/>
      <x:c r="D286" s="373"/>
      <x:c r="E286" s="373"/>
      <x:c r="F286" s="373"/>
      <x:c r="G286" s="373"/>
      <x:c r="H286" s="373"/>
      <x:c r="I286" s="373"/>
      <x:c r="J286" s="373"/>
      <x:c r="K286" s="373"/>
      <x:c r="L286" s="373"/>
      <x:c r="M286" s="373"/>
      <x:c r="N286" s="373"/>
      <x:c r="O286" s="373"/>
      <x:c r="P286" s="373"/>
      <x:c r="Q286" s="373"/>
      <x:c r="R286" s="373"/>
      <x:c r="S286" s="373"/>
      <x:c r="T286" s="373"/>
      <x:c r="U286" s="373"/>
      <x:c r="V286" s="373"/>
      <x:c r="W286" s="373"/>
      <x:c r="X286" s="373"/>
      <x:c r="Y286" s="373"/>
      <x:c r="Z286" s="373"/>
    </x:row>
    <x:row r="287">
      <x:c r="A287" s="373"/>
      <x:c r="B287" s="373"/>
      <x:c r="C287" s="373"/>
      <x:c r="D287" s="373"/>
      <x:c r="E287" s="373"/>
      <x:c r="F287" s="373"/>
      <x:c r="G287" s="373"/>
      <x:c r="H287" s="373"/>
      <x:c r="I287" s="373"/>
      <x:c r="J287" s="373"/>
      <x:c r="K287" s="373"/>
      <x:c r="L287" s="373"/>
      <x:c r="M287" s="373"/>
      <x:c r="N287" s="373"/>
      <x:c r="O287" s="373"/>
      <x:c r="P287" s="373"/>
      <x:c r="Q287" s="373"/>
      <x:c r="R287" s="373"/>
      <x:c r="S287" s="373"/>
      <x:c r="T287" s="373"/>
      <x:c r="U287" s="373"/>
      <x:c r="V287" s="373"/>
      <x:c r="W287" s="373"/>
      <x:c r="X287" s="373"/>
      <x:c r="Y287" s="373"/>
      <x:c r="Z287" s="373"/>
    </x:row>
    <x:row r="288">
      <x:c r="A288" s="373"/>
      <x:c r="B288" s="373"/>
      <x:c r="C288" s="373"/>
      <x:c r="D288" s="373"/>
      <x:c r="E288" s="373"/>
      <x:c r="F288" s="373"/>
      <x:c r="G288" s="373"/>
      <x:c r="H288" s="373"/>
      <x:c r="I288" s="373"/>
      <x:c r="J288" s="373"/>
      <x:c r="K288" s="373"/>
      <x:c r="L288" s="373"/>
      <x:c r="M288" s="373"/>
      <x:c r="N288" s="373"/>
      <x:c r="O288" s="373"/>
      <x:c r="P288" s="373"/>
      <x:c r="Q288" s="373"/>
      <x:c r="R288" s="373"/>
      <x:c r="S288" s="373"/>
      <x:c r="T288" s="373"/>
      <x:c r="U288" s="373"/>
      <x:c r="V288" s="373"/>
      <x:c r="W288" s="373"/>
      <x:c r="X288" s="373"/>
      <x:c r="Y288" s="373"/>
      <x:c r="Z288" s="373"/>
    </x:row>
    <x:row r="289">
      <x:c r="A289" s="373"/>
      <x:c r="B289" s="373"/>
      <x:c r="C289" s="373"/>
      <x:c r="D289" s="373"/>
      <x:c r="E289" s="373"/>
      <x:c r="F289" s="373"/>
      <x:c r="G289" s="373"/>
      <x:c r="H289" s="373"/>
      <x:c r="I289" s="373"/>
      <x:c r="J289" s="373"/>
      <x:c r="K289" s="373"/>
      <x:c r="L289" s="373"/>
      <x:c r="M289" s="373"/>
      <x:c r="N289" s="373"/>
      <x:c r="O289" s="373"/>
      <x:c r="P289" s="373"/>
      <x:c r="Q289" s="373"/>
      <x:c r="R289" s="373"/>
      <x:c r="S289" s="373"/>
      <x:c r="T289" s="373"/>
      <x:c r="U289" s="373"/>
      <x:c r="V289" s="373"/>
      <x:c r="W289" s="373"/>
      <x:c r="X289" s="373"/>
      <x:c r="Y289" s="373"/>
      <x:c r="Z289" s="373"/>
    </x:row>
    <x:row r="290">
      <x:c r="A290" s="373"/>
      <x:c r="B290" s="373"/>
      <x:c r="C290" s="373"/>
      <x:c r="D290" s="373"/>
      <x:c r="E290" s="373"/>
      <x:c r="F290" s="373"/>
      <x:c r="G290" s="373"/>
      <x:c r="H290" s="373"/>
      <x:c r="I290" s="373"/>
      <x:c r="J290" s="373"/>
      <x:c r="K290" s="373"/>
      <x:c r="L290" s="373"/>
      <x:c r="M290" s="373"/>
      <x:c r="N290" s="373"/>
      <x:c r="O290" s="373"/>
      <x:c r="P290" s="373"/>
      <x:c r="Q290" s="373"/>
      <x:c r="R290" s="373"/>
      <x:c r="S290" s="373"/>
      <x:c r="T290" s="373"/>
      <x:c r="U290" s="373"/>
      <x:c r="V290" s="373"/>
      <x:c r="W290" s="373"/>
      <x:c r="X290" s="373"/>
      <x:c r="Y290" s="373"/>
      <x:c r="Z290" s="373"/>
    </x:row>
    <x:row r="291">
      <x:c r="A291" s="373"/>
      <x:c r="B291" s="373"/>
      <x:c r="C291" s="373"/>
      <x:c r="D291" s="373"/>
      <x:c r="E291" s="373"/>
      <x:c r="F291" s="373"/>
      <x:c r="G291" s="373"/>
      <x:c r="H291" s="373"/>
      <x:c r="I291" s="373"/>
      <x:c r="J291" s="373"/>
      <x:c r="K291" s="373"/>
      <x:c r="L291" s="373"/>
      <x:c r="M291" s="373"/>
      <x:c r="N291" s="373"/>
      <x:c r="O291" s="373"/>
      <x:c r="P291" s="373"/>
      <x:c r="Q291" s="373"/>
      <x:c r="R291" s="373"/>
      <x:c r="S291" s="373"/>
      <x:c r="T291" s="373"/>
      <x:c r="U291" s="373"/>
      <x:c r="V291" s="373"/>
      <x:c r="W291" s="373"/>
      <x:c r="X291" s="373"/>
      <x:c r="Y291" s="373"/>
      <x:c r="Z291" s="373"/>
    </x:row>
    <x:row r="292">
      <x:c r="A292" s="373"/>
      <x:c r="B292" s="373"/>
      <x:c r="C292" s="373"/>
      <x:c r="D292" s="373"/>
      <x:c r="E292" s="373"/>
      <x:c r="F292" s="373"/>
      <x:c r="G292" s="373"/>
      <x:c r="H292" s="373"/>
      <x:c r="I292" s="373"/>
      <x:c r="J292" s="373"/>
      <x:c r="K292" s="373"/>
      <x:c r="L292" s="373"/>
      <x:c r="M292" s="373"/>
      <x:c r="N292" s="373"/>
      <x:c r="O292" s="373"/>
      <x:c r="P292" s="373"/>
      <x:c r="Q292" s="373"/>
      <x:c r="R292" s="373"/>
      <x:c r="S292" s="373"/>
      <x:c r="T292" s="373"/>
      <x:c r="U292" s="373"/>
      <x:c r="V292" s="373"/>
      <x:c r="W292" s="373"/>
      <x:c r="X292" s="373"/>
      <x:c r="Y292" s="373"/>
      <x:c r="Z292" s="373"/>
    </x:row>
    <x:row r="293">
      <x:c r="A293" s="373"/>
      <x:c r="B293" s="373"/>
      <x:c r="C293" s="373"/>
      <x:c r="D293" s="373"/>
      <x:c r="E293" s="373"/>
      <x:c r="F293" s="373"/>
      <x:c r="G293" s="373"/>
      <x:c r="H293" s="373"/>
      <x:c r="I293" s="373"/>
      <x:c r="J293" s="373"/>
      <x:c r="K293" s="373"/>
      <x:c r="L293" s="373"/>
      <x:c r="M293" s="373"/>
      <x:c r="N293" s="373"/>
      <x:c r="O293" s="373"/>
      <x:c r="P293" s="373"/>
      <x:c r="Q293" s="373"/>
      <x:c r="R293" s="373"/>
      <x:c r="S293" s="373"/>
      <x:c r="T293" s="373"/>
      <x:c r="U293" s="373"/>
      <x:c r="V293" s="373"/>
      <x:c r="W293" s="373"/>
      <x:c r="X293" s="373"/>
      <x:c r="Y293" s="373"/>
      <x:c r="Z293" s="373"/>
    </x:row>
    <x:row r="294">
      <x:c r="A294" s="373"/>
      <x:c r="B294" s="373"/>
      <x:c r="C294" s="373"/>
      <x:c r="D294" s="373"/>
      <x:c r="E294" s="373"/>
      <x:c r="F294" s="373"/>
      <x:c r="G294" s="373"/>
      <x:c r="H294" s="373"/>
      <x:c r="I294" s="373"/>
      <x:c r="J294" s="373"/>
      <x:c r="K294" s="373"/>
      <x:c r="L294" s="373"/>
      <x:c r="M294" s="373"/>
      <x:c r="N294" s="373"/>
      <x:c r="O294" s="373"/>
      <x:c r="P294" s="373"/>
      <x:c r="Q294" s="373"/>
      <x:c r="R294" s="373"/>
      <x:c r="S294" s="373"/>
      <x:c r="T294" s="373"/>
      <x:c r="U294" s="373"/>
      <x:c r="V294" s="373"/>
      <x:c r="W294" s="373"/>
      <x:c r="X294" s="373"/>
      <x:c r="Y294" s="373"/>
      <x:c r="Z294" s="373"/>
    </x:row>
    <x:row r="295">
      <x:c r="A295" s="373"/>
      <x:c r="B295" s="373"/>
      <x:c r="C295" s="373"/>
      <x:c r="D295" s="373"/>
      <x:c r="E295" s="373"/>
      <x:c r="F295" s="373"/>
      <x:c r="G295" s="373"/>
      <x:c r="H295" s="373"/>
      <x:c r="I295" s="373"/>
      <x:c r="J295" s="373"/>
      <x:c r="K295" s="373"/>
      <x:c r="L295" s="373"/>
      <x:c r="M295" s="373"/>
      <x:c r="N295" s="373"/>
      <x:c r="O295" s="373"/>
      <x:c r="P295" s="373"/>
      <x:c r="Q295" s="373"/>
      <x:c r="R295" s="373"/>
      <x:c r="S295" s="373"/>
      <x:c r="T295" s="373"/>
      <x:c r="U295" s="373"/>
      <x:c r="V295" s="373"/>
      <x:c r="W295" s="373"/>
      <x:c r="X295" s="373"/>
      <x:c r="Y295" s="373"/>
      <x:c r="Z295" s="373"/>
    </x:row>
    <x:row r="296">
      <x:c r="A296" s="373"/>
      <x:c r="B296" s="373"/>
      <x:c r="C296" s="373"/>
      <x:c r="D296" s="373"/>
      <x:c r="E296" s="373"/>
      <x:c r="F296" s="373"/>
      <x:c r="G296" s="373"/>
      <x:c r="H296" s="373"/>
      <x:c r="I296" s="373"/>
      <x:c r="J296" s="373"/>
      <x:c r="K296" s="373"/>
      <x:c r="L296" s="373"/>
      <x:c r="M296" s="373"/>
      <x:c r="N296" s="373"/>
      <x:c r="O296" s="373"/>
      <x:c r="P296" s="373"/>
      <x:c r="Q296" s="373"/>
      <x:c r="R296" s="373"/>
      <x:c r="S296" s="373"/>
      <x:c r="T296" s="373"/>
      <x:c r="U296" s="373"/>
      <x:c r="V296" s="373"/>
      <x:c r="W296" s="373"/>
      <x:c r="X296" s="373"/>
      <x:c r="Y296" s="373"/>
      <x:c r="Z296" s="373"/>
    </x:row>
    <x:row r="297">
      <x:c r="A297" s="373"/>
      <x:c r="B297" s="373"/>
      <x:c r="C297" s="373"/>
      <x:c r="D297" s="373"/>
      <x:c r="E297" s="373"/>
      <x:c r="F297" s="373"/>
      <x:c r="G297" s="373"/>
      <x:c r="H297" s="373"/>
      <x:c r="I297" s="373"/>
      <x:c r="J297" s="373"/>
      <x:c r="K297" s="373"/>
      <x:c r="L297" s="373"/>
      <x:c r="M297" s="373"/>
      <x:c r="N297" s="373"/>
      <x:c r="O297" s="373"/>
      <x:c r="P297" s="373"/>
      <x:c r="Q297" s="373"/>
      <x:c r="R297" s="373"/>
      <x:c r="S297" s="373"/>
      <x:c r="T297" s="373"/>
      <x:c r="U297" s="373"/>
      <x:c r="V297" s="373"/>
      <x:c r="W297" s="373"/>
      <x:c r="X297" s="373"/>
      <x:c r="Y297" s="373"/>
      <x:c r="Z297" s="373"/>
    </x:row>
    <x:row r="298">
      <x:c r="A298" s="373"/>
      <x:c r="B298" s="373"/>
      <x:c r="C298" s="373"/>
      <x:c r="D298" s="373"/>
      <x:c r="E298" s="373"/>
      <x:c r="F298" s="373"/>
      <x:c r="G298" s="373"/>
      <x:c r="H298" s="373"/>
      <x:c r="I298" s="373"/>
      <x:c r="J298" s="373"/>
      <x:c r="K298" s="373"/>
      <x:c r="L298" s="373"/>
      <x:c r="M298" s="373"/>
      <x:c r="N298" s="373"/>
      <x:c r="O298" s="373"/>
      <x:c r="P298" s="373"/>
      <x:c r="Q298" s="373"/>
      <x:c r="R298" s="373"/>
      <x:c r="S298" s="373"/>
      <x:c r="T298" s="373"/>
      <x:c r="U298" s="373"/>
      <x:c r="V298" s="373"/>
      <x:c r="W298" s="373"/>
      <x:c r="X298" s="373"/>
      <x:c r="Y298" s="373"/>
      <x:c r="Z298" s="373"/>
    </x:row>
    <x:row r="299">
      <x:c r="A299" s="373"/>
      <x:c r="B299" s="373"/>
      <x:c r="C299" s="373"/>
      <x:c r="D299" s="373"/>
      <x:c r="E299" s="373"/>
      <x:c r="F299" s="373"/>
      <x:c r="G299" s="373"/>
      <x:c r="H299" s="373"/>
      <x:c r="I299" s="373"/>
      <x:c r="J299" s="373"/>
      <x:c r="K299" s="373"/>
      <x:c r="L299" s="373"/>
      <x:c r="M299" s="373"/>
      <x:c r="N299" s="373"/>
      <x:c r="O299" s="373"/>
      <x:c r="P299" s="373"/>
      <x:c r="Q299" s="373"/>
      <x:c r="R299" s="373"/>
      <x:c r="S299" s="373"/>
      <x:c r="T299" s="373"/>
      <x:c r="U299" s="373"/>
      <x:c r="V299" s="373"/>
      <x:c r="W299" s="373"/>
      <x:c r="X299" s="373"/>
      <x:c r="Y299" s="373"/>
      <x:c r="Z299" s="373"/>
    </x:row>
    <x:row r="300">
      <x:c r="A300" s="373"/>
      <x:c r="B300" s="373"/>
      <x:c r="C300" s="373"/>
      <x:c r="D300" s="373"/>
      <x:c r="E300" s="373"/>
      <x:c r="F300" s="373"/>
      <x:c r="G300" s="373"/>
      <x:c r="H300" s="373"/>
      <x:c r="I300" s="373"/>
      <x:c r="J300" s="373"/>
      <x:c r="K300" s="373"/>
      <x:c r="L300" s="373"/>
      <x:c r="M300" s="373"/>
      <x:c r="N300" s="373"/>
      <x:c r="O300" s="373"/>
      <x:c r="P300" s="373"/>
      <x:c r="Q300" s="373"/>
      <x:c r="R300" s="373"/>
      <x:c r="S300" s="373"/>
      <x:c r="T300" s="373"/>
      <x:c r="U300" s="373"/>
      <x:c r="V300" s="373"/>
      <x:c r="W300" s="373"/>
      <x:c r="X300" s="373"/>
      <x:c r="Y300" s="373"/>
      <x:c r="Z300" s="373"/>
    </x:row>
    <x:row r="301">
      <x:c r="A301" s="373"/>
      <x:c r="B301" s="373"/>
      <x:c r="C301" s="373"/>
      <x:c r="D301" s="373"/>
      <x:c r="E301" s="373"/>
      <x:c r="F301" s="373"/>
      <x:c r="G301" s="373"/>
      <x:c r="H301" s="373"/>
      <x:c r="I301" s="373"/>
      <x:c r="J301" s="373"/>
      <x:c r="K301" s="373"/>
      <x:c r="L301" s="373"/>
      <x:c r="M301" s="373"/>
      <x:c r="N301" s="373"/>
      <x:c r="O301" s="373"/>
      <x:c r="P301" s="373"/>
      <x:c r="Q301" s="373"/>
      <x:c r="R301" s="373"/>
      <x:c r="S301" s="373"/>
      <x:c r="T301" s="373"/>
      <x:c r="U301" s="373"/>
      <x:c r="V301" s="373"/>
      <x:c r="W301" s="373"/>
      <x:c r="X301" s="373"/>
      <x:c r="Y301" s="373"/>
      <x:c r="Z301" s="373"/>
    </x:row>
    <x:row r="302">
      <x:c r="A302" s="373"/>
      <x:c r="B302" s="373"/>
      <x:c r="C302" s="373"/>
      <x:c r="D302" s="373"/>
      <x:c r="E302" s="373"/>
      <x:c r="F302" s="373"/>
      <x:c r="G302" s="373"/>
      <x:c r="H302" s="373"/>
      <x:c r="I302" s="373"/>
      <x:c r="J302" s="373"/>
      <x:c r="K302" s="373"/>
      <x:c r="L302" s="373"/>
      <x:c r="M302" s="373"/>
      <x:c r="N302" s="373"/>
      <x:c r="O302" s="373"/>
      <x:c r="P302" s="373"/>
      <x:c r="Q302" s="373"/>
      <x:c r="R302" s="373"/>
      <x:c r="S302" s="373"/>
      <x:c r="T302" s="373"/>
      <x:c r="U302" s="373"/>
      <x:c r="V302" s="373"/>
      <x:c r="W302" s="373"/>
      <x:c r="X302" s="373"/>
      <x:c r="Y302" s="373"/>
      <x:c r="Z302" s="373"/>
    </x:row>
    <x:row r="303">
      <x:c r="A303" s="373"/>
      <x:c r="B303" s="373"/>
      <x:c r="C303" s="373"/>
      <x:c r="D303" s="373"/>
      <x:c r="E303" s="373"/>
      <x:c r="F303" s="373"/>
      <x:c r="G303" s="373"/>
      <x:c r="H303" s="373"/>
      <x:c r="I303" s="373"/>
      <x:c r="J303" s="373"/>
      <x:c r="K303" s="373"/>
      <x:c r="L303" s="373"/>
      <x:c r="M303" s="373"/>
      <x:c r="N303" s="373"/>
      <x:c r="O303" s="373"/>
      <x:c r="P303" s="373"/>
      <x:c r="Q303" s="373"/>
      <x:c r="R303" s="373"/>
      <x:c r="S303" s="373"/>
      <x:c r="T303" s="373"/>
      <x:c r="U303" s="373"/>
      <x:c r="V303" s="373"/>
      <x:c r="W303" s="373"/>
      <x:c r="X303" s="373"/>
      <x:c r="Y303" s="373"/>
      <x:c r="Z303" s="373"/>
    </x:row>
    <x:row r="304">
      <x:c r="A304" s="373"/>
      <x:c r="B304" s="373"/>
      <x:c r="C304" s="373"/>
      <x:c r="D304" s="373"/>
      <x:c r="E304" s="373"/>
      <x:c r="F304" s="373"/>
      <x:c r="G304" s="373"/>
      <x:c r="H304" s="373"/>
      <x:c r="I304" s="373"/>
      <x:c r="J304" s="373"/>
      <x:c r="K304" s="373"/>
      <x:c r="L304" s="373"/>
      <x:c r="M304" s="373"/>
      <x:c r="N304" s="373"/>
      <x:c r="O304" s="373"/>
      <x:c r="P304" s="373"/>
      <x:c r="Q304" s="373"/>
      <x:c r="R304" s="373"/>
      <x:c r="S304" s="373"/>
      <x:c r="T304" s="373"/>
      <x:c r="U304" s="373"/>
      <x:c r="V304" s="373"/>
      <x:c r="W304" s="373"/>
      <x:c r="X304" s="373"/>
      <x:c r="Y304" s="373"/>
      <x:c r="Z304" s="373"/>
    </x:row>
    <x:row r="305">
      <x:c r="A305" s="373"/>
      <x:c r="B305" s="373"/>
      <x:c r="C305" s="373"/>
      <x:c r="D305" s="373"/>
      <x:c r="E305" s="373"/>
      <x:c r="F305" s="373"/>
      <x:c r="G305" s="373"/>
      <x:c r="H305" s="373"/>
      <x:c r="I305" s="373"/>
      <x:c r="J305" s="373"/>
      <x:c r="K305" s="373"/>
      <x:c r="L305" s="373"/>
      <x:c r="M305" s="373"/>
      <x:c r="N305" s="373"/>
      <x:c r="O305" s="373"/>
      <x:c r="P305" s="373"/>
      <x:c r="Q305" s="373"/>
      <x:c r="R305" s="373"/>
      <x:c r="S305" s="373"/>
      <x:c r="T305" s="373"/>
      <x:c r="U305" s="373"/>
      <x:c r="V305" s="373"/>
      <x:c r="W305" s="373"/>
      <x:c r="X305" s="373"/>
      <x:c r="Y305" s="373"/>
      <x:c r="Z305" s="373"/>
    </x:row>
    <x:row r="306">
      <x:c r="A306" s="373"/>
      <x:c r="B306" s="373"/>
      <x:c r="C306" s="373"/>
      <x:c r="D306" s="373"/>
      <x:c r="E306" s="373"/>
      <x:c r="F306" s="373"/>
      <x:c r="G306" s="373"/>
      <x:c r="H306" s="373"/>
      <x:c r="I306" s="373"/>
      <x:c r="J306" s="373"/>
      <x:c r="K306" s="373"/>
      <x:c r="L306" s="373"/>
      <x:c r="M306" s="373"/>
      <x:c r="N306" s="373"/>
      <x:c r="O306" s="373"/>
      <x:c r="P306" s="373"/>
      <x:c r="Q306" s="373"/>
      <x:c r="R306" s="373"/>
      <x:c r="S306" s="373"/>
      <x:c r="T306" s="373"/>
      <x:c r="U306" s="373"/>
      <x:c r="V306" s="373"/>
      <x:c r="W306" s="373"/>
      <x:c r="X306" s="373"/>
      <x:c r="Y306" s="373"/>
      <x:c r="Z306" s="373"/>
    </x:row>
    <x:row r="307">
      <x:c r="A307" s="373"/>
      <x:c r="B307" s="373"/>
      <x:c r="C307" s="373"/>
      <x:c r="D307" s="373"/>
      <x:c r="E307" s="373"/>
      <x:c r="F307" s="373"/>
      <x:c r="G307" s="373"/>
      <x:c r="H307" s="373"/>
      <x:c r="I307" s="373"/>
      <x:c r="J307" s="373"/>
      <x:c r="K307" s="373"/>
      <x:c r="L307" s="373"/>
      <x:c r="M307" s="373"/>
      <x:c r="N307" s="373"/>
      <x:c r="O307" s="373"/>
      <x:c r="P307" s="373"/>
      <x:c r="Q307" s="373"/>
      <x:c r="R307" s="373"/>
      <x:c r="S307" s="373"/>
      <x:c r="T307" s="373"/>
      <x:c r="U307" s="373"/>
      <x:c r="V307" s="373"/>
      <x:c r="W307" s="373"/>
      <x:c r="X307" s="373"/>
      <x:c r="Y307" s="373"/>
      <x:c r="Z307" s="373"/>
    </x:row>
    <x:row r="308">
      <x:c r="A308" s="373"/>
      <x:c r="B308" s="373"/>
      <x:c r="C308" s="373"/>
      <x:c r="D308" s="373"/>
      <x:c r="E308" s="373"/>
      <x:c r="F308" s="373"/>
      <x:c r="G308" s="373"/>
      <x:c r="H308" s="373"/>
      <x:c r="I308" s="373"/>
      <x:c r="J308" s="373"/>
      <x:c r="K308" s="373"/>
      <x:c r="L308" s="373"/>
      <x:c r="M308" s="373"/>
      <x:c r="N308" s="373"/>
      <x:c r="O308" s="373"/>
      <x:c r="P308" s="373"/>
      <x:c r="Q308" s="373"/>
      <x:c r="R308" s="373"/>
      <x:c r="S308" s="373"/>
      <x:c r="T308" s="373"/>
      <x:c r="U308" s="373"/>
      <x:c r="V308" s="373"/>
      <x:c r="W308" s="373"/>
      <x:c r="X308" s="373"/>
      <x:c r="Y308" s="373"/>
      <x:c r="Z308" s="373"/>
    </x:row>
    <x:row r="309">
      <x:c r="A309" s="373"/>
      <x:c r="B309" s="373"/>
      <x:c r="C309" s="373"/>
      <x:c r="D309" s="373"/>
      <x:c r="E309" s="373"/>
      <x:c r="F309" s="373"/>
      <x:c r="G309" s="373"/>
      <x:c r="H309" s="373"/>
      <x:c r="I309" s="373"/>
      <x:c r="J309" s="373"/>
      <x:c r="K309" s="373"/>
      <x:c r="L309" s="373"/>
      <x:c r="M309" s="373"/>
      <x:c r="N309" s="373"/>
      <x:c r="O309" s="373"/>
      <x:c r="P309" s="373"/>
      <x:c r="Q309" s="373"/>
      <x:c r="R309" s="373"/>
      <x:c r="S309" s="373"/>
      <x:c r="T309" s="373"/>
      <x:c r="U309" s="373"/>
      <x:c r="V309" s="373"/>
      <x:c r="W309" s="373"/>
      <x:c r="X309" s="373"/>
      <x:c r="Y309" s="373"/>
      <x:c r="Z309" s="373"/>
    </x:row>
    <x:row r="310">
      <x:c r="A310" s="373"/>
      <x:c r="B310" s="373"/>
      <x:c r="C310" s="373"/>
      <x:c r="D310" s="373"/>
      <x:c r="E310" s="373"/>
      <x:c r="F310" s="373"/>
      <x:c r="G310" s="373"/>
      <x:c r="H310" s="373"/>
      <x:c r="I310" s="373"/>
      <x:c r="J310" s="373"/>
      <x:c r="K310" s="373"/>
      <x:c r="L310" s="373"/>
      <x:c r="M310" s="373"/>
      <x:c r="N310" s="373"/>
      <x:c r="O310" s="373"/>
      <x:c r="P310" s="373"/>
      <x:c r="Q310" s="373"/>
      <x:c r="R310" s="373"/>
      <x:c r="S310" s="373"/>
      <x:c r="T310" s="373"/>
      <x:c r="U310" s="373"/>
      <x:c r="V310" s="373"/>
      <x:c r="W310" s="373"/>
      <x:c r="X310" s="373"/>
      <x:c r="Y310" s="373"/>
      <x:c r="Z310" s="373"/>
    </x:row>
    <x:row r="311">
      <x:c r="A311" s="373"/>
      <x:c r="B311" s="373"/>
      <x:c r="C311" s="373"/>
      <x:c r="D311" s="373"/>
      <x:c r="E311" s="373"/>
      <x:c r="F311" s="373"/>
      <x:c r="G311" s="373"/>
      <x:c r="H311" s="373"/>
      <x:c r="I311" s="373"/>
      <x:c r="J311" s="373"/>
      <x:c r="K311" s="373"/>
      <x:c r="L311" s="373"/>
      <x:c r="M311" s="373"/>
      <x:c r="N311" s="373"/>
      <x:c r="O311" s="373"/>
      <x:c r="P311" s="373"/>
      <x:c r="Q311" s="373"/>
      <x:c r="R311" s="373"/>
      <x:c r="S311" s="373"/>
      <x:c r="T311" s="373"/>
      <x:c r="U311" s="373"/>
      <x:c r="V311" s="373"/>
      <x:c r="W311" s="373"/>
      <x:c r="X311" s="373"/>
      <x:c r="Y311" s="373"/>
      <x:c r="Z311" s="373"/>
    </x:row>
    <x:row r="312">
      <x:c r="A312" s="373"/>
      <x:c r="B312" s="373"/>
      <x:c r="C312" s="373"/>
      <x:c r="D312" s="373"/>
      <x:c r="E312" s="373"/>
      <x:c r="F312" s="373"/>
      <x:c r="G312" s="373"/>
      <x:c r="H312" s="373"/>
      <x:c r="I312" s="373"/>
      <x:c r="J312" s="373"/>
      <x:c r="K312" s="373"/>
      <x:c r="L312" s="373"/>
      <x:c r="M312" s="373"/>
      <x:c r="N312" s="373"/>
      <x:c r="O312" s="373"/>
      <x:c r="P312" s="373"/>
      <x:c r="Q312" s="373"/>
      <x:c r="R312" s="373"/>
      <x:c r="S312" s="373"/>
      <x:c r="T312" s="373"/>
      <x:c r="U312" s="373"/>
      <x:c r="V312" s="373"/>
      <x:c r="W312" s="373"/>
      <x:c r="X312" s="373"/>
      <x:c r="Y312" s="373"/>
      <x:c r="Z312" s="373"/>
    </x:row>
    <x:row r="313">
      <x:c r="A313" s="373"/>
      <x:c r="B313" s="373"/>
      <x:c r="C313" s="373"/>
      <x:c r="D313" s="373"/>
      <x:c r="E313" s="373"/>
      <x:c r="F313" s="373"/>
      <x:c r="G313" s="373"/>
      <x:c r="H313" s="373"/>
      <x:c r="I313" s="373"/>
      <x:c r="J313" s="373"/>
      <x:c r="K313" s="373"/>
      <x:c r="L313" s="373"/>
      <x:c r="M313" s="373"/>
      <x:c r="N313" s="373"/>
      <x:c r="O313" s="373"/>
      <x:c r="P313" s="373"/>
      <x:c r="Q313" s="373"/>
      <x:c r="R313" s="373"/>
      <x:c r="S313" s="373"/>
      <x:c r="T313" s="373"/>
      <x:c r="U313" s="373"/>
      <x:c r="V313" s="373"/>
      <x:c r="W313" s="373"/>
      <x:c r="X313" s="373"/>
      <x:c r="Y313" s="373"/>
      <x:c r="Z313" s="373"/>
    </x:row>
    <x:row r="314">
      <x:c r="A314" s="373"/>
      <x:c r="B314" s="373"/>
      <x:c r="C314" s="373"/>
      <x:c r="D314" s="373"/>
      <x:c r="E314" s="373"/>
      <x:c r="F314" s="373"/>
      <x:c r="G314" s="373"/>
      <x:c r="H314" s="373"/>
      <x:c r="I314" s="373"/>
      <x:c r="J314" s="373"/>
      <x:c r="K314" s="373"/>
      <x:c r="L314" s="373"/>
      <x:c r="M314" s="373"/>
      <x:c r="N314" s="373"/>
      <x:c r="O314" s="373"/>
      <x:c r="P314" s="373"/>
      <x:c r="Q314" s="373"/>
      <x:c r="R314" s="373"/>
      <x:c r="S314" s="373"/>
      <x:c r="T314" s="373"/>
      <x:c r="U314" s="373"/>
      <x:c r="V314" s="373"/>
      <x:c r="W314" s="373"/>
      <x:c r="X314" s="373"/>
      <x:c r="Y314" s="373"/>
      <x:c r="Z314" s="373"/>
    </x:row>
    <x:row r="315">
      <x:c r="A315" s="373"/>
      <x:c r="B315" s="373"/>
      <x:c r="C315" s="373"/>
      <x:c r="D315" s="373"/>
      <x:c r="E315" s="373"/>
      <x:c r="F315" s="373"/>
      <x:c r="G315" s="373"/>
      <x:c r="H315" s="373"/>
      <x:c r="I315" s="373"/>
      <x:c r="J315" s="373"/>
      <x:c r="K315" s="373"/>
      <x:c r="L315" s="373"/>
      <x:c r="M315" s="373"/>
      <x:c r="N315" s="373"/>
      <x:c r="O315" s="373"/>
      <x:c r="P315" s="373"/>
      <x:c r="Q315" s="373"/>
      <x:c r="R315" s="373"/>
      <x:c r="S315" s="373"/>
      <x:c r="T315" s="373"/>
      <x:c r="U315" s="373"/>
      <x:c r="V315" s="373"/>
      <x:c r="W315" s="373"/>
      <x:c r="X315" s="373"/>
      <x:c r="Y315" s="373"/>
      <x:c r="Z315" s="373"/>
    </x:row>
    <x:row r="316">
      <x:c r="A316" s="373"/>
      <x:c r="B316" s="373"/>
      <x:c r="C316" s="373"/>
      <x:c r="D316" s="373"/>
      <x:c r="E316" s="373"/>
      <x:c r="F316" s="373"/>
      <x:c r="G316" s="373"/>
      <x:c r="H316" s="373"/>
      <x:c r="I316" s="373"/>
      <x:c r="J316" s="373"/>
      <x:c r="K316" s="373"/>
      <x:c r="L316" s="373"/>
      <x:c r="M316" s="373"/>
      <x:c r="N316" s="373"/>
      <x:c r="O316" s="373"/>
      <x:c r="P316" s="373"/>
      <x:c r="Q316" s="373"/>
      <x:c r="R316" s="373"/>
      <x:c r="S316" s="373"/>
      <x:c r="T316" s="373"/>
      <x:c r="U316" s="373"/>
      <x:c r="V316" s="373"/>
      <x:c r="W316" s="373"/>
      <x:c r="X316" s="373"/>
      <x:c r="Y316" s="373"/>
      <x:c r="Z316" s="373"/>
    </x:row>
    <x:row r="317">
      <x:c r="A317" s="373"/>
      <x:c r="B317" s="373"/>
      <x:c r="C317" s="373"/>
      <x:c r="D317" s="373"/>
      <x:c r="E317" s="373"/>
      <x:c r="F317" s="373"/>
      <x:c r="G317" s="373"/>
      <x:c r="H317" s="373"/>
      <x:c r="I317" s="373"/>
      <x:c r="J317" s="373"/>
      <x:c r="K317" s="373"/>
      <x:c r="L317" s="373"/>
      <x:c r="M317" s="373"/>
      <x:c r="N317" s="373"/>
      <x:c r="O317" s="373"/>
      <x:c r="P317" s="373"/>
      <x:c r="Q317" s="373"/>
      <x:c r="R317" s="373"/>
      <x:c r="S317" s="373"/>
      <x:c r="T317" s="373"/>
      <x:c r="U317" s="373"/>
      <x:c r="V317" s="373"/>
      <x:c r="W317" s="373"/>
      <x:c r="X317" s="373"/>
      <x:c r="Y317" s="373"/>
      <x:c r="Z317" s="373"/>
    </x:row>
    <x:row r="318">
      <x:c r="A318" s="373"/>
      <x:c r="B318" s="373"/>
      <x:c r="C318" s="373"/>
      <x:c r="D318" s="373"/>
      <x:c r="E318" s="373"/>
      <x:c r="F318" s="373"/>
      <x:c r="G318" s="373"/>
      <x:c r="H318" s="373"/>
      <x:c r="I318" s="373"/>
      <x:c r="J318" s="373"/>
      <x:c r="K318" s="373"/>
      <x:c r="L318" s="373"/>
      <x:c r="M318" s="373"/>
      <x:c r="N318" s="373"/>
      <x:c r="O318" s="373"/>
      <x:c r="P318" s="373"/>
      <x:c r="Q318" s="373"/>
      <x:c r="R318" s="373"/>
      <x:c r="S318" s="373"/>
      <x:c r="T318" s="373"/>
      <x:c r="U318" s="373"/>
      <x:c r="V318" s="373"/>
      <x:c r="W318" s="373"/>
      <x:c r="X318" s="373"/>
      <x:c r="Y318" s="373"/>
      <x:c r="Z318" s="373"/>
    </x:row>
    <x:row r="319">
      <x:c r="A319" s="373"/>
      <x:c r="B319" s="373"/>
      <x:c r="C319" s="373"/>
      <x:c r="D319" s="373"/>
      <x:c r="E319" s="373"/>
      <x:c r="F319" s="373"/>
      <x:c r="G319" s="373"/>
      <x:c r="H319" s="373"/>
      <x:c r="I319" s="373"/>
      <x:c r="J319" s="373"/>
      <x:c r="K319" s="373"/>
      <x:c r="L319" s="373"/>
      <x:c r="M319" s="373"/>
      <x:c r="N319" s="373"/>
      <x:c r="O319" s="373"/>
      <x:c r="P319" s="373"/>
      <x:c r="Q319" s="373"/>
      <x:c r="R319" s="373"/>
      <x:c r="S319" s="373"/>
      <x:c r="T319" s="373"/>
      <x:c r="U319" s="373"/>
      <x:c r="V319" s="373"/>
      <x:c r="W319" s="373"/>
      <x:c r="X319" s="373"/>
      <x:c r="Y319" s="373"/>
      <x:c r="Z319" s="373"/>
    </x:row>
    <x:row r="320">
      <x:c r="A320" s="373"/>
      <x:c r="B320" s="373"/>
      <x:c r="C320" s="373"/>
      <x:c r="D320" s="373"/>
      <x:c r="E320" s="373"/>
      <x:c r="F320" s="373"/>
      <x:c r="G320" s="373"/>
      <x:c r="H320" s="373"/>
      <x:c r="I320" s="373"/>
      <x:c r="J320" s="373"/>
      <x:c r="K320" s="373"/>
      <x:c r="L320" s="373"/>
      <x:c r="M320" s="373"/>
      <x:c r="N320" s="373"/>
      <x:c r="O320" s="373"/>
      <x:c r="P320" s="373"/>
      <x:c r="Q320" s="373"/>
      <x:c r="R320" s="373"/>
      <x:c r="S320" s="373"/>
      <x:c r="T320" s="373"/>
      <x:c r="U320" s="373"/>
      <x:c r="V320" s="373"/>
      <x:c r="W320" s="373"/>
      <x:c r="X320" s="373"/>
      <x:c r="Y320" s="373"/>
      <x:c r="Z320" s="373"/>
    </x:row>
    <x:row r="321">
      <x:c r="A321" s="373"/>
      <x:c r="B321" s="373"/>
      <x:c r="C321" s="373"/>
      <x:c r="D321" s="373"/>
      <x:c r="E321" s="373"/>
      <x:c r="F321" s="373"/>
      <x:c r="G321" s="373"/>
      <x:c r="H321" s="373"/>
      <x:c r="I321" s="373"/>
      <x:c r="J321" s="373"/>
      <x:c r="K321" s="373"/>
      <x:c r="L321" s="373"/>
      <x:c r="M321" s="373"/>
      <x:c r="N321" s="373"/>
      <x:c r="O321" s="373"/>
      <x:c r="P321" s="373"/>
      <x:c r="Q321" s="373"/>
      <x:c r="R321" s="373"/>
      <x:c r="S321" s="373"/>
      <x:c r="T321" s="373"/>
      <x:c r="U321" s="373"/>
      <x:c r="V321" s="373"/>
      <x:c r="W321" s="373"/>
      <x:c r="X321" s="373"/>
      <x:c r="Y321" s="373"/>
      <x:c r="Z321" s="373"/>
    </x:row>
    <x:row r="322">
      <x:c r="A322" s="373"/>
      <x:c r="B322" s="373"/>
      <x:c r="C322" s="373"/>
      <x:c r="D322" s="373"/>
      <x:c r="E322" s="373"/>
      <x:c r="F322" s="373"/>
      <x:c r="G322" s="373"/>
      <x:c r="H322" s="373"/>
      <x:c r="I322" s="373"/>
      <x:c r="J322" s="373"/>
      <x:c r="K322" s="373"/>
      <x:c r="L322" s="373"/>
      <x:c r="M322" s="373"/>
      <x:c r="N322" s="373"/>
      <x:c r="O322" s="373"/>
      <x:c r="P322" s="373"/>
      <x:c r="Q322" s="373"/>
      <x:c r="R322" s="373"/>
      <x:c r="S322" s="373"/>
      <x:c r="T322" s="373"/>
      <x:c r="U322" s="373"/>
      <x:c r="V322" s="373"/>
      <x:c r="W322" s="373"/>
      <x:c r="X322" s="373"/>
      <x:c r="Y322" s="373"/>
      <x:c r="Z322" s="373"/>
    </x:row>
    <x:row r="323">
      <x:c r="A323" s="373"/>
      <x:c r="B323" s="373"/>
      <x:c r="C323" s="373"/>
      <x:c r="D323" s="373"/>
      <x:c r="E323" s="373"/>
      <x:c r="F323" s="373"/>
      <x:c r="G323" s="373"/>
      <x:c r="H323" s="373"/>
      <x:c r="I323" s="373"/>
      <x:c r="J323" s="373"/>
      <x:c r="K323" s="373"/>
      <x:c r="L323" s="373"/>
      <x:c r="M323" s="373"/>
      <x:c r="N323" s="373"/>
      <x:c r="O323" s="373"/>
      <x:c r="P323" s="373"/>
      <x:c r="Q323" s="373"/>
      <x:c r="R323" s="373"/>
      <x:c r="S323" s="373"/>
      <x:c r="T323" s="373"/>
      <x:c r="U323" s="373"/>
      <x:c r="V323" s="373"/>
      <x:c r="W323" s="373"/>
      <x:c r="X323" s="373"/>
      <x:c r="Y323" s="373"/>
      <x:c r="Z323" s="373"/>
    </x:row>
    <x:row r="324">
      <x:c r="A324" s="373"/>
      <x:c r="B324" s="373"/>
      <x:c r="C324" s="373"/>
      <x:c r="D324" s="373"/>
      <x:c r="E324" s="373"/>
      <x:c r="F324" s="373"/>
      <x:c r="G324" s="373"/>
      <x:c r="H324" s="373"/>
      <x:c r="I324" s="373"/>
      <x:c r="J324" s="373"/>
      <x:c r="K324" s="373"/>
      <x:c r="L324" s="373"/>
      <x:c r="M324" s="373"/>
      <x:c r="N324" s="373"/>
      <x:c r="O324" s="373"/>
      <x:c r="P324" s="373"/>
      <x:c r="Q324" s="373"/>
      <x:c r="R324" s="373"/>
      <x:c r="S324" s="373"/>
      <x:c r="T324" s="373"/>
      <x:c r="U324" s="373"/>
      <x:c r="V324" s="373"/>
      <x:c r="W324" s="373"/>
      <x:c r="X324" s="373"/>
      <x:c r="Y324" s="373"/>
      <x:c r="Z324" s="373"/>
    </x:row>
    <x:row r="325">
      <x:c r="A325" s="373"/>
      <x:c r="B325" s="373"/>
      <x:c r="C325" s="373"/>
      <x:c r="D325" s="373"/>
      <x:c r="E325" s="373"/>
      <x:c r="F325" s="373"/>
      <x:c r="G325" s="373"/>
      <x:c r="H325" s="373"/>
      <x:c r="I325" s="373"/>
      <x:c r="J325" s="373"/>
      <x:c r="K325" s="373"/>
      <x:c r="L325" s="373"/>
      <x:c r="M325" s="373"/>
      <x:c r="N325" s="373"/>
      <x:c r="O325" s="373"/>
      <x:c r="P325" s="373"/>
      <x:c r="Q325" s="373"/>
      <x:c r="R325" s="373"/>
      <x:c r="S325" s="373"/>
      <x:c r="T325" s="373"/>
      <x:c r="U325" s="373"/>
      <x:c r="V325" s="373"/>
      <x:c r="W325" s="373"/>
      <x:c r="X325" s="373"/>
      <x:c r="Y325" s="373"/>
      <x:c r="Z325" s="373"/>
    </x:row>
    <x:row r="326">
      <x:c r="A326" s="373"/>
      <x:c r="B326" s="373"/>
      <x:c r="C326" s="373"/>
      <x:c r="D326" s="373"/>
      <x:c r="E326" s="373"/>
      <x:c r="F326" s="373"/>
      <x:c r="G326" s="373"/>
      <x:c r="H326" s="373"/>
      <x:c r="I326" s="373"/>
      <x:c r="J326" s="373"/>
      <x:c r="K326" s="373"/>
      <x:c r="L326" s="373"/>
      <x:c r="M326" s="373"/>
      <x:c r="N326" s="373"/>
      <x:c r="O326" s="373"/>
      <x:c r="P326" s="373"/>
      <x:c r="Q326" s="373"/>
      <x:c r="R326" s="373"/>
      <x:c r="S326" s="373"/>
      <x:c r="T326" s="373"/>
      <x:c r="U326" s="373"/>
      <x:c r="V326" s="373"/>
      <x:c r="W326" s="373"/>
      <x:c r="X326" s="373"/>
      <x:c r="Y326" s="373"/>
      <x:c r="Z326" s="373"/>
    </x:row>
    <x:row r="327">
      <x:c r="A327" s="373"/>
      <x:c r="B327" s="373"/>
      <x:c r="C327" s="373"/>
      <x:c r="D327" s="373"/>
      <x:c r="E327" s="373"/>
      <x:c r="F327" s="373"/>
      <x:c r="G327" s="373"/>
      <x:c r="H327" s="373"/>
      <x:c r="I327" s="373"/>
      <x:c r="J327" s="373"/>
      <x:c r="K327" s="373"/>
      <x:c r="L327" s="373"/>
      <x:c r="M327" s="373"/>
      <x:c r="N327" s="373"/>
      <x:c r="O327" s="373"/>
      <x:c r="P327" s="373"/>
      <x:c r="Q327" s="373"/>
      <x:c r="R327" s="373"/>
      <x:c r="S327" s="373"/>
      <x:c r="T327" s="373"/>
      <x:c r="U327" s="373"/>
      <x:c r="V327" s="373"/>
      <x:c r="W327" s="373"/>
      <x:c r="X327" s="373"/>
      <x:c r="Y327" s="373"/>
      <x:c r="Z327" s="373"/>
    </x:row>
    <x:row r="328">
      <x:c r="A328" s="373"/>
      <x:c r="B328" s="373"/>
      <x:c r="C328" s="373"/>
      <x:c r="D328" s="373"/>
      <x:c r="E328" s="373"/>
      <x:c r="F328" s="373"/>
      <x:c r="G328" s="373"/>
      <x:c r="H328" s="373"/>
      <x:c r="I328" s="373"/>
      <x:c r="J328" s="373"/>
      <x:c r="K328" s="373"/>
      <x:c r="L328" s="373"/>
      <x:c r="M328" s="373"/>
      <x:c r="N328" s="373"/>
      <x:c r="O328" s="373"/>
      <x:c r="P328" s="373"/>
      <x:c r="Q328" s="373"/>
      <x:c r="R328" s="373"/>
      <x:c r="S328" s="373"/>
      <x:c r="T328" s="373"/>
      <x:c r="U328" s="373"/>
      <x:c r="V328" s="373"/>
      <x:c r="W328" s="373"/>
      <x:c r="X328" s="373"/>
      <x:c r="Y328" s="373"/>
      <x:c r="Z328" s="373"/>
    </x:row>
    <x:row r="329">
      <x:c r="A329" s="373"/>
      <x:c r="B329" s="373"/>
      <x:c r="C329" s="373"/>
      <x:c r="D329" s="373"/>
      <x:c r="E329" s="373"/>
      <x:c r="F329" s="373"/>
      <x:c r="G329" s="373"/>
      <x:c r="H329" s="373"/>
      <x:c r="I329" s="373"/>
      <x:c r="J329" s="373"/>
      <x:c r="K329" s="373"/>
      <x:c r="L329" s="373"/>
      <x:c r="M329" s="373"/>
      <x:c r="N329" s="373"/>
      <x:c r="O329" s="373"/>
      <x:c r="P329" s="373"/>
      <x:c r="Q329" s="373"/>
      <x:c r="R329" s="373"/>
      <x:c r="S329" s="373"/>
      <x:c r="T329" s="373"/>
      <x:c r="U329" s="373"/>
      <x:c r="V329" s="373"/>
      <x:c r="W329" s="373"/>
      <x:c r="X329" s="373"/>
      <x:c r="Y329" s="373"/>
      <x:c r="Z329" s="373"/>
    </x:row>
    <x:row r="330">
      <x:c r="A330" s="373"/>
      <x:c r="B330" s="373"/>
      <x:c r="C330" s="373"/>
      <x:c r="D330" s="373"/>
      <x:c r="E330" s="373"/>
      <x:c r="F330" s="373"/>
      <x:c r="G330" s="373"/>
      <x:c r="H330" s="373"/>
      <x:c r="I330" s="373"/>
      <x:c r="J330" s="373"/>
      <x:c r="K330" s="373"/>
      <x:c r="L330" s="373"/>
      <x:c r="M330" s="373"/>
      <x:c r="N330" s="373"/>
      <x:c r="O330" s="373"/>
      <x:c r="P330" s="373"/>
      <x:c r="Q330" s="373"/>
      <x:c r="R330" s="373"/>
      <x:c r="S330" s="373"/>
      <x:c r="T330" s="373"/>
      <x:c r="U330" s="373"/>
      <x:c r="V330" s="373"/>
      <x:c r="W330" s="373"/>
      <x:c r="X330" s="373"/>
      <x:c r="Y330" s="373"/>
      <x:c r="Z330" s="373"/>
    </x:row>
    <x:row r="331">
      <x:c r="A331" s="373"/>
      <x:c r="B331" s="373"/>
      <x:c r="C331" s="373"/>
      <x:c r="D331" s="373"/>
      <x:c r="E331" s="373"/>
      <x:c r="F331" s="373"/>
      <x:c r="G331" s="373"/>
      <x:c r="H331" s="373"/>
      <x:c r="I331" s="373"/>
      <x:c r="J331" s="373"/>
      <x:c r="K331" s="373"/>
      <x:c r="L331" s="373"/>
      <x:c r="M331" s="373"/>
      <x:c r="N331" s="373"/>
      <x:c r="O331" s="373"/>
      <x:c r="P331" s="373"/>
      <x:c r="Q331" s="373"/>
      <x:c r="R331" s="373"/>
      <x:c r="S331" s="373"/>
      <x:c r="T331" s="373"/>
      <x:c r="U331" s="373"/>
      <x:c r="V331" s="373"/>
      <x:c r="W331" s="373"/>
      <x:c r="X331" s="373"/>
      <x:c r="Y331" s="373"/>
      <x:c r="Z331" s="373"/>
    </x:row>
    <x:row r="332">
      <x:c r="A332" s="373"/>
      <x:c r="B332" s="373"/>
      <x:c r="C332" s="373"/>
      <x:c r="D332" s="373"/>
      <x:c r="E332" s="373"/>
      <x:c r="F332" s="373"/>
      <x:c r="G332" s="373"/>
      <x:c r="H332" s="373"/>
      <x:c r="I332" s="373"/>
      <x:c r="J332" s="373"/>
      <x:c r="K332" s="373"/>
      <x:c r="L332" s="373"/>
      <x:c r="M332" s="373"/>
      <x:c r="N332" s="373"/>
      <x:c r="O332" s="373"/>
      <x:c r="P332" s="373"/>
      <x:c r="Q332" s="373"/>
      <x:c r="R332" s="373"/>
      <x:c r="S332" s="373"/>
      <x:c r="T332" s="373"/>
      <x:c r="U332" s="373"/>
      <x:c r="V332" s="373"/>
      <x:c r="W332" s="373"/>
      <x:c r="X332" s="373"/>
      <x:c r="Y332" s="373"/>
      <x:c r="Z332" s="373"/>
    </x:row>
    <x:row r="333">
      <x:c r="A333" s="373"/>
      <x:c r="B333" s="373"/>
      <x:c r="C333" s="373"/>
      <x:c r="D333" s="373"/>
      <x:c r="E333" s="373"/>
      <x:c r="F333" s="373"/>
      <x:c r="G333" s="373"/>
      <x:c r="H333" s="373"/>
      <x:c r="I333" s="373"/>
      <x:c r="J333" s="373"/>
      <x:c r="K333" s="373"/>
      <x:c r="L333" s="373"/>
      <x:c r="M333" s="373"/>
      <x:c r="N333" s="373"/>
      <x:c r="O333" s="373"/>
      <x:c r="P333" s="373"/>
      <x:c r="Q333" s="373"/>
      <x:c r="R333" s="373"/>
      <x:c r="S333" s="373"/>
      <x:c r="T333" s="373"/>
      <x:c r="U333" s="373"/>
      <x:c r="V333" s="373"/>
      <x:c r="W333" s="373"/>
      <x:c r="X333" s="373"/>
      <x:c r="Y333" s="373"/>
      <x:c r="Z333" s="373"/>
    </x:row>
    <x:row r="334">
      <x:c r="A334" s="373"/>
      <x:c r="B334" s="373"/>
      <x:c r="C334" s="373"/>
      <x:c r="D334" s="373"/>
      <x:c r="E334" s="373"/>
      <x:c r="F334" s="373"/>
      <x:c r="G334" s="373"/>
      <x:c r="H334" s="373"/>
      <x:c r="I334" s="373"/>
      <x:c r="J334" s="373"/>
      <x:c r="K334" s="373"/>
      <x:c r="L334" s="373"/>
      <x:c r="M334" s="373"/>
      <x:c r="N334" s="373"/>
      <x:c r="O334" s="373"/>
      <x:c r="P334" s="373"/>
      <x:c r="Q334" s="373"/>
      <x:c r="R334" s="373"/>
      <x:c r="S334" s="373"/>
      <x:c r="T334" s="373"/>
      <x:c r="U334" s="373"/>
      <x:c r="V334" s="373"/>
      <x:c r="W334" s="373"/>
      <x:c r="X334" s="373"/>
      <x:c r="Y334" s="373"/>
      <x:c r="Z334" s="373"/>
    </x:row>
    <x:row r="335">
      <x:c r="A335" s="373"/>
      <x:c r="B335" s="373"/>
      <x:c r="C335" s="373"/>
      <x:c r="D335" s="373"/>
      <x:c r="E335" s="373"/>
      <x:c r="F335" s="373"/>
      <x:c r="G335" s="373"/>
      <x:c r="H335" s="373"/>
      <x:c r="I335" s="373"/>
      <x:c r="J335" s="373"/>
      <x:c r="K335" s="373"/>
      <x:c r="L335" s="373"/>
      <x:c r="M335" s="373"/>
      <x:c r="N335" s="373"/>
      <x:c r="O335" s="373"/>
      <x:c r="P335" s="373"/>
      <x:c r="Q335" s="373"/>
      <x:c r="R335" s="373"/>
      <x:c r="S335" s="373"/>
      <x:c r="T335" s="373"/>
      <x:c r="U335" s="373"/>
      <x:c r="V335" s="373"/>
      <x:c r="W335" s="373"/>
      <x:c r="X335" s="373"/>
      <x:c r="Y335" s="373"/>
      <x:c r="Z335" s="373"/>
    </x:row>
    <x:row r="336">
      <x:c r="A336" s="373"/>
      <x:c r="B336" s="373"/>
      <x:c r="C336" s="373"/>
      <x:c r="D336" s="373"/>
      <x:c r="E336" s="373"/>
      <x:c r="F336" s="373"/>
      <x:c r="G336" s="373"/>
      <x:c r="H336" s="373"/>
      <x:c r="I336" s="373"/>
      <x:c r="J336" s="373"/>
      <x:c r="K336" s="373"/>
      <x:c r="L336" s="373"/>
      <x:c r="M336" s="373"/>
      <x:c r="N336" s="373"/>
      <x:c r="O336" s="373"/>
      <x:c r="P336" s="373"/>
      <x:c r="Q336" s="373"/>
      <x:c r="R336" s="373"/>
      <x:c r="S336" s="373"/>
      <x:c r="T336" s="373"/>
      <x:c r="U336" s="373"/>
      <x:c r="V336" s="373"/>
      <x:c r="W336" s="373"/>
      <x:c r="X336" s="373"/>
      <x:c r="Y336" s="373"/>
      <x:c r="Z336" s="373"/>
    </x:row>
    <x:row r="337">
      <x:c r="A337" s="373"/>
      <x:c r="B337" s="373"/>
      <x:c r="C337" s="373"/>
      <x:c r="D337" s="373"/>
      <x:c r="E337" s="373"/>
      <x:c r="F337" s="373"/>
      <x:c r="G337" s="373"/>
      <x:c r="H337" s="373"/>
      <x:c r="I337" s="373"/>
      <x:c r="J337" s="373"/>
      <x:c r="K337" s="373"/>
      <x:c r="L337" s="373"/>
      <x:c r="M337" s="373"/>
      <x:c r="N337" s="373"/>
      <x:c r="O337" s="373"/>
      <x:c r="P337" s="373"/>
      <x:c r="Q337" s="373"/>
      <x:c r="R337" s="373"/>
      <x:c r="S337" s="373"/>
      <x:c r="T337" s="373"/>
      <x:c r="U337" s="373"/>
      <x:c r="V337" s="373"/>
      <x:c r="W337" s="373"/>
      <x:c r="X337" s="373"/>
      <x:c r="Y337" s="373"/>
      <x:c r="Z337" s="373"/>
    </x:row>
    <x:row r="338">
      <x:c r="A338" s="373"/>
      <x:c r="B338" s="373"/>
      <x:c r="C338" s="373"/>
      <x:c r="D338" s="373"/>
      <x:c r="E338" s="373"/>
      <x:c r="F338" s="373"/>
      <x:c r="G338" s="373"/>
      <x:c r="H338" s="373"/>
      <x:c r="I338" s="373"/>
      <x:c r="J338" s="373"/>
      <x:c r="K338" s="373"/>
      <x:c r="L338" s="373"/>
      <x:c r="M338" s="373"/>
      <x:c r="N338" s="373"/>
      <x:c r="O338" s="373"/>
      <x:c r="P338" s="373"/>
      <x:c r="Q338" s="373"/>
      <x:c r="R338" s="373"/>
      <x:c r="S338" s="373"/>
      <x:c r="T338" s="373"/>
      <x:c r="U338" s="373"/>
      <x:c r="V338" s="373"/>
      <x:c r="W338" s="373"/>
      <x:c r="X338" s="373"/>
      <x:c r="Y338" s="373"/>
      <x:c r="Z338" s="373"/>
    </x:row>
    <x:row r="339">
      <x:c r="A339" s="373"/>
      <x:c r="B339" s="373"/>
      <x:c r="C339" s="373"/>
      <x:c r="D339" s="373"/>
      <x:c r="E339" s="373"/>
      <x:c r="F339" s="373"/>
      <x:c r="G339" s="373"/>
      <x:c r="H339" s="373"/>
      <x:c r="I339" s="373"/>
      <x:c r="J339" s="373"/>
      <x:c r="K339" s="373"/>
      <x:c r="L339" s="373"/>
      <x:c r="M339" s="373"/>
      <x:c r="N339" s="373"/>
      <x:c r="O339" s="373"/>
      <x:c r="P339" s="373"/>
      <x:c r="Q339" s="373"/>
      <x:c r="R339" s="373"/>
      <x:c r="S339" s="373"/>
      <x:c r="T339" s="373"/>
      <x:c r="U339" s="373"/>
      <x:c r="V339" s="373"/>
      <x:c r="W339" s="373"/>
      <x:c r="X339" s="373"/>
      <x:c r="Y339" s="373"/>
      <x:c r="Z339" s="373"/>
    </x:row>
    <x:row r="340">
      <x:c r="A340" s="373"/>
      <x:c r="B340" s="373"/>
      <x:c r="C340" s="373"/>
      <x:c r="D340" s="373"/>
      <x:c r="E340" s="373"/>
      <x:c r="F340" s="373"/>
      <x:c r="G340" s="373"/>
      <x:c r="H340" s="373"/>
      <x:c r="I340" s="373"/>
      <x:c r="J340" s="373"/>
      <x:c r="K340" s="373"/>
      <x:c r="L340" s="373"/>
      <x:c r="M340" s="373"/>
      <x:c r="N340" s="373"/>
      <x:c r="O340" s="373"/>
      <x:c r="P340" s="373"/>
      <x:c r="Q340" s="373"/>
      <x:c r="R340" s="373"/>
      <x:c r="S340" s="373"/>
      <x:c r="T340" s="373"/>
      <x:c r="U340" s="373"/>
      <x:c r="V340" s="373"/>
      <x:c r="W340" s="373"/>
      <x:c r="X340" s="373"/>
      <x:c r="Y340" s="373"/>
      <x:c r="Z340" s="373"/>
    </x:row>
    <x:row r="341">
      <x:c r="A341" s="373"/>
      <x:c r="B341" s="373"/>
      <x:c r="C341" s="373"/>
      <x:c r="D341" s="373"/>
      <x:c r="E341" s="373"/>
      <x:c r="F341" s="373"/>
      <x:c r="G341" s="373"/>
      <x:c r="H341" s="373"/>
      <x:c r="I341" s="373"/>
      <x:c r="J341" s="373"/>
      <x:c r="K341" s="373"/>
      <x:c r="L341" s="373"/>
      <x:c r="M341" s="373"/>
      <x:c r="N341" s="373"/>
      <x:c r="O341" s="373"/>
      <x:c r="P341" s="373"/>
      <x:c r="Q341" s="373"/>
      <x:c r="R341" s="373"/>
      <x:c r="S341" s="373"/>
      <x:c r="T341" s="373"/>
      <x:c r="U341" s="373"/>
      <x:c r="V341" s="373"/>
      <x:c r="W341" s="373"/>
      <x:c r="X341" s="373"/>
      <x:c r="Y341" s="373"/>
      <x:c r="Z341" s="373"/>
    </x:row>
    <x:row r="342">
      <x:c r="A342" s="373"/>
      <x:c r="B342" s="373"/>
      <x:c r="C342" s="373"/>
      <x:c r="D342" s="373"/>
      <x:c r="E342" s="373"/>
      <x:c r="F342" s="373"/>
      <x:c r="G342" s="373"/>
      <x:c r="H342" s="373"/>
      <x:c r="I342" s="373"/>
      <x:c r="J342" s="373"/>
      <x:c r="K342" s="373"/>
      <x:c r="L342" s="373"/>
      <x:c r="M342" s="373"/>
      <x:c r="N342" s="373"/>
      <x:c r="O342" s="373"/>
      <x:c r="P342" s="373"/>
      <x:c r="Q342" s="373"/>
      <x:c r="R342" s="373"/>
      <x:c r="S342" s="373"/>
      <x:c r="T342" s="373"/>
      <x:c r="U342" s="373"/>
      <x:c r="V342" s="373"/>
      <x:c r="W342" s="373"/>
      <x:c r="X342" s="373"/>
      <x:c r="Y342" s="373"/>
      <x:c r="Z342" s="373"/>
    </x:row>
    <x:row r="343">
      <x:c r="A343" s="373"/>
      <x:c r="B343" s="373"/>
      <x:c r="C343" s="373"/>
      <x:c r="D343" s="373"/>
      <x:c r="E343" s="373"/>
      <x:c r="F343" s="373"/>
      <x:c r="G343" s="373"/>
      <x:c r="H343" s="373"/>
      <x:c r="I343" s="373"/>
      <x:c r="J343" s="373"/>
      <x:c r="K343" s="373"/>
      <x:c r="L343" s="373"/>
      <x:c r="M343" s="373"/>
      <x:c r="N343" s="373"/>
      <x:c r="O343" s="373"/>
      <x:c r="P343" s="373"/>
      <x:c r="Q343" s="373"/>
      <x:c r="R343" s="373"/>
      <x:c r="S343" s="373"/>
      <x:c r="T343" s="373"/>
      <x:c r="U343" s="373"/>
      <x:c r="V343" s="373"/>
      <x:c r="W343" s="373"/>
      <x:c r="X343" s="373"/>
      <x:c r="Y343" s="373"/>
      <x:c r="Z343" s="373"/>
    </x:row>
    <x:row r="344">
      <x:c r="A344" s="373"/>
      <x:c r="B344" s="373"/>
      <x:c r="C344" s="373"/>
      <x:c r="D344" s="373"/>
      <x:c r="E344" s="373"/>
      <x:c r="F344" s="373"/>
      <x:c r="G344" s="373"/>
      <x:c r="H344" s="373"/>
      <x:c r="I344" s="373"/>
      <x:c r="J344" s="373"/>
      <x:c r="K344" s="373"/>
      <x:c r="L344" s="373"/>
      <x:c r="M344" s="373"/>
      <x:c r="N344" s="373"/>
      <x:c r="O344" s="373"/>
      <x:c r="P344" s="373"/>
      <x:c r="Q344" s="373"/>
      <x:c r="R344" s="373"/>
      <x:c r="S344" s="373"/>
      <x:c r="T344" s="373"/>
      <x:c r="U344" s="373"/>
      <x:c r="V344" s="373"/>
      <x:c r="W344" s="373"/>
      <x:c r="X344" s="373"/>
      <x:c r="Y344" s="373"/>
      <x:c r="Z344" s="373"/>
    </x:row>
    <x:row r="345">
      <x:c r="A345" s="373"/>
      <x:c r="B345" s="373"/>
      <x:c r="C345" s="373"/>
      <x:c r="D345" s="373"/>
      <x:c r="E345" s="373"/>
      <x:c r="F345" s="373"/>
      <x:c r="G345" s="373"/>
      <x:c r="H345" s="373"/>
      <x:c r="I345" s="373"/>
      <x:c r="J345" s="373"/>
      <x:c r="K345" s="373"/>
      <x:c r="L345" s="373"/>
      <x:c r="M345" s="373"/>
      <x:c r="N345" s="373"/>
      <x:c r="O345" s="373"/>
      <x:c r="P345" s="373"/>
      <x:c r="Q345" s="373"/>
      <x:c r="R345" s="373"/>
      <x:c r="S345" s="373"/>
      <x:c r="T345" s="373"/>
      <x:c r="U345" s="373"/>
      <x:c r="V345" s="373"/>
      <x:c r="W345" s="373"/>
      <x:c r="X345" s="373"/>
      <x:c r="Y345" s="373"/>
      <x:c r="Z345" s="373"/>
    </x:row>
    <x:row r="346">
      <x:c r="A346" s="373"/>
      <x:c r="B346" s="373"/>
      <x:c r="C346" s="373"/>
      <x:c r="D346" s="373"/>
      <x:c r="E346" s="373"/>
      <x:c r="F346" s="373"/>
      <x:c r="G346" s="373"/>
      <x:c r="H346" s="373"/>
      <x:c r="I346" s="373"/>
      <x:c r="J346" s="373"/>
      <x:c r="K346" s="373"/>
      <x:c r="L346" s="373"/>
      <x:c r="M346" s="373"/>
      <x:c r="N346" s="373"/>
      <x:c r="O346" s="373"/>
      <x:c r="P346" s="373"/>
      <x:c r="Q346" s="373"/>
      <x:c r="R346" s="373"/>
      <x:c r="S346" s="373"/>
      <x:c r="T346" s="373"/>
      <x:c r="U346" s="373"/>
      <x:c r="V346" s="373"/>
      <x:c r="W346" s="373"/>
      <x:c r="X346" s="373"/>
      <x:c r="Y346" s="373"/>
      <x:c r="Z346" s="373"/>
    </x:row>
    <x:row r="347">
      <x:c r="A347" s="373"/>
      <x:c r="B347" s="373"/>
      <x:c r="C347" s="373"/>
      <x:c r="D347" s="373"/>
      <x:c r="E347" s="373"/>
      <x:c r="F347" s="373"/>
      <x:c r="G347" s="373"/>
      <x:c r="H347" s="373"/>
      <x:c r="I347" s="373"/>
      <x:c r="J347" s="373"/>
      <x:c r="K347" s="373"/>
      <x:c r="L347" s="373"/>
      <x:c r="M347" s="373"/>
      <x:c r="N347" s="373"/>
      <x:c r="O347" s="373"/>
      <x:c r="P347" s="373"/>
      <x:c r="Q347" s="373"/>
      <x:c r="R347" s="373"/>
      <x:c r="S347" s="373"/>
      <x:c r="T347" s="373"/>
      <x:c r="U347" s="373"/>
      <x:c r="V347" s="373"/>
      <x:c r="W347" s="373"/>
      <x:c r="X347" s="373"/>
      <x:c r="Y347" s="373"/>
      <x:c r="Z347" s="373"/>
    </x:row>
    <x:row r="348">
      <x:c r="A348" s="373"/>
      <x:c r="B348" s="373"/>
      <x:c r="C348" s="373"/>
      <x:c r="D348" s="373"/>
      <x:c r="E348" s="373"/>
      <x:c r="F348" s="373"/>
      <x:c r="G348" s="373"/>
      <x:c r="H348" s="373"/>
      <x:c r="I348" s="373"/>
      <x:c r="J348" s="373"/>
      <x:c r="K348" s="373"/>
      <x:c r="L348" s="373"/>
      <x:c r="M348" s="373"/>
      <x:c r="N348" s="373"/>
      <x:c r="O348" s="373"/>
      <x:c r="P348" s="373"/>
      <x:c r="Q348" s="373"/>
      <x:c r="R348" s="373"/>
      <x:c r="S348" s="373"/>
      <x:c r="T348" s="373"/>
      <x:c r="U348" s="373"/>
      <x:c r="V348" s="373"/>
      <x:c r="W348" s="373"/>
      <x:c r="X348" s="373"/>
      <x:c r="Y348" s="373"/>
      <x:c r="Z348" s="373"/>
    </x:row>
    <x:row r="349">
      <x:c r="A349" s="373"/>
      <x:c r="B349" s="373"/>
      <x:c r="C349" s="373"/>
      <x:c r="D349" s="373"/>
      <x:c r="E349" s="373"/>
      <x:c r="F349" s="373"/>
      <x:c r="G349" s="373"/>
      <x:c r="H349" s="373"/>
      <x:c r="I349" s="373"/>
      <x:c r="J349" s="373"/>
      <x:c r="K349" s="373"/>
      <x:c r="L349" s="373"/>
      <x:c r="M349" s="373"/>
      <x:c r="N349" s="373"/>
      <x:c r="O349" s="373"/>
      <x:c r="P349" s="373"/>
      <x:c r="Q349" s="373"/>
      <x:c r="R349" s="373"/>
      <x:c r="S349" s="373"/>
      <x:c r="T349" s="373"/>
      <x:c r="U349" s="373"/>
      <x:c r="V349" s="373"/>
      <x:c r="W349" s="373"/>
      <x:c r="X349" s="373"/>
      <x:c r="Y349" s="373"/>
      <x:c r="Z349" s="373"/>
    </x:row>
    <x:row r="350">
      <x:c r="A350" s="373"/>
      <x:c r="B350" s="373"/>
      <x:c r="C350" s="373"/>
      <x:c r="D350" s="373"/>
      <x:c r="E350" s="373"/>
      <x:c r="F350" s="373"/>
      <x:c r="G350" s="373"/>
      <x:c r="H350" s="373"/>
      <x:c r="I350" s="373"/>
      <x:c r="J350" s="373"/>
      <x:c r="K350" s="373"/>
      <x:c r="L350" s="373"/>
      <x:c r="M350" s="373"/>
      <x:c r="N350" s="373"/>
      <x:c r="O350" s="373"/>
      <x:c r="P350" s="373"/>
      <x:c r="Q350" s="373"/>
      <x:c r="R350" s="373"/>
      <x:c r="S350" s="373"/>
      <x:c r="T350" s="373"/>
      <x:c r="U350" s="373"/>
      <x:c r="V350" s="373"/>
      <x:c r="W350" s="373"/>
      <x:c r="X350" s="373"/>
      <x:c r="Y350" s="373"/>
      <x:c r="Z350" s="373"/>
    </x:row>
    <x:row r="351">
      <x:c r="A351" s="373"/>
      <x:c r="B351" s="373"/>
      <x:c r="C351" s="373"/>
      <x:c r="D351" s="373"/>
      <x:c r="E351" s="373"/>
      <x:c r="F351" s="373"/>
      <x:c r="G351" s="373"/>
      <x:c r="H351" s="373"/>
      <x:c r="I351" s="373"/>
      <x:c r="J351" s="373"/>
      <x:c r="K351" s="373"/>
      <x:c r="L351" s="373"/>
      <x:c r="M351" s="373"/>
      <x:c r="N351" s="373"/>
      <x:c r="O351" s="373"/>
      <x:c r="P351" s="373"/>
      <x:c r="Q351" s="373"/>
      <x:c r="R351" s="373"/>
      <x:c r="S351" s="373"/>
      <x:c r="T351" s="373"/>
      <x:c r="U351" s="373"/>
      <x:c r="V351" s="373"/>
      <x:c r="W351" s="373"/>
      <x:c r="X351" s="373"/>
      <x:c r="Y351" s="373"/>
      <x:c r="Z351" s="373"/>
    </x:row>
    <x:row r="352">
      <x:c r="A352" s="373"/>
      <x:c r="B352" s="373"/>
      <x:c r="C352" s="373"/>
      <x:c r="D352" s="373"/>
      <x:c r="E352" s="373"/>
      <x:c r="F352" s="373"/>
      <x:c r="G352" s="373"/>
      <x:c r="H352" s="373"/>
      <x:c r="I352" s="373"/>
      <x:c r="J352" s="373"/>
      <x:c r="K352" s="373"/>
      <x:c r="L352" s="373"/>
      <x:c r="M352" s="373"/>
      <x:c r="N352" s="373"/>
      <x:c r="O352" s="373"/>
      <x:c r="P352" s="373"/>
      <x:c r="Q352" s="373"/>
      <x:c r="R352" s="373"/>
      <x:c r="S352" s="373"/>
      <x:c r="T352" s="373"/>
      <x:c r="U352" s="373"/>
      <x:c r="V352" s="373"/>
      <x:c r="W352" s="373"/>
      <x:c r="X352" s="373"/>
      <x:c r="Y352" s="373"/>
      <x:c r="Z352" s="373"/>
    </x:row>
    <x:row r="353">
      <x:c r="A353" s="373"/>
      <x:c r="B353" s="373"/>
      <x:c r="C353" s="373"/>
      <x:c r="D353" s="373"/>
      <x:c r="E353" s="373"/>
      <x:c r="F353" s="373"/>
      <x:c r="G353" s="373"/>
      <x:c r="H353" s="373"/>
      <x:c r="I353" s="373"/>
      <x:c r="J353" s="373"/>
      <x:c r="K353" s="373"/>
      <x:c r="L353" s="373"/>
      <x:c r="M353" s="373"/>
      <x:c r="N353" s="373"/>
      <x:c r="O353" s="373"/>
      <x:c r="P353" s="373"/>
      <x:c r="Q353" s="373"/>
      <x:c r="R353" s="373"/>
      <x:c r="S353" s="373"/>
      <x:c r="T353" s="373"/>
      <x:c r="U353" s="373"/>
      <x:c r="V353" s="373"/>
      <x:c r="W353" s="373"/>
      <x:c r="X353" s="373"/>
      <x:c r="Y353" s="373"/>
      <x:c r="Z353" s="373"/>
    </x:row>
    <x:row r="354">
      <x:c r="A354" s="373"/>
      <x:c r="B354" s="373"/>
      <x:c r="C354" s="373"/>
      <x:c r="D354" s="373"/>
      <x:c r="E354" s="373"/>
      <x:c r="F354" s="373"/>
      <x:c r="G354" s="373"/>
      <x:c r="H354" s="373"/>
      <x:c r="I354" s="373"/>
      <x:c r="J354" s="373"/>
      <x:c r="K354" s="373"/>
      <x:c r="L354" s="373"/>
      <x:c r="M354" s="373"/>
      <x:c r="N354" s="373"/>
      <x:c r="O354" s="373"/>
      <x:c r="P354" s="373"/>
      <x:c r="Q354" s="373"/>
      <x:c r="R354" s="373"/>
      <x:c r="S354" s="373"/>
      <x:c r="T354" s="373"/>
      <x:c r="U354" s="373"/>
      <x:c r="V354" s="373"/>
      <x:c r="W354" s="373"/>
      <x:c r="X354" s="373"/>
      <x:c r="Y354" s="373"/>
      <x:c r="Z354" s="373"/>
    </x:row>
    <x:row r="355">
      <x:c r="A355" s="373"/>
      <x:c r="B355" s="373"/>
      <x:c r="C355" s="373"/>
      <x:c r="D355" s="373"/>
      <x:c r="E355" s="373"/>
      <x:c r="F355" s="373"/>
      <x:c r="G355" s="373"/>
      <x:c r="H355" s="373"/>
      <x:c r="I355" s="373"/>
      <x:c r="J355" s="373"/>
      <x:c r="K355" s="373"/>
      <x:c r="L355" s="373"/>
      <x:c r="M355" s="373"/>
      <x:c r="N355" s="373"/>
      <x:c r="O355" s="373"/>
      <x:c r="P355" s="373"/>
      <x:c r="Q355" s="373"/>
      <x:c r="R355" s="373"/>
      <x:c r="S355" s="373"/>
      <x:c r="T355" s="373"/>
      <x:c r="U355" s="373"/>
      <x:c r="V355" s="373"/>
      <x:c r="W355" s="373"/>
      <x:c r="X355" s="373"/>
      <x:c r="Y355" s="373"/>
      <x:c r="Z355" s="373"/>
    </x:row>
    <x:row r="356">
      <x:c r="A356" s="373"/>
      <x:c r="B356" s="373"/>
      <x:c r="C356" s="373"/>
      <x:c r="D356" s="373"/>
      <x:c r="E356" s="373"/>
      <x:c r="F356" s="373"/>
      <x:c r="G356" s="373"/>
      <x:c r="H356" s="373"/>
      <x:c r="I356" s="373"/>
      <x:c r="J356" s="373"/>
      <x:c r="K356" s="373"/>
      <x:c r="L356" s="373"/>
      <x:c r="M356" s="373"/>
      <x:c r="N356" s="373"/>
      <x:c r="O356" s="373"/>
      <x:c r="P356" s="373"/>
      <x:c r="Q356" s="373"/>
      <x:c r="R356" s="373"/>
      <x:c r="S356" s="373"/>
      <x:c r="T356" s="373"/>
      <x:c r="U356" s="373"/>
      <x:c r="V356" s="373"/>
      <x:c r="W356" s="373"/>
      <x:c r="X356" s="373"/>
      <x:c r="Y356" s="373"/>
      <x:c r="Z356" s="373"/>
    </x:row>
    <x:row r="357">
      <x:c r="A357" s="373"/>
      <x:c r="B357" s="373"/>
      <x:c r="C357" s="373"/>
      <x:c r="D357" s="373"/>
      <x:c r="E357" s="373"/>
      <x:c r="F357" s="373"/>
      <x:c r="G357" s="373"/>
      <x:c r="H357" s="373"/>
      <x:c r="I357" s="373"/>
      <x:c r="J357" s="373"/>
      <x:c r="K357" s="373"/>
      <x:c r="L357" s="373"/>
      <x:c r="M357" s="373"/>
      <x:c r="N357" s="373"/>
      <x:c r="O357" s="373"/>
      <x:c r="P357" s="373"/>
      <x:c r="Q357" s="373"/>
      <x:c r="R357" s="373"/>
      <x:c r="S357" s="373"/>
      <x:c r="T357" s="373"/>
      <x:c r="U357" s="373"/>
      <x:c r="V357" s="373"/>
      <x:c r="W357" s="373"/>
      <x:c r="X357" s="373"/>
      <x:c r="Y357" s="373"/>
      <x:c r="Z357" s="373"/>
    </x:row>
    <x:row r="358">
      <x:c r="A358" s="373"/>
      <x:c r="B358" s="373"/>
      <x:c r="C358" s="373"/>
      <x:c r="D358" s="373"/>
      <x:c r="E358" s="373"/>
      <x:c r="F358" s="373"/>
      <x:c r="G358" s="373"/>
      <x:c r="H358" s="373"/>
      <x:c r="I358" s="373"/>
      <x:c r="J358" s="373"/>
      <x:c r="K358" s="373"/>
      <x:c r="L358" s="373"/>
      <x:c r="M358" s="373"/>
      <x:c r="N358" s="373"/>
      <x:c r="O358" s="373"/>
      <x:c r="P358" s="373"/>
      <x:c r="Q358" s="373"/>
      <x:c r="R358" s="373"/>
      <x:c r="S358" s="373"/>
      <x:c r="T358" s="373"/>
      <x:c r="U358" s="373"/>
      <x:c r="V358" s="373"/>
      <x:c r="W358" s="373"/>
      <x:c r="X358" s="373"/>
      <x:c r="Y358" s="373"/>
      <x:c r="Z358" s="373"/>
    </x:row>
    <x:row r="359">
      <x:c r="A359" s="373"/>
      <x:c r="B359" s="373"/>
      <x:c r="C359" s="373"/>
      <x:c r="D359" s="373"/>
      <x:c r="E359" s="373"/>
      <x:c r="F359" s="373"/>
      <x:c r="G359" s="373"/>
      <x:c r="H359" s="373"/>
      <x:c r="I359" s="373"/>
      <x:c r="J359" s="373"/>
      <x:c r="K359" s="373"/>
      <x:c r="L359" s="373"/>
      <x:c r="M359" s="373"/>
      <x:c r="N359" s="373"/>
      <x:c r="O359" s="373"/>
      <x:c r="P359" s="373"/>
      <x:c r="Q359" s="373"/>
      <x:c r="R359" s="373"/>
      <x:c r="S359" s="373"/>
      <x:c r="T359" s="373"/>
      <x:c r="U359" s="373"/>
      <x:c r="V359" s="373"/>
      <x:c r="W359" s="373"/>
      <x:c r="X359" s="373"/>
      <x:c r="Y359" s="373"/>
      <x:c r="Z359" s="373"/>
    </x:row>
    <x:row r="360">
      <x:c r="A360" s="373"/>
      <x:c r="B360" s="373"/>
      <x:c r="C360" s="373"/>
      <x:c r="D360" s="373"/>
      <x:c r="E360" s="373"/>
      <x:c r="F360" s="373"/>
      <x:c r="G360" s="373"/>
      <x:c r="H360" s="373"/>
      <x:c r="I360" s="373"/>
      <x:c r="J360" s="373"/>
      <x:c r="K360" s="373"/>
      <x:c r="L360" s="373"/>
      <x:c r="M360" s="373"/>
      <x:c r="N360" s="373"/>
      <x:c r="O360" s="373"/>
      <x:c r="P360" s="373"/>
      <x:c r="Q360" s="373"/>
      <x:c r="R360" s="373"/>
      <x:c r="S360" s="373"/>
      <x:c r="T360" s="373"/>
      <x:c r="U360" s="373"/>
      <x:c r="V360" s="373"/>
      <x:c r="W360" s="373"/>
      <x:c r="X360" s="373"/>
      <x:c r="Y360" s="373"/>
      <x:c r="Z360" s="373"/>
    </x:row>
    <x:row r="361">
      <x:c r="A361" s="373"/>
      <x:c r="B361" s="373"/>
      <x:c r="C361" s="373"/>
      <x:c r="D361" s="373"/>
      <x:c r="E361" s="373"/>
      <x:c r="F361" s="373"/>
      <x:c r="G361" s="373"/>
      <x:c r="H361" s="373"/>
      <x:c r="I361" s="373"/>
      <x:c r="J361" s="373"/>
      <x:c r="K361" s="373"/>
      <x:c r="L361" s="373"/>
      <x:c r="M361" s="373"/>
      <x:c r="N361" s="373"/>
      <x:c r="O361" s="373"/>
      <x:c r="P361" s="373"/>
      <x:c r="Q361" s="373"/>
      <x:c r="R361" s="373"/>
      <x:c r="S361" s="373"/>
      <x:c r="T361" s="373"/>
      <x:c r="U361" s="373"/>
      <x:c r="V361" s="373"/>
      <x:c r="W361" s="373"/>
      <x:c r="X361" s="373"/>
      <x:c r="Y361" s="373"/>
      <x:c r="Z361" s="373"/>
    </x:row>
    <x:row r="362">
      <x:c r="A362" s="373"/>
      <x:c r="B362" s="373"/>
      <x:c r="C362" s="373"/>
      <x:c r="D362" s="373"/>
      <x:c r="E362" s="373"/>
      <x:c r="F362" s="373"/>
      <x:c r="G362" s="373"/>
      <x:c r="H362" s="373"/>
      <x:c r="I362" s="373"/>
      <x:c r="J362" s="373"/>
      <x:c r="K362" s="373"/>
      <x:c r="L362" s="373"/>
      <x:c r="M362" s="373"/>
      <x:c r="N362" s="373"/>
      <x:c r="O362" s="373"/>
      <x:c r="P362" s="373"/>
      <x:c r="Q362" s="373"/>
      <x:c r="R362" s="373"/>
      <x:c r="S362" s="373"/>
      <x:c r="T362" s="373"/>
      <x:c r="U362" s="373"/>
      <x:c r="V362" s="373"/>
      <x:c r="W362" s="373"/>
      <x:c r="X362" s="373"/>
      <x:c r="Y362" s="373"/>
      <x:c r="Z362" s="373"/>
    </x:row>
    <x:row r="363">
      <x:c r="A363" s="373"/>
      <x:c r="B363" s="373"/>
      <x:c r="C363" s="373"/>
      <x:c r="D363" s="373"/>
      <x:c r="E363" s="373"/>
      <x:c r="F363" s="373"/>
      <x:c r="G363" s="373"/>
      <x:c r="H363" s="373"/>
      <x:c r="I363" s="373"/>
      <x:c r="J363" s="373"/>
      <x:c r="K363" s="373"/>
      <x:c r="L363" s="373"/>
      <x:c r="M363" s="373"/>
      <x:c r="N363" s="373"/>
      <x:c r="O363" s="373"/>
      <x:c r="P363" s="373"/>
      <x:c r="Q363" s="373"/>
      <x:c r="R363" s="373"/>
      <x:c r="S363" s="373"/>
      <x:c r="T363" s="373"/>
      <x:c r="U363" s="373"/>
      <x:c r="V363" s="373"/>
      <x:c r="W363" s="373"/>
      <x:c r="X363" s="373"/>
      <x:c r="Y363" s="373"/>
      <x:c r="Z363" s="373"/>
    </x:row>
    <x:row r="364">
      <x:c r="A364" s="373"/>
      <x:c r="B364" s="373"/>
      <x:c r="C364" s="373"/>
      <x:c r="D364" s="373"/>
      <x:c r="E364" s="373"/>
      <x:c r="F364" s="373"/>
      <x:c r="G364" s="373"/>
      <x:c r="H364" s="373"/>
      <x:c r="I364" s="373"/>
      <x:c r="J364" s="373"/>
      <x:c r="K364" s="373"/>
      <x:c r="L364" s="373"/>
      <x:c r="M364" s="373"/>
      <x:c r="N364" s="373"/>
      <x:c r="O364" s="373"/>
      <x:c r="P364" s="373"/>
      <x:c r="Q364" s="373"/>
      <x:c r="R364" s="373"/>
      <x:c r="S364" s="373"/>
      <x:c r="T364" s="373"/>
      <x:c r="U364" s="373"/>
      <x:c r="V364" s="373"/>
      <x:c r="W364" s="373"/>
      <x:c r="X364" s="373"/>
      <x:c r="Y364" s="373"/>
      <x:c r="Z364" s="373"/>
    </x:row>
    <x:row r="365">
      <x:c r="A365" s="373"/>
      <x:c r="B365" s="373"/>
      <x:c r="C365" s="373"/>
      <x:c r="D365" s="373"/>
      <x:c r="E365" s="373"/>
      <x:c r="F365" s="373"/>
      <x:c r="G365" s="373"/>
      <x:c r="H365" s="373"/>
      <x:c r="I365" s="373"/>
      <x:c r="J365" s="373"/>
      <x:c r="K365" s="373"/>
      <x:c r="L365" s="373"/>
      <x:c r="M365" s="373"/>
      <x:c r="N365" s="373"/>
      <x:c r="O365" s="373"/>
      <x:c r="P365" s="373"/>
      <x:c r="Q365" s="373"/>
      <x:c r="R365" s="373"/>
      <x:c r="S365" s="373"/>
      <x:c r="T365" s="373"/>
      <x:c r="U365" s="373"/>
      <x:c r="V365" s="373"/>
      <x:c r="W365" s="373"/>
      <x:c r="X365" s="373"/>
      <x:c r="Y365" s="373"/>
      <x:c r="Z365" s="373"/>
    </x:row>
    <x:row r="366">
      <x:c r="A366" s="373"/>
      <x:c r="B366" s="373"/>
      <x:c r="C366" s="373"/>
      <x:c r="D366" s="373"/>
      <x:c r="E366" s="373"/>
      <x:c r="F366" s="373"/>
      <x:c r="G366" s="373"/>
      <x:c r="H366" s="373"/>
      <x:c r="I366" s="373"/>
      <x:c r="J366" s="373"/>
      <x:c r="K366" s="373"/>
      <x:c r="L366" s="373"/>
      <x:c r="M366" s="373"/>
      <x:c r="N366" s="373"/>
      <x:c r="O366" s="373"/>
      <x:c r="P366" s="373"/>
      <x:c r="Q366" s="373"/>
      <x:c r="R366" s="373"/>
      <x:c r="S366" s="373"/>
      <x:c r="T366" s="373"/>
      <x:c r="U366" s="373"/>
      <x:c r="V366" s="373"/>
      <x:c r="W366" s="373"/>
      <x:c r="X366" s="373"/>
      <x:c r="Y366" s="373"/>
      <x:c r="Z366" s="373"/>
    </x:row>
    <x:row r="367">
      <x:c r="A367" s="373"/>
      <x:c r="B367" s="373"/>
      <x:c r="C367" s="373"/>
      <x:c r="D367" s="373"/>
      <x:c r="E367" s="373"/>
      <x:c r="F367" s="373"/>
      <x:c r="G367" s="373"/>
      <x:c r="H367" s="373"/>
      <x:c r="I367" s="373"/>
      <x:c r="J367" s="373"/>
      <x:c r="K367" s="373"/>
      <x:c r="L367" s="373"/>
      <x:c r="M367" s="373"/>
      <x:c r="N367" s="373"/>
      <x:c r="O367" s="373"/>
      <x:c r="P367" s="373"/>
      <x:c r="Q367" s="373"/>
      <x:c r="R367" s="373"/>
      <x:c r="S367" s="373"/>
      <x:c r="T367" s="373"/>
      <x:c r="U367" s="373"/>
      <x:c r="V367" s="373"/>
      <x:c r="W367" s="373"/>
      <x:c r="X367" s="373"/>
      <x:c r="Y367" s="373"/>
      <x:c r="Z367" s="373"/>
    </x:row>
    <x:row r="368">
      <x:c r="A368" s="373"/>
      <x:c r="B368" s="373"/>
      <x:c r="C368" s="373"/>
      <x:c r="D368" s="373"/>
      <x:c r="E368" s="373"/>
      <x:c r="F368" s="373"/>
      <x:c r="G368" s="373"/>
      <x:c r="H368" s="373"/>
      <x:c r="I368" s="373"/>
      <x:c r="J368" s="373"/>
      <x:c r="K368" s="373"/>
      <x:c r="L368" s="373"/>
      <x:c r="M368" s="373"/>
      <x:c r="N368" s="373"/>
      <x:c r="O368" s="373"/>
      <x:c r="P368" s="373"/>
      <x:c r="Q368" s="373"/>
      <x:c r="R368" s="373"/>
      <x:c r="S368" s="373"/>
      <x:c r="T368" s="373"/>
      <x:c r="U368" s="373"/>
      <x:c r="V368" s="373"/>
      <x:c r="W368" s="373"/>
      <x:c r="X368" s="373"/>
      <x:c r="Y368" s="373"/>
      <x:c r="Z368" s="373"/>
    </x:row>
    <x:row r="369">
      <x:c r="A369" s="373"/>
      <x:c r="B369" s="373"/>
      <x:c r="C369" s="373"/>
      <x:c r="D369" s="373"/>
      <x:c r="E369" s="373"/>
      <x:c r="F369" s="373"/>
      <x:c r="G369" s="373"/>
      <x:c r="H369" s="373"/>
      <x:c r="I369" s="373"/>
      <x:c r="J369" s="373"/>
      <x:c r="K369" s="373"/>
      <x:c r="L369" s="373"/>
      <x:c r="M369" s="373"/>
      <x:c r="N369" s="373"/>
      <x:c r="O369" s="373"/>
      <x:c r="P369" s="373"/>
      <x:c r="Q369" s="373"/>
      <x:c r="R369" s="373"/>
      <x:c r="S369" s="373"/>
      <x:c r="T369" s="373"/>
      <x:c r="U369" s="373"/>
      <x:c r="V369" s="373"/>
      <x:c r="W369" s="373"/>
      <x:c r="X369" s="373"/>
      <x:c r="Y369" s="373"/>
      <x:c r="Z369" s="373"/>
    </x:row>
    <x:row r="370">
      <x:c r="A370" s="373"/>
      <x:c r="B370" s="373"/>
      <x:c r="C370" s="373"/>
      <x:c r="D370" s="373"/>
      <x:c r="E370" s="373"/>
      <x:c r="F370" s="373"/>
      <x:c r="G370" s="373"/>
      <x:c r="H370" s="373"/>
      <x:c r="I370" s="373"/>
      <x:c r="J370" s="373"/>
      <x:c r="K370" s="373"/>
      <x:c r="L370" s="373"/>
      <x:c r="M370" s="373"/>
      <x:c r="N370" s="373"/>
      <x:c r="O370" s="373"/>
      <x:c r="P370" s="373"/>
      <x:c r="Q370" s="373"/>
      <x:c r="R370" s="373"/>
      <x:c r="S370" s="373"/>
      <x:c r="T370" s="373"/>
      <x:c r="U370" s="373"/>
      <x:c r="V370" s="373"/>
      <x:c r="W370" s="373"/>
      <x:c r="X370" s="373"/>
      <x:c r="Y370" s="373"/>
      <x:c r="Z370" s="373"/>
    </x:row>
    <x:row r="371">
      <x:c r="A371" s="373"/>
      <x:c r="B371" s="373"/>
      <x:c r="C371" s="373"/>
      <x:c r="D371" s="373"/>
      <x:c r="E371" s="373"/>
      <x:c r="F371" s="373"/>
      <x:c r="G371" s="373"/>
      <x:c r="H371" s="373"/>
      <x:c r="I371" s="373"/>
      <x:c r="J371" s="373"/>
      <x:c r="K371" s="373"/>
      <x:c r="L371" s="373"/>
      <x:c r="M371" s="373"/>
      <x:c r="N371" s="373"/>
      <x:c r="O371" s="373"/>
      <x:c r="P371" s="373"/>
      <x:c r="Q371" s="373"/>
      <x:c r="R371" s="373"/>
      <x:c r="S371" s="373"/>
      <x:c r="T371" s="373"/>
      <x:c r="U371" s="373"/>
      <x:c r="V371" s="373"/>
      <x:c r="W371" s="373"/>
      <x:c r="X371" s="373"/>
      <x:c r="Y371" s="373"/>
      <x:c r="Z371" s="373"/>
    </x:row>
    <x:row r="372">
      <x:c r="A372" s="373"/>
      <x:c r="B372" s="373"/>
      <x:c r="C372" s="373"/>
      <x:c r="D372" s="373"/>
      <x:c r="E372" s="373"/>
      <x:c r="F372" s="373"/>
      <x:c r="G372" s="373"/>
      <x:c r="H372" s="373"/>
      <x:c r="I372" s="373"/>
      <x:c r="J372" s="373"/>
      <x:c r="K372" s="373"/>
      <x:c r="L372" s="373"/>
      <x:c r="M372" s="373"/>
      <x:c r="N372" s="373"/>
      <x:c r="O372" s="373"/>
      <x:c r="P372" s="373"/>
      <x:c r="Q372" s="373"/>
      <x:c r="R372" s="373"/>
      <x:c r="S372" s="373"/>
      <x:c r="T372" s="373"/>
      <x:c r="U372" s="373"/>
      <x:c r="V372" s="373"/>
      <x:c r="W372" s="373"/>
      <x:c r="X372" s="373"/>
      <x:c r="Y372" s="373"/>
      <x:c r="Z372" s="373"/>
    </x:row>
    <x:row r="373">
      <x:c r="A373" s="373"/>
      <x:c r="B373" s="373"/>
      <x:c r="C373" s="373"/>
      <x:c r="D373" s="373"/>
      <x:c r="E373" s="373"/>
      <x:c r="F373" s="373"/>
      <x:c r="G373" s="373"/>
      <x:c r="H373" s="373"/>
      <x:c r="I373" s="373"/>
      <x:c r="J373" s="373"/>
      <x:c r="K373" s="373"/>
      <x:c r="L373" s="373"/>
      <x:c r="M373" s="373"/>
      <x:c r="N373" s="373"/>
      <x:c r="O373" s="373"/>
      <x:c r="P373" s="373"/>
      <x:c r="Q373" s="373"/>
      <x:c r="R373" s="373"/>
      <x:c r="S373" s="373"/>
      <x:c r="T373" s="373"/>
      <x:c r="U373" s="373"/>
      <x:c r="V373" s="373"/>
      <x:c r="W373" s="373"/>
      <x:c r="X373" s="373"/>
      <x:c r="Y373" s="373"/>
      <x:c r="Z373" s="373"/>
    </x:row>
    <x:row r="374">
      <x:c r="A374" s="373"/>
      <x:c r="B374" s="373"/>
      <x:c r="C374" s="373"/>
      <x:c r="D374" s="373"/>
      <x:c r="E374" s="373"/>
      <x:c r="F374" s="373"/>
      <x:c r="G374" s="373"/>
      <x:c r="H374" s="373"/>
      <x:c r="I374" s="373"/>
      <x:c r="J374" s="373"/>
      <x:c r="K374" s="373"/>
      <x:c r="L374" s="373"/>
      <x:c r="M374" s="373"/>
      <x:c r="N374" s="373"/>
      <x:c r="O374" s="373"/>
      <x:c r="P374" s="373"/>
      <x:c r="Q374" s="373"/>
      <x:c r="R374" s="373"/>
      <x:c r="S374" s="373"/>
      <x:c r="T374" s="373"/>
      <x:c r="U374" s="373"/>
      <x:c r="V374" s="373"/>
      <x:c r="W374" s="373"/>
      <x:c r="X374" s="373"/>
      <x:c r="Y374" s="373"/>
      <x:c r="Z374" s="373"/>
    </x:row>
    <x:row r="375">
      <x:c r="A375" s="373"/>
      <x:c r="B375" s="373"/>
      <x:c r="C375" s="373"/>
      <x:c r="D375" s="373"/>
      <x:c r="E375" s="373"/>
      <x:c r="F375" s="373"/>
      <x:c r="G375" s="373"/>
      <x:c r="H375" s="373"/>
      <x:c r="I375" s="373"/>
      <x:c r="J375" s="373"/>
      <x:c r="K375" s="373"/>
      <x:c r="L375" s="373"/>
      <x:c r="M375" s="373"/>
      <x:c r="N375" s="373"/>
      <x:c r="O375" s="373"/>
      <x:c r="P375" s="373"/>
      <x:c r="Q375" s="373"/>
      <x:c r="R375" s="373"/>
      <x:c r="S375" s="373"/>
      <x:c r="T375" s="373"/>
      <x:c r="U375" s="373"/>
      <x:c r="V375" s="373"/>
      <x:c r="W375" s="373"/>
      <x:c r="X375" s="373"/>
      <x:c r="Y375" s="373"/>
      <x:c r="Z375" s="373"/>
    </x:row>
    <x:row r="376">
      <x:c r="A376" s="373"/>
      <x:c r="B376" s="373"/>
      <x:c r="C376" s="373"/>
      <x:c r="D376" s="373"/>
      <x:c r="E376" s="373"/>
      <x:c r="F376" s="373"/>
      <x:c r="G376" s="373"/>
      <x:c r="H376" s="373"/>
      <x:c r="I376" s="373"/>
      <x:c r="J376" s="373"/>
      <x:c r="K376" s="373"/>
      <x:c r="L376" s="373"/>
      <x:c r="M376" s="373"/>
      <x:c r="N376" s="373"/>
      <x:c r="O376" s="373"/>
      <x:c r="P376" s="373"/>
      <x:c r="Q376" s="373"/>
      <x:c r="R376" s="373"/>
      <x:c r="S376" s="373"/>
      <x:c r="T376" s="373"/>
      <x:c r="U376" s="373"/>
      <x:c r="V376" s="373"/>
      <x:c r="W376" s="373"/>
      <x:c r="X376" s="373"/>
      <x:c r="Y376" s="373"/>
      <x:c r="Z376" s="373"/>
    </x:row>
    <x:row r="377">
      <x:c r="A377" s="373"/>
      <x:c r="B377" s="373"/>
      <x:c r="C377" s="373"/>
      <x:c r="D377" s="373"/>
      <x:c r="E377" s="373"/>
      <x:c r="F377" s="373"/>
      <x:c r="G377" s="373"/>
      <x:c r="H377" s="373"/>
      <x:c r="I377" s="373"/>
      <x:c r="J377" s="373"/>
      <x:c r="K377" s="373"/>
      <x:c r="L377" s="373"/>
      <x:c r="M377" s="373"/>
      <x:c r="N377" s="373"/>
      <x:c r="O377" s="373"/>
      <x:c r="P377" s="373"/>
      <x:c r="Q377" s="373"/>
      <x:c r="R377" s="373"/>
      <x:c r="S377" s="373"/>
      <x:c r="T377" s="373"/>
      <x:c r="U377" s="373"/>
      <x:c r="V377" s="373"/>
      <x:c r="W377" s="373"/>
      <x:c r="X377" s="373"/>
      <x:c r="Y377" s="373"/>
      <x:c r="Z377" s="373"/>
    </x:row>
    <x:row r="378">
      <x:c r="A378" s="373"/>
      <x:c r="B378" s="373"/>
      <x:c r="C378" s="373"/>
      <x:c r="D378" s="373"/>
      <x:c r="E378" s="373"/>
      <x:c r="F378" s="373"/>
      <x:c r="G378" s="373"/>
      <x:c r="H378" s="373"/>
      <x:c r="I378" s="373"/>
      <x:c r="J378" s="373"/>
      <x:c r="K378" s="373"/>
      <x:c r="L378" s="373"/>
      <x:c r="M378" s="373"/>
      <x:c r="N378" s="373"/>
      <x:c r="O378" s="373"/>
      <x:c r="P378" s="373"/>
      <x:c r="Q378" s="373"/>
      <x:c r="R378" s="373"/>
      <x:c r="S378" s="373"/>
      <x:c r="T378" s="373"/>
      <x:c r="U378" s="373"/>
      <x:c r="V378" s="373"/>
      <x:c r="W378" s="373"/>
      <x:c r="X378" s="373"/>
      <x:c r="Y378" s="373"/>
      <x:c r="Z378" s="373"/>
    </x:row>
    <x:row r="379">
      <x:c r="A379" s="373"/>
      <x:c r="B379" s="373"/>
      <x:c r="C379" s="373"/>
      <x:c r="D379" s="373"/>
      <x:c r="E379" s="373"/>
      <x:c r="F379" s="373"/>
      <x:c r="G379" s="373"/>
      <x:c r="H379" s="373"/>
      <x:c r="I379" s="373"/>
      <x:c r="J379" s="373"/>
      <x:c r="K379" s="373"/>
      <x:c r="L379" s="373"/>
      <x:c r="M379" s="373"/>
      <x:c r="N379" s="373"/>
      <x:c r="O379" s="373"/>
      <x:c r="P379" s="373"/>
      <x:c r="Q379" s="373"/>
      <x:c r="R379" s="373"/>
      <x:c r="S379" s="373"/>
      <x:c r="T379" s="373"/>
      <x:c r="U379" s="373"/>
      <x:c r="V379" s="373"/>
      <x:c r="W379" s="373"/>
      <x:c r="X379" s="373"/>
      <x:c r="Y379" s="373"/>
      <x:c r="Z379" s="373"/>
    </x:row>
    <x:row r="380">
      <x:c r="A380" s="373"/>
      <x:c r="B380" s="373"/>
      <x:c r="C380" s="373"/>
      <x:c r="D380" s="373"/>
      <x:c r="E380" s="373"/>
      <x:c r="F380" s="373"/>
      <x:c r="G380" s="373"/>
      <x:c r="H380" s="373"/>
      <x:c r="I380" s="373"/>
      <x:c r="J380" s="373"/>
      <x:c r="K380" s="373"/>
      <x:c r="L380" s="373"/>
      <x:c r="M380" s="373"/>
      <x:c r="N380" s="373"/>
      <x:c r="O380" s="373"/>
      <x:c r="P380" s="373"/>
      <x:c r="Q380" s="373"/>
      <x:c r="R380" s="373"/>
      <x:c r="S380" s="373"/>
      <x:c r="T380" s="373"/>
      <x:c r="U380" s="373"/>
      <x:c r="V380" s="373"/>
      <x:c r="W380" s="373"/>
      <x:c r="X380" s="373"/>
      <x:c r="Y380" s="373"/>
      <x:c r="Z380" s="373"/>
    </x:row>
    <x:row r="381">
      <x:c r="A381" s="373"/>
      <x:c r="B381" s="373"/>
      <x:c r="C381" s="373"/>
      <x:c r="D381" s="373"/>
      <x:c r="E381" s="373"/>
      <x:c r="F381" s="373"/>
      <x:c r="G381" s="373"/>
      <x:c r="H381" s="373"/>
      <x:c r="I381" s="373"/>
      <x:c r="J381" s="373"/>
      <x:c r="K381" s="373"/>
      <x:c r="L381" s="373"/>
      <x:c r="M381" s="373"/>
      <x:c r="N381" s="373"/>
      <x:c r="O381" s="373"/>
      <x:c r="P381" s="373"/>
      <x:c r="Q381" s="373"/>
      <x:c r="R381" s="373"/>
      <x:c r="S381" s="373"/>
      <x:c r="T381" s="373"/>
      <x:c r="U381" s="373"/>
      <x:c r="V381" s="373"/>
      <x:c r="W381" s="373"/>
      <x:c r="X381" s="373"/>
      <x:c r="Y381" s="373"/>
      <x:c r="Z381" s="373"/>
    </x:row>
    <x:row r="382">
      <x:c r="A382" s="373"/>
      <x:c r="B382" s="373"/>
      <x:c r="C382" s="373"/>
      <x:c r="D382" s="373"/>
      <x:c r="E382" s="373"/>
      <x:c r="F382" s="373"/>
      <x:c r="G382" s="373"/>
      <x:c r="H382" s="373"/>
      <x:c r="I382" s="373"/>
      <x:c r="J382" s="373"/>
      <x:c r="K382" s="373"/>
      <x:c r="L382" s="373"/>
      <x:c r="M382" s="373"/>
      <x:c r="N382" s="373"/>
      <x:c r="O382" s="373"/>
      <x:c r="P382" s="373"/>
      <x:c r="Q382" s="373"/>
      <x:c r="R382" s="373"/>
      <x:c r="S382" s="373"/>
      <x:c r="T382" s="373"/>
      <x:c r="U382" s="373"/>
      <x:c r="V382" s="373"/>
      <x:c r="W382" s="373"/>
      <x:c r="X382" s="373"/>
      <x:c r="Y382" s="373"/>
      <x:c r="Z382" s="373"/>
    </x:row>
    <x:row r="383">
      <x:c r="A383" s="373"/>
      <x:c r="B383" s="373"/>
      <x:c r="C383" s="373"/>
      <x:c r="D383" s="373"/>
      <x:c r="E383" s="373"/>
      <x:c r="F383" s="373"/>
      <x:c r="G383" s="373"/>
      <x:c r="H383" s="373"/>
      <x:c r="I383" s="373"/>
      <x:c r="J383" s="373"/>
      <x:c r="K383" s="373"/>
      <x:c r="L383" s="373"/>
      <x:c r="M383" s="373"/>
      <x:c r="N383" s="373"/>
      <x:c r="O383" s="373"/>
      <x:c r="P383" s="373"/>
      <x:c r="Q383" s="373"/>
      <x:c r="R383" s="373"/>
      <x:c r="S383" s="373"/>
      <x:c r="T383" s="373"/>
      <x:c r="U383" s="373"/>
      <x:c r="V383" s="373"/>
      <x:c r="W383" s="373"/>
      <x:c r="X383" s="373"/>
      <x:c r="Y383" s="373"/>
      <x:c r="Z383" s="373"/>
    </x:row>
    <x:row r="384">
      <x:c r="A384" s="373"/>
      <x:c r="B384" s="373"/>
      <x:c r="C384" s="373"/>
      <x:c r="D384" s="373"/>
      <x:c r="E384" s="373"/>
      <x:c r="F384" s="373"/>
      <x:c r="G384" s="373"/>
      <x:c r="H384" s="373"/>
      <x:c r="I384" s="373"/>
      <x:c r="J384" s="373"/>
      <x:c r="K384" s="373"/>
      <x:c r="L384" s="373"/>
      <x:c r="M384" s="373"/>
      <x:c r="N384" s="373"/>
      <x:c r="O384" s="373"/>
      <x:c r="P384" s="373"/>
      <x:c r="Q384" s="373"/>
      <x:c r="R384" s="373"/>
      <x:c r="S384" s="373"/>
      <x:c r="T384" s="373"/>
      <x:c r="U384" s="373"/>
      <x:c r="V384" s="373"/>
      <x:c r="W384" s="373"/>
      <x:c r="X384" s="373"/>
      <x:c r="Y384" s="373"/>
      <x:c r="Z384" s="373"/>
    </x:row>
    <x:row r="385">
      <x:c r="A385" s="373"/>
      <x:c r="B385" s="373"/>
      <x:c r="C385" s="373"/>
      <x:c r="D385" s="373"/>
      <x:c r="E385" s="373"/>
      <x:c r="F385" s="373"/>
      <x:c r="G385" s="373"/>
      <x:c r="H385" s="373"/>
      <x:c r="I385" s="373"/>
      <x:c r="J385" s="373"/>
      <x:c r="K385" s="373"/>
      <x:c r="L385" s="373"/>
      <x:c r="M385" s="373"/>
      <x:c r="N385" s="373"/>
      <x:c r="O385" s="373"/>
      <x:c r="P385" s="373"/>
      <x:c r="Q385" s="373"/>
      <x:c r="R385" s="373"/>
      <x:c r="S385" s="373"/>
      <x:c r="T385" s="373"/>
      <x:c r="U385" s="373"/>
      <x:c r="V385" s="373"/>
      <x:c r="W385" s="373"/>
      <x:c r="X385" s="373"/>
      <x:c r="Y385" s="373"/>
      <x:c r="Z385" s="373"/>
    </x:row>
    <x:row r="386">
      <x:c r="A386" s="373"/>
      <x:c r="B386" s="373"/>
      <x:c r="C386" s="373"/>
      <x:c r="D386" s="373"/>
      <x:c r="E386" s="373"/>
      <x:c r="F386" s="373"/>
      <x:c r="G386" s="373"/>
      <x:c r="H386" s="373"/>
      <x:c r="I386" s="373"/>
      <x:c r="J386" s="373"/>
      <x:c r="K386" s="373"/>
      <x:c r="L386" s="373"/>
      <x:c r="M386" s="373"/>
      <x:c r="N386" s="373"/>
      <x:c r="O386" s="373"/>
      <x:c r="P386" s="373"/>
      <x:c r="Q386" s="373"/>
      <x:c r="R386" s="373"/>
      <x:c r="S386" s="373"/>
      <x:c r="T386" s="373"/>
      <x:c r="U386" s="373"/>
      <x:c r="V386" s="373"/>
      <x:c r="W386" s="373"/>
      <x:c r="X386" s="373"/>
      <x:c r="Y386" s="373"/>
      <x:c r="Z386" s="373"/>
    </x:row>
    <x:row r="387">
      <x:c r="A387" s="373"/>
      <x:c r="B387" s="373"/>
      <x:c r="C387" s="373"/>
      <x:c r="D387" s="373"/>
      <x:c r="E387" s="373"/>
      <x:c r="F387" s="373"/>
      <x:c r="G387" s="373"/>
      <x:c r="H387" s="373"/>
      <x:c r="I387" s="373"/>
      <x:c r="J387" s="373"/>
      <x:c r="K387" s="373"/>
      <x:c r="L387" s="373"/>
      <x:c r="M387" s="373"/>
      <x:c r="N387" s="373"/>
      <x:c r="O387" s="373"/>
      <x:c r="P387" s="373"/>
      <x:c r="Q387" s="373"/>
      <x:c r="R387" s="373"/>
      <x:c r="S387" s="373"/>
      <x:c r="T387" s="373"/>
      <x:c r="U387" s="373"/>
      <x:c r="V387" s="373"/>
      <x:c r="W387" s="373"/>
      <x:c r="X387" s="373"/>
      <x:c r="Y387" s="373"/>
      <x:c r="Z387" s="373"/>
    </x:row>
    <x:row r="388">
      <x:c r="A388" s="373"/>
      <x:c r="B388" s="373"/>
      <x:c r="C388" s="373"/>
      <x:c r="D388" s="373"/>
      <x:c r="E388" s="373"/>
      <x:c r="F388" s="373"/>
      <x:c r="G388" s="373"/>
      <x:c r="H388" s="373"/>
      <x:c r="I388" s="373"/>
      <x:c r="J388" s="373"/>
      <x:c r="K388" s="373"/>
      <x:c r="L388" s="373"/>
      <x:c r="M388" s="373"/>
      <x:c r="N388" s="373"/>
      <x:c r="O388" s="373"/>
      <x:c r="P388" s="373"/>
      <x:c r="Q388" s="373"/>
      <x:c r="R388" s="373"/>
      <x:c r="S388" s="373"/>
      <x:c r="T388" s="373"/>
      <x:c r="U388" s="373"/>
      <x:c r="V388" s="373"/>
      <x:c r="W388" s="373"/>
      <x:c r="X388" s="373"/>
      <x:c r="Y388" s="373"/>
      <x:c r="Z388" s="373"/>
    </x:row>
    <x:row r="389">
      <x:c r="A389" s="373"/>
      <x:c r="B389" s="373"/>
      <x:c r="C389" s="373"/>
      <x:c r="D389" s="373"/>
      <x:c r="E389" s="373"/>
      <x:c r="F389" s="373"/>
      <x:c r="G389" s="373"/>
      <x:c r="H389" s="373"/>
      <x:c r="I389" s="373"/>
      <x:c r="J389" s="373"/>
      <x:c r="K389" s="373"/>
      <x:c r="L389" s="373"/>
      <x:c r="M389" s="373"/>
      <x:c r="N389" s="373"/>
      <x:c r="O389" s="373"/>
      <x:c r="P389" s="373"/>
      <x:c r="Q389" s="373"/>
      <x:c r="R389" s="373"/>
      <x:c r="S389" s="373"/>
      <x:c r="T389" s="373"/>
      <x:c r="U389" s="373"/>
      <x:c r="V389" s="373"/>
      <x:c r="W389" s="373"/>
      <x:c r="X389" s="373"/>
      <x:c r="Y389" s="373"/>
      <x:c r="Z389" s="373"/>
    </x:row>
    <x:row r="390">
      <x:c r="A390" s="373"/>
      <x:c r="B390" s="373"/>
      <x:c r="C390" s="373"/>
      <x:c r="D390" s="373"/>
      <x:c r="E390" s="373"/>
      <x:c r="F390" s="373"/>
      <x:c r="G390" s="373"/>
      <x:c r="H390" s="373"/>
      <x:c r="I390" s="373"/>
      <x:c r="J390" s="373"/>
      <x:c r="K390" s="373"/>
      <x:c r="L390" s="373"/>
      <x:c r="M390" s="373"/>
      <x:c r="N390" s="373"/>
      <x:c r="O390" s="373"/>
      <x:c r="P390" s="373"/>
      <x:c r="Q390" s="373"/>
      <x:c r="R390" s="373"/>
      <x:c r="S390" s="373"/>
      <x:c r="T390" s="373"/>
      <x:c r="U390" s="373"/>
      <x:c r="V390" s="373"/>
      <x:c r="W390" s="373"/>
      <x:c r="X390" s="373"/>
      <x:c r="Y390" s="373"/>
      <x:c r="Z390" s="373"/>
    </x:row>
    <x:row r="391">
      <x:c r="A391" s="373"/>
      <x:c r="B391" s="373"/>
      <x:c r="C391" s="373"/>
      <x:c r="D391" s="373"/>
      <x:c r="E391" s="373"/>
      <x:c r="F391" s="373"/>
      <x:c r="G391" s="373"/>
      <x:c r="H391" s="373"/>
      <x:c r="I391" s="373"/>
      <x:c r="J391" s="373"/>
      <x:c r="K391" s="373"/>
      <x:c r="L391" s="373"/>
      <x:c r="M391" s="373"/>
      <x:c r="N391" s="373"/>
      <x:c r="O391" s="373"/>
      <x:c r="P391" s="373"/>
      <x:c r="Q391" s="373"/>
      <x:c r="R391" s="373"/>
      <x:c r="S391" s="373"/>
      <x:c r="T391" s="373"/>
      <x:c r="U391" s="373"/>
      <x:c r="V391" s="373"/>
      <x:c r="W391" s="373"/>
      <x:c r="X391" s="373"/>
      <x:c r="Y391" s="373"/>
      <x:c r="Z391" s="373"/>
    </x:row>
    <x:row r="392">
      <x:c r="A392" s="373"/>
      <x:c r="B392" s="373"/>
      <x:c r="C392" s="373"/>
      <x:c r="D392" s="373"/>
      <x:c r="E392" s="373"/>
      <x:c r="F392" s="373"/>
      <x:c r="G392" s="373"/>
      <x:c r="H392" s="373"/>
      <x:c r="I392" s="373"/>
      <x:c r="J392" s="373"/>
      <x:c r="K392" s="373"/>
      <x:c r="L392" s="373"/>
      <x:c r="M392" s="373"/>
      <x:c r="N392" s="373"/>
      <x:c r="O392" s="373"/>
      <x:c r="P392" s="373"/>
      <x:c r="Q392" s="373"/>
      <x:c r="R392" s="373"/>
      <x:c r="S392" s="373"/>
      <x:c r="T392" s="373"/>
      <x:c r="U392" s="373"/>
      <x:c r="V392" s="373"/>
      <x:c r="W392" s="373"/>
      <x:c r="X392" s="373"/>
      <x:c r="Y392" s="373"/>
      <x:c r="Z392" s="373"/>
    </x:row>
    <x:row r="393">
      <x:c r="A393" s="373"/>
      <x:c r="B393" s="373"/>
      <x:c r="C393" s="373"/>
      <x:c r="D393" s="373"/>
      <x:c r="E393" s="373"/>
      <x:c r="F393" s="373"/>
      <x:c r="G393" s="373"/>
      <x:c r="H393" s="373"/>
      <x:c r="I393" s="373"/>
      <x:c r="J393" s="373"/>
      <x:c r="K393" s="373"/>
      <x:c r="L393" s="373"/>
      <x:c r="M393" s="373"/>
      <x:c r="N393" s="373"/>
      <x:c r="O393" s="373"/>
      <x:c r="P393" s="373"/>
      <x:c r="Q393" s="373"/>
      <x:c r="R393" s="373"/>
      <x:c r="S393" s="373"/>
      <x:c r="T393" s="373"/>
      <x:c r="U393" s="373"/>
      <x:c r="V393" s="373"/>
      <x:c r="W393" s="373"/>
      <x:c r="X393" s="373"/>
      <x:c r="Y393" s="373"/>
      <x:c r="Z393" s="373"/>
    </x:row>
    <x:row r="394">
      <x:c r="A394" s="373"/>
      <x:c r="B394" s="373"/>
      <x:c r="C394" s="373"/>
      <x:c r="D394" s="373"/>
      <x:c r="E394" s="373"/>
      <x:c r="F394" s="373"/>
      <x:c r="G394" s="373"/>
      <x:c r="H394" s="373"/>
      <x:c r="I394" s="373"/>
      <x:c r="J394" s="373"/>
      <x:c r="K394" s="373"/>
      <x:c r="L394" s="373"/>
      <x:c r="M394" s="373"/>
      <x:c r="N394" s="373"/>
      <x:c r="O394" s="373"/>
      <x:c r="P394" s="373"/>
      <x:c r="Q394" s="373"/>
      <x:c r="R394" s="373"/>
      <x:c r="S394" s="373"/>
      <x:c r="T394" s="373"/>
      <x:c r="U394" s="373"/>
      <x:c r="V394" s="373"/>
      <x:c r="W394" s="373"/>
      <x:c r="X394" s="373"/>
      <x:c r="Y394" s="373"/>
      <x:c r="Z394" s="373"/>
    </x:row>
    <x:row r="395">
      <x:c r="A395" s="373"/>
      <x:c r="B395" s="373"/>
      <x:c r="C395" s="373"/>
      <x:c r="D395" s="373"/>
      <x:c r="E395" s="373"/>
      <x:c r="F395" s="373"/>
      <x:c r="G395" s="373"/>
      <x:c r="H395" s="373"/>
      <x:c r="I395" s="373"/>
      <x:c r="J395" s="373"/>
      <x:c r="K395" s="373"/>
      <x:c r="L395" s="373"/>
      <x:c r="M395" s="373"/>
      <x:c r="N395" s="373"/>
      <x:c r="O395" s="373"/>
      <x:c r="P395" s="373"/>
      <x:c r="Q395" s="373"/>
      <x:c r="R395" s="373"/>
      <x:c r="S395" s="373"/>
      <x:c r="T395" s="373"/>
      <x:c r="U395" s="373"/>
      <x:c r="V395" s="373"/>
      <x:c r="W395" s="373"/>
      <x:c r="X395" s="373"/>
      <x:c r="Y395" s="373"/>
      <x:c r="Z395" s="373"/>
    </x:row>
    <x:row r="396">
      <x:c r="A396" s="373"/>
      <x:c r="B396" s="373"/>
      <x:c r="C396" s="373"/>
      <x:c r="D396" s="373"/>
      <x:c r="E396" s="373"/>
      <x:c r="F396" s="373"/>
      <x:c r="G396" s="373"/>
      <x:c r="H396" s="373"/>
      <x:c r="I396" s="373"/>
      <x:c r="J396" s="373"/>
      <x:c r="K396" s="373"/>
      <x:c r="L396" s="373"/>
      <x:c r="M396" s="373"/>
      <x:c r="N396" s="373"/>
      <x:c r="O396" s="373"/>
      <x:c r="P396" s="373"/>
      <x:c r="Q396" s="373"/>
      <x:c r="R396" s="373"/>
      <x:c r="S396" s="373"/>
      <x:c r="T396" s="373"/>
      <x:c r="U396" s="373"/>
      <x:c r="V396" s="373"/>
      <x:c r="W396" s="373"/>
      <x:c r="X396" s="373"/>
      <x:c r="Y396" s="373"/>
      <x:c r="Z396" s="373"/>
    </x:row>
    <x:row r="397">
      <x:c r="A397" s="373"/>
      <x:c r="B397" s="373"/>
      <x:c r="C397" s="373"/>
      <x:c r="D397" s="373"/>
      <x:c r="E397" s="373"/>
      <x:c r="F397" s="373"/>
      <x:c r="G397" s="373"/>
      <x:c r="H397" s="373"/>
      <x:c r="I397" s="373"/>
      <x:c r="J397" s="373"/>
      <x:c r="K397" s="373"/>
      <x:c r="L397" s="373"/>
      <x:c r="M397" s="373"/>
      <x:c r="N397" s="373"/>
      <x:c r="O397" s="373"/>
      <x:c r="P397" s="373"/>
      <x:c r="Q397" s="373"/>
      <x:c r="R397" s="373"/>
      <x:c r="S397" s="373"/>
      <x:c r="T397" s="373"/>
      <x:c r="U397" s="373"/>
      <x:c r="V397" s="373"/>
      <x:c r="W397" s="373"/>
      <x:c r="X397" s="373"/>
      <x:c r="Y397" s="373"/>
      <x:c r="Z397" s="373"/>
    </x:row>
    <x:row r="398">
      <x:c r="A398" s="373"/>
      <x:c r="B398" s="373"/>
      <x:c r="C398" s="373"/>
      <x:c r="D398" s="373"/>
      <x:c r="E398" s="373"/>
      <x:c r="F398" s="373"/>
      <x:c r="G398" s="373"/>
      <x:c r="H398" s="373"/>
      <x:c r="I398" s="373"/>
      <x:c r="J398" s="373"/>
      <x:c r="K398" s="373"/>
      <x:c r="L398" s="373"/>
      <x:c r="M398" s="373"/>
      <x:c r="N398" s="373"/>
      <x:c r="O398" s="373"/>
      <x:c r="P398" s="373"/>
      <x:c r="Q398" s="373"/>
      <x:c r="R398" s="373"/>
      <x:c r="S398" s="373"/>
      <x:c r="T398" s="373"/>
      <x:c r="U398" s="373"/>
      <x:c r="V398" s="373"/>
      <x:c r="W398" s="373"/>
      <x:c r="X398" s="373"/>
      <x:c r="Y398" s="373"/>
      <x:c r="Z398" s="373"/>
    </x:row>
    <x:row r="399">
      <x:c r="A399" s="373"/>
      <x:c r="B399" s="373"/>
      <x:c r="C399" s="373"/>
      <x:c r="D399" s="373"/>
      <x:c r="E399" s="373"/>
      <x:c r="F399" s="373"/>
      <x:c r="G399" s="373"/>
      <x:c r="H399" s="373"/>
      <x:c r="I399" s="373"/>
      <x:c r="J399" s="373"/>
      <x:c r="K399" s="373"/>
      <x:c r="L399" s="373"/>
      <x:c r="M399" s="373"/>
      <x:c r="N399" s="373"/>
      <x:c r="O399" s="373"/>
      <x:c r="P399" s="373"/>
      <x:c r="Q399" s="373"/>
      <x:c r="R399" s="373"/>
      <x:c r="S399" s="373"/>
      <x:c r="T399" s="373"/>
      <x:c r="U399" s="373"/>
      <x:c r="V399" s="373"/>
      <x:c r="W399" s="373"/>
      <x:c r="X399" s="373"/>
      <x:c r="Y399" s="373"/>
      <x:c r="Z399" s="373"/>
    </x:row>
    <x:row r="400">
      <x:c r="A400" s="373"/>
      <x:c r="B400" s="373"/>
      <x:c r="C400" s="373"/>
      <x:c r="D400" s="373"/>
      <x:c r="E400" s="373"/>
      <x:c r="F400" s="373"/>
      <x:c r="G400" s="373"/>
      <x:c r="H400" s="373"/>
      <x:c r="I400" s="373"/>
      <x:c r="J400" s="373"/>
      <x:c r="K400" s="373"/>
      <x:c r="L400" s="373"/>
      <x:c r="M400" s="373"/>
      <x:c r="N400" s="373"/>
      <x:c r="O400" s="373"/>
      <x:c r="P400" s="373"/>
      <x:c r="Q400" s="373"/>
      <x:c r="R400" s="373"/>
      <x:c r="S400" s="373"/>
      <x:c r="T400" s="373"/>
      <x:c r="U400" s="373"/>
      <x:c r="V400" s="373"/>
      <x:c r="W400" s="373"/>
      <x:c r="X400" s="373"/>
      <x:c r="Y400" s="373"/>
      <x:c r="Z400" s="373"/>
    </x:row>
    <x:row r="401">
      <x:c r="A401" s="373"/>
      <x:c r="B401" s="373"/>
      <x:c r="C401" s="373"/>
      <x:c r="D401" s="373"/>
      <x:c r="E401" s="373"/>
      <x:c r="F401" s="373"/>
      <x:c r="G401" s="373"/>
      <x:c r="H401" s="373"/>
      <x:c r="I401" s="373"/>
      <x:c r="J401" s="373"/>
      <x:c r="K401" s="373"/>
      <x:c r="L401" s="373"/>
      <x:c r="M401" s="373"/>
      <x:c r="N401" s="373"/>
      <x:c r="O401" s="373"/>
      <x:c r="P401" s="373"/>
      <x:c r="Q401" s="373"/>
      <x:c r="R401" s="373"/>
      <x:c r="S401" s="373"/>
      <x:c r="T401" s="373"/>
      <x:c r="U401" s="373"/>
      <x:c r="V401" s="373"/>
      <x:c r="W401" s="373"/>
      <x:c r="X401" s="373"/>
      <x:c r="Y401" s="373"/>
      <x:c r="Z401" s="373"/>
    </x:row>
    <x:row r="402">
      <x:c r="A402" s="373"/>
      <x:c r="B402" s="373"/>
      <x:c r="C402" s="373"/>
      <x:c r="D402" s="373"/>
      <x:c r="E402" s="373"/>
      <x:c r="F402" s="373"/>
      <x:c r="G402" s="373"/>
      <x:c r="H402" s="373"/>
      <x:c r="I402" s="373"/>
      <x:c r="J402" s="373"/>
      <x:c r="K402" s="373"/>
      <x:c r="L402" s="373"/>
      <x:c r="M402" s="373"/>
      <x:c r="N402" s="373"/>
      <x:c r="O402" s="373"/>
      <x:c r="P402" s="373"/>
      <x:c r="Q402" s="373"/>
      <x:c r="R402" s="373"/>
      <x:c r="S402" s="373"/>
      <x:c r="T402" s="373"/>
      <x:c r="U402" s="373"/>
      <x:c r="V402" s="373"/>
      <x:c r="W402" s="373"/>
      <x:c r="X402" s="373"/>
      <x:c r="Y402" s="373"/>
      <x:c r="Z402" s="373"/>
    </x:row>
    <x:row r="403">
      <x:c r="A403" s="373"/>
      <x:c r="B403" s="373"/>
      <x:c r="C403" s="373"/>
      <x:c r="D403" s="373"/>
      <x:c r="E403" s="373"/>
      <x:c r="F403" s="373"/>
      <x:c r="G403" s="373"/>
      <x:c r="H403" s="373"/>
      <x:c r="I403" s="373"/>
      <x:c r="J403" s="373"/>
      <x:c r="K403" s="373"/>
      <x:c r="L403" s="373"/>
      <x:c r="M403" s="373"/>
      <x:c r="N403" s="373"/>
      <x:c r="O403" s="373"/>
      <x:c r="P403" s="373"/>
      <x:c r="Q403" s="373"/>
      <x:c r="R403" s="373"/>
      <x:c r="S403" s="373"/>
      <x:c r="T403" s="373"/>
      <x:c r="U403" s="373"/>
      <x:c r="V403" s="373"/>
      <x:c r="W403" s="373"/>
      <x:c r="X403" s="373"/>
      <x:c r="Y403" s="373"/>
      <x:c r="Z403" s="373"/>
    </x:row>
    <x:row r="404">
      <x:c r="A404" s="373"/>
      <x:c r="B404" s="373"/>
      <x:c r="C404" s="373"/>
      <x:c r="D404" s="373"/>
      <x:c r="E404" s="373"/>
      <x:c r="F404" s="373"/>
      <x:c r="G404" s="373"/>
      <x:c r="H404" s="373"/>
      <x:c r="I404" s="373"/>
      <x:c r="J404" s="373"/>
      <x:c r="K404" s="373"/>
      <x:c r="L404" s="373"/>
      <x:c r="M404" s="373"/>
      <x:c r="N404" s="373"/>
      <x:c r="O404" s="373"/>
      <x:c r="P404" s="373"/>
      <x:c r="Q404" s="373"/>
      <x:c r="R404" s="373"/>
      <x:c r="S404" s="373"/>
      <x:c r="T404" s="373"/>
      <x:c r="U404" s="373"/>
      <x:c r="V404" s="373"/>
      <x:c r="W404" s="373"/>
      <x:c r="X404" s="373"/>
      <x:c r="Y404" s="373"/>
      <x:c r="Z404" s="373"/>
    </x:row>
    <x:row r="405">
      <x:c r="A405" s="373"/>
      <x:c r="B405" s="373"/>
      <x:c r="C405" s="373"/>
      <x:c r="D405" s="373"/>
      <x:c r="E405" s="373"/>
      <x:c r="F405" s="373"/>
      <x:c r="G405" s="373"/>
      <x:c r="H405" s="373"/>
      <x:c r="I405" s="373"/>
      <x:c r="J405" s="373"/>
      <x:c r="K405" s="373"/>
      <x:c r="L405" s="373"/>
      <x:c r="M405" s="373"/>
      <x:c r="N405" s="373"/>
      <x:c r="O405" s="373"/>
      <x:c r="P405" s="373"/>
      <x:c r="Q405" s="373"/>
      <x:c r="R405" s="373"/>
      <x:c r="S405" s="373"/>
      <x:c r="T405" s="373"/>
      <x:c r="U405" s="373"/>
      <x:c r="V405" s="373"/>
      <x:c r="W405" s="373"/>
      <x:c r="X405" s="373"/>
      <x:c r="Y405" s="373"/>
      <x:c r="Z405" s="373"/>
    </x:row>
    <x:row r="406">
      <x:c r="A406" s="373"/>
      <x:c r="B406" s="373"/>
      <x:c r="C406" s="373"/>
      <x:c r="D406" s="373"/>
      <x:c r="E406" s="373"/>
      <x:c r="F406" s="373"/>
      <x:c r="G406" s="373"/>
      <x:c r="H406" s="373"/>
      <x:c r="I406" s="373"/>
      <x:c r="J406" s="373"/>
      <x:c r="K406" s="373"/>
      <x:c r="L406" s="373"/>
      <x:c r="M406" s="373"/>
      <x:c r="N406" s="373"/>
      <x:c r="O406" s="373"/>
      <x:c r="P406" s="373"/>
      <x:c r="Q406" s="373"/>
      <x:c r="R406" s="373"/>
      <x:c r="S406" s="373"/>
      <x:c r="T406" s="373"/>
      <x:c r="U406" s="373"/>
      <x:c r="V406" s="373"/>
      <x:c r="W406" s="373"/>
      <x:c r="X406" s="373"/>
      <x:c r="Y406" s="373"/>
      <x:c r="Z406" s="373"/>
    </x:row>
    <x:row r="407">
      <x:c r="A407" s="373"/>
      <x:c r="B407" s="373"/>
      <x:c r="C407" s="373"/>
      <x:c r="D407" s="373"/>
      <x:c r="E407" s="373"/>
      <x:c r="F407" s="373"/>
      <x:c r="G407" s="373"/>
      <x:c r="H407" s="373"/>
      <x:c r="I407" s="373"/>
      <x:c r="J407" s="373"/>
      <x:c r="K407" s="373"/>
      <x:c r="L407" s="373"/>
      <x:c r="M407" s="373"/>
      <x:c r="N407" s="373"/>
      <x:c r="O407" s="373"/>
      <x:c r="P407" s="373"/>
      <x:c r="Q407" s="373"/>
      <x:c r="R407" s="373"/>
      <x:c r="S407" s="373"/>
      <x:c r="T407" s="373"/>
      <x:c r="U407" s="373"/>
      <x:c r="V407" s="373"/>
      <x:c r="W407" s="373"/>
      <x:c r="X407" s="373"/>
      <x:c r="Y407" s="373"/>
      <x:c r="Z407" s="373"/>
    </x:row>
    <x:row r="408">
      <x:c r="A408" s="373"/>
      <x:c r="B408" s="373"/>
      <x:c r="C408" s="373"/>
      <x:c r="D408" s="373"/>
      <x:c r="E408" s="373"/>
      <x:c r="F408" s="373"/>
      <x:c r="G408" s="373"/>
      <x:c r="H408" s="373"/>
      <x:c r="I408" s="373"/>
      <x:c r="J408" s="373"/>
      <x:c r="K408" s="373"/>
      <x:c r="L408" s="373"/>
      <x:c r="M408" s="373"/>
      <x:c r="N408" s="373"/>
      <x:c r="O408" s="373"/>
      <x:c r="P408" s="373"/>
      <x:c r="Q408" s="373"/>
      <x:c r="R408" s="373"/>
      <x:c r="S408" s="373"/>
      <x:c r="T408" s="373"/>
      <x:c r="U408" s="373"/>
      <x:c r="V408" s="373"/>
      <x:c r="W408" s="373"/>
      <x:c r="X408" s="373"/>
      <x:c r="Y408" s="373"/>
      <x:c r="Z408" s="373"/>
    </x:row>
    <x:row r="409">
      <x:c r="A409" s="373"/>
      <x:c r="B409" s="373"/>
      <x:c r="C409" s="373"/>
      <x:c r="D409" s="373"/>
      <x:c r="E409" s="373"/>
      <x:c r="F409" s="373"/>
      <x:c r="G409" s="373"/>
      <x:c r="H409" s="373"/>
      <x:c r="I409" s="373"/>
      <x:c r="J409" s="373"/>
      <x:c r="K409" s="373"/>
      <x:c r="L409" s="373"/>
      <x:c r="M409" s="373"/>
      <x:c r="N409" s="373"/>
      <x:c r="O409" s="373"/>
      <x:c r="P409" s="373"/>
      <x:c r="Q409" s="373"/>
      <x:c r="R409" s="373"/>
      <x:c r="S409" s="373"/>
      <x:c r="T409" s="373"/>
      <x:c r="U409" s="373"/>
      <x:c r="V409" s="373"/>
      <x:c r="W409" s="373"/>
      <x:c r="X409" s="373"/>
      <x:c r="Y409" s="373"/>
      <x:c r="Z409" s="373"/>
    </x:row>
    <x:row r="410">
      <x:c r="A410" s="373"/>
      <x:c r="B410" s="373"/>
      <x:c r="C410" s="373"/>
      <x:c r="D410" s="373"/>
      <x:c r="E410" s="373"/>
      <x:c r="F410" s="373"/>
      <x:c r="G410" s="373"/>
      <x:c r="H410" s="373"/>
      <x:c r="I410" s="373"/>
      <x:c r="J410" s="373"/>
      <x:c r="K410" s="373"/>
      <x:c r="L410" s="373"/>
      <x:c r="M410" s="373"/>
      <x:c r="N410" s="373"/>
      <x:c r="O410" s="373"/>
      <x:c r="P410" s="373"/>
      <x:c r="Q410" s="373"/>
      <x:c r="R410" s="373"/>
      <x:c r="S410" s="373"/>
      <x:c r="T410" s="373"/>
      <x:c r="U410" s="373"/>
      <x:c r="V410" s="373"/>
      <x:c r="W410" s="373"/>
      <x:c r="X410" s="373"/>
      <x:c r="Y410" s="373"/>
      <x:c r="Z410" s="373"/>
    </x:row>
    <x:row r="411">
      <x:c r="A411" s="373"/>
      <x:c r="B411" s="373"/>
      <x:c r="C411" s="373"/>
      <x:c r="D411" s="373"/>
      <x:c r="E411" s="373"/>
      <x:c r="F411" s="373"/>
      <x:c r="G411" s="373"/>
      <x:c r="H411" s="373"/>
      <x:c r="I411" s="373"/>
      <x:c r="J411" s="373"/>
      <x:c r="K411" s="373"/>
      <x:c r="L411" s="373"/>
      <x:c r="M411" s="373"/>
      <x:c r="N411" s="373"/>
      <x:c r="O411" s="373"/>
      <x:c r="P411" s="373"/>
      <x:c r="Q411" s="373"/>
      <x:c r="R411" s="373"/>
      <x:c r="S411" s="373"/>
      <x:c r="T411" s="373"/>
      <x:c r="U411" s="373"/>
      <x:c r="V411" s="373"/>
      <x:c r="W411" s="373"/>
      <x:c r="X411" s="373"/>
      <x:c r="Y411" s="373"/>
      <x:c r="Z411" s="373"/>
    </x:row>
    <x:row r="412">
      <x:c r="A412" s="373"/>
      <x:c r="B412" s="373"/>
      <x:c r="C412" s="373"/>
      <x:c r="D412" s="373"/>
      <x:c r="E412" s="373"/>
      <x:c r="F412" s="373"/>
      <x:c r="G412" s="373"/>
      <x:c r="H412" s="373"/>
      <x:c r="I412" s="373"/>
      <x:c r="J412" s="373"/>
      <x:c r="K412" s="373"/>
      <x:c r="L412" s="373"/>
      <x:c r="M412" s="373"/>
      <x:c r="N412" s="373"/>
      <x:c r="O412" s="373"/>
      <x:c r="P412" s="373"/>
      <x:c r="Q412" s="373"/>
      <x:c r="R412" s="373"/>
      <x:c r="S412" s="373"/>
      <x:c r="T412" s="373"/>
      <x:c r="U412" s="373"/>
      <x:c r="V412" s="373"/>
      <x:c r="W412" s="373"/>
      <x:c r="X412" s="373"/>
      <x:c r="Y412" s="373"/>
      <x:c r="Z412" s="373"/>
    </x:row>
    <x:row r="413">
      <x:c r="A413" s="373"/>
      <x:c r="B413" s="373"/>
      <x:c r="C413" s="373"/>
      <x:c r="D413" s="373"/>
      <x:c r="E413" s="373"/>
      <x:c r="F413" s="373"/>
      <x:c r="G413" s="373"/>
      <x:c r="H413" s="373"/>
      <x:c r="I413" s="373"/>
      <x:c r="J413" s="373"/>
      <x:c r="K413" s="373"/>
      <x:c r="L413" s="373"/>
      <x:c r="M413" s="373"/>
      <x:c r="N413" s="373"/>
      <x:c r="O413" s="373"/>
      <x:c r="P413" s="373"/>
      <x:c r="Q413" s="373"/>
      <x:c r="R413" s="373"/>
      <x:c r="S413" s="373"/>
      <x:c r="T413" s="373"/>
      <x:c r="U413" s="373"/>
      <x:c r="V413" s="373"/>
      <x:c r="W413" s="373"/>
      <x:c r="X413" s="373"/>
      <x:c r="Y413" s="373"/>
      <x:c r="Z413" s="373"/>
    </x:row>
    <x:row r="414">
      <x:c r="A414" s="373"/>
      <x:c r="B414" s="373"/>
      <x:c r="C414" s="373"/>
      <x:c r="D414" s="373"/>
      <x:c r="E414" s="373"/>
      <x:c r="F414" s="373"/>
      <x:c r="G414" s="373"/>
      <x:c r="H414" s="373"/>
      <x:c r="I414" s="373"/>
      <x:c r="J414" s="373"/>
      <x:c r="K414" s="373"/>
      <x:c r="L414" s="373"/>
      <x:c r="M414" s="373"/>
      <x:c r="N414" s="373"/>
      <x:c r="O414" s="373"/>
      <x:c r="P414" s="373"/>
      <x:c r="Q414" s="373"/>
      <x:c r="R414" s="373"/>
      <x:c r="S414" s="373"/>
      <x:c r="T414" s="373"/>
      <x:c r="U414" s="373"/>
      <x:c r="V414" s="373"/>
      <x:c r="W414" s="373"/>
      <x:c r="X414" s="373"/>
      <x:c r="Y414" s="373"/>
      <x:c r="Z414" s="373"/>
    </x:row>
    <x:row r="415">
      <x:c r="A415" s="373"/>
      <x:c r="B415" s="373"/>
      <x:c r="C415" s="373"/>
      <x:c r="D415" s="373"/>
      <x:c r="E415" s="373"/>
      <x:c r="F415" s="373"/>
      <x:c r="G415" s="373"/>
      <x:c r="H415" s="373"/>
      <x:c r="I415" s="373"/>
      <x:c r="J415" s="373"/>
      <x:c r="K415" s="373"/>
      <x:c r="L415" s="373"/>
      <x:c r="M415" s="373"/>
      <x:c r="N415" s="373"/>
      <x:c r="O415" s="373"/>
      <x:c r="P415" s="373"/>
      <x:c r="Q415" s="373"/>
      <x:c r="R415" s="373"/>
      <x:c r="S415" s="373"/>
      <x:c r="T415" s="373"/>
      <x:c r="U415" s="373"/>
      <x:c r="V415" s="373"/>
      <x:c r="W415" s="373"/>
      <x:c r="X415" s="373"/>
      <x:c r="Y415" s="373"/>
      <x:c r="Z415" s="373"/>
    </x:row>
    <x:row r="416">
      <x:c r="A416" s="373"/>
      <x:c r="B416" s="373"/>
      <x:c r="C416" s="373"/>
      <x:c r="D416" s="373"/>
      <x:c r="E416" s="373"/>
      <x:c r="F416" s="373"/>
      <x:c r="G416" s="373"/>
      <x:c r="H416" s="373"/>
      <x:c r="I416" s="373"/>
      <x:c r="J416" s="373"/>
      <x:c r="K416" s="373"/>
      <x:c r="L416" s="373"/>
      <x:c r="M416" s="373"/>
      <x:c r="N416" s="373"/>
      <x:c r="O416" s="373"/>
      <x:c r="P416" s="373"/>
      <x:c r="Q416" s="373"/>
      <x:c r="R416" s="373"/>
      <x:c r="S416" s="373"/>
      <x:c r="T416" s="373"/>
      <x:c r="U416" s="373"/>
      <x:c r="V416" s="373"/>
      <x:c r="W416" s="373"/>
      <x:c r="X416" s="373"/>
      <x:c r="Y416" s="373"/>
      <x:c r="Z416" s="373"/>
    </x:row>
    <x:row r="417">
      <x:c r="A417" s="373"/>
      <x:c r="B417" s="373"/>
      <x:c r="C417" s="373"/>
      <x:c r="D417" s="373"/>
      <x:c r="E417" s="373"/>
      <x:c r="F417" s="373"/>
      <x:c r="G417" s="373"/>
      <x:c r="H417" s="373"/>
      <x:c r="I417" s="373"/>
      <x:c r="J417" s="373"/>
      <x:c r="K417" s="373"/>
      <x:c r="L417" s="373"/>
      <x:c r="M417" s="373"/>
      <x:c r="N417" s="373"/>
      <x:c r="O417" s="373"/>
      <x:c r="P417" s="373"/>
      <x:c r="Q417" s="373"/>
      <x:c r="R417" s="373"/>
      <x:c r="S417" s="373"/>
      <x:c r="T417" s="373"/>
      <x:c r="U417" s="373"/>
      <x:c r="V417" s="373"/>
      <x:c r="W417" s="373"/>
      <x:c r="X417" s="373"/>
      <x:c r="Y417" s="373"/>
      <x:c r="Z417" s="373"/>
    </x:row>
    <x:row r="418">
      <x:c r="A418" s="373"/>
      <x:c r="B418" s="373"/>
      <x:c r="C418" s="373"/>
      <x:c r="D418" s="373"/>
      <x:c r="E418" s="373"/>
      <x:c r="F418" s="373"/>
      <x:c r="G418" s="373"/>
      <x:c r="H418" s="373"/>
      <x:c r="I418" s="373"/>
      <x:c r="J418" s="373"/>
      <x:c r="K418" s="373"/>
      <x:c r="L418" s="373"/>
      <x:c r="M418" s="373"/>
      <x:c r="N418" s="373"/>
      <x:c r="O418" s="373"/>
      <x:c r="P418" s="373"/>
      <x:c r="Q418" s="373"/>
      <x:c r="R418" s="373"/>
      <x:c r="S418" s="373"/>
      <x:c r="T418" s="373"/>
      <x:c r="U418" s="373"/>
      <x:c r="V418" s="373"/>
      <x:c r="W418" s="373"/>
      <x:c r="X418" s="373"/>
      <x:c r="Y418" s="373"/>
      <x:c r="Z418" s="373"/>
    </x:row>
    <x:row r="419">
      <x:c r="A419" s="373"/>
      <x:c r="B419" s="373"/>
      <x:c r="C419" s="373"/>
      <x:c r="D419" s="373"/>
      <x:c r="E419" s="373"/>
      <x:c r="F419" s="373"/>
      <x:c r="G419" s="373"/>
      <x:c r="H419" s="373"/>
      <x:c r="I419" s="373"/>
      <x:c r="J419" s="373"/>
      <x:c r="K419" s="373"/>
      <x:c r="L419" s="373"/>
      <x:c r="M419" s="373"/>
      <x:c r="N419" s="373"/>
      <x:c r="O419" s="373"/>
      <x:c r="P419" s="373"/>
      <x:c r="Q419" s="373"/>
      <x:c r="R419" s="373"/>
      <x:c r="S419" s="373"/>
      <x:c r="T419" s="373"/>
      <x:c r="U419" s="373"/>
      <x:c r="V419" s="373"/>
      <x:c r="W419" s="373"/>
      <x:c r="X419" s="373"/>
      <x:c r="Y419" s="373"/>
      <x:c r="Z419" s="373"/>
    </x:row>
    <x:row r="420">
      <x:c r="A420" s="373"/>
      <x:c r="B420" s="373"/>
      <x:c r="C420" s="373"/>
      <x:c r="D420" s="373"/>
      <x:c r="E420" s="373"/>
      <x:c r="F420" s="373"/>
      <x:c r="G420" s="373"/>
      <x:c r="H420" s="373"/>
      <x:c r="I420" s="373"/>
      <x:c r="J420" s="373"/>
      <x:c r="K420" s="373"/>
      <x:c r="L420" s="373"/>
      <x:c r="M420" s="373"/>
      <x:c r="N420" s="373"/>
      <x:c r="O420" s="373"/>
      <x:c r="P420" s="373"/>
      <x:c r="Q420" s="373"/>
      <x:c r="R420" s="373"/>
      <x:c r="S420" s="373"/>
      <x:c r="T420" s="373"/>
      <x:c r="U420" s="373"/>
      <x:c r="V420" s="373"/>
      <x:c r="W420" s="373"/>
      <x:c r="X420" s="373"/>
      <x:c r="Y420" s="373"/>
      <x:c r="Z420" s="373"/>
    </x:row>
    <x:row r="421">
      <x:c r="A421" s="373"/>
      <x:c r="B421" s="373"/>
      <x:c r="C421" s="373"/>
      <x:c r="D421" s="373"/>
      <x:c r="E421" s="373"/>
      <x:c r="F421" s="373"/>
      <x:c r="G421" s="373"/>
      <x:c r="H421" s="373"/>
      <x:c r="I421" s="373"/>
      <x:c r="J421" s="373"/>
      <x:c r="K421" s="373"/>
      <x:c r="L421" s="373"/>
      <x:c r="M421" s="373"/>
      <x:c r="N421" s="373"/>
      <x:c r="O421" s="373"/>
      <x:c r="P421" s="373"/>
      <x:c r="Q421" s="373"/>
      <x:c r="R421" s="373"/>
      <x:c r="S421" s="373"/>
      <x:c r="T421" s="373"/>
      <x:c r="U421" s="373"/>
      <x:c r="V421" s="373"/>
      <x:c r="W421" s="373"/>
      <x:c r="X421" s="373"/>
      <x:c r="Y421" s="373"/>
      <x:c r="Z421" s="373"/>
    </x:row>
    <x:row r="422">
      <x:c r="A422" s="373"/>
      <x:c r="B422" s="373"/>
      <x:c r="C422" s="373"/>
      <x:c r="D422" s="373"/>
      <x:c r="E422" s="373"/>
      <x:c r="F422" s="373"/>
      <x:c r="G422" s="373"/>
      <x:c r="H422" s="373"/>
      <x:c r="I422" s="373"/>
      <x:c r="J422" s="373"/>
      <x:c r="K422" s="373"/>
      <x:c r="L422" s="373"/>
      <x:c r="M422" s="373"/>
      <x:c r="N422" s="373"/>
      <x:c r="O422" s="373"/>
      <x:c r="P422" s="373"/>
      <x:c r="Q422" s="373"/>
      <x:c r="R422" s="373"/>
      <x:c r="S422" s="373"/>
      <x:c r="T422" s="373"/>
      <x:c r="U422" s="373"/>
      <x:c r="V422" s="373"/>
      <x:c r="W422" s="373"/>
      <x:c r="X422" s="373"/>
      <x:c r="Y422" s="373"/>
      <x:c r="Z422" s="373"/>
    </x:row>
    <x:row r="423">
      <x:c r="A423" s="373"/>
      <x:c r="B423" s="373"/>
      <x:c r="C423" s="373"/>
      <x:c r="D423" s="373"/>
      <x:c r="E423" s="373"/>
      <x:c r="F423" s="373"/>
      <x:c r="G423" s="373"/>
      <x:c r="H423" s="373"/>
      <x:c r="I423" s="373"/>
      <x:c r="J423" s="373"/>
      <x:c r="K423" s="373"/>
      <x:c r="L423" s="373"/>
      <x:c r="M423" s="373"/>
      <x:c r="N423" s="373"/>
      <x:c r="O423" s="373"/>
      <x:c r="P423" s="373"/>
      <x:c r="Q423" s="373"/>
      <x:c r="R423" s="373"/>
      <x:c r="S423" s="373"/>
      <x:c r="T423" s="373"/>
      <x:c r="U423" s="373"/>
      <x:c r="V423" s="373"/>
      <x:c r="W423" s="373"/>
      <x:c r="X423" s="373"/>
      <x:c r="Y423" s="373"/>
      <x:c r="Z423" s="373"/>
    </x:row>
    <x:row r="424">
      <x:c r="A424" s="373"/>
      <x:c r="B424" s="373"/>
      <x:c r="C424" s="373"/>
      <x:c r="D424" s="373"/>
      <x:c r="E424" s="373"/>
      <x:c r="F424" s="373"/>
      <x:c r="G424" s="373"/>
      <x:c r="H424" s="373"/>
      <x:c r="I424" s="373"/>
      <x:c r="J424" s="373"/>
      <x:c r="K424" s="373"/>
      <x:c r="L424" s="373"/>
      <x:c r="M424" s="373"/>
      <x:c r="N424" s="373"/>
      <x:c r="O424" s="373"/>
      <x:c r="P424" s="373"/>
      <x:c r="Q424" s="373"/>
      <x:c r="R424" s="373"/>
      <x:c r="S424" s="373"/>
      <x:c r="T424" s="373"/>
      <x:c r="U424" s="373"/>
      <x:c r="V424" s="373"/>
      <x:c r="W424" s="373"/>
      <x:c r="X424" s="373"/>
      <x:c r="Y424" s="373"/>
      <x:c r="Z424" s="373"/>
    </x:row>
    <x:row r="425">
      <x:c r="A425" s="373"/>
      <x:c r="B425" s="373"/>
      <x:c r="C425" s="373"/>
      <x:c r="D425" s="373"/>
      <x:c r="E425" s="373"/>
      <x:c r="F425" s="373"/>
      <x:c r="G425" s="373"/>
      <x:c r="H425" s="373"/>
      <x:c r="I425" s="373"/>
      <x:c r="J425" s="373"/>
      <x:c r="K425" s="373"/>
      <x:c r="L425" s="373"/>
      <x:c r="M425" s="373"/>
      <x:c r="N425" s="373"/>
      <x:c r="O425" s="373"/>
      <x:c r="P425" s="373"/>
      <x:c r="Q425" s="373"/>
      <x:c r="R425" s="373"/>
      <x:c r="S425" s="373"/>
      <x:c r="T425" s="373"/>
      <x:c r="U425" s="373"/>
      <x:c r="V425" s="373"/>
      <x:c r="W425" s="373"/>
      <x:c r="X425" s="373"/>
      <x:c r="Y425" s="373"/>
      <x:c r="Z425" s="373"/>
    </x:row>
    <x:row r="426">
      <x:c r="A426" s="373"/>
      <x:c r="B426" s="373"/>
      <x:c r="C426" s="373"/>
      <x:c r="D426" s="373"/>
      <x:c r="E426" s="373"/>
      <x:c r="F426" s="373"/>
      <x:c r="G426" s="373"/>
      <x:c r="H426" s="373"/>
      <x:c r="I426" s="373"/>
      <x:c r="J426" s="373"/>
      <x:c r="K426" s="373"/>
      <x:c r="L426" s="373"/>
      <x:c r="M426" s="373"/>
      <x:c r="N426" s="373"/>
      <x:c r="O426" s="373"/>
      <x:c r="P426" s="373"/>
      <x:c r="Q426" s="373"/>
      <x:c r="R426" s="373"/>
      <x:c r="S426" s="373"/>
      <x:c r="T426" s="373"/>
      <x:c r="U426" s="373"/>
      <x:c r="V426" s="373"/>
      <x:c r="W426" s="373"/>
      <x:c r="X426" s="373"/>
      <x:c r="Y426" s="373"/>
      <x:c r="Z426" s="373"/>
    </x:row>
    <x:row r="427">
      <x:c r="A427" s="373"/>
      <x:c r="B427" s="373"/>
      <x:c r="C427" s="373"/>
      <x:c r="D427" s="373"/>
      <x:c r="E427" s="373"/>
      <x:c r="F427" s="373"/>
      <x:c r="G427" s="373"/>
      <x:c r="H427" s="373"/>
      <x:c r="I427" s="373"/>
      <x:c r="J427" s="373"/>
      <x:c r="K427" s="373"/>
      <x:c r="L427" s="373"/>
      <x:c r="M427" s="373"/>
      <x:c r="N427" s="373"/>
      <x:c r="O427" s="373"/>
      <x:c r="P427" s="373"/>
      <x:c r="Q427" s="373"/>
      <x:c r="R427" s="373"/>
      <x:c r="S427" s="373"/>
      <x:c r="T427" s="373"/>
      <x:c r="U427" s="373"/>
      <x:c r="V427" s="373"/>
      <x:c r="W427" s="373"/>
      <x:c r="X427" s="373"/>
      <x:c r="Y427" s="373"/>
      <x:c r="Z427" s="373"/>
    </x:row>
    <x:row r="428">
      <x:c r="A428" s="373"/>
      <x:c r="B428" s="373"/>
      <x:c r="C428" s="373"/>
      <x:c r="D428" s="373"/>
      <x:c r="E428" s="373"/>
      <x:c r="F428" s="373"/>
      <x:c r="G428" s="373"/>
      <x:c r="H428" s="373"/>
      <x:c r="I428" s="373"/>
      <x:c r="J428" s="373"/>
      <x:c r="K428" s="373"/>
      <x:c r="L428" s="373"/>
      <x:c r="M428" s="373"/>
      <x:c r="N428" s="373"/>
      <x:c r="O428" s="373"/>
      <x:c r="P428" s="373"/>
      <x:c r="Q428" s="373"/>
      <x:c r="R428" s="373"/>
      <x:c r="S428" s="373"/>
      <x:c r="T428" s="373"/>
      <x:c r="U428" s="373"/>
      <x:c r="V428" s="373"/>
      <x:c r="W428" s="373"/>
      <x:c r="X428" s="373"/>
      <x:c r="Y428" s="373"/>
      <x:c r="Z428" s="373"/>
    </x:row>
    <x:row r="429">
      <x:c r="A429" s="373"/>
      <x:c r="B429" s="373"/>
      <x:c r="C429" s="373"/>
      <x:c r="D429" s="373"/>
      <x:c r="E429" s="373"/>
      <x:c r="F429" s="373"/>
      <x:c r="G429" s="373"/>
      <x:c r="H429" s="373"/>
      <x:c r="I429" s="373"/>
      <x:c r="J429" s="373"/>
      <x:c r="K429" s="373"/>
      <x:c r="L429" s="373"/>
      <x:c r="M429" s="373"/>
      <x:c r="N429" s="373"/>
      <x:c r="O429" s="373"/>
      <x:c r="P429" s="373"/>
      <x:c r="Q429" s="373"/>
      <x:c r="R429" s="373"/>
      <x:c r="S429" s="373"/>
      <x:c r="T429" s="373"/>
      <x:c r="U429" s="373"/>
      <x:c r="V429" s="373"/>
      <x:c r="W429" s="373"/>
      <x:c r="X429" s="373"/>
      <x:c r="Y429" s="373"/>
      <x:c r="Z429" s="373"/>
    </x:row>
    <x:row r="430">
      <x:c r="A430" s="373"/>
      <x:c r="B430" s="373"/>
      <x:c r="C430" s="373"/>
      <x:c r="D430" s="373"/>
      <x:c r="E430" s="373"/>
      <x:c r="F430" s="373"/>
      <x:c r="G430" s="373"/>
      <x:c r="H430" s="373"/>
      <x:c r="I430" s="373"/>
      <x:c r="J430" s="373"/>
      <x:c r="K430" s="373"/>
      <x:c r="L430" s="373"/>
      <x:c r="M430" s="373"/>
      <x:c r="N430" s="373"/>
      <x:c r="O430" s="373"/>
      <x:c r="P430" s="373"/>
      <x:c r="Q430" s="373"/>
      <x:c r="R430" s="373"/>
      <x:c r="S430" s="373"/>
      <x:c r="T430" s="373"/>
      <x:c r="U430" s="373"/>
      <x:c r="V430" s="373"/>
      <x:c r="W430" s="373"/>
      <x:c r="X430" s="373"/>
      <x:c r="Y430" s="373"/>
      <x:c r="Z430" s="373"/>
    </x:row>
    <x:row r="431">
      <x:c r="A431" s="373"/>
      <x:c r="B431" s="373"/>
      <x:c r="C431" s="373"/>
      <x:c r="D431" s="373"/>
      <x:c r="E431" s="373"/>
      <x:c r="F431" s="373"/>
      <x:c r="G431" s="373"/>
      <x:c r="H431" s="373"/>
      <x:c r="I431" s="373"/>
      <x:c r="J431" s="373"/>
      <x:c r="K431" s="373"/>
      <x:c r="L431" s="373"/>
      <x:c r="M431" s="373"/>
      <x:c r="N431" s="373"/>
      <x:c r="O431" s="373"/>
      <x:c r="P431" s="373"/>
      <x:c r="Q431" s="373"/>
      <x:c r="R431" s="373"/>
      <x:c r="S431" s="373"/>
      <x:c r="T431" s="373"/>
      <x:c r="U431" s="373"/>
      <x:c r="V431" s="373"/>
      <x:c r="W431" s="373"/>
      <x:c r="X431" s="373"/>
      <x:c r="Y431" s="373"/>
      <x:c r="Z431" s="373"/>
    </x:row>
    <x:row r="432">
      <x:c r="A432" s="373"/>
      <x:c r="B432" s="373"/>
      <x:c r="C432" s="373"/>
      <x:c r="D432" s="373"/>
      <x:c r="E432" s="373"/>
      <x:c r="F432" s="373"/>
      <x:c r="G432" s="373"/>
      <x:c r="H432" s="373"/>
      <x:c r="I432" s="373"/>
      <x:c r="J432" s="373"/>
      <x:c r="K432" s="373"/>
      <x:c r="L432" s="373"/>
      <x:c r="M432" s="373"/>
      <x:c r="N432" s="373"/>
      <x:c r="O432" s="373"/>
      <x:c r="P432" s="373"/>
      <x:c r="Q432" s="373"/>
      <x:c r="R432" s="373"/>
      <x:c r="S432" s="373"/>
      <x:c r="T432" s="373"/>
      <x:c r="U432" s="373"/>
      <x:c r="V432" s="373"/>
      <x:c r="W432" s="373"/>
      <x:c r="X432" s="373"/>
      <x:c r="Y432" s="373"/>
      <x:c r="Z432" s="373"/>
    </x:row>
    <x:row r="433">
      <x:c r="A433" s="373"/>
      <x:c r="B433" s="373"/>
      <x:c r="C433" s="373"/>
      <x:c r="D433" s="373"/>
      <x:c r="E433" s="373"/>
      <x:c r="F433" s="373"/>
      <x:c r="G433" s="373"/>
      <x:c r="H433" s="373"/>
      <x:c r="I433" s="373"/>
      <x:c r="J433" s="373"/>
      <x:c r="K433" s="373"/>
      <x:c r="L433" s="373"/>
      <x:c r="M433" s="373"/>
      <x:c r="N433" s="373"/>
      <x:c r="O433" s="373"/>
      <x:c r="P433" s="373"/>
      <x:c r="Q433" s="373"/>
      <x:c r="R433" s="373"/>
      <x:c r="S433" s="373"/>
      <x:c r="T433" s="373"/>
      <x:c r="U433" s="373"/>
      <x:c r="V433" s="373"/>
      <x:c r="W433" s="373"/>
      <x:c r="X433" s="373"/>
      <x:c r="Y433" s="373"/>
      <x:c r="Z433" s="373"/>
    </x:row>
    <x:row r="434">
      <x:c r="A434" s="373"/>
      <x:c r="B434" s="373"/>
      <x:c r="C434" s="373"/>
      <x:c r="D434" s="373"/>
      <x:c r="E434" s="373"/>
      <x:c r="F434" s="373"/>
      <x:c r="G434" s="373"/>
      <x:c r="H434" s="373"/>
      <x:c r="I434" s="373"/>
      <x:c r="J434" s="373"/>
      <x:c r="K434" s="373"/>
      <x:c r="L434" s="373"/>
      <x:c r="M434" s="373"/>
      <x:c r="N434" s="373"/>
      <x:c r="O434" s="373"/>
      <x:c r="P434" s="373"/>
      <x:c r="Q434" s="373"/>
      <x:c r="R434" s="373"/>
      <x:c r="S434" s="373"/>
      <x:c r="T434" s="373"/>
      <x:c r="U434" s="373"/>
      <x:c r="V434" s="373"/>
      <x:c r="W434" s="373"/>
      <x:c r="X434" s="373"/>
      <x:c r="Y434" s="373"/>
      <x:c r="Z434" s="373"/>
    </x:row>
    <x:row r="435">
      <x:c r="A435" s="373"/>
      <x:c r="B435" s="373"/>
      <x:c r="C435" s="373"/>
      <x:c r="D435" s="373"/>
      <x:c r="E435" s="373"/>
      <x:c r="F435" s="373"/>
      <x:c r="G435" s="373"/>
      <x:c r="H435" s="373"/>
      <x:c r="I435" s="373"/>
      <x:c r="J435" s="373"/>
      <x:c r="K435" s="373"/>
      <x:c r="L435" s="373"/>
      <x:c r="M435" s="373"/>
      <x:c r="N435" s="373"/>
      <x:c r="O435" s="373"/>
      <x:c r="P435" s="373"/>
      <x:c r="Q435" s="373"/>
      <x:c r="R435" s="373"/>
      <x:c r="S435" s="373"/>
      <x:c r="T435" s="373"/>
      <x:c r="U435" s="373"/>
      <x:c r="V435" s="373"/>
      <x:c r="W435" s="373"/>
      <x:c r="X435" s="373"/>
      <x:c r="Y435" s="373"/>
      <x:c r="Z435" s="373"/>
    </x:row>
    <x:row r="436">
      <x:c r="A436" s="373"/>
      <x:c r="B436" s="373"/>
      <x:c r="C436" s="373"/>
      <x:c r="D436" s="373"/>
      <x:c r="E436" s="373"/>
      <x:c r="F436" s="373"/>
      <x:c r="G436" s="373"/>
      <x:c r="H436" s="373"/>
      <x:c r="I436" s="373"/>
      <x:c r="J436" s="373"/>
      <x:c r="K436" s="373"/>
      <x:c r="L436" s="373"/>
      <x:c r="M436" s="373"/>
      <x:c r="N436" s="373"/>
      <x:c r="O436" s="373"/>
      <x:c r="P436" s="373"/>
      <x:c r="Q436" s="373"/>
      <x:c r="R436" s="373"/>
      <x:c r="S436" s="373"/>
      <x:c r="T436" s="373"/>
      <x:c r="U436" s="373"/>
      <x:c r="V436" s="373"/>
      <x:c r="W436" s="373"/>
      <x:c r="X436" s="373"/>
      <x:c r="Y436" s="373"/>
      <x:c r="Z436" s="373"/>
    </x:row>
    <x:row r="437">
      <x:c r="A437" s="373"/>
      <x:c r="B437" s="373"/>
      <x:c r="C437" s="373"/>
      <x:c r="D437" s="373"/>
      <x:c r="E437" s="373"/>
      <x:c r="F437" s="373"/>
      <x:c r="G437" s="373"/>
      <x:c r="H437" s="373"/>
      <x:c r="I437" s="373"/>
      <x:c r="J437" s="373"/>
      <x:c r="K437" s="373"/>
      <x:c r="L437" s="373"/>
      <x:c r="M437" s="373"/>
      <x:c r="N437" s="373"/>
      <x:c r="O437" s="373"/>
      <x:c r="P437" s="373"/>
      <x:c r="Q437" s="373"/>
      <x:c r="R437" s="373"/>
      <x:c r="S437" s="373"/>
      <x:c r="T437" s="373"/>
      <x:c r="U437" s="373"/>
      <x:c r="V437" s="373"/>
      <x:c r="W437" s="373"/>
      <x:c r="X437" s="373"/>
      <x:c r="Y437" s="373"/>
      <x:c r="Z437" s="373"/>
    </x:row>
    <x:row r="438">
      <x:c r="A438" s="373"/>
      <x:c r="B438" s="373"/>
      <x:c r="C438" s="373"/>
      <x:c r="D438" s="373"/>
      <x:c r="E438" s="373"/>
      <x:c r="F438" s="373"/>
      <x:c r="G438" s="373"/>
      <x:c r="H438" s="373"/>
      <x:c r="I438" s="373"/>
      <x:c r="J438" s="373"/>
      <x:c r="K438" s="373"/>
      <x:c r="L438" s="373"/>
      <x:c r="M438" s="373"/>
      <x:c r="N438" s="373"/>
      <x:c r="O438" s="373"/>
      <x:c r="P438" s="373"/>
      <x:c r="Q438" s="373"/>
      <x:c r="R438" s="373"/>
      <x:c r="S438" s="373"/>
      <x:c r="T438" s="373"/>
      <x:c r="U438" s="373"/>
      <x:c r="V438" s="373"/>
      <x:c r="W438" s="373"/>
      <x:c r="X438" s="373"/>
      <x:c r="Y438" s="373"/>
      <x:c r="Z438" s="373"/>
    </x:row>
    <x:row r="439">
      <x:c r="A439" s="373"/>
      <x:c r="B439" s="373"/>
      <x:c r="C439" s="373"/>
      <x:c r="D439" s="373"/>
      <x:c r="E439" s="373"/>
      <x:c r="F439" s="373"/>
      <x:c r="G439" s="373"/>
      <x:c r="H439" s="373"/>
      <x:c r="I439" s="373"/>
      <x:c r="J439" s="373"/>
      <x:c r="K439" s="373"/>
      <x:c r="L439" s="373"/>
      <x:c r="M439" s="373"/>
      <x:c r="N439" s="373"/>
      <x:c r="O439" s="373"/>
      <x:c r="P439" s="373"/>
      <x:c r="Q439" s="373"/>
      <x:c r="R439" s="373"/>
      <x:c r="S439" s="373"/>
      <x:c r="T439" s="373"/>
      <x:c r="U439" s="373"/>
      <x:c r="V439" s="373"/>
      <x:c r="W439" s="373"/>
      <x:c r="X439" s="373"/>
      <x:c r="Y439" s="373"/>
      <x:c r="Z439" s="373"/>
    </x:row>
    <x:row r="440">
      <x:c r="A440" s="373"/>
      <x:c r="B440" s="373"/>
      <x:c r="C440" s="373"/>
      <x:c r="D440" s="373"/>
      <x:c r="E440" s="373"/>
      <x:c r="F440" s="373"/>
      <x:c r="G440" s="373"/>
      <x:c r="H440" s="373"/>
      <x:c r="I440" s="373"/>
      <x:c r="J440" s="373"/>
      <x:c r="K440" s="373"/>
      <x:c r="L440" s="373"/>
      <x:c r="M440" s="373"/>
      <x:c r="N440" s="373"/>
      <x:c r="O440" s="373"/>
      <x:c r="P440" s="373"/>
      <x:c r="Q440" s="373"/>
      <x:c r="R440" s="373"/>
      <x:c r="S440" s="373"/>
      <x:c r="T440" s="373"/>
      <x:c r="U440" s="373"/>
      <x:c r="V440" s="373"/>
      <x:c r="W440" s="373"/>
      <x:c r="X440" s="373"/>
      <x:c r="Y440" s="373"/>
      <x:c r="Z440" s="373"/>
    </x:row>
    <x:row r="441">
      <x:c r="A441" s="373"/>
      <x:c r="B441" s="373"/>
      <x:c r="C441" s="373"/>
      <x:c r="D441" s="373"/>
      <x:c r="E441" s="373"/>
      <x:c r="F441" s="373"/>
      <x:c r="G441" s="373"/>
      <x:c r="H441" s="373"/>
      <x:c r="I441" s="373"/>
      <x:c r="J441" s="373"/>
      <x:c r="K441" s="373"/>
      <x:c r="L441" s="373"/>
      <x:c r="M441" s="373"/>
      <x:c r="N441" s="373"/>
      <x:c r="O441" s="373"/>
      <x:c r="P441" s="373"/>
      <x:c r="Q441" s="373"/>
      <x:c r="R441" s="373"/>
      <x:c r="S441" s="373"/>
      <x:c r="T441" s="373"/>
      <x:c r="U441" s="373"/>
      <x:c r="V441" s="373"/>
      <x:c r="W441" s="373"/>
      <x:c r="X441" s="373"/>
      <x:c r="Y441" s="373"/>
      <x:c r="Z441" s="373"/>
    </x:row>
    <x:row r="442">
      <x:c r="A442" s="373"/>
      <x:c r="B442" s="373"/>
      <x:c r="C442" s="373"/>
      <x:c r="D442" s="373"/>
      <x:c r="E442" s="373"/>
      <x:c r="F442" s="373"/>
      <x:c r="G442" s="373"/>
      <x:c r="H442" s="373"/>
      <x:c r="I442" s="373"/>
      <x:c r="J442" s="373"/>
      <x:c r="K442" s="373"/>
      <x:c r="L442" s="373"/>
      <x:c r="M442" s="373"/>
      <x:c r="N442" s="373"/>
      <x:c r="O442" s="373"/>
      <x:c r="P442" s="373"/>
      <x:c r="Q442" s="373"/>
      <x:c r="R442" s="373"/>
      <x:c r="S442" s="373"/>
      <x:c r="T442" s="373"/>
      <x:c r="U442" s="373"/>
      <x:c r="V442" s="373"/>
      <x:c r="W442" s="373"/>
      <x:c r="X442" s="373"/>
      <x:c r="Y442" s="373"/>
      <x:c r="Z442" s="373"/>
    </x:row>
    <x:row r="443">
      <x:c r="A443" s="373"/>
      <x:c r="B443" s="373"/>
      <x:c r="C443" s="373"/>
      <x:c r="D443" s="373"/>
      <x:c r="E443" s="373"/>
      <x:c r="F443" s="373"/>
      <x:c r="G443" s="373"/>
      <x:c r="H443" s="373"/>
      <x:c r="I443" s="373"/>
      <x:c r="J443" s="373"/>
      <x:c r="K443" s="373"/>
      <x:c r="L443" s="373"/>
      <x:c r="M443" s="373"/>
      <x:c r="N443" s="373"/>
      <x:c r="O443" s="373"/>
      <x:c r="P443" s="373"/>
      <x:c r="Q443" s="373"/>
      <x:c r="R443" s="373"/>
      <x:c r="S443" s="373"/>
      <x:c r="T443" s="373"/>
      <x:c r="U443" s="373"/>
      <x:c r="V443" s="373"/>
      <x:c r="W443" s="373"/>
      <x:c r="X443" s="373"/>
      <x:c r="Y443" s="373"/>
      <x:c r="Z443" s="373"/>
    </x:row>
    <x:row r="444">
      <x:c r="A444" s="373"/>
      <x:c r="B444" s="373"/>
      <x:c r="C444" s="373"/>
      <x:c r="D444" s="373"/>
      <x:c r="E444" s="373"/>
      <x:c r="F444" s="373"/>
      <x:c r="G444" s="373"/>
      <x:c r="H444" s="373"/>
      <x:c r="I444" s="373"/>
      <x:c r="J444" s="373"/>
      <x:c r="K444" s="373"/>
      <x:c r="L444" s="373"/>
      <x:c r="M444" s="373"/>
      <x:c r="N444" s="373"/>
      <x:c r="O444" s="373"/>
      <x:c r="P444" s="373"/>
      <x:c r="Q444" s="373"/>
      <x:c r="R444" s="373"/>
      <x:c r="S444" s="373"/>
      <x:c r="T444" s="373"/>
      <x:c r="U444" s="373"/>
      <x:c r="V444" s="373"/>
      <x:c r="W444" s="373"/>
      <x:c r="X444" s="373"/>
      <x:c r="Y444" s="373"/>
      <x:c r="Z444" s="373"/>
    </x:row>
    <x:row r="445">
      <x:c r="A445" s="373"/>
      <x:c r="B445" s="373"/>
      <x:c r="C445" s="373"/>
      <x:c r="D445" s="373"/>
      <x:c r="E445" s="373"/>
      <x:c r="F445" s="373"/>
      <x:c r="G445" s="373"/>
      <x:c r="H445" s="373"/>
      <x:c r="I445" s="373"/>
      <x:c r="J445" s="373"/>
      <x:c r="K445" s="373"/>
      <x:c r="L445" s="373"/>
      <x:c r="M445" s="373"/>
      <x:c r="N445" s="373"/>
      <x:c r="O445" s="373"/>
      <x:c r="P445" s="373"/>
      <x:c r="Q445" s="373"/>
      <x:c r="R445" s="373"/>
      <x:c r="S445" s="373"/>
      <x:c r="T445" s="373"/>
      <x:c r="U445" s="373"/>
      <x:c r="V445" s="373"/>
      <x:c r="W445" s="373"/>
      <x:c r="X445" s="373"/>
      <x:c r="Y445" s="373"/>
      <x:c r="Z445" s="373"/>
    </x:row>
    <x:row r="446">
      <x:c r="A446" s="373"/>
      <x:c r="B446" s="373"/>
      <x:c r="C446" s="373"/>
      <x:c r="D446" s="373"/>
      <x:c r="E446" s="373"/>
      <x:c r="F446" s="373"/>
      <x:c r="G446" s="373"/>
      <x:c r="H446" s="373"/>
      <x:c r="I446" s="373"/>
      <x:c r="J446" s="373"/>
      <x:c r="K446" s="373"/>
      <x:c r="L446" s="373"/>
      <x:c r="M446" s="373"/>
      <x:c r="N446" s="373"/>
      <x:c r="O446" s="373"/>
      <x:c r="P446" s="373"/>
      <x:c r="Q446" s="373"/>
      <x:c r="R446" s="373"/>
      <x:c r="S446" s="373"/>
      <x:c r="T446" s="373"/>
      <x:c r="U446" s="373"/>
      <x:c r="V446" s="373"/>
      <x:c r="W446" s="373"/>
      <x:c r="X446" s="373"/>
      <x:c r="Y446" s="373"/>
      <x:c r="Z446" s="373"/>
    </x:row>
    <x:row r="447">
      <x:c r="A447" s="373"/>
      <x:c r="B447" s="373"/>
      <x:c r="C447" s="373"/>
      <x:c r="D447" s="373"/>
      <x:c r="E447" s="373"/>
      <x:c r="F447" s="373"/>
      <x:c r="G447" s="373"/>
      <x:c r="H447" s="373"/>
      <x:c r="I447" s="373"/>
      <x:c r="J447" s="373"/>
      <x:c r="K447" s="373"/>
      <x:c r="L447" s="373"/>
      <x:c r="M447" s="373"/>
      <x:c r="N447" s="373"/>
      <x:c r="O447" s="373"/>
      <x:c r="P447" s="373"/>
      <x:c r="Q447" s="373"/>
      <x:c r="R447" s="373"/>
      <x:c r="S447" s="373"/>
      <x:c r="T447" s="373"/>
      <x:c r="U447" s="373"/>
      <x:c r="V447" s="373"/>
      <x:c r="W447" s="373"/>
      <x:c r="X447" s="373"/>
      <x:c r="Y447" s="373"/>
      <x:c r="Z447" s="373"/>
    </x:row>
    <x:row r="448">
      <x:c r="A448" s="373"/>
      <x:c r="B448" s="373"/>
      <x:c r="C448" s="373"/>
      <x:c r="D448" s="373"/>
      <x:c r="E448" s="373"/>
      <x:c r="F448" s="373"/>
      <x:c r="G448" s="373"/>
      <x:c r="H448" s="373"/>
      <x:c r="I448" s="373"/>
      <x:c r="J448" s="373"/>
      <x:c r="K448" s="373"/>
      <x:c r="L448" s="373"/>
      <x:c r="M448" s="373"/>
      <x:c r="N448" s="373"/>
      <x:c r="O448" s="373"/>
      <x:c r="P448" s="373"/>
      <x:c r="Q448" s="373"/>
      <x:c r="R448" s="373"/>
      <x:c r="S448" s="373"/>
      <x:c r="T448" s="373"/>
      <x:c r="U448" s="373"/>
      <x:c r="V448" s="373"/>
      <x:c r="W448" s="373"/>
      <x:c r="X448" s="373"/>
      <x:c r="Y448" s="373"/>
      <x:c r="Z448" s="373"/>
    </x:row>
    <x:row r="449">
      <x:c r="A449" s="373"/>
      <x:c r="B449" s="373"/>
      <x:c r="C449" s="373"/>
      <x:c r="D449" s="373"/>
      <x:c r="E449" s="373"/>
      <x:c r="F449" s="373"/>
      <x:c r="G449" s="373"/>
      <x:c r="H449" s="373"/>
      <x:c r="I449" s="373"/>
      <x:c r="J449" s="373"/>
      <x:c r="K449" s="373"/>
      <x:c r="L449" s="373"/>
      <x:c r="M449" s="373"/>
      <x:c r="N449" s="373"/>
      <x:c r="O449" s="373"/>
      <x:c r="P449" s="373"/>
      <x:c r="Q449" s="373"/>
      <x:c r="R449" s="373"/>
      <x:c r="S449" s="373"/>
      <x:c r="T449" s="373"/>
      <x:c r="U449" s="373"/>
      <x:c r="V449" s="373"/>
      <x:c r="W449" s="373"/>
      <x:c r="X449" s="373"/>
      <x:c r="Y449" s="373"/>
      <x:c r="Z449" s="373"/>
    </x:row>
    <x:row r="450">
      <x:c r="A450" s="373"/>
      <x:c r="B450" s="373"/>
      <x:c r="C450" s="373"/>
      <x:c r="D450" s="373"/>
      <x:c r="E450" s="373"/>
      <x:c r="F450" s="373"/>
      <x:c r="G450" s="373"/>
      <x:c r="H450" s="373"/>
      <x:c r="I450" s="373"/>
      <x:c r="J450" s="373"/>
      <x:c r="K450" s="373"/>
      <x:c r="L450" s="373"/>
      <x:c r="M450" s="373"/>
      <x:c r="N450" s="373"/>
      <x:c r="O450" s="373"/>
      <x:c r="P450" s="373"/>
      <x:c r="Q450" s="373"/>
      <x:c r="R450" s="373"/>
      <x:c r="S450" s="373"/>
      <x:c r="T450" s="373"/>
      <x:c r="U450" s="373"/>
      <x:c r="V450" s="373"/>
      <x:c r="W450" s="373"/>
      <x:c r="X450" s="373"/>
      <x:c r="Y450" s="373"/>
      <x:c r="Z450" s="373"/>
    </x:row>
    <x:row r="451">
      <x:c r="A451" s="373"/>
      <x:c r="B451" s="373"/>
      <x:c r="C451" s="373"/>
      <x:c r="D451" s="373"/>
      <x:c r="E451" s="373"/>
      <x:c r="F451" s="373"/>
      <x:c r="G451" s="373"/>
      <x:c r="H451" s="373"/>
      <x:c r="I451" s="373"/>
      <x:c r="J451" s="373"/>
      <x:c r="K451" s="373"/>
      <x:c r="L451" s="373"/>
      <x:c r="M451" s="373"/>
      <x:c r="N451" s="373"/>
      <x:c r="O451" s="373"/>
      <x:c r="P451" s="373"/>
      <x:c r="Q451" s="373"/>
      <x:c r="R451" s="373"/>
      <x:c r="S451" s="373"/>
      <x:c r="T451" s="373"/>
      <x:c r="U451" s="373"/>
      <x:c r="V451" s="373"/>
      <x:c r="W451" s="373"/>
      <x:c r="X451" s="373"/>
      <x:c r="Y451" s="373"/>
      <x:c r="Z451" s="373"/>
    </x:row>
    <x:row r="452">
      <x:c r="A452" s="373"/>
      <x:c r="B452" s="373"/>
      <x:c r="C452" s="373"/>
      <x:c r="D452" s="373"/>
      <x:c r="E452" s="373"/>
      <x:c r="F452" s="373"/>
      <x:c r="G452" s="373"/>
      <x:c r="H452" s="373"/>
      <x:c r="I452" s="373"/>
      <x:c r="J452" s="373"/>
      <x:c r="K452" s="373"/>
      <x:c r="L452" s="373"/>
      <x:c r="M452" s="373"/>
      <x:c r="N452" s="373"/>
      <x:c r="O452" s="373"/>
      <x:c r="P452" s="373"/>
      <x:c r="Q452" s="373"/>
      <x:c r="R452" s="373"/>
      <x:c r="S452" s="373"/>
      <x:c r="T452" s="373"/>
      <x:c r="U452" s="373"/>
      <x:c r="V452" s="373"/>
      <x:c r="W452" s="373"/>
      <x:c r="X452" s="373"/>
      <x:c r="Y452" s="373"/>
      <x:c r="Z452" s="373"/>
    </x:row>
    <x:row r="453">
      <x:c r="A453" s="373"/>
      <x:c r="B453" s="373"/>
      <x:c r="C453" s="373"/>
      <x:c r="D453" s="373"/>
      <x:c r="E453" s="373"/>
      <x:c r="F453" s="373"/>
      <x:c r="G453" s="373"/>
      <x:c r="H453" s="373"/>
      <x:c r="I453" s="373"/>
      <x:c r="J453" s="373"/>
      <x:c r="K453" s="373"/>
      <x:c r="L453" s="373"/>
      <x:c r="M453" s="373"/>
      <x:c r="N453" s="373"/>
      <x:c r="O453" s="373"/>
      <x:c r="P453" s="373"/>
      <x:c r="Q453" s="373"/>
      <x:c r="R453" s="373"/>
      <x:c r="S453" s="373"/>
      <x:c r="T453" s="373"/>
      <x:c r="U453" s="373"/>
      <x:c r="V453" s="373"/>
      <x:c r="W453" s="373"/>
      <x:c r="X453" s="373"/>
      <x:c r="Y453" s="373"/>
      <x:c r="Z453" s="373"/>
    </x:row>
    <x:row r="454">
      <x:c r="A454" s="373"/>
      <x:c r="B454" s="373"/>
      <x:c r="C454" s="373"/>
      <x:c r="D454" s="373"/>
      <x:c r="E454" s="373"/>
      <x:c r="F454" s="373"/>
      <x:c r="G454" s="373"/>
      <x:c r="H454" s="373"/>
      <x:c r="I454" s="373"/>
      <x:c r="J454" s="373"/>
      <x:c r="K454" s="373"/>
      <x:c r="L454" s="373"/>
      <x:c r="M454" s="373"/>
      <x:c r="N454" s="373"/>
      <x:c r="O454" s="373"/>
      <x:c r="P454" s="373"/>
      <x:c r="Q454" s="373"/>
      <x:c r="R454" s="373"/>
      <x:c r="S454" s="373"/>
      <x:c r="T454" s="373"/>
      <x:c r="U454" s="373"/>
      <x:c r="V454" s="373"/>
      <x:c r="W454" s="373"/>
      <x:c r="X454" s="373"/>
      <x:c r="Y454" s="373"/>
      <x:c r="Z454" s="373"/>
    </x:row>
    <x:row r="455">
      <x:c r="A455" s="373"/>
      <x:c r="B455" s="373"/>
      <x:c r="C455" s="373"/>
      <x:c r="D455" s="373"/>
      <x:c r="E455" s="373"/>
      <x:c r="F455" s="373"/>
      <x:c r="G455" s="373"/>
      <x:c r="H455" s="373"/>
      <x:c r="I455" s="373"/>
      <x:c r="J455" s="373"/>
      <x:c r="K455" s="373"/>
      <x:c r="L455" s="373"/>
      <x:c r="M455" s="373"/>
      <x:c r="N455" s="373"/>
      <x:c r="O455" s="373"/>
      <x:c r="P455" s="373"/>
      <x:c r="Q455" s="373"/>
      <x:c r="R455" s="373"/>
      <x:c r="S455" s="373"/>
      <x:c r="T455" s="373"/>
      <x:c r="U455" s="373"/>
      <x:c r="V455" s="373"/>
      <x:c r="W455" s="373"/>
      <x:c r="X455" s="373"/>
      <x:c r="Y455" s="373"/>
      <x:c r="Z455" s="373"/>
    </x:row>
    <x:row r="456">
      <x:c r="A456" s="373"/>
      <x:c r="B456" s="373"/>
      <x:c r="C456" s="373"/>
      <x:c r="D456" s="373"/>
      <x:c r="E456" s="373"/>
      <x:c r="F456" s="373"/>
      <x:c r="G456" s="373"/>
      <x:c r="H456" s="373"/>
      <x:c r="I456" s="373"/>
      <x:c r="J456" s="373"/>
      <x:c r="K456" s="373"/>
      <x:c r="L456" s="373"/>
      <x:c r="M456" s="373"/>
      <x:c r="N456" s="373"/>
      <x:c r="O456" s="373"/>
      <x:c r="P456" s="373"/>
      <x:c r="Q456" s="373"/>
      <x:c r="R456" s="373"/>
      <x:c r="S456" s="373"/>
      <x:c r="T456" s="373"/>
      <x:c r="U456" s="373"/>
      <x:c r="V456" s="373"/>
      <x:c r="W456" s="373"/>
      <x:c r="X456" s="373"/>
      <x:c r="Y456" s="373"/>
      <x:c r="Z456" s="373"/>
    </x:row>
    <x:row r="457">
      <x:c r="A457" s="373"/>
      <x:c r="B457" s="373"/>
      <x:c r="C457" s="373"/>
      <x:c r="D457" s="373"/>
      <x:c r="E457" s="373"/>
      <x:c r="F457" s="373"/>
      <x:c r="G457" s="373"/>
      <x:c r="H457" s="373"/>
      <x:c r="I457" s="373"/>
      <x:c r="J457" s="373"/>
      <x:c r="K457" s="373"/>
      <x:c r="L457" s="373"/>
      <x:c r="M457" s="373"/>
      <x:c r="N457" s="373"/>
      <x:c r="O457" s="373"/>
      <x:c r="P457" s="373"/>
      <x:c r="Q457" s="373"/>
      <x:c r="R457" s="373"/>
      <x:c r="S457" s="373"/>
      <x:c r="T457" s="373"/>
      <x:c r="U457" s="373"/>
      <x:c r="V457" s="373"/>
      <x:c r="W457" s="373"/>
      <x:c r="X457" s="373"/>
      <x:c r="Y457" s="373"/>
      <x:c r="Z457" s="373"/>
    </x:row>
    <x:row r="458">
      <x:c r="A458" s="373"/>
      <x:c r="B458" s="373"/>
      <x:c r="C458" s="373"/>
      <x:c r="D458" s="373"/>
      <x:c r="E458" s="373"/>
      <x:c r="F458" s="373"/>
      <x:c r="G458" s="373"/>
      <x:c r="H458" s="373"/>
      <x:c r="I458" s="373"/>
      <x:c r="J458" s="373"/>
      <x:c r="K458" s="373"/>
      <x:c r="L458" s="373"/>
      <x:c r="M458" s="373"/>
      <x:c r="N458" s="373"/>
      <x:c r="O458" s="373"/>
      <x:c r="P458" s="373"/>
      <x:c r="Q458" s="373"/>
      <x:c r="R458" s="373"/>
      <x:c r="S458" s="373"/>
      <x:c r="T458" s="373"/>
      <x:c r="U458" s="373"/>
      <x:c r="V458" s="373"/>
      <x:c r="W458" s="373"/>
      <x:c r="X458" s="373"/>
      <x:c r="Y458" s="373"/>
      <x:c r="Z458" s="373"/>
    </x:row>
    <x:row r="459">
      <x:c r="A459" s="373"/>
      <x:c r="B459" s="373"/>
      <x:c r="C459" s="373"/>
      <x:c r="D459" s="373"/>
      <x:c r="E459" s="373"/>
      <x:c r="F459" s="373"/>
      <x:c r="G459" s="373"/>
      <x:c r="H459" s="373"/>
      <x:c r="I459" s="373"/>
      <x:c r="J459" s="373"/>
      <x:c r="K459" s="373"/>
      <x:c r="L459" s="373"/>
      <x:c r="M459" s="373"/>
      <x:c r="N459" s="373"/>
      <x:c r="O459" s="373"/>
      <x:c r="P459" s="373"/>
      <x:c r="Q459" s="373"/>
      <x:c r="R459" s="373"/>
      <x:c r="S459" s="373"/>
      <x:c r="T459" s="373"/>
      <x:c r="U459" s="373"/>
      <x:c r="V459" s="373"/>
      <x:c r="W459" s="373"/>
      <x:c r="X459" s="373"/>
      <x:c r="Y459" s="373"/>
      <x:c r="Z459" s="373"/>
    </x:row>
    <x:row r="460">
      <x:c r="A460" s="373"/>
      <x:c r="B460" s="373"/>
      <x:c r="C460" s="373"/>
      <x:c r="D460" s="373"/>
      <x:c r="E460" s="373"/>
      <x:c r="F460" s="373"/>
      <x:c r="G460" s="373"/>
      <x:c r="H460" s="373"/>
      <x:c r="I460" s="373"/>
      <x:c r="J460" s="373"/>
      <x:c r="K460" s="373"/>
      <x:c r="L460" s="373"/>
      <x:c r="M460" s="373"/>
      <x:c r="N460" s="373"/>
      <x:c r="O460" s="373"/>
      <x:c r="P460" s="373"/>
      <x:c r="Q460" s="373"/>
      <x:c r="R460" s="373"/>
      <x:c r="S460" s="373"/>
      <x:c r="T460" s="373"/>
      <x:c r="U460" s="373"/>
      <x:c r="V460" s="373"/>
      <x:c r="W460" s="373"/>
      <x:c r="X460" s="373"/>
      <x:c r="Y460" s="373"/>
      <x:c r="Z460" s="373"/>
    </x:row>
    <x:row r="461">
      <x:c r="A461" s="373"/>
      <x:c r="B461" s="373"/>
      <x:c r="C461" s="373"/>
      <x:c r="D461" s="373"/>
      <x:c r="E461" s="373"/>
      <x:c r="F461" s="373"/>
      <x:c r="G461" s="373"/>
      <x:c r="H461" s="373"/>
      <x:c r="I461" s="373"/>
      <x:c r="J461" s="373"/>
      <x:c r="K461" s="373"/>
      <x:c r="L461" s="373"/>
      <x:c r="M461" s="373"/>
      <x:c r="N461" s="373"/>
      <x:c r="O461" s="373"/>
      <x:c r="P461" s="373"/>
      <x:c r="Q461" s="373"/>
      <x:c r="R461" s="373"/>
      <x:c r="S461" s="373"/>
      <x:c r="T461" s="373"/>
      <x:c r="U461" s="373"/>
      <x:c r="V461" s="373"/>
      <x:c r="W461" s="373"/>
      <x:c r="X461" s="373"/>
      <x:c r="Y461" s="373"/>
      <x:c r="Z461" s="373"/>
    </x:row>
    <x:row r="462">
      <x:c r="A462" s="373"/>
      <x:c r="B462" s="373"/>
      <x:c r="C462" s="373"/>
      <x:c r="D462" s="373"/>
      <x:c r="E462" s="373"/>
      <x:c r="F462" s="373"/>
      <x:c r="G462" s="373"/>
      <x:c r="H462" s="373"/>
      <x:c r="I462" s="373"/>
      <x:c r="J462" s="373"/>
      <x:c r="K462" s="373"/>
      <x:c r="L462" s="373"/>
      <x:c r="M462" s="373"/>
      <x:c r="N462" s="373"/>
      <x:c r="O462" s="373"/>
      <x:c r="P462" s="373"/>
      <x:c r="Q462" s="373"/>
      <x:c r="R462" s="373"/>
      <x:c r="S462" s="373"/>
      <x:c r="T462" s="373"/>
      <x:c r="U462" s="373"/>
      <x:c r="V462" s="373"/>
      <x:c r="W462" s="373"/>
      <x:c r="X462" s="373"/>
      <x:c r="Y462" s="373"/>
      <x:c r="Z462" s="373"/>
    </x:row>
    <x:row r="463">
      <x:c r="A463" s="373"/>
      <x:c r="B463" s="373"/>
      <x:c r="C463" s="373"/>
      <x:c r="D463" s="373"/>
      <x:c r="E463" s="373"/>
      <x:c r="F463" s="373"/>
      <x:c r="G463" s="373"/>
      <x:c r="H463" s="373"/>
      <x:c r="I463" s="373"/>
      <x:c r="J463" s="373"/>
      <x:c r="K463" s="373"/>
      <x:c r="L463" s="373"/>
      <x:c r="M463" s="373"/>
      <x:c r="N463" s="373"/>
      <x:c r="O463" s="373"/>
      <x:c r="P463" s="373"/>
      <x:c r="Q463" s="373"/>
      <x:c r="R463" s="373"/>
      <x:c r="S463" s="373"/>
      <x:c r="T463" s="373"/>
      <x:c r="U463" s="373"/>
      <x:c r="V463" s="373"/>
      <x:c r="W463" s="373"/>
      <x:c r="X463" s="373"/>
      <x:c r="Y463" s="373"/>
      <x:c r="Z463" s="373"/>
    </x:row>
    <x:row r="464">
      <x:c r="A464" s="373"/>
      <x:c r="B464" s="373"/>
      <x:c r="C464" s="373"/>
      <x:c r="D464" s="373"/>
      <x:c r="E464" s="373"/>
      <x:c r="F464" s="373"/>
      <x:c r="G464" s="373"/>
      <x:c r="H464" s="373"/>
      <x:c r="I464" s="373"/>
      <x:c r="J464" s="373"/>
      <x:c r="K464" s="373"/>
      <x:c r="L464" s="373"/>
      <x:c r="M464" s="373"/>
      <x:c r="N464" s="373"/>
      <x:c r="O464" s="373"/>
      <x:c r="P464" s="373"/>
      <x:c r="Q464" s="373"/>
      <x:c r="R464" s="373"/>
      <x:c r="S464" s="373"/>
      <x:c r="T464" s="373"/>
      <x:c r="U464" s="373"/>
      <x:c r="V464" s="373"/>
      <x:c r="W464" s="373"/>
      <x:c r="X464" s="373"/>
      <x:c r="Y464" s="373"/>
      <x:c r="Z464" s="373"/>
    </x:row>
    <x:row r="465">
      <x:c r="A465" s="373"/>
      <x:c r="B465" s="373"/>
      <x:c r="C465" s="373"/>
      <x:c r="D465" s="373"/>
      <x:c r="E465" s="373"/>
      <x:c r="F465" s="373"/>
      <x:c r="G465" s="373"/>
      <x:c r="H465" s="373"/>
      <x:c r="I465" s="373"/>
      <x:c r="J465" s="373"/>
      <x:c r="K465" s="373"/>
      <x:c r="L465" s="373"/>
      <x:c r="M465" s="373"/>
      <x:c r="N465" s="373"/>
      <x:c r="O465" s="373"/>
      <x:c r="P465" s="373"/>
      <x:c r="Q465" s="373"/>
      <x:c r="R465" s="373"/>
      <x:c r="S465" s="373"/>
      <x:c r="T465" s="373"/>
      <x:c r="U465" s="373"/>
      <x:c r="V465" s="373"/>
      <x:c r="W465" s="373"/>
      <x:c r="X465" s="373"/>
      <x:c r="Y465" s="373"/>
      <x:c r="Z465" s="373"/>
    </x:row>
    <x:row r="466">
      <x:c r="A466" s="373"/>
      <x:c r="B466" s="373"/>
      <x:c r="C466" s="373"/>
      <x:c r="D466" s="373"/>
      <x:c r="E466" s="373"/>
      <x:c r="F466" s="373"/>
      <x:c r="G466" s="373"/>
      <x:c r="H466" s="373"/>
      <x:c r="I466" s="373"/>
      <x:c r="J466" s="373"/>
      <x:c r="K466" s="373"/>
      <x:c r="L466" s="373"/>
      <x:c r="M466" s="373"/>
      <x:c r="N466" s="373"/>
      <x:c r="O466" s="373"/>
      <x:c r="P466" s="373"/>
      <x:c r="Q466" s="373"/>
      <x:c r="R466" s="373"/>
      <x:c r="S466" s="373"/>
      <x:c r="T466" s="373"/>
      <x:c r="U466" s="373"/>
      <x:c r="V466" s="373"/>
      <x:c r="W466" s="373"/>
      <x:c r="X466" s="373"/>
      <x:c r="Y466" s="373"/>
      <x:c r="Z466" s="373"/>
    </x:row>
    <x:row r="467">
      <x:c r="A467" s="373"/>
      <x:c r="B467" s="373"/>
      <x:c r="C467" s="373"/>
      <x:c r="D467" s="373"/>
      <x:c r="E467" s="373"/>
      <x:c r="F467" s="373"/>
      <x:c r="G467" s="373"/>
      <x:c r="H467" s="373"/>
      <x:c r="I467" s="373"/>
      <x:c r="J467" s="373"/>
      <x:c r="K467" s="373"/>
      <x:c r="L467" s="373"/>
      <x:c r="M467" s="373"/>
      <x:c r="N467" s="373"/>
      <x:c r="O467" s="373"/>
      <x:c r="P467" s="373"/>
      <x:c r="Q467" s="373"/>
      <x:c r="R467" s="373"/>
      <x:c r="S467" s="373"/>
      <x:c r="T467" s="373"/>
      <x:c r="U467" s="373"/>
      <x:c r="V467" s="373"/>
      <x:c r="W467" s="373"/>
      <x:c r="X467" s="373"/>
      <x:c r="Y467" s="373"/>
      <x:c r="Z467" s="373"/>
    </x:row>
    <x:row r="468">
      <x:c r="A468" s="373"/>
      <x:c r="B468" s="373"/>
      <x:c r="C468" s="373"/>
      <x:c r="D468" s="373"/>
      <x:c r="E468" s="373"/>
      <x:c r="F468" s="373"/>
      <x:c r="G468" s="373"/>
      <x:c r="H468" s="373"/>
      <x:c r="I468" s="373"/>
      <x:c r="J468" s="373"/>
      <x:c r="K468" s="373"/>
      <x:c r="L468" s="373"/>
      <x:c r="M468" s="373"/>
      <x:c r="N468" s="373"/>
      <x:c r="O468" s="373"/>
      <x:c r="P468" s="373"/>
      <x:c r="Q468" s="373"/>
      <x:c r="R468" s="373"/>
      <x:c r="S468" s="373"/>
      <x:c r="T468" s="373"/>
      <x:c r="U468" s="373"/>
      <x:c r="V468" s="373"/>
      <x:c r="W468" s="373"/>
      <x:c r="X468" s="373"/>
      <x:c r="Y468" s="373"/>
      <x:c r="Z468" s="373"/>
    </x:row>
    <x:row r="469">
      <x:c r="A469" s="373"/>
      <x:c r="B469" s="373"/>
      <x:c r="C469" s="373"/>
      <x:c r="D469" s="373"/>
      <x:c r="E469" s="373"/>
      <x:c r="F469" s="373"/>
      <x:c r="G469" s="373"/>
      <x:c r="H469" s="373"/>
      <x:c r="I469" s="373"/>
      <x:c r="J469" s="373"/>
      <x:c r="K469" s="373"/>
      <x:c r="L469" s="373"/>
      <x:c r="M469" s="373"/>
      <x:c r="N469" s="373"/>
      <x:c r="O469" s="373"/>
      <x:c r="P469" s="373"/>
      <x:c r="Q469" s="373"/>
      <x:c r="R469" s="373"/>
      <x:c r="S469" s="373"/>
      <x:c r="T469" s="373"/>
      <x:c r="U469" s="373"/>
      <x:c r="V469" s="373"/>
      <x:c r="W469" s="373"/>
      <x:c r="X469" s="373"/>
      <x:c r="Y469" s="373"/>
      <x:c r="Z469" s="373"/>
    </x:row>
    <x:row r="470">
      <x:c r="A470" s="373"/>
      <x:c r="B470" s="373"/>
      <x:c r="C470" s="373"/>
      <x:c r="D470" s="373"/>
      <x:c r="E470" s="373"/>
      <x:c r="F470" s="373"/>
      <x:c r="G470" s="373"/>
      <x:c r="H470" s="373"/>
      <x:c r="I470" s="373"/>
      <x:c r="J470" s="373"/>
      <x:c r="K470" s="373"/>
      <x:c r="L470" s="373"/>
      <x:c r="M470" s="373"/>
      <x:c r="N470" s="373"/>
      <x:c r="O470" s="373"/>
      <x:c r="P470" s="373"/>
      <x:c r="Q470" s="373"/>
      <x:c r="R470" s="373"/>
      <x:c r="S470" s="373"/>
      <x:c r="T470" s="373"/>
      <x:c r="U470" s="373"/>
      <x:c r="V470" s="373"/>
      <x:c r="W470" s="373"/>
      <x:c r="X470" s="373"/>
      <x:c r="Y470" s="373"/>
      <x:c r="Z470" s="373"/>
    </x:row>
    <x:row r="471">
      <x:c r="A471" s="373"/>
      <x:c r="B471" s="373"/>
      <x:c r="C471" s="373"/>
      <x:c r="D471" s="373"/>
      <x:c r="E471" s="373"/>
      <x:c r="F471" s="373"/>
      <x:c r="G471" s="373"/>
      <x:c r="H471" s="373"/>
      <x:c r="I471" s="373"/>
      <x:c r="J471" s="373"/>
      <x:c r="K471" s="373"/>
      <x:c r="L471" s="373"/>
      <x:c r="M471" s="373"/>
      <x:c r="N471" s="373"/>
      <x:c r="O471" s="373"/>
      <x:c r="P471" s="373"/>
      <x:c r="Q471" s="373"/>
      <x:c r="R471" s="373"/>
      <x:c r="S471" s="373"/>
      <x:c r="T471" s="373"/>
      <x:c r="U471" s="373"/>
      <x:c r="V471" s="373"/>
      <x:c r="W471" s="373"/>
      <x:c r="X471" s="373"/>
      <x:c r="Y471" s="373"/>
      <x:c r="Z471" s="373"/>
    </x:row>
    <x:row r="472">
      <x:c r="A472" s="373"/>
      <x:c r="B472" s="373"/>
      <x:c r="C472" s="373"/>
      <x:c r="D472" s="373"/>
      <x:c r="E472" s="373"/>
      <x:c r="F472" s="373"/>
      <x:c r="G472" s="373"/>
      <x:c r="H472" s="373"/>
      <x:c r="I472" s="373"/>
      <x:c r="J472" s="373"/>
      <x:c r="K472" s="373"/>
      <x:c r="L472" s="373"/>
      <x:c r="M472" s="373"/>
      <x:c r="N472" s="373"/>
      <x:c r="O472" s="373"/>
      <x:c r="P472" s="373"/>
      <x:c r="Q472" s="373"/>
      <x:c r="R472" s="373"/>
      <x:c r="S472" s="373"/>
      <x:c r="T472" s="373"/>
      <x:c r="U472" s="373"/>
      <x:c r="V472" s="373"/>
      <x:c r="W472" s="373"/>
      <x:c r="X472" s="373"/>
      <x:c r="Y472" s="373"/>
      <x:c r="Z472" s="373"/>
    </x:row>
    <x:row r="473">
      <x:c r="A473" s="373"/>
      <x:c r="B473" s="373"/>
      <x:c r="C473" s="373"/>
      <x:c r="D473" s="373"/>
      <x:c r="E473" s="373"/>
      <x:c r="F473" s="373"/>
      <x:c r="G473" s="373"/>
      <x:c r="H473" s="373"/>
      <x:c r="I473" s="373"/>
      <x:c r="J473" s="373"/>
      <x:c r="K473" s="373"/>
      <x:c r="L473" s="373"/>
      <x:c r="M473" s="373"/>
      <x:c r="N473" s="373"/>
      <x:c r="O473" s="373"/>
      <x:c r="P473" s="373"/>
      <x:c r="Q473" s="373"/>
      <x:c r="R473" s="373"/>
      <x:c r="S473" s="373"/>
      <x:c r="T473" s="373"/>
      <x:c r="U473" s="373"/>
      <x:c r="V473" s="373"/>
      <x:c r="W473" s="373"/>
      <x:c r="X473" s="373"/>
      <x:c r="Y473" s="373"/>
      <x:c r="Z473" s="373"/>
    </x:row>
    <x:row r="474">
      <x:c r="A474" s="373"/>
      <x:c r="B474" s="373"/>
      <x:c r="C474" s="373"/>
      <x:c r="D474" s="373"/>
      <x:c r="E474" s="373"/>
      <x:c r="F474" s="373"/>
      <x:c r="G474" s="373"/>
      <x:c r="H474" s="373"/>
      <x:c r="I474" s="373"/>
      <x:c r="J474" s="373"/>
      <x:c r="K474" s="373"/>
      <x:c r="L474" s="373"/>
      <x:c r="M474" s="373"/>
      <x:c r="N474" s="373"/>
      <x:c r="O474" s="373"/>
      <x:c r="P474" s="373"/>
      <x:c r="Q474" s="373"/>
      <x:c r="R474" s="373"/>
      <x:c r="S474" s="373"/>
      <x:c r="T474" s="373"/>
      <x:c r="U474" s="373"/>
      <x:c r="V474" s="373"/>
      <x:c r="W474" s="373"/>
      <x:c r="X474" s="373"/>
      <x:c r="Y474" s="373"/>
      <x:c r="Z474" s="373"/>
    </x:row>
    <x:row r="475">
      <x:c r="A475" s="373"/>
      <x:c r="B475" s="373"/>
      <x:c r="C475" s="373"/>
      <x:c r="D475" s="373"/>
      <x:c r="E475" s="373"/>
      <x:c r="F475" s="373"/>
      <x:c r="G475" s="373"/>
      <x:c r="H475" s="373"/>
      <x:c r="I475" s="373"/>
      <x:c r="J475" s="373"/>
      <x:c r="K475" s="373"/>
      <x:c r="L475" s="373"/>
      <x:c r="M475" s="373"/>
      <x:c r="N475" s="373"/>
      <x:c r="O475" s="373"/>
      <x:c r="P475" s="373"/>
      <x:c r="Q475" s="373"/>
      <x:c r="R475" s="373"/>
      <x:c r="S475" s="373"/>
      <x:c r="T475" s="373"/>
      <x:c r="U475" s="373"/>
      <x:c r="V475" s="373"/>
      <x:c r="W475" s="373"/>
      <x:c r="X475" s="373"/>
      <x:c r="Y475" s="373"/>
      <x:c r="Z475" s="373"/>
    </x:row>
    <x:row r="476">
      <x:c r="A476" s="373"/>
      <x:c r="B476" s="373"/>
      <x:c r="C476" s="373"/>
      <x:c r="D476" s="373"/>
      <x:c r="E476" s="373"/>
      <x:c r="F476" s="373"/>
      <x:c r="G476" s="373"/>
      <x:c r="H476" s="373"/>
      <x:c r="I476" s="373"/>
      <x:c r="J476" s="373"/>
      <x:c r="K476" s="373"/>
      <x:c r="L476" s="373"/>
      <x:c r="M476" s="373"/>
      <x:c r="N476" s="373"/>
      <x:c r="O476" s="373"/>
      <x:c r="P476" s="373"/>
      <x:c r="Q476" s="373"/>
      <x:c r="R476" s="373"/>
      <x:c r="S476" s="373"/>
      <x:c r="T476" s="373"/>
      <x:c r="U476" s="373"/>
      <x:c r="V476" s="373"/>
      <x:c r="W476" s="373"/>
      <x:c r="X476" s="373"/>
      <x:c r="Y476" s="373"/>
      <x:c r="Z476" s="373"/>
    </x:row>
    <x:row r="477">
      <x:c r="A477" s="373"/>
      <x:c r="B477" s="373"/>
      <x:c r="C477" s="373"/>
      <x:c r="D477" s="373"/>
      <x:c r="E477" s="373"/>
      <x:c r="F477" s="373"/>
      <x:c r="G477" s="373"/>
      <x:c r="H477" s="373"/>
      <x:c r="I477" s="373"/>
      <x:c r="J477" s="373"/>
      <x:c r="K477" s="373"/>
      <x:c r="L477" s="373"/>
      <x:c r="M477" s="373"/>
      <x:c r="N477" s="373"/>
      <x:c r="O477" s="373"/>
      <x:c r="P477" s="373"/>
      <x:c r="Q477" s="373"/>
      <x:c r="R477" s="373"/>
      <x:c r="S477" s="373"/>
      <x:c r="T477" s="373"/>
      <x:c r="U477" s="373"/>
      <x:c r="V477" s="373"/>
      <x:c r="W477" s="373"/>
      <x:c r="X477" s="373"/>
      <x:c r="Y477" s="373"/>
      <x:c r="Z477" s="373"/>
    </x:row>
    <x:row r="478">
      <x:c r="A478" s="373"/>
      <x:c r="B478" s="373"/>
      <x:c r="C478" s="373"/>
      <x:c r="D478" s="373"/>
      <x:c r="E478" s="373"/>
      <x:c r="F478" s="373"/>
      <x:c r="G478" s="373"/>
      <x:c r="H478" s="373"/>
      <x:c r="I478" s="373"/>
      <x:c r="J478" s="373"/>
      <x:c r="K478" s="373"/>
      <x:c r="L478" s="373"/>
      <x:c r="M478" s="373"/>
      <x:c r="N478" s="373"/>
      <x:c r="O478" s="373"/>
      <x:c r="P478" s="373"/>
      <x:c r="Q478" s="373"/>
      <x:c r="R478" s="373"/>
      <x:c r="S478" s="373"/>
      <x:c r="T478" s="373"/>
      <x:c r="U478" s="373"/>
      <x:c r="V478" s="373"/>
      <x:c r="W478" s="373"/>
      <x:c r="X478" s="373"/>
      <x:c r="Y478" s="373"/>
      <x:c r="Z478" s="373"/>
    </x:row>
    <x:row r="479">
      <x:c r="A479" s="373"/>
      <x:c r="B479" s="373"/>
      <x:c r="C479" s="373"/>
      <x:c r="D479" s="373"/>
      <x:c r="E479" s="373"/>
      <x:c r="F479" s="373"/>
      <x:c r="G479" s="373"/>
      <x:c r="H479" s="373"/>
      <x:c r="I479" s="373"/>
      <x:c r="J479" s="373"/>
      <x:c r="K479" s="373"/>
      <x:c r="L479" s="373"/>
      <x:c r="M479" s="373"/>
      <x:c r="N479" s="373"/>
      <x:c r="O479" s="373"/>
      <x:c r="P479" s="373"/>
      <x:c r="Q479" s="373"/>
      <x:c r="R479" s="373"/>
      <x:c r="S479" s="373"/>
      <x:c r="T479" s="373"/>
      <x:c r="U479" s="373"/>
      <x:c r="V479" s="373"/>
      <x:c r="W479" s="373"/>
      <x:c r="X479" s="373"/>
      <x:c r="Y479" s="373"/>
      <x:c r="Z479" s="373"/>
    </x:row>
    <x:row r="480">
      <x:c r="A480" s="373"/>
      <x:c r="B480" s="373"/>
      <x:c r="C480" s="373"/>
      <x:c r="D480" s="373"/>
      <x:c r="E480" s="373"/>
      <x:c r="F480" s="373"/>
      <x:c r="G480" s="373"/>
      <x:c r="H480" s="373"/>
      <x:c r="I480" s="373"/>
      <x:c r="J480" s="373"/>
      <x:c r="K480" s="373"/>
      <x:c r="L480" s="373"/>
      <x:c r="M480" s="373"/>
      <x:c r="N480" s="373"/>
      <x:c r="O480" s="373"/>
      <x:c r="P480" s="373"/>
      <x:c r="Q480" s="373"/>
      <x:c r="R480" s="373"/>
      <x:c r="S480" s="373"/>
      <x:c r="T480" s="373"/>
      <x:c r="U480" s="373"/>
      <x:c r="V480" s="373"/>
      <x:c r="W480" s="373"/>
      <x:c r="X480" s="373"/>
      <x:c r="Y480" s="373"/>
      <x:c r="Z480" s="373"/>
    </x:row>
    <x:row r="481">
      <x:c r="A481" s="373"/>
      <x:c r="B481" s="373"/>
      <x:c r="C481" s="373"/>
      <x:c r="D481" s="373"/>
      <x:c r="E481" s="373"/>
      <x:c r="F481" s="373"/>
      <x:c r="G481" s="373"/>
      <x:c r="H481" s="373"/>
      <x:c r="I481" s="373"/>
      <x:c r="J481" s="373"/>
      <x:c r="K481" s="373"/>
      <x:c r="L481" s="373"/>
      <x:c r="M481" s="373"/>
      <x:c r="N481" s="373"/>
      <x:c r="O481" s="373"/>
      <x:c r="P481" s="373"/>
      <x:c r="Q481" s="373"/>
      <x:c r="R481" s="373"/>
      <x:c r="S481" s="373"/>
      <x:c r="T481" s="373"/>
      <x:c r="U481" s="373"/>
      <x:c r="V481" s="373"/>
      <x:c r="W481" s="373"/>
      <x:c r="X481" s="373"/>
      <x:c r="Y481" s="373"/>
      <x:c r="Z481" s="373"/>
    </x:row>
    <x:row r="482">
      <x:c r="A482" s="373"/>
      <x:c r="B482" s="373"/>
      <x:c r="C482" s="373"/>
      <x:c r="D482" s="373"/>
      <x:c r="E482" s="373"/>
      <x:c r="F482" s="373"/>
      <x:c r="G482" s="373"/>
      <x:c r="H482" s="373"/>
      <x:c r="I482" s="373"/>
      <x:c r="J482" s="373"/>
      <x:c r="K482" s="373"/>
      <x:c r="L482" s="373"/>
      <x:c r="M482" s="373"/>
      <x:c r="N482" s="373"/>
      <x:c r="O482" s="373"/>
      <x:c r="P482" s="373"/>
      <x:c r="Q482" s="373"/>
      <x:c r="R482" s="373"/>
      <x:c r="S482" s="373"/>
      <x:c r="T482" s="373"/>
      <x:c r="U482" s="373"/>
      <x:c r="V482" s="373"/>
      <x:c r="W482" s="373"/>
      <x:c r="X482" s="373"/>
      <x:c r="Y482" s="373"/>
      <x:c r="Z482" s="373"/>
    </x:row>
    <x:row r="483">
      <x:c r="A483" s="373"/>
      <x:c r="B483" s="373"/>
      <x:c r="C483" s="373"/>
      <x:c r="D483" s="373"/>
      <x:c r="E483" s="373"/>
      <x:c r="F483" s="373"/>
      <x:c r="G483" s="373"/>
      <x:c r="H483" s="373"/>
      <x:c r="I483" s="373"/>
      <x:c r="J483" s="373"/>
      <x:c r="K483" s="373"/>
      <x:c r="L483" s="373"/>
      <x:c r="M483" s="373"/>
      <x:c r="N483" s="373"/>
      <x:c r="O483" s="373"/>
      <x:c r="P483" s="373"/>
      <x:c r="Q483" s="373"/>
      <x:c r="R483" s="373"/>
      <x:c r="S483" s="373"/>
      <x:c r="T483" s="373"/>
      <x:c r="U483" s="373"/>
      <x:c r="V483" s="373"/>
      <x:c r="W483" s="373"/>
      <x:c r="X483" s="373"/>
      <x:c r="Y483" s="373"/>
      <x:c r="Z483" s="373"/>
    </x:row>
    <x:row r="484">
      <x:c r="A484" s="373"/>
      <x:c r="B484" s="373"/>
      <x:c r="C484" s="373"/>
      <x:c r="D484" s="373"/>
      <x:c r="E484" s="373"/>
      <x:c r="F484" s="373"/>
      <x:c r="G484" s="373"/>
      <x:c r="H484" s="373"/>
      <x:c r="I484" s="373"/>
      <x:c r="J484" s="373"/>
      <x:c r="K484" s="373"/>
      <x:c r="L484" s="373"/>
      <x:c r="M484" s="373"/>
      <x:c r="N484" s="373"/>
      <x:c r="O484" s="373"/>
      <x:c r="P484" s="373"/>
      <x:c r="Q484" s="373"/>
      <x:c r="R484" s="373"/>
      <x:c r="S484" s="373"/>
      <x:c r="T484" s="373"/>
      <x:c r="U484" s="373"/>
      <x:c r="V484" s="373"/>
      <x:c r="W484" s="373"/>
      <x:c r="X484" s="373"/>
      <x:c r="Y484" s="373"/>
      <x:c r="Z484" s="373"/>
    </x:row>
    <x:row r="485">
      <x:c r="A485" s="373"/>
      <x:c r="B485" s="373"/>
      <x:c r="C485" s="373"/>
      <x:c r="D485" s="373"/>
      <x:c r="E485" s="373"/>
      <x:c r="F485" s="373"/>
      <x:c r="G485" s="373"/>
      <x:c r="H485" s="373"/>
      <x:c r="I485" s="373"/>
      <x:c r="J485" s="373"/>
      <x:c r="K485" s="373"/>
      <x:c r="L485" s="373"/>
      <x:c r="M485" s="373"/>
      <x:c r="N485" s="373"/>
      <x:c r="O485" s="373"/>
      <x:c r="P485" s="373"/>
      <x:c r="Q485" s="373"/>
      <x:c r="R485" s="373"/>
      <x:c r="S485" s="373"/>
      <x:c r="T485" s="373"/>
      <x:c r="U485" s="373"/>
      <x:c r="V485" s="373"/>
      <x:c r="W485" s="373"/>
      <x:c r="X485" s="373"/>
      <x:c r="Y485" s="373"/>
      <x:c r="Z485" s="373"/>
    </x:row>
    <x:row r="486">
      <x:c r="A486" s="373"/>
      <x:c r="B486" s="373"/>
      <x:c r="C486" s="373"/>
      <x:c r="D486" s="373"/>
      <x:c r="E486" s="373"/>
      <x:c r="F486" s="373"/>
      <x:c r="G486" s="373"/>
      <x:c r="H486" s="373"/>
      <x:c r="I486" s="373"/>
      <x:c r="J486" s="373"/>
      <x:c r="K486" s="373"/>
      <x:c r="L486" s="373"/>
      <x:c r="M486" s="373"/>
      <x:c r="N486" s="373"/>
      <x:c r="O486" s="373"/>
      <x:c r="P486" s="373"/>
      <x:c r="Q486" s="373"/>
      <x:c r="R486" s="373"/>
      <x:c r="S486" s="373"/>
      <x:c r="T486" s="373"/>
      <x:c r="U486" s="373"/>
      <x:c r="V486" s="373"/>
      <x:c r="W486" s="373"/>
      <x:c r="X486" s="373"/>
      <x:c r="Y486" s="373"/>
      <x:c r="Z486" s="373"/>
    </x:row>
    <x:row r="487">
      <x:c r="A487" s="373"/>
      <x:c r="B487" s="373"/>
      <x:c r="C487" s="373"/>
      <x:c r="D487" s="373"/>
      <x:c r="E487" s="373"/>
      <x:c r="F487" s="373"/>
      <x:c r="G487" s="373"/>
      <x:c r="H487" s="373"/>
      <x:c r="I487" s="373"/>
      <x:c r="J487" s="373"/>
      <x:c r="K487" s="373"/>
      <x:c r="L487" s="373"/>
      <x:c r="M487" s="373"/>
      <x:c r="N487" s="373"/>
      <x:c r="O487" s="373"/>
      <x:c r="P487" s="373"/>
      <x:c r="Q487" s="373"/>
      <x:c r="R487" s="373"/>
      <x:c r="S487" s="373"/>
      <x:c r="T487" s="373"/>
      <x:c r="U487" s="373"/>
      <x:c r="V487" s="373"/>
      <x:c r="W487" s="373"/>
      <x:c r="X487" s="373"/>
      <x:c r="Y487" s="373"/>
      <x:c r="Z487" s="373"/>
    </x:row>
    <x:row r="488">
      <x:c r="A488" s="373"/>
      <x:c r="B488" s="373"/>
      <x:c r="C488" s="373"/>
      <x:c r="D488" s="373"/>
      <x:c r="E488" s="373"/>
      <x:c r="F488" s="373"/>
      <x:c r="G488" s="373"/>
      <x:c r="H488" s="373"/>
      <x:c r="I488" s="373"/>
      <x:c r="J488" s="373"/>
      <x:c r="K488" s="373"/>
      <x:c r="L488" s="373"/>
      <x:c r="M488" s="373"/>
      <x:c r="N488" s="373"/>
      <x:c r="O488" s="373"/>
      <x:c r="P488" s="373"/>
      <x:c r="Q488" s="373"/>
      <x:c r="R488" s="373"/>
      <x:c r="S488" s="373"/>
      <x:c r="T488" s="373"/>
      <x:c r="U488" s="373"/>
      <x:c r="V488" s="373"/>
      <x:c r="W488" s="373"/>
      <x:c r="X488" s="373"/>
      <x:c r="Y488" s="373"/>
      <x:c r="Z488" s="373"/>
    </x:row>
    <x:row r="489">
      <x:c r="A489" s="373"/>
      <x:c r="B489" s="373"/>
      <x:c r="C489" s="373"/>
      <x:c r="D489" s="373"/>
      <x:c r="E489" s="373"/>
      <x:c r="F489" s="373"/>
      <x:c r="G489" s="373"/>
      <x:c r="H489" s="373"/>
      <x:c r="I489" s="373"/>
      <x:c r="J489" s="373"/>
      <x:c r="K489" s="373"/>
      <x:c r="L489" s="373"/>
      <x:c r="M489" s="373"/>
      <x:c r="N489" s="373"/>
      <x:c r="O489" s="373"/>
      <x:c r="P489" s="373"/>
      <x:c r="Q489" s="373"/>
      <x:c r="R489" s="373"/>
      <x:c r="S489" s="373"/>
      <x:c r="T489" s="373"/>
      <x:c r="U489" s="373"/>
      <x:c r="V489" s="373"/>
      <x:c r="W489" s="373"/>
      <x:c r="X489" s="373"/>
      <x:c r="Y489" s="373"/>
      <x:c r="Z489" s="373"/>
    </x:row>
    <x:row r="490">
      <x:c r="A490" s="373"/>
      <x:c r="B490" s="373"/>
      <x:c r="C490" s="373"/>
      <x:c r="D490" s="373"/>
      <x:c r="E490" s="373"/>
      <x:c r="F490" s="373"/>
      <x:c r="G490" s="373"/>
      <x:c r="H490" s="373"/>
      <x:c r="I490" s="373"/>
      <x:c r="J490" s="373"/>
      <x:c r="K490" s="373"/>
      <x:c r="L490" s="373"/>
      <x:c r="M490" s="373"/>
      <x:c r="N490" s="373"/>
      <x:c r="O490" s="373"/>
      <x:c r="P490" s="373"/>
      <x:c r="Q490" s="373"/>
      <x:c r="R490" s="373"/>
      <x:c r="S490" s="373"/>
      <x:c r="T490" s="373"/>
      <x:c r="U490" s="373"/>
      <x:c r="V490" s="373"/>
      <x:c r="W490" s="373"/>
      <x:c r="X490" s="373"/>
      <x:c r="Y490" s="373"/>
      <x:c r="Z490" s="373"/>
    </x:row>
    <x:row r="491">
      <x:c r="A491" s="373"/>
      <x:c r="B491" s="373"/>
      <x:c r="C491" s="373"/>
      <x:c r="D491" s="373"/>
      <x:c r="E491" s="373"/>
      <x:c r="F491" s="373"/>
      <x:c r="G491" s="373"/>
      <x:c r="H491" s="373"/>
      <x:c r="I491" s="373"/>
      <x:c r="J491" s="373"/>
      <x:c r="K491" s="373"/>
      <x:c r="L491" s="373"/>
      <x:c r="M491" s="373"/>
      <x:c r="N491" s="373"/>
      <x:c r="O491" s="373"/>
      <x:c r="P491" s="373"/>
      <x:c r="Q491" s="373"/>
      <x:c r="R491" s="373"/>
      <x:c r="S491" s="373"/>
      <x:c r="T491" s="373"/>
      <x:c r="U491" s="373"/>
      <x:c r="V491" s="373"/>
      <x:c r="W491" s="373"/>
      <x:c r="X491" s="373"/>
      <x:c r="Y491" s="373"/>
      <x:c r="Z491" s="373"/>
    </x:row>
    <x:row r="492">
      <x:c r="A492" s="373"/>
      <x:c r="B492" s="373"/>
      <x:c r="C492" s="373"/>
      <x:c r="D492" s="373"/>
      <x:c r="E492" s="373"/>
      <x:c r="F492" s="373"/>
      <x:c r="G492" s="373"/>
      <x:c r="H492" s="373"/>
      <x:c r="I492" s="373"/>
      <x:c r="J492" s="373"/>
      <x:c r="K492" s="373"/>
      <x:c r="L492" s="373"/>
      <x:c r="M492" s="373"/>
      <x:c r="N492" s="373"/>
      <x:c r="O492" s="373"/>
      <x:c r="P492" s="373"/>
      <x:c r="Q492" s="373"/>
      <x:c r="R492" s="373"/>
      <x:c r="S492" s="373"/>
      <x:c r="T492" s="373"/>
      <x:c r="U492" s="373"/>
      <x:c r="V492" s="373"/>
      <x:c r="W492" s="373"/>
      <x:c r="X492" s="373"/>
      <x:c r="Y492" s="373"/>
      <x:c r="Z492" s="373"/>
    </x:row>
    <x:row r="493">
      <x:c r="A493" s="373"/>
      <x:c r="B493" s="373"/>
      <x:c r="C493" s="373"/>
      <x:c r="D493" s="373"/>
      <x:c r="E493" s="373"/>
      <x:c r="F493" s="373"/>
      <x:c r="G493" s="373"/>
      <x:c r="H493" s="373"/>
      <x:c r="I493" s="373"/>
      <x:c r="J493" s="373"/>
      <x:c r="K493" s="373"/>
      <x:c r="L493" s="373"/>
      <x:c r="M493" s="373"/>
      <x:c r="N493" s="373"/>
      <x:c r="O493" s="373"/>
      <x:c r="P493" s="373"/>
      <x:c r="Q493" s="373"/>
      <x:c r="R493" s="373"/>
      <x:c r="S493" s="373"/>
      <x:c r="T493" s="373"/>
      <x:c r="U493" s="373"/>
      <x:c r="V493" s="373"/>
      <x:c r="W493" s="373"/>
      <x:c r="X493" s="373"/>
      <x:c r="Y493" s="373"/>
      <x:c r="Z493" s="373"/>
    </x:row>
    <x:row r="494">
      <x:c r="A494" s="373"/>
      <x:c r="B494" s="373"/>
      <x:c r="C494" s="373"/>
      <x:c r="D494" s="373"/>
      <x:c r="E494" s="373"/>
      <x:c r="F494" s="373"/>
      <x:c r="G494" s="373"/>
      <x:c r="H494" s="373"/>
      <x:c r="I494" s="373"/>
      <x:c r="J494" s="373"/>
      <x:c r="K494" s="373"/>
      <x:c r="L494" s="373"/>
      <x:c r="M494" s="373"/>
      <x:c r="N494" s="373"/>
      <x:c r="O494" s="373"/>
      <x:c r="P494" s="373"/>
      <x:c r="Q494" s="373"/>
      <x:c r="R494" s="373"/>
      <x:c r="S494" s="373"/>
      <x:c r="T494" s="373"/>
      <x:c r="U494" s="373"/>
      <x:c r="V494" s="373"/>
      <x:c r="W494" s="373"/>
      <x:c r="X494" s="373"/>
      <x:c r="Y494" s="373"/>
      <x:c r="Z494" s="373"/>
    </x:row>
    <x:row r="495">
      <x:c r="A495" s="373"/>
      <x:c r="B495" s="373"/>
      <x:c r="C495" s="373"/>
      <x:c r="D495" s="373"/>
      <x:c r="E495" s="373"/>
      <x:c r="F495" s="373"/>
      <x:c r="G495" s="373"/>
      <x:c r="H495" s="373"/>
      <x:c r="I495" s="373"/>
      <x:c r="J495" s="373"/>
      <x:c r="K495" s="373"/>
      <x:c r="L495" s="373"/>
      <x:c r="M495" s="373"/>
      <x:c r="N495" s="373"/>
      <x:c r="O495" s="373"/>
      <x:c r="P495" s="373"/>
      <x:c r="Q495" s="373"/>
      <x:c r="R495" s="373"/>
      <x:c r="S495" s="373"/>
      <x:c r="T495" s="373"/>
      <x:c r="U495" s="373"/>
      <x:c r="V495" s="373"/>
      <x:c r="W495" s="373"/>
      <x:c r="X495" s="373"/>
      <x:c r="Y495" s="373"/>
      <x:c r="Z495" s="373"/>
    </x:row>
    <x:row r="496">
      <x:c r="A496" s="373"/>
      <x:c r="B496" s="373"/>
      <x:c r="C496" s="373"/>
      <x:c r="D496" s="373"/>
      <x:c r="E496" s="373"/>
      <x:c r="F496" s="373"/>
      <x:c r="G496" s="373"/>
      <x:c r="H496" s="373"/>
      <x:c r="I496" s="373"/>
      <x:c r="J496" s="373"/>
      <x:c r="K496" s="373"/>
      <x:c r="L496" s="373"/>
      <x:c r="M496" s="373"/>
      <x:c r="N496" s="373"/>
      <x:c r="O496" s="373"/>
      <x:c r="P496" s="373"/>
      <x:c r="Q496" s="373"/>
      <x:c r="R496" s="373"/>
      <x:c r="S496" s="373"/>
      <x:c r="T496" s="373"/>
      <x:c r="U496" s="373"/>
      <x:c r="V496" s="373"/>
      <x:c r="W496" s="373"/>
      <x:c r="X496" s="373"/>
      <x:c r="Y496" s="373"/>
      <x:c r="Z496" s="373"/>
    </x:row>
    <x:row r="497">
      <x:c r="A497" s="373"/>
      <x:c r="B497" s="373"/>
      <x:c r="C497" s="373"/>
      <x:c r="D497" s="373"/>
      <x:c r="E497" s="373"/>
      <x:c r="F497" s="373"/>
      <x:c r="G497" s="373"/>
      <x:c r="H497" s="373"/>
      <x:c r="I497" s="373"/>
      <x:c r="J497" s="373"/>
      <x:c r="K497" s="373"/>
      <x:c r="L497" s="373"/>
      <x:c r="M497" s="373"/>
      <x:c r="N497" s="373"/>
      <x:c r="O497" s="373"/>
      <x:c r="P497" s="373"/>
      <x:c r="Q497" s="373"/>
      <x:c r="R497" s="373"/>
      <x:c r="S497" s="373"/>
      <x:c r="T497" s="373"/>
      <x:c r="U497" s="373"/>
      <x:c r="V497" s="373"/>
      <x:c r="W497" s="373"/>
      <x:c r="X497" s="373"/>
      <x:c r="Y497" s="373"/>
      <x:c r="Z497" s="373"/>
    </x:row>
    <x:row r="498">
      <x:c r="A498" s="373"/>
      <x:c r="B498" s="373"/>
      <x:c r="C498" s="373"/>
      <x:c r="D498" s="373"/>
      <x:c r="E498" s="373"/>
      <x:c r="F498" s="373"/>
      <x:c r="G498" s="373"/>
      <x:c r="H498" s="373"/>
      <x:c r="I498" s="373"/>
      <x:c r="J498" s="373"/>
      <x:c r="K498" s="373"/>
      <x:c r="L498" s="373"/>
      <x:c r="M498" s="373"/>
      <x:c r="N498" s="373"/>
      <x:c r="O498" s="373"/>
      <x:c r="P498" s="373"/>
      <x:c r="Q498" s="373"/>
      <x:c r="R498" s="373"/>
      <x:c r="S498" s="373"/>
      <x:c r="T498" s="373"/>
      <x:c r="U498" s="373"/>
      <x:c r="V498" s="373"/>
      <x:c r="W498" s="373"/>
      <x:c r="X498" s="373"/>
      <x:c r="Y498" s="373"/>
      <x:c r="Z498" s="373"/>
    </x:row>
    <x:row r="499">
      <x:c r="A499" s="373"/>
      <x:c r="B499" s="373"/>
      <x:c r="C499" s="373"/>
      <x:c r="D499" s="373"/>
      <x:c r="E499" s="373"/>
      <x:c r="F499" s="373"/>
      <x:c r="G499" s="373"/>
      <x:c r="H499" s="373"/>
      <x:c r="I499" s="373"/>
      <x:c r="J499" s="373"/>
      <x:c r="K499" s="373"/>
      <x:c r="L499" s="373"/>
      <x:c r="M499" s="373"/>
      <x:c r="N499" s="373"/>
      <x:c r="O499" s="373"/>
      <x:c r="P499" s="373"/>
      <x:c r="Q499" s="373"/>
      <x:c r="R499" s="373"/>
      <x:c r="S499" s="373"/>
      <x:c r="T499" s="373"/>
      <x:c r="U499" s="373"/>
      <x:c r="V499" s="373"/>
      <x:c r="W499" s="373"/>
      <x:c r="X499" s="373"/>
      <x:c r="Y499" s="373"/>
      <x:c r="Z499" s="373"/>
    </x:row>
    <x:row r="500">
      <x:c r="A500" s="373"/>
      <x:c r="B500" s="373"/>
      <x:c r="C500" s="373"/>
      <x:c r="D500" s="373"/>
      <x:c r="E500" s="373"/>
      <x:c r="F500" s="373"/>
      <x:c r="G500" s="373"/>
      <x:c r="H500" s="373"/>
      <x:c r="I500" s="373"/>
      <x:c r="J500" s="373"/>
      <x:c r="K500" s="373"/>
      <x:c r="L500" s="373"/>
      <x:c r="M500" s="373"/>
      <x:c r="N500" s="373"/>
      <x:c r="O500" s="373"/>
      <x:c r="P500" s="373"/>
      <x:c r="Q500" s="373"/>
      <x:c r="R500" s="373"/>
      <x:c r="S500" s="373"/>
      <x:c r="T500" s="373"/>
      <x:c r="U500" s="373"/>
      <x:c r="V500" s="373"/>
      <x:c r="W500" s="373"/>
      <x:c r="X500" s="373"/>
      <x:c r="Y500" s="373"/>
      <x:c r="Z500" s="373"/>
    </x:row>
  </x:sheetData>
  <x:mergeCells>
    <x:mergeCell ref="A1:R1"/>
    <x:mergeCell ref="A2:R2"/>
  </x:mergeCells>
  <x:conditionalFormatting sqref="R5:R18">
    <x:cfRule type="dataBar" priority="1">
      <x:dataBar>
        <x:cfvo type="min"/>
        <x:cfvo type="max"/>
        <x:color rgb="FF0F766E"/>
      </x:dataBar>
      <x:extLst>
        <x:ext xmlns:x14="http://schemas.microsoft.com/office/spreadsheetml/2009/9/main" uri="{B025F937-C7B1-47D3-B67F-A62EFF666E3E}">
          <x14:id>{7FF69AD9-0149-B55C-8426-BEF5E80CC908}</x14:id>
        </x:ext>
      </x:extLst>
    </x:cfRule>
  </x:conditionalFormatting>
  <x:pageMargins left="0.7" right="0.7" top="0.75" bottom="0.75" header="0.3" footer="0.3"/>
  <x:tableParts count="1">
    <x:tablePart xmlns:r="http://schemas.openxmlformats.org/officeDocument/2006/relationships" r:id="R31d23ed894b142fa"/>
  </x:tableParts>
  <x:extLst>
    <x:ext xmlns:x14="http://schemas.microsoft.com/office/spreadsheetml/2009/9/main" xmlns:xm="http://schemas.microsoft.com/office/excel/2006/main" uri="{78C0D931-6437-407d-A8EE-F0AAD7539E65}">
      <x14:conditionalFormattings>
        <x14:conditionalFormatting>
          <x14:cfRule type="dataBar" priority="1" id="{7FF69AD9-0149-B55C-8426-BEF5E80CC908}">
            <x14:dataBar gradient="1">
              <x14:cfvo type="min"/>
              <x14:cfvo type="max"/>
              <x14:fillColor rgb="FF0F766E"/>
            </x14:dataBar>
          </x14:cfRule>
          <xm:sqref>R5:R18</xm:sqref>
        </x14:conditionalFormatting>
      </x14:conditionalFormattings>
    </x:ext>
  </x:extLst>
</x:worksheet>
</file>

<file path=xl/worksheets/sheet12.xml><?xml version="1.0" encoding="utf-8"?>
<x:worksheet xmlns:x="http://schemas.openxmlformats.org/spreadsheetml/2006/main">
  <x:sheetFormatPr defaultRowHeight="15"/>
  <x:cols>
    <x:col min="1" max="1" width="14" hidden="0" customWidth="1"/>
    <x:col min="2" max="2" width="12" hidden="0" customWidth="1"/>
    <x:col min="3" max="3" width="10" hidden="0" customWidth="1"/>
    <x:col min="4" max="4" width="15" hidden="0" customWidth="1"/>
    <x:col min="5" max="5" width="14" hidden="0" customWidth="1"/>
    <x:col min="6" max="6" width="18" hidden="0" customWidth="1"/>
    <x:col min="7" max="7" width="36" hidden="0" customWidth="1"/>
    <x:col min="8" max="8" width="44" hidden="0" customWidth="1"/>
    <x:col min="9" max="9" width="48" hidden="0" customWidth="1"/>
    <x:col min="10" max="10" width="16" hidden="0" customWidth="1"/>
    <x:col min="11" max="11" width="14" hidden="0" customWidth="1"/>
    <x:col min="12" max="12" width="22" hidden="0" customWidth="1"/>
  </x:cols>
  <x:sheetData>
    <x:row r="1" ht="32" customHeight="1">
      <x:c r="A1" s="486" t="str">
        <x:v>Evidence Register</x:v>
      </x:c>
      <x:c r="B1" s="486"/>
      <x:c r="C1" s="486"/>
      <x:c r="D1" s="486"/>
      <x:c r="E1" s="486"/>
      <x:c r="F1" s="486"/>
      <x:c r="G1" s="486"/>
      <x:c r="H1" s="486"/>
      <x:c r="I1" s="486"/>
      <x:c r="J1" s="486"/>
      <x:c r="K1" s="486"/>
      <x:c r="L1" s="486"/>
      <x:c r="M1" s="373"/>
      <x:c r="N1" s="373"/>
      <x:c r="O1" s="373"/>
      <x:c r="P1" s="373"/>
      <x:c r="Q1" s="373"/>
      <x:c r="R1" s="373"/>
      <x:c r="S1" s="373"/>
      <x:c r="T1" s="373"/>
      <x:c r="U1" s="373"/>
      <x:c r="V1" s="373"/>
      <x:c r="W1" s="373"/>
      <x:c r="X1" s="373"/>
      <x:c r="Y1" s="373"/>
      <x:c r="Z1" s="373"/>
    </x:row>
    <x:row r="2" ht="22" customHeight="1">
      <x:c r="A2" s="374" t="str">
        <x:v>Link every meaningful claim to logs, plots, reports, screenshots, bags, commits, or reproducible commands.</x:v>
      </x:c>
      <x:c r="B2" s="374"/>
      <x:c r="C2" s="374"/>
      <x:c r="D2" s="374"/>
      <x:c r="E2" s="374"/>
      <x:c r="F2" s="374"/>
      <x:c r="G2" s="374"/>
      <x:c r="H2" s="374"/>
      <x:c r="I2" s="374"/>
      <x:c r="J2" s="374"/>
      <x:c r="K2" s="374"/>
      <x:c r="L2" s="374"/>
      <x:c r="M2" s="373"/>
      <x:c r="N2" s="373"/>
      <x:c r="O2" s="373"/>
      <x:c r="P2" s="373"/>
      <x:c r="Q2" s="373"/>
      <x:c r="R2" s="373"/>
      <x:c r="S2" s="373"/>
      <x:c r="T2" s="373"/>
      <x:c r="U2" s="373"/>
      <x:c r="V2" s="373"/>
      <x:c r="W2" s="373"/>
      <x:c r="X2" s="373"/>
      <x:c r="Y2" s="373"/>
      <x:c r="Z2" s="373"/>
    </x:row>
    <x:row r="3">
      <x:c r="A3" s="373"/>
      <x:c r="B3" s="373"/>
      <x:c r="C3" s="373"/>
      <x:c r="D3" s="373"/>
      <x:c r="E3" s="373"/>
      <x:c r="F3" s="373"/>
      <x:c r="G3" s="373"/>
      <x:c r="H3" s="373"/>
      <x:c r="I3" s="373"/>
      <x:c r="J3" s="373"/>
      <x:c r="K3" s="373"/>
      <x:c r="L3" s="373"/>
      <x:c r="M3" s="373"/>
      <x:c r="N3" s="373"/>
      <x:c r="O3" s="373"/>
      <x:c r="P3" s="373"/>
      <x:c r="Q3" s="373"/>
      <x:c r="R3" s="373"/>
      <x:c r="S3" s="373"/>
      <x:c r="T3" s="373"/>
      <x:c r="U3" s="373"/>
      <x:c r="V3" s="373"/>
      <x:c r="W3" s="373"/>
      <x:c r="X3" s="373"/>
      <x:c r="Y3" s="373"/>
      <x:c r="Z3" s="373"/>
    </x:row>
    <x:row r="4">
      <x:c r="A4" s="409" t="str">
        <x:v>Evidence ID</x:v>
      </x:c>
      <x:c r="B4" s="413" t="str">
        <x:v>Date</x:v>
      </x:c>
      <x:c r="C4" s="413" t="str">
        <x:v>Release</x:v>
      </x:c>
      <x:c r="D4" s="413" t="str">
        <x:v>Linked Type</x:v>
      </x:c>
      <x:c r="E4" s="413" t="str">
        <x:v>Linked ID</x:v>
      </x:c>
      <x:c r="F4" s="413" t="str">
        <x:v>Evidence Type</x:v>
      </x:c>
      <x:c r="G4" s="413" t="str">
        <x:v>Title</x:v>
      </x:c>
      <x:c r="H4" s="413" t="str">
        <x:v>Path / URL</x:v>
      </x:c>
      <x:c r="I4" s="413" t="str">
        <x:v>Description</x:v>
      </x:c>
      <x:c r="J4" s="413" t="str">
        <x:v>Commit SHA</x:v>
      </x:c>
      <x:c r="K4" s="413" t="str">
        <x:v>Verified By</x:v>
      </x:c>
      <x:c r="L4" s="410" t="str">
        <x:v>JS Key</x:v>
      </x:c>
      <x:c r="M4" s="373"/>
      <x:c r="N4" s="373"/>
      <x:c r="O4" s="373"/>
      <x:c r="P4" s="373"/>
      <x:c r="Q4" s="373"/>
      <x:c r="R4" s="373"/>
      <x:c r="S4" s="373"/>
      <x:c r="T4" s="373"/>
      <x:c r="U4" s="373"/>
      <x:c r="V4" s="373"/>
      <x:c r="W4" s="373"/>
      <x:c r="X4" s="373"/>
      <x:c r="Y4" s="373"/>
      <x:c r="Z4" s="373"/>
    </x:row>
    <x:row r="5">
      <x:c r="A5" s="411" t="str"/>
      <x:c r="B5" s="460" t="str"/>
      <x:c r="C5" s="411" t="str"/>
      <x:c r="D5" s="411" t="str"/>
      <x:c r="E5" s="411" t="str"/>
      <x:c r="F5" s="411" t="str"/>
      <x:c r="G5" s="411" t="str"/>
      <x:c r="H5" s="411" t="str"/>
      <x:c r="I5" s="411" t="str"/>
      <x:c r="J5" s="411" t="str"/>
      <x:c r="K5" s="411" t="str"/>
      <x:c r="L5" s="411" t="str"/>
      <x:c r="M5" s="373"/>
      <x:c r="N5" s="373"/>
      <x:c r="O5" s="373"/>
      <x:c r="P5" s="373"/>
      <x:c r="Q5" s="373"/>
      <x:c r="R5" s="373"/>
      <x:c r="S5" s="373"/>
      <x:c r="T5" s="373"/>
      <x:c r="U5" s="373"/>
      <x:c r="V5" s="373"/>
      <x:c r="W5" s="373"/>
      <x:c r="X5" s="373"/>
      <x:c r="Y5" s="373"/>
      <x:c r="Z5" s="373"/>
    </x:row>
    <x:row r="6">
      <x:c r="A6" s="411" t="str"/>
      <x:c r="B6" s="460" t="str"/>
      <x:c r="C6" s="411" t="str"/>
      <x:c r="D6" s="411" t="str"/>
      <x:c r="E6" s="411" t="str"/>
      <x:c r="F6" s="411" t="str"/>
      <x:c r="G6" s="411" t="str"/>
      <x:c r="H6" s="411" t="str"/>
      <x:c r="I6" s="411" t="str"/>
      <x:c r="J6" s="411" t="str"/>
      <x:c r="K6" s="411" t="str"/>
      <x:c r="L6" s="411" t="str"/>
      <x:c r="M6" s="373"/>
      <x:c r="N6" s="373"/>
      <x:c r="O6" s="373"/>
      <x:c r="P6" s="373"/>
      <x:c r="Q6" s="373"/>
      <x:c r="R6" s="373"/>
      <x:c r="S6" s="373"/>
      <x:c r="T6" s="373"/>
      <x:c r="U6" s="373"/>
      <x:c r="V6" s="373"/>
      <x:c r="W6" s="373"/>
      <x:c r="X6" s="373"/>
      <x:c r="Y6" s="373"/>
      <x:c r="Z6" s="373"/>
    </x:row>
    <x:row r="7">
      <x:c r="A7" s="411" t="str"/>
      <x:c r="B7" s="460" t="str"/>
      <x:c r="C7" s="411" t="str"/>
      <x:c r="D7" s="411" t="str"/>
      <x:c r="E7" s="411" t="str"/>
      <x:c r="F7" s="411" t="str"/>
      <x:c r="G7" s="411" t="str"/>
      <x:c r="H7" s="411" t="str"/>
      <x:c r="I7" s="411" t="str"/>
      <x:c r="J7" s="411" t="str"/>
      <x:c r="K7" s="411" t="str"/>
      <x:c r="L7" s="411" t="str"/>
      <x:c r="M7" s="373"/>
      <x:c r="N7" s="373"/>
      <x:c r="O7" s="373"/>
      <x:c r="P7" s="373"/>
      <x:c r="Q7" s="373"/>
      <x:c r="R7" s="373"/>
      <x:c r="S7" s="373"/>
      <x:c r="T7" s="373"/>
      <x:c r="U7" s="373"/>
      <x:c r="V7" s="373"/>
      <x:c r="W7" s="373"/>
      <x:c r="X7" s="373"/>
      <x:c r="Y7" s="373"/>
      <x:c r="Z7" s="373"/>
    </x:row>
    <x:row r="8">
      <x:c r="A8" s="411" t="str"/>
      <x:c r="B8" s="460" t="str"/>
      <x:c r="C8" s="411" t="str"/>
      <x:c r="D8" s="411" t="str"/>
      <x:c r="E8" s="411" t="str"/>
      <x:c r="F8" s="411" t="str"/>
      <x:c r="G8" s="411" t="str"/>
      <x:c r="H8" s="411" t="str"/>
      <x:c r="I8" s="411" t="str"/>
      <x:c r="J8" s="411" t="str"/>
      <x:c r="K8" s="411" t="str"/>
      <x:c r="L8" s="411" t="str"/>
      <x:c r="M8" s="373"/>
      <x:c r="N8" s="373"/>
      <x:c r="O8" s="373"/>
      <x:c r="P8" s="373"/>
      <x:c r="Q8" s="373"/>
      <x:c r="R8" s="373"/>
      <x:c r="S8" s="373"/>
      <x:c r="T8" s="373"/>
      <x:c r="U8" s="373"/>
      <x:c r="V8" s="373"/>
      <x:c r="W8" s="373"/>
      <x:c r="X8" s="373"/>
      <x:c r="Y8" s="373"/>
      <x:c r="Z8" s="373"/>
    </x:row>
    <x:row r="9">
      <x:c r="A9" s="411" t="str"/>
      <x:c r="B9" s="460" t="str"/>
      <x:c r="C9" s="411" t="str"/>
      <x:c r="D9" s="411" t="str"/>
      <x:c r="E9" s="411" t="str"/>
      <x:c r="F9" s="411" t="str"/>
      <x:c r="G9" s="411" t="str"/>
      <x:c r="H9" s="411" t="str"/>
      <x:c r="I9" s="411" t="str"/>
      <x:c r="J9" s="411" t="str"/>
      <x:c r="K9" s="411" t="str"/>
      <x:c r="L9" s="411" t="str"/>
      <x:c r="M9" s="373"/>
      <x:c r="N9" s="373"/>
      <x:c r="O9" s="373"/>
      <x:c r="P9" s="373"/>
      <x:c r="Q9" s="373"/>
      <x:c r="R9" s="373"/>
      <x:c r="S9" s="373"/>
      <x:c r="T9" s="373"/>
      <x:c r="U9" s="373"/>
      <x:c r="V9" s="373"/>
      <x:c r="W9" s="373"/>
      <x:c r="X9" s="373"/>
      <x:c r="Y9" s="373"/>
      <x:c r="Z9" s="373"/>
    </x:row>
    <x:row r="10">
      <x:c r="A10" s="411" t="str"/>
      <x:c r="B10" s="460" t="str"/>
      <x:c r="C10" s="411" t="str"/>
      <x:c r="D10" s="411" t="str"/>
      <x:c r="E10" s="411" t="str"/>
      <x:c r="F10" s="411" t="str"/>
      <x:c r="G10" s="411" t="str"/>
      <x:c r="H10" s="411" t="str"/>
      <x:c r="I10" s="411" t="str"/>
      <x:c r="J10" s="411" t="str"/>
      <x:c r="K10" s="411" t="str"/>
      <x:c r="L10" s="411" t="str"/>
      <x:c r="M10" s="373"/>
      <x:c r="N10" s="373"/>
      <x:c r="O10" s="373"/>
      <x:c r="P10" s="373"/>
      <x:c r="Q10" s="373"/>
      <x:c r="R10" s="373"/>
      <x:c r="S10" s="373"/>
      <x:c r="T10" s="373"/>
      <x:c r="U10" s="373"/>
      <x:c r="V10" s="373"/>
      <x:c r="W10" s="373"/>
      <x:c r="X10" s="373"/>
      <x:c r="Y10" s="373"/>
      <x:c r="Z10" s="373"/>
    </x:row>
    <x:row r="11">
      <x:c r="A11" s="411" t="str"/>
      <x:c r="B11" s="460" t="str"/>
      <x:c r="C11" s="411" t="str"/>
      <x:c r="D11" s="411" t="str"/>
      <x:c r="E11" s="411" t="str"/>
      <x:c r="F11" s="411" t="str"/>
      <x:c r="G11" s="411" t="str"/>
      <x:c r="H11" s="411" t="str"/>
      <x:c r="I11" s="411" t="str"/>
      <x:c r="J11" s="411" t="str"/>
      <x:c r="K11" s="411" t="str"/>
      <x:c r="L11" s="411" t="str"/>
      <x:c r="M11" s="373"/>
      <x:c r="N11" s="373"/>
      <x:c r="O11" s="373"/>
      <x:c r="P11" s="373"/>
      <x:c r="Q11" s="373"/>
      <x:c r="R11" s="373"/>
      <x:c r="S11" s="373"/>
      <x:c r="T11" s="373"/>
      <x:c r="U11" s="373"/>
      <x:c r="V11" s="373"/>
      <x:c r="W11" s="373"/>
      <x:c r="X11" s="373"/>
      <x:c r="Y11" s="373"/>
      <x:c r="Z11" s="373"/>
    </x:row>
    <x:row r="12">
      <x:c r="A12" s="411" t="str"/>
      <x:c r="B12" s="460" t="str"/>
      <x:c r="C12" s="411" t="str"/>
      <x:c r="D12" s="411" t="str"/>
      <x:c r="E12" s="411" t="str"/>
      <x:c r="F12" s="411" t="str"/>
      <x:c r="G12" s="411" t="str"/>
      <x:c r="H12" s="411" t="str"/>
      <x:c r="I12" s="411" t="str"/>
      <x:c r="J12" s="411" t="str"/>
      <x:c r="K12" s="411" t="str"/>
      <x:c r="L12" s="411" t="str"/>
      <x:c r="M12" s="373"/>
      <x:c r="N12" s="373"/>
      <x:c r="O12" s="373"/>
      <x:c r="P12" s="373"/>
      <x:c r="Q12" s="373"/>
      <x:c r="R12" s="373"/>
      <x:c r="S12" s="373"/>
      <x:c r="T12" s="373"/>
      <x:c r="U12" s="373"/>
      <x:c r="V12" s="373"/>
      <x:c r="W12" s="373"/>
      <x:c r="X12" s="373"/>
      <x:c r="Y12" s="373"/>
      <x:c r="Z12" s="373"/>
    </x:row>
    <x:row r="13">
      <x:c r="A13" s="411" t="str"/>
      <x:c r="B13" s="460" t="str"/>
      <x:c r="C13" s="411" t="str"/>
      <x:c r="D13" s="411" t="str"/>
      <x:c r="E13" s="411" t="str"/>
      <x:c r="F13" s="411" t="str"/>
      <x:c r="G13" s="411" t="str"/>
      <x:c r="H13" s="411" t="str"/>
      <x:c r="I13" s="411" t="str"/>
      <x:c r="J13" s="411" t="str"/>
      <x:c r="K13" s="411" t="str"/>
      <x:c r="L13" s="411" t="str"/>
      <x:c r="M13" s="373"/>
      <x:c r="N13" s="373"/>
      <x:c r="O13" s="373"/>
      <x:c r="P13" s="373"/>
      <x:c r="Q13" s="373"/>
      <x:c r="R13" s="373"/>
      <x:c r="S13" s="373"/>
      <x:c r="T13" s="373"/>
      <x:c r="U13" s="373"/>
      <x:c r="V13" s="373"/>
      <x:c r="W13" s="373"/>
      <x:c r="X13" s="373"/>
      <x:c r="Y13" s="373"/>
      <x:c r="Z13" s="373"/>
    </x:row>
    <x:row r="14">
      <x:c r="A14" s="411" t="str"/>
      <x:c r="B14" s="460" t="str"/>
      <x:c r="C14" s="411" t="str"/>
      <x:c r="D14" s="411" t="str"/>
      <x:c r="E14" s="411" t="str"/>
      <x:c r="F14" s="411" t="str"/>
      <x:c r="G14" s="411" t="str"/>
      <x:c r="H14" s="411" t="str"/>
      <x:c r="I14" s="411" t="str"/>
      <x:c r="J14" s="411" t="str"/>
      <x:c r="K14" s="411" t="str"/>
      <x:c r="L14" s="411" t="str"/>
      <x:c r="M14" s="373"/>
      <x:c r="N14" s="373"/>
      <x:c r="O14" s="373"/>
      <x:c r="P14" s="373"/>
      <x:c r="Q14" s="373"/>
      <x:c r="R14" s="373"/>
      <x:c r="S14" s="373"/>
      <x:c r="T14" s="373"/>
      <x:c r="U14" s="373"/>
      <x:c r="V14" s="373"/>
      <x:c r="W14" s="373"/>
      <x:c r="X14" s="373"/>
      <x:c r="Y14" s="373"/>
      <x:c r="Z14" s="373"/>
    </x:row>
    <x:row r="15">
      <x:c r="A15" s="411" t="str"/>
      <x:c r="B15" s="460" t="str"/>
      <x:c r="C15" s="411" t="str"/>
      <x:c r="D15" s="411" t="str"/>
      <x:c r="E15" s="411" t="str"/>
      <x:c r="F15" s="411" t="str"/>
      <x:c r="G15" s="411" t="str"/>
      <x:c r="H15" s="411" t="str"/>
      <x:c r="I15" s="411" t="str"/>
      <x:c r="J15" s="411" t="str"/>
      <x:c r="K15" s="411" t="str"/>
      <x:c r="L15" s="411" t="str"/>
      <x:c r="M15" s="373"/>
      <x:c r="N15" s="373"/>
      <x:c r="O15" s="373"/>
      <x:c r="P15" s="373"/>
      <x:c r="Q15" s="373"/>
      <x:c r="R15" s="373"/>
      <x:c r="S15" s="373"/>
      <x:c r="T15" s="373"/>
      <x:c r="U15" s="373"/>
      <x:c r="V15" s="373"/>
      <x:c r="W15" s="373"/>
      <x:c r="X15" s="373"/>
      <x:c r="Y15" s="373"/>
      <x:c r="Z15" s="373"/>
    </x:row>
    <x:row r="16">
      <x:c r="A16" s="411" t="str"/>
      <x:c r="B16" s="460" t="str"/>
      <x:c r="C16" s="411" t="str"/>
      <x:c r="D16" s="411" t="str"/>
      <x:c r="E16" s="411" t="str"/>
      <x:c r="F16" s="411" t="str"/>
      <x:c r="G16" s="411" t="str"/>
      <x:c r="H16" s="411" t="str"/>
      <x:c r="I16" s="411" t="str"/>
      <x:c r="J16" s="411" t="str"/>
      <x:c r="K16" s="411" t="str"/>
      <x:c r="L16" s="411" t="str"/>
      <x:c r="M16" s="373"/>
      <x:c r="N16" s="373"/>
      <x:c r="O16" s="373"/>
      <x:c r="P16" s="373"/>
      <x:c r="Q16" s="373"/>
      <x:c r="R16" s="373"/>
      <x:c r="S16" s="373"/>
      <x:c r="T16" s="373"/>
      <x:c r="U16" s="373"/>
      <x:c r="V16" s="373"/>
      <x:c r="W16" s="373"/>
      <x:c r="X16" s="373"/>
      <x:c r="Y16" s="373"/>
      <x:c r="Z16" s="373"/>
    </x:row>
    <x:row r="17">
      <x:c r="A17" s="411" t="str"/>
      <x:c r="B17" s="460" t="str"/>
      <x:c r="C17" s="411" t="str"/>
      <x:c r="D17" s="411" t="str"/>
      <x:c r="E17" s="411" t="str"/>
      <x:c r="F17" s="411" t="str"/>
      <x:c r="G17" s="411" t="str"/>
      <x:c r="H17" s="411" t="str"/>
      <x:c r="I17" s="411" t="str"/>
      <x:c r="J17" s="411" t="str"/>
      <x:c r="K17" s="411" t="str"/>
      <x:c r="L17" s="411" t="str"/>
      <x:c r="M17" s="373"/>
      <x:c r="N17" s="373"/>
      <x:c r="O17" s="373"/>
      <x:c r="P17" s="373"/>
      <x:c r="Q17" s="373"/>
      <x:c r="R17" s="373"/>
      <x:c r="S17" s="373"/>
      <x:c r="T17" s="373"/>
      <x:c r="U17" s="373"/>
      <x:c r="V17" s="373"/>
      <x:c r="W17" s="373"/>
      <x:c r="X17" s="373"/>
      <x:c r="Y17" s="373"/>
      <x:c r="Z17" s="373"/>
    </x:row>
    <x:row r="18">
      <x:c r="A18" s="411" t="str"/>
      <x:c r="B18" s="460" t="str"/>
      <x:c r="C18" s="411" t="str"/>
      <x:c r="D18" s="411" t="str"/>
      <x:c r="E18" s="411" t="str"/>
      <x:c r="F18" s="411" t="str"/>
      <x:c r="G18" s="411" t="str"/>
      <x:c r="H18" s="411" t="str"/>
      <x:c r="I18" s="411" t="str"/>
      <x:c r="J18" s="411" t="str"/>
      <x:c r="K18" s="411" t="str"/>
      <x:c r="L18" s="411" t="str"/>
      <x:c r="M18" s="373"/>
      <x:c r="N18" s="373"/>
      <x:c r="O18" s="373"/>
      <x:c r="P18" s="373"/>
      <x:c r="Q18" s="373"/>
      <x:c r="R18" s="373"/>
      <x:c r="S18" s="373"/>
      <x:c r="T18" s="373"/>
      <x:c r="U18" s="373"/>
      <x:c r="V18" s="373"/>
      <x:c r="W18" s="373"/>
      <x:c r="X18" s="373"/>
      <x:c r="Y18" s="373"/>
      <x:c r="Z18" s="373"/>
    </x:row>
    <x:row r="19">
      <x:c r="A19" s="411" t="str"/>
      <x:c r="B19" s="460" t="str"/>
      <x:c r="C19" s="411" t="str"/>
      <x:c r="D19" s="411" t="str"/>
      <x:c r="E19" s="411" t="str"/>
      <x:c r="F19" s="411" t="str"/>
      <x:c r="G19" s="411" t="str"/>
      <x:c r="H19" s="411" t="str"/>
      <x:c r="I19" s="411" t="str"/>
      <x:c r="J19" s="411" t="str"/>
      <x:c r="K19" s="411" t="str"/>
      <x:c r="L19" s="411" t="str"/>
      <x:c r="M19" s="373"/>
      <x:c r="N19" s="373"/>
      <x:c r="O19" s="373"/>
      <x:c r="P19" s="373"/>
      <x:c r="Q19" s="373"/>
      <x:c r="R19" s="373"/>
      <x:c r="S19" s="373"/>
      <x:c r="T19" s="373"/>
      <x:c r="U19" s="373"/>
      <x:c r="V19" s="373"/>
      <x:c r="W19" s="373"/>
      <x:c r="X19" s="373"/>
      <x:c r="Y19" s="373"/>
      <x:c r="Z19" s="373"/>
    </x:row>
    <x:row r="20">
      <x:c r="A20" s="411" t="str"/>
      <x:c r="B20" s="460" t="str"/>
      <x:c r="C20" s="411" t="str"/>
      <x:c r="D20" s="411" t="str"/>
      <x:c r="E20" s="411" t="str"/>
      <x:c r="F20" s="411" t="str"/>
      <x:c r="G20" s="411" t="str"/>
      <x:c r="H20" s="411" t="str"/>
      <x:c r="I20" s="411" t="str"/>
      <x:c r="J20" s="411" t="str"/>
      <x:c r="K20" s="411" t="str"/>
      <x:c r="L20" s="411" t="str"/>
      <x:c r="M20" s="373"/>
      <x:c r="N20" s="373"/>
      <x:c r="O20" s="373"/>
      <x:c r="P20" s="373"/>
      <x:c r="Q20" s="373"/>
      <x:c r="R20" s="373"/>
      <x:c r="S20" s="373"/>
      <x:c r="T20" s="373"/>
      <x:c r="U20" s="373"/>
      <x:c r="V20" s="373"/>
      <x:c r="W20" s="373"/>
      <x:c r="X20" s="373"/>
      <x:c r="Y20" s="373"/>
      <x:c r="Z20" s="373"/>
    </x:row>
    <x:row r="21">
      <x:c r="A21" s="411" t="str"/>
      <x:c r="B21" s="460" t="str"/>
      <x:c r="C21" s="411" t="str"/>
      <x:c r="D21" s="411" t="str"/>
      <x:c r="E21" s="411" t="str"/>
      <x:c r="F21" s="411" t="str"/>
      <x:c r="G21" s="411" t="str"/>
      <x:c r="H21" s="411" t="str"/>
      <x:c r="I21" s="411" t="str"/>
      <x:c r="J21" s="411" t="str"/>
      <x:c r="K21" s="411" t="str"/>
      <x:c r="L21" s="411" t="str"/>
      <x:c r="M21" s="373"/>
      <x:c r="N21" s="373"/>
      <x:c r="O21" s="373"/>
      <x:c r="P21" s="373"/>
      <x:c r="Q21" s="373"/>
      <x:c r="R21" s="373"/>
      <x:c r="S21" s="373"/>
      <x:c r="T21" s="373"/>
      <x:c r="U21" s="373"/>
      <x:c r="V21" s="373"/>
      <x:c r="W21" s="373"/>
      <x:c r="X21" s="373"/>
      <x:c r="Y21" s="373"/>
      <x:c r="Z21" s="373"/>
    </x:row>
    <x:row r="22">
      <x:c r="A22" s="411" t="str"/>
      <x:c r="B22" s="460" t="str"/>
      <x:c r="C22" s="411" t="str"/>
      <x:c r="D22" s="411" t="str"/>
      <x:c r="E22" s="411" t="str"/>
      <x:c r="F22" s="411" t="str"/>
      <x:c r="G22" s="411" t="str"/>
      <x:c r="H22" s="411" t="str"/>
      <x:c r="I22" s="411" t="str"/>
      <x:c r="J22" s="411" t="str"/>
      <x:c r="K22" s="411" t="str"/>
      <x:c r="L22" s="411" t="str"/>
      <x:c r="M22" s="373"/>
      <x:c r="N22" s="373"/>
      <x:c r="O22" s="373"/>
      <x:c r="P22" s="373"/>
      <x:c r="Q22" s="373"/>
      <x:c r="R22" s="373"/>
      <x:c r="S22" s="373"/>
      <x:c r="T22" s="373"/>
      <x:c r="U22" s="373"/>
      <x:c r="V22" s="373"/>
      <x:c r="W22" s="373"/>
      <x:c r="X22" s="373"/>
      <x:c r="Y22" s="373"/>
      <x:c r="Z22" s="373"/>
    </x:row>
    <x:row r="23">
      <x:c r="A23" s="411" t="str"/>
      <x:c r="B23" s="460" t="str"/>
      <x:c r="C23" s="411" t="str"/>
      <x:c r="D23" s="411" t="str"/>
      <x:c r="E23" s="411" t="str"/>
      <x:c r="F23" s="411" t="str"/>
      <x:c r="G23" s="411" t="str"/>
      <x:c r="H23" s="411" t="str"/>
      <x:c r="I23" s="411" t="str"/>
      <x:c r="J23" s="411" t="str"/>
      <x:c r="K23" s="411" t="str"/>
      <x:c r="L23" s="411" t="str"/>
      <x:c r="M23" s="373"/>
      <x:c r="N23" s="373"/>
      <x:c r="O23" s="373"/>
      <x:c r="P23" s="373"/>
      <x:c r="Q23" s="373"/>
      <x:c r="R23" s="373"/>
      <x:c r="S23" s="373"/>
      <x:c r="T23" s="373"/>
      <x:c r="U23" s="373"/>
      <x:c r="V23" s="373"/>
      <x:c r="W23" s="373"/>
      <x:c r="X23" s="373"/>
      <x:c r="Y23" s="373"/>
      <x:c r="Z23" s="373"/>
    </x:row>
    <x:row r="24">
      <x:c r="A24" s="411" t="str"/>
      <x:c r="B24" s="460" t="str"/>
      <x:c r="C24" s="411" t="str"/>
      <x:c r="D24" s="411" t="str"/>
      <x:c r="E24" s="411" t="str"/>
      <x:c r="F24" s="411" t="str"/>
      <x:c r="G24" s="411" t="str"/>
      <x:c r="H24" s="411" t="str"/>
      <x:c r="I24" s="411" t="str"/>
      <x:c r="J24" s="411" t="str"/>
      <x:c r="K24" s="411" t="str"/>
      <x:c r="L24" s="411" t="str"/>
      <x:c r="M24" s="373"/>
      <x:c r="N24" s="373"/>
      <x:c r="O24" s="373"/>
      <x:c r="P24" s="373"/>
      <x:c r="Q24" s="373"/>
      <x:c r="R24" s="373"/>
      <x:c r="S24" s="373"/>
      <x:c r="T24" s="373"/>
      <x:c r="U24" s="373"/>
      <x:c r="V24" s="373"/>
      <x:c r="W24" s="373"/>
      <x:c r="X24" s="373"/>
      <x:c r="Y24" s="373"/>
      <x:c r="Z24" s="373"/>
    </x:row>
    <x:row r="25">
      <x:c r="A25" s="411" t="str"/>
      <x:c r="B25" s="460" t="str"/>
      <x:c r="C25" s="411" t="str"/>
      <x:c r="D25" s="411" t="str"/>
      <x:c r="E25" s="411" t="str"/>
      <x:c r="F25" s="411" t="str"/>
      <x:c r="G25" s="411" t="str"/>
      <x:c r="H25" s="411" t="str"/>
      <x:c r="I25" s="411" t="str"/>
      <x:c r="J25" s="411" t="str"/>
      <x:c r="K25" s="411" t="str"/>
      <x:c r="L25" s="411" t="str"/>
      <x:c r="M25" s="373"/>
      <x:c r="N25" s="373"/>
      <x:c r="O25" s="373"/>
      <x:c r="P25" s="373"/>
      <x:c r="Q25" s="373"/>
      <x:c r="R25" s="373"/>
      <x:c r="S25" s="373"/>
      <x:c r="T25" s="373"/>
      <x:c r="U25" s="373"/>
      <x:c r="V25" s="373"/>
      <x:c r="W25" s="373"/>
      <x:c r="X25" s="373"/>
      <x:c r="Y25" s="373"/>
      <x:c r="Z25" s="373"/>
    </x:row>
    <x:row r="26">
      <x:c r="A26" s="411" t="str"/>
      <x:c r="B26" s="460" t="str"/>
      <x:c r="C26" s="411" t="str"/>
      <x:c r="D26" s="411" t="str"/>
      <x:c r="E26" s="411" t="str"/>
      <x:c r="F26" s="411" t="str"/>
      <x:c r="G26" s="411" t="str"/>
      <x:c r="H26" s="411" t="str"/>
      <x:c r="I26" s="411" t="str"/>
      <x:c r="J26" s="411" t="str"/>
      <x:c r="K26" s="411" t="str"/>
      <x:c r="L26" s="411" t="str"/>
      <x:c r="M26" s="373"/>
      <x:c r="N26" s="373"/>
      <x:c r="O26" s="373"/>
      <x:c r="P26" s="373"/>
      <x:c r="Q26" s="373"/>
      <x:c r="R26" s="373"/>
      <x:c r="S26" s="373"/>
      <x:c r="T26" s="373"/>
      <x:c r="U26" s="373"/>
      <x:c r="V26" s="373"/>
      <x:c r="W26" s="373"/>
      <x:c r="X26" s="373"/>
      <x:c r="Y26" s="373"/>
      <x:c r="Z26" s="373"/>
    </x:row>
    <x:row r="27">
      <x:c r="A27" s="411" t="str"/>
      <x:c r="B27" s="460" t="str"/>
      <x:c r="C27" s="411" t="str"/>
      <x:c r="D27" s="411" t="str"/>
      <x:c r="E27" s="411" t="str"/>
      <x:c r="F27" s="411" t="str"/>
      <x:c r="G27" s="411" t="str"/>
      <x:c r="H27" s="411" t="str"/>
      <x:c r="I27" s="411" t="str"/>
      <x:c r="J27" s="411" t="str"/>
      <x:c r="K27" s="411" t="str"/>
      <x:c r="L27" s="411" t="str"/>
      <x:c r="M27" s="373"/>
      <x:c r="N27" s="373"/>
      <x:c r="O27" s="373"/>
      <x:c r="P27" s="373"/>
      <x:c r="Q27" s="373"/>
      <x:c r="R27" s="373"/>
      <x:c r="S27" s="373"/>
      <x:c r="T27" s="373"/>
      <x:c r="U27" s="373"/>
      <x:c r="V27" s="373"/>
      <x:c r="W27" s="373"/>
      <x:c r="X27" s="373"/>
      <x:c r="Y27" s="373"/>
      <x:c r="Z27" s="373"/>
    </x:row>
    <x:row r="28">
      <x:c r="A28" s="411" t="str"/>
      <x:c r="B28" s="460" t="str"/>
      <x:c r="C28" s="411" t="str"/>
      <x:c r="D28" s="411" t="str"/>
      <x:c r="E28" s="411" t="str"/>
      <x:c r="F28" s="411" t="str"/>
      <x:c r="G28" s="411" t="str"/>
      <x:c r="H28" s="411" t="str"/>
      <x:c r="I28" s="411" t="str"/>
      <x:c r="J28" s="411" t="str"/>
      <x:c r="K28" s="411" t="str"/>
      <x:c r="L28" s="411" t="str"/>
      <x:c r="M28" s="373"/>
      <x:c r="N28" s="373"/>
      <x:c r="O28" s="373"/>
      <x:c r="P28" s="373"/>
      <x:c r="Q28" s="373"/>
      <x:c r="R28" s="373"/>
      <x:c r="S28" s="373"/>
      <x:c r="T28" s="373"/>
      <x:c r="U28" s="373"/>
      <x:c r="V28" s="373"/>
      <x:c r="W28" s="373"/>
      <x:c r="X28" s="373"/>
      <x:c r="Y28" s="373"/>
      <x:c r="Z28" s="373"/>
    </x:row>
    <x:row r="29">
      <x:c r="A29" s="411" t="str"/>
      <x:c r="B29" s="460" t="str"/>
      <x:c r="C29" s="411" t="str"/>
      <x:c r="D29" s="411" t="str"/>
      <x:c r="E29" s="411" t="str"/>
      <x:c r="F29" s="411" t="str"/>
      <x:c r="G29" s="411" t="str"/>
      <x:c r="H29" s="411" t="str"/>
      <x:c r="I29" s="411" t="str"/>
      <x:c r="J29" s="411" t="str"/>
      <x:c r="K29" s="411" t="str"/>
      <x:c r="L29" s="411" t="str"/>
      <x:c r="M29" s="373"/>
      <x:c r="N29" s="373"/>
      <x:c r="O29" s="373"/>
      <x:c r="P29" s="373"/>
      <x:c r="Q29" s="373"/>
      <x:c r="R29" s="373"/>
      <x:c r="S29" s="373"/>
      <x:c r="T29" s="373"/>
      <x:c r="U29" s="373"/>
      <x:c r="V29" s="373"/>
      <x:c r="W29" s="373"/>
      <x:c r="X29" s="373"/>
      <x:c r="Y29" s="373"/>
      <x:c r="Z29" s="373"/>
    </x:row>
    <x:row r="30">
      <x:c r="A30" s="411" t="str"/>
      <x:c r="B30" s="460" t="str"/>
      <x:c r="C30" s="411" t="str"/>
      <x:c r="D30" s="411" t="str"/>
      <x:c r="E30" s="411" t="str"/>
      <x:c r="F30" s="411" t="str"/>
      <x:c r="G30" s="411" t="str"/>
      <x:c r="H30" s="411" t="str"/>
      <x:c r="I30" s="411" t="str"/>
      <x:c r="J30" s="411" t="str"/>
      <x:c r="K30" s="411" t="str"/>
      <x:c r="L30" s="411" t="str"/>
      <x:c r="M30" s="373"/>
      <x:c r="N30" s="373"/>
      <x:c r="O30" s="373"/>
      <x:c r="P30" s="373"/>
      <x:c r="Q30" s="373"/>
      <x:c r="R30" s="373"/>
      <x:c r="S30" s="373"/>
      <x:c r="T30" s="373"/>
      <x:c r="U30" s="373"/>
      <x:c r="V30" s="373"/>
      <x:c r="W30" s="373"/>
      <x:c r="X30" s="373"/>
      <x:c r="Y30" s="373"/>
      <x:c r="Z30" s="373"/>
    </x:row>
    <x:row r="31">
      <x:c r="A31" s="411" t="str"/>
      <x:c r="B31" s="460" t="str"/>
      <x:c r="C31" s="411" t="str"/>
      <x:c r="D31" s="411" t="str"/>
      <x:c r="E31" s="411" t="str"/>
      <x:c r="F31" s="411" t="str"/>
      <x:c r="G31" s="411" t="str"/>
      <x:c r="H31" s="411" t="str"/>
      <x:c r="I31" s="411" t="str"/>
      <x:c r="J31" s="411" t="str"/>
      <x:c r="K31" s="411" t="str"/>
      <x:c r="L31" s="411" t="str"/>
      <x:c r="M31" s="373"/>
      <x:c r="N31" s="373"/>
      <x:c r="O31" s="373"/>
      <x:c r="P31" s="373"/>
      <x:c r="Q31" s="373"/>
      <x:c r="R31" s="373"/>
      <x:c r="S31" s="373"/>
      <x:c r="T31" s="373"/>
      <x:c r="U31" s="373"/>
      <x:c r="V31" s="373"/>
      <x:c r="W31" s="373"/>
      <x:c r="X31" s="373"/>
      <x:c r="Y31" s="373"/>
      <x:c r="Z31" s="373"/>
    </x:row>
    <x:row r="32">
      <x:c r="A32" s="411" t="str"/>
      <x:c r="B32" s="460" t="str"/>
      <x:c r="C32" s="411" t="str"/>
      <x:c r="D32" s="411" t="str"/>
      <x:c r="E32" s="411" t="str"/>
      <x:c r="F32" s="411" t="str"/>
      <x:c r="G32" s="411" t="str"/>
      <x:c r="H32" s="411" t="str"/>
      <x:c r="I32" s="411" t="str"/>
      <x:c r="J32" s="411" t="str"/>
      <x:c r="K32" s="411" t="str"/>
      <x:c r="L32" s="411" t="str"/>
      <x:c r="M32" s="373"/>
      <x:c r="N32" s="373"/>
      <x:c r="O32" s="373"/>
      <x:c r="P32" s="373"/>
      <x:c r="Q32" s="373"/>
      <x:c r="R32" s="373"/>
      <x:c r="S32" s="373"/>
      <x:c r="T32" s="373"/>
      <x:c r="U32" s="373"/>
      <x:c r="V32" s="373"/>
      <x:c r="W32" s="373"/>
      <x:c r="X32" s="373"/>
      <x:c r="Y32" s="373"/>
      <x:c r="Z32" s="373"/>
    </x:row>
    <x:row r="33">
      <x:c r="A33" s="411" t="str"/>
      <x:c r="B33" s="460" t="str"/>
      <x:c r="C33" s="411" t="str"/>
      <x:c r="D33" s="411" t="str"/>
      <x:c r="E33" s="411" t="str"/>
      <x:c r="F33" s="411" t="str"/>
      <x:c r="G33" s="411" t="str"/>
      <x:c r="H33" s="411" t="str"/>
      <x:c r="I33" s="411" t="str"/>
      <x:c r="J33" s="411" t="str"/>
      <x:c r="K33" s="411" t="str"/>
      <x:c r="L33" s="411" t="str"/>
      <x:c r="M33" s="373"/>
      <x:c r="N33" s="373"/>
      <x:c r="O33" s="373"/>
      <x:c r="P33" s="373"/>
      <x:c r="Q33" s="373"/>
      <x:c r="R33" s="373"/>
      <x:c r="S33" s="373"/>
      <x:c r="T33" s="373"/>
      <x:c r="U33" s="373"/>
      <x:c r="V33" s="373"/>
      <x:c r="W33" s="373"/>
      <x:c r="X33" s="373"/>
      <x:c r="Y33" s="373"/>
      <x:c r="Z33" s="373"/>
    </x:row>
    <x:row r="34">
      <x:c r="A34" s="411" t="str"/>
      <x:c r="B34" s="460" t="str"/>
      <x:c r="C34" s="411" t="str"/>
      <x:c r="D34" s="411" t="str"/>
      <x:c r="E34" s="411" t="str"/>
      <x:c r="F34" s="411" t="str"/>
      <x:c r="G34" s="411" t="str"/>
      <x:c r="H34" s="411" t="str"/>
      <x:c r="I34" s="411" t="str"/>
      <x:c r="J34" s="411" t="str"/>
      <x:c r="K34" s="411" t="str"/>
      <x:c r="L34" s="411" t="str"/>
      <x:c r="M34" s="373"/>
      <x:c r="N34" s="373"/>
      <x:c r="O34" s="373"/>
      <x:c r="P34" s="373"/>
      <x:c r="Q34" s="373"/>
      <x:c r="R34" s="373"/>
      <x:c r="S34" s="373"/>
      <x:c r="T34" s="373"/>
      <x:c r="U34" s="373"/>
      <x:c r="V34" s="373"/>
      <x:c r="W34" s="373"/>
      <x:c r="X34" s="373"/>
      <x:c r="Y34" s="373"/>
      <x:c r="Z34" s="373"/>
    </x:row>
    <x:row r="35">
      <x:c r="A35" s="411" t="str"/>
      <x:c r="B35" s="460" t="str"/>
      <x:c r="C35" s="411" t="str"/>
      <x:c r="D35" s="411" t="str"/>
      <x:c r="E35" s="411" t="str"/>
      <x:c r="F35" s="411" t="str"/>
      <x:c r="G35" s="411" t="str"/>
      <x:c r="H35" s="411" t="str"/>
      <x:c r="I35" s="411" t="str"/>
      <x:c r="J35" s="411" t="str"/>
      <x:c r="K35" s="411" t="str"/>
      <x:c r="L35" s="411" t="str"/>
      <x:c r="M35" s="373"/>
      <x:c r="N35" s="373"/>
      <x:c r="O35" s="373"/>
      <x:c r="P35" s="373"/>
      <x:c r="Q35" s="373"/>
      <x:c r="R35" s="373"/>
      <x:c r="S35" s="373"/>
      <x:c r="T35" s="373"/>
      <x:c r="U35" s="373"/>
      <x:c r="V35" s="373"/>
      <x:c r="W35" s="373"/>
      <x:c r="X35" s="373"/>
      <x:c r="Y35" s="373"/>
      <x:c r="Z35" s="373"/>
    </x:row>
    <x:row r="36">
      <x:c r="A36" s="411" t="str"/>
      <x:c r="B36" s="460" t="str"/>
      <x:c r="C36" s="411" t="str"/>
      <x:c r="D36" s="411" t="str"/>
      <x:c r="E36" s="411" t="str"/>
      <x:c r="F36" s="411" t="str"/>
      <x:c r="G36" s="411" t="str"/>
      <x:c r="H36" s="411" t="str"/>
      <x:c r="I36" s="411" t="str"/>
      <x:c r="J36" s="411" t="str"/>
      <x:c r="K36" s="411" t="str"/>
      <x:c r="L36" s="411" t="str"/>
      <x:c r="M36" s="373"/>
      <x:c r="N36" s="373"/>
      <x:c r="O36" s="373"/>
      <x:c r="P36" s="373"/>
      <x:c r="Q36" s="373"/>
      <x:c r="R36" s="373"/>
      <x:c r="S36" s="373"/>
      <x:c r="T36" s="373"/>
      <x:c r="U36" s="373"/>
      <x:c r="V36" s="373"/>
      <x:c r="W36" s="373"/>
      <x:c r="X36" s="373"/>
      <x:c r="Y36" s="373"/>
      <x:c r="Z36" s="373"/>
    </x:row>
    <x:row r="37">
      <x:c r="A37" s="411" t="str"/>
      <x:c r="B37" s="460" t="str"/>
      <x:c r="C37" s="411" t="str"/>
      <x:c r="D37" s="411" t="str"/>
      <x:c r="E37" s="411" t="str"/>
      <x:c r="F37" s="411" t="str"/>
      <x:c r="G37" s="411" t="str"/>
      <x:c r="H37" s="411" t="str"/>
      <x:c r="I37" s="411" t="str"/>
      <x:c r="J37" s="411" t="str"/>
      <x:c r="K37" s="411" t="str"/>
      <x:c r="L37" s="411" t="str"/>
      <x:c r="M37" s="373"/>
      <x:c r="N37" s="373"/>
      <x:c r="O37" s="373"/>
      <x:c r="P37" s="373"/>
      <x:c r="Q37" s="373"/>
      <x:c r="R37" s="373"/>
      <x:c r="S37" s="373"/>
      <x:c r="T37" s="373"/>
      <x:c r="U37" s="373"/>
      <x:c r="V37" s="373"/>
      <x:c r="W37" s="373"/>
      <x:c r="X37" s="373"/>
      <x:c r="Y37" s="373"/>
      <x:c r="Z37" s="373"/>
    </x:row>
    <x:row r="38">
      <x:c r="A38" s="411" t="str"/>
      <x:c r="B38" s="460" t="str"/>
      <x:c r="C38" s="411" t="str"/>
      <x:c r="D38" s="411" t="str"/>
      <x:c r="E38" s="411" t="str"/>
      <x:c r="F38" s="411" t="str"/>
      <x:c r="G38" s="411" t="str"/>
      <x:c r="H38" s="411" t="str"/>
      <x:c r="I38" s="411" t="str"/>
      <x:c r="J38" s="411" t="str"/>
      <x:c r="K38" s="411" t="str"/>
      <x:c r="L38" s="411" t="str"/>
      <x:c r="M38" s="373"/>
      <x:c r="N38" s="373"/>
      <x:c r="O38" s="373"/>
      <x:c r="P38" s="373"/>
      <x:c r="Q38" s="373"/>
      <x:c r="R38" s="373"/>
      <x:c r="S38" s="373"/>
      <x:c r="T38" s="373"/>
      <x:c r="U38" s="373"/>
      <x:c r="V38" s="373"/>
      <x:c r="W38" s="373"/>
      <x:c r="X38" s="373"/>
      <x:c r="Y38" s="373"/>
      <x:c r="Z38" s="373"/>
    </x:row>
    <x:row r="39">
      <x:c r="A39" s="411" t="str"/>
      <x:c r="B39" s="460" t="str"/>
      <x:c r="C39" s="411" t="str"/>
      <x:c r="D39" s="411" t="str"/>
      <x:c r="E39" s="411" t="str"/>
      <x:c r="F39" s="411" t="str"/>
      <x:c r="G39" s="411" t="str"/>
      <x:c r="H39" s="411" t="str"/>
      <x:c r="I39" s="411" t="str"/>
      <x:c r="J39" s="411" t="str"/>
      <x:c r="K39" s="411" t="str"/>
      <x:c r="L39" s="411" t="str"/>
      <x:c r="M39" s="373"/>
      <x:c r="N39" s="373"/>
      <x:c r="O39" s="373"/>
      <x:c r="P39" s="373"/>
      <x:c r="Q39" s="373"/>
      <x:c r="R39" s="373"/>
      <x:c r="S39" s="373"/>
      <x:c r="T39" s="373"/>
      <x:c r="U39" s="373"/>
      <x:c r="V39" s="373"/>
      <x:c r="W39" s="373"/>
      <x:c r="X39" s="373"/>
      <x:c r="Y39" s="373"/>
      <x:c r="Z39" s="373"/>
    </x:row>
    <x:row r="40">
      <x:c r="A40" s="411" t="str"/>
      <x:c r="B40" s="460" t="str"/>
      <x:c r="C40" s="411" t="str"/>
      <x:c r="D40" s="411" t="str"/>
      <x:c r="E40" s="411" t="str"/>
      <x:c r="F40" s="411" t="str"/>
      <x:c r="G40" s="411" t="str"/>
      <x:c r="H40" s="411" t="str"/>
      <x:c r="I40" s="411" t="str"/>
      <x:c r="J40" s="411" t="str"/>
      <x:c r="K40" s="411" t="str"/>
      <x:c r="L40" s="411" t="str"/>
      <x:c r="M40" s="373"/>
      <x:c r="N40" s="373"/>
      <x:c r="O40" s="373"/>
      <x:c r="P40" s="373"/>
      <x:c r="Q40" s="373"/>
      <x:c r="R40" s="373"/>
      <x:c r="S40" s="373"/>
      <x:c r="T40" s="373"/>
      <x:c r="U40" s="373"/>
      <x:c r="V40" s="373"/>
      <x:c r="W40" s="373"/>
      <x:c r="X40" s="373"/>
      <x:c r="Y40" s="373"/>
      <x:c r="Z40" s="373"/>
    </x:row>
    <x:row r="41">
      <x:c r="A41" s="411" t="str"/>
      <x:c r="B41" s="460" t="str"/>
      <x:c r="C41" s="411" t="str"/>
      <x:c r="D41" s="411" t="str"/>
      <x:c r="E41" s="411" t="str"/>
      <x:c r="F41" s="411" t="str"/>
      <x:c r="G41" s="411" t="str"/>
      <x:c r="H41" s="411" t="str"/>
      <x:c r="I41" s="411" t="str"/>
      <x:c r="J41" s="411" t="str"/>
      <x:c r="K41" s="411" t="str"/>
      <x:c r="L41" s="411" t="str"/>
      <x:c r="M41" s="373"/>
      <x:c r="N41" s="373"/>
      <x:c r="O41" s="373"/>
      <x:c r="P41" s="373"/>
      <x:c r="Q41" s="373"/>
      <x:c r="R41" s="373"/>
      <x:c r="S41" s="373"/>
      <x:c r="T41" s="373"/>
      <x:c r="U41" s="373"/>
      <x:c r="V41" s="373"/>
      <x:c r="W41" s="373"/>
      <x:c r="X41" s="373"/>
      <x:c r="Y41" s="373"/>
      <x:c r="Z41" s="373"/>
    </x:row>
    <x:row r="42">
      <x:c r="A42" s="411" t="str"/>
      <x:c r="B42" s="460" t="str"/>
      <x:c r="C42" s="411" t="str"/>
      <x:c r="D42" s="411" t="str"/>
      <x:c r="E42" s="411" t="str"/>
      <x:c r="F42" s="411" t="str"/>
      <x:c r="G42" s="411" t="str"/>
      <x:c r="H42" s="411" t="str"/>
      <x:c r="I42" s="411" t="str"/>
      <x:c r="J42" s="411" t="str"/>
      <x:c r="K42" s="411" t="str"/>
      <x:c r="L42" s="411" t="str"/>
      <x:c r="M42" s="373"/>
      <x:c r="N42" s="373"/>
      <x:c r="O42" s="373"/>
      <x:c r="P42" s="373"/>
      <x:c r="Q42" s="373"/>
      <x:c r="R42" s="373"/>
      <x:c r="S42" s="373"/>
      <x:c r="T42" s="373"/>
      <x:c r="U42" s="373"/>
      <x:c r="V42" s="373"/>
      <x:c r="W42" s="373"/>
      <x:c r="X42" s="373"/>
      <x:c r="Y42" s="373"/>
      <x:c r="Z42" s="373"/>
    </x:row>
    <x:row r="43">
      <x:c r="A43" s="411" t="str"/>
      <x:c r="B43" s="460" t="str"/>
      <x:c r="C43" s="411" t="str"/>
      <x:c r="D43" s="411" t="str"/>
      <x:c r="E43" s="411" t="str"/>
      <x:c r="F43" s="411" t="str"/>
      <x:c r="G43" s="411" t="str"/>
      <x:c r="H43" s="411" t="str"/>
      <x:c r="I43" s="411" t="str"/>
      <x:c r="J43" s="411" t="str"/>
      <x:c r="K43" s="411" t="str"/>
      <x:c r="L43" s="411" t="str"/>
      <x:c r="M43" s="373"/>
      <x:c r="N43" s="373"/>
      <x:c r="O43" s="373"/>
      <x:c r="P43" s="373"/>
      <x:c r="Q43" s="373"/>
      <x:c r="R43" s="373"/>
      <x:c r="S43" s="373"/>
      <x:c r="T43" s="373"/>
      <x:c r="U43" s="373"/>
      <x:c r="V43" s="373"/>
      <x:c r="W43" s="373"/>
      <x:c r="X43" s="373"/>
      <x:c r="Y43" s="373"/>
      <x:c r="Z43" s="373"/>
    </x:row>
    <x:row r="44">
      <x:c r="A44" s="411" t="str"/>
      <x:c r="B44" s="460" t="str"/>
      <x:c r="C44" s="411" t="str"/>
      <x:c r="D44" s="411" t="str"/>
      <x:c r="E44" s="411" t="str"/>
      <x:c r="F44" s="411" t="str"/>
      <x:c r="G44" s="411" t="str"/>
      <x:c r="H44" s="411" t="str"/>
      <x:c r="I44" s="411" t="str"/>
      <x:c r="J44" s="411" t="str"/>
      <x:c r="K44" s="411" t="str"/>
      <x:c r="L44" s="411" t="str"/>
      <x:c r="M44" s="373"/>
      <x:c r="N44" s="373"/>
      <x:c r="O44" s="373"/>
      <x:c r="P44" s="373"/>
      <x:c r="Q44" s="373"/>
      <x:c r="R44" s="373"/>
      <x:c r="S44" s="373"/>
      <x:c r="T44" s="373"/>
      <x:c r="U44" s="373"/>
      <x:c r="V44" s="373"/>
      <x:c r="W44" s="373"/>
      <x:c r="X44" s="373"/>
      <x:c r="Y44" s="373"/>
      <x:c r="Z44" s="373"/>
    </x:row>
    <x:row r="45">
      <x:c r="A45" s="411" t="str"/>
      <x:c r="B45" s="460" t="str"/>
      <x:c r="C45" s="411" t="str"/>
      <x:c r="D45" s="411" t="str"/>
      <x:c r="E45" s="411" t="str"/>
      <x:c r="F45" s="411" t="str"/>
      <x:c r="G45" s="411" t="str"/>
      <x:c r="H45" s="411" t="str"/>
      <x:c r="I45" s="411" t="str"/>
      <x:c r="J45" s="411" t="str"/>
      <x:c r="K45" s="411" t="str"/>
      <x:c r="L45" s="411" t="str"/>
      <x:c r="M45" s="373"/>
      <x:c r="N45" s="373"/>
      <x:c r="O45" s="373"/>
      <x:c r="P45" s="373"/>
      <x:c r="Q45" s="373"/>
      <x:c r="R45" s="373"/>
      <x:c r="S45" s="373"/>
      <x:c r="T45" s="373"/>
      <x:c r="U45" s="373"/>
      <x:c r="V45" s="373"/>
      <x:c r="W45" s="373"/>
      <x:c r="X45" s="373"/>
      <x:c r="Y45" s="373"/>
      <x:c r="Z45" s="373"/>
    </x:row>
    <x:row r="46">
      <x:c r="A46" s="411" t="str"/>
      <x:c r="B46" s="460" t="str"/>
      <x:c r="C46" s="411" t="str"/>
      <x:c r="D46" s="411" t="str"/>
      <x:c r="E46" s="411" t="str"/>
      <x:c r="F46" s="411" t="str"/>
      <x:c r="G46" s="411" t="str"/>
      <x:c r="H46" s="411" t="str"/>
      <x:c r="I46" s="411" t="str"/>
      <x:c r="J46" s="411" t="str"/>
      <x:c r="K46" s="411" t="str"/>
      <x:c r="L46" s="411" t="str"/>
      <x:c r="M46" s="373"/>
      <x:c r="N46" s="373"/>
      <x:c r="O46" s="373"/>
      <x:c r="P46" s="373"/>
      <x:c r="Q46" s="373"/>
      <x:c r="R46" s="373"/>
      <x:c r="S46" s="373"/>
      <x:c r="T46" s="373"/>
      <x:c r="U46" s="373"/>
      <x:c r="V46" s="373"/>
      <x:c r="W46" s="373"/>
      <x:c r="X46" s="373"/>
      <x:c r="Y46" s="373"/>
      <x:c r="Z46" s="373"/>
    </x:row>
    <x:row r="47">
      <x:c r="A47" s="411" t="str"/>
      <x:c r="B47" s="460" t="str"/>
      <x:c r="C47" s="411" t="str"/>
      <x:c r="D47" s="411" t="str"/>
      <x:c r="E47" s="411" t="str"/>
      <x:c r="F47" s="411" t="str"/>
      <x:c r="G47" s="411" t="str"/>
      <x:c r="H47" s="411" t="str"/>
      <x:c r="I47" s="411" t="str"/>
      <x:c r="J47" s="411" t="str"/>
      <x:c r="K47" s="411" t="str"/>
      <x:c r="L47" s="411" t="str"/>
      <x:c r="M47" s="373"/>
      <x:c r="N47" s="373"/>
      <x:c r="O47" s="373"/>
      <x:c r="P47" s="373"/>
      <x:c r="Q47" s="373"/>
      <x:c r="R47" s="373"/>
      <x:c r="S47" s="373"/>
      <x:c r="T47" s="373"/>
      <x:c r="U47" s="373"/>
      <x:c r="V47" s="373"/>
      <x:c r="W47" s="373"/>
      <x:c r="X47" s="373"/>
      <x:c r="Y47" s="373"/>
      <x:c r="Z47" s="373"/>
    </x:row>
    <x:row r="48">
      <x:c r="A48" s="411" t="str"/>
      <x:c r="B48" s="460" t="str"/>
      <x:c r="C48" s="411" t="str"/>
      <x:c r="D48" s="411" t="str"/>
      <x:c r="E48" s="411" t="str"/>
      <x:c r="F48" s="411" t="str"/>
      <x:c r="G48" s="411" t="str"/>
      <x:c r="H48" s="411" t="str"/>
      <x:c r="I48" s="411" t="str"/>
      <x:c r="J48" s="411" t="str"/>
      <x:c r="K48" s="411" t="str"/>
      <x:c r="L48" s="411" t="str"/>
      <x:c r="M48" s="373"/>
      <x:c r="N48" s="373"/>
      <x:c r="O48" s="373"/>
      <x:c r="P48" s="373"/>
      <x:c r="Q48" s="373"/>
      <x:c r="R48" s="373"/>
      <x:c r="S48" s="373"/>
      <x:c r="T48" s="373"/>
      <x:c r="U48" s="373"/>
      <x:c r="V48" s="373"/>
      <x:c r="W48" s="373"/>
      <x:c r="X48" s="373"/>
      <x:c r="Y48" s="373"/>
      <x:c r="Z48" s="373"/>
    </x:row>
    <x:row r="49">
      <x:c r="A49" s="411" t="str"/>
      <x:c r="B49" s="460" t="str"/>
      <x:c r="C49" s="411" t="str"/>
      <x:c r="D49" s="411" t="str"/>
      <x:c r="E49" s="411" t="str"/>
      <x:c r="F49" s="411" t="str"/>
      <x:c r="G49" s="411" t="str"/>
      <x:c r="H49" s="411" t="str"/>
      <x:c r="I49" s="411" t="str"/>
      <x:c r="J49" s="411" t="str"/>
      <x:c r="K49" s="411" t="str"/>
      <x:c r="L49" s="411" t="str"/>
      <x:c r="M49" s="373"/>
      <x:c r="N49" s="373"/>
      <x:c r="O49" s="373"/>
      <x:c r="P49" s="373"/>
      <x:c r="Q49" s="373"/>
      <x:c r="R49" s="373"/>
      <x:c r="S49" s="373"/>
      <x:c r="T49" s="373"/>
      <x:c r="U49" s="373"/>
      <x:c r="V49" s="373"/>
      <x:c r="W49" s="373"/>
      <x:c r="X49" s="373"/>
      <x:c r="Y49" s="373"/>
      <x:c r="Z49" s="373"/>
    </x:row>
    <x:row r="50">
      <x:c r="A50" s="411" t="str"/>
      <x:c r="B50" s="460" t="str"/>
      <x:c r="C50" s="411" t="str"/>
      <x:c r="D50" s="411" t="str"/>
      <x:c r="E50" s="411" t="str"/>
      <x:c r="F50" s="411" t="str"/>
      <x:c r="G50" s="411" t="str"/>
      <x:c r="H50" s="411" t="str"/>
      <x:c r="I50" s="411" t="str"/>
      <x:c r="J50" s="411" t="str"/>
      <x:c r="K50" s="411" t="str"/>
      <x:c r="L50" s="411" t="str"/>
      <x:c r="M50" s="373"/>
      <x:c r="N50" s="373"/>
      <x:c r="O50" s="373"/>
      <x:c r="P50" s="373"/>
      <x:c r="Q50" s="373"/>
      <x:c r="R50" s="373"/>
      <x:c r="S50" s="373"/>
      <x:c r="T50" s="373"/>
      <x:c r="U50" s="373"/>
      <x:c r="V50" s="373"/>
      <x:c r="W50" s="373"/>
      <x:c r="X50" s="373"/>
      <x:c r="Y50" s="373"/>
      <x:c r="Z50" s="373"/>
    </x:row>
    <x:row r="51">
      <x:c r="A51" s="411" t="str"/>
      <x:c r="B51" s="460" t="str"/>
      <x:c r="C51" s="411" t="str"/>
      <x:c r="D51" s="411" t="str"/>
      <x:c r="E51" s="411" t="str"/>
      <x:c r="F51" s="411" t="str"/>
      <x:c r="G51" s="411" t="str"/>
      <x:c r="H51" s="411" t="str"/>
      <x:c r="I51" s="411" t="str"/>
      <x:c r="J51" s="411" t="str"/>
      <x:c r="K51" s="411" t="str"/>
      <x:c r="L51" s="411" t="str"/>
      <x:c r="M51" s="373"/>
      <x:c r="N51" s="373"/>
      <x:c r="O51" s="373"/>
      <x:c r="P51" s="373"/>
      <x:c r="Q51" s="373"/>
      <x:c r="R51" s="373"/>
      <x:c r="S51" s="373"/>
      <x:c r="T51" s="373"/>
      <x:c r="U51" s="373"/>
      <x:c r="V51" s="373"/>
      <x:c r="W51" s="373"/>
      <x:c r="X51" s="373"/>
      <x:c r="Y51" s="373"/>
      <x:c r="Z51" s="373"/>
    </x:row>
    <x:row r="52">
      <x:c r="A52" s="411" t="str"/>
      <x:c r="B52" s="460" t="str"/>
      <x:c r="C52" s="411" t="str"/>
      <x:c r="D52" s="411" t="str"/>
      <x:c r="E52" s="411" t="str"/>
      <x:c r="F52" s="411" t="str"/>
      <x:c r="G52" s="411" t="str"/>
      <x:c r="H52" s="411" t="str"/>
      <x:c r="I52" s="411" t="str"/>
      <x:c r="J52" s="411" t="str"/>
      <x:c r="K52" s="411" t="str"/>
      <x:c r="L52" s="411" t="str"/>
      <x:c r="M52" s="373"/>
      <x:c r="N52" s="373"/>
      <x:c r="O52" s="373"/>
      <x:c r="P52" s="373"/>
      <x:c r="Q52" s="373"/>
      <x:c r="R52" s="373"/>
      <x:c r="S52" s="373"/>
      <x:c r="T52" s="373"/>
      <x:c r="U52" s="373"/>
      <x:c r="V52" s="373"/>
      <x:c r="W52" s="373"/>
      <x:c r="X52" s="373"/>
      <x:c r="Y52" s="373"/>
      <x:c r="Z52" s="373"/>
    </x:row>
    <x:row r="53">
      <x:c r="A53" s="411" t="str"/>
      <x:c r="B53" s="460" t="str"/>
      <x:c r="C53" s="411" t="str"/>
      <x:c r="D53" s="411" t="str"/>
      <x:c r="E53" s="411" t="str"/>
      <x:c r="F53" s="411" t="str"/>
      <x:c r="G53" s="411" t="str"/>
      <x:c r="H53" s="411" t="str"/>
      <x:c r="I53" s="411" t="str"/>
      <x:c r="J53" s="411" t="str"/>
      <x:c r="K53" s="411" t="str"/>
      <x:c r="L53" s="411" t="str"/>
      <x:c r="M53" s="373"/>
      <x:c r="N53" s="373"/>
      <x:c r="O53" s="373"/>
      <x:c r="P53" s="373"/>
      <x:c r="Q53" s="373"/>
      <x:c r="R53" s="373"/>
      <x:c r="S53" s="373"/>
      <x:c r="T53" s="373"/>
      <x:c r="U53" s="373"/>
      <x:c r="V53" s="373"/>
      <x:c r="W53" s="373"/>
      <x:c r="X53" s="373"/>
      <x:c r="Y53" s="373"/>
      <x:c r="Z53" s="373"/>
    </x:row>
    <x:row r="54">
      <x:c r="A54" s="411" t="str"/>
      <x:c r="B54" s="460" t="str"/>
      <x:c r="C54" s="411" t="str"/>
      <x:c r="D54" s="411" t="str"/>
      <x:c r="E54" s="411" t="str"/>
      <x:c r="F54" s="411" t="str"/>
      <x:c r="G54" s="411" t="str"/>
      <x:c r="H54" s="411" t="str"/>
      <x:c r="I54" s="411" t="str"/>
      <x:c r="J54" s="411" t="str"/>
      <x:c r="K54" s="411" t="str"/>
      <x:c r="L54" s="411" t="str"/>
      <x:c r="M54" s="373"/>
      <x:c r="N54" s="373"/>
      <x:c r="O54" s="373"/>
      <x:c r="P54" s="373"/>
      <x:c r="Q54" s="373"/>
      <x:c r="R54" s="373"/>
      <x:c r="S54" s="373"/>
      <x:c r="T54" s="373"/>
      <x:c r="U54" s="373"/>
      <x:c r="V54" s="373"/>
      <x:c r="W54" s="373"/>
      <x:c r="X54" s="373"/>
      <x:c r="Y54" s="373"/>
      <x:c r="Z54" s="373"/>
    </x:row>
    <x:row r="55">
      <x:c r="A55" s="411" t="str"/>
      <x:c r="B55" s="460" t="str"/>
      <x:c r="C55" s="411" t="str"/>
      <x:c r="D55" s="411" t="str"/>
      <x:c r="E55" s="411" t="str"/>
      <x:c r="F55" s="411" t="str"/>
      <x:c r="G55" s="411" t="str"/>
      <x:c r="H55" s="411" t="str"/>
      <x:c r="I55" s="411" t="str"/>
      <x:c r="J55" s="411" t="str"/>
      <x:c r="K55" s="411" t="str"/>
      <x:c r="L55" s="411" t="str"/>
      <x:c r="M55" s="373"/>
      <x:c r="N55" s="373"/>
      <x:c r="O55" s="373"/>
      <x:c r="P55" s="373"/>
      <x:c r="Q55" s="373"/>
      <x:c r="R55" s="373"/>
      <x:c r="S55" s="373"/>
      <x:c r="T55" s="373"/>
      <x:c r="U55" s="373"/>
      <x:c r="V55" s="373"/>
      <x:c r="W55" s="373"/>
      <x:c r="X55" s="373"/>
      <x:c r="Y55" s="373"/>
      <x:c r="Z55" s="373"/>
    </x:row>
    <x:row r="56">
      <x:c r="A56" s="411" t="str"/>
      <x:c r="B56" s="460" t="str"/>
      <x:c r="C56" s="411" t="str"/>
      <x:c r="D56" s="411" t="str"/>
      <x:c r="E56" s="411" t="str"/>
      <x:c r="F56" s="411" t="str"/>
      <x:c r="G56" s="411" t="str"/>
      <x:c r="H56" s="411" t="str"/>
      <x:c r="I56" s="411" t="str"/>
      <x:c r="J56" s="411" t="str"/>
      <x:c r="K56" s="411" t="str"/>
      <x:c r="L56" s="411" t="str"/>
      <x:c r="M56" s="373"/>
      <x:c r="N56" s="373"/>
      <x:c r="O56" s="373"/>
      <x:c r="P56" s="373"/>
      <x:c r="Q56" s="373"/>
      <x:c r="R56" s="373"/>
      <x:c r="S56" s="373"/>
      <x:c r="T56" s="373"/>
      <x:c r="U56" s="373"/>
      <x:c r="V56" s="373"/>
      <x:c r="W56" s="373"/>
      <x:c r="X56" s="373"/>
      <x:c r="Y56" s="373"/>
      <x:c r="Z56" s="373"/>
    </x:row>
    <x:row r="57">
      <x:c r="A57" s="411" t="str"/>
      <x:c r="B57" s="460" t="str"/>
      <x:c r="C57" s="411" t="str"/>
      <x:c r="D57" s="411" t="str"/>
      <x:c r="E57" s="411" t="str"/>
      <x:c r="F57" s="411" t="str"/>
      <x:c r="G57" s="411" t="str"/>
      <x:c r="H57" s="411" t="str"/>
      <x:c r="I57" s="411" t="str"/>
      <x:c r="J57" s="411" t="str"/>
      <x:c r="K57" s="411" t="str"/>
      <x:c r="L57" s="411" t="str"/>
      <x:c r="M57" s="373"/>
      <x:c r="N57" s="373"/>
      <x:c r="O57" s="373"/>
      <x:c r="P57" s="373"/>
      <x:c r="Q57" s="373"/>
      <x:c r="R57" s="373"/>
      <x:c r="S57" s="373"/>
      <x:c r="T57" s="373"/>
      <x:c r="U57" s="373"/>
      <x:c r="V57" s="373"/>
      <x:c r="W57" s="373"/>
      <x:c r="X57" s="373"/>
      <x:c r="Y57" s="373"/>
      <x:c r="Z57" s="373"/>
    </x:row>
    <x:row r="58">
      <x:c r="A58" s="411" t="str"/>
      <x:c r="B58" s="460" t="str"/>
      <x:c r="C58" s="411" t="str"/>
      <x:c r="D58" s="411" t="str"/>
      <x:c r="E58" s="411" t="str"/>
      <x:c r="F58" s="411" t="str"/>
      <x:c r="G58" s="411" t="str"/>
      <x:c r="H58" s="411" t="str"/>
      <x:c r="I58" s="411" t="str"/>
      <x:c r="J58" s="411" t="str"/>
      <x:c r="K58" s="411" t="str"/>
      <x:c r="L58" s="411" t="str"/>
      <x:c r="M58" s="373"/>
      <x:c r="N58" s="373"/>
      <x:c r="O58" s="373"/>
      <x:c r="P58" s="373"/>
      <x:c r="Q58" s="373"/>
      <x:c r="R58" s="373"/>
      <x:c r="S58" s="373"/>
      <x:c r="T58" s="373"/>
      <x:c r="U58" s="373"/>
      <x:c r="V58" s="373"/>
      <x:c r="W58" s="373"/>
      <x:c r="X58" s="373"/>
      <x:c r="Y58" s="373"/>
      <x:c r="Z58" s="373"/>
    </x:row>
    <x:row r="59">
      <x:c r="A59" s="411" t="str"/>
      <x:c r="B59" s="460" t="str"/>
      <x:c r="C59" s="411" t="str"/>
      <x:c r="D59" s="411" t="str"/>
      <x:c r="E59" s="411" t="str"/>
      <x:c r="F59" s="411" t="str"/>
      <x:c r="G59" s="411" t="str"/>
      <x:c r="H59" s="411" t="str"/>
      <x:c r="I59" s="411" t="str"/>
      <x:c r="J59" s="411" t="str"/>
      <x:c r="K59" s="411" t="str"/>
      <x:c r="L59" s="411" t="str"/>
      <x:c r="M59" s="373"/>
      <x:c r="N59" s="373"/>
      <x:c r="O59" s="373"/>
      <x:c r="P59" s="373"/>
      <x:c r="Q59" s="373"/>
      <x:c r="R59" s="373"/>
      <x:c r="S59" s="373"/>
      <x:c r="T59" s="373"/>
      <x:c r="U59" s="373"/>
      <x:c r="V59" s="373"/>
      <x:c r="W59" s="373"/>
      <x:c r="X59" s="373"/>
      <x:c r="Y59" s="373"/>
      <x:c r="Z59" s="373"/>
    </x:row>
    <x:row r="60">
      <x:c r="A60" s="411" t="str"/>
      <x:c r="B60" s="460" t="str"/>
      <x:c r="C60" s="411" t="str"/>
      <x:c r="D60" s="411" t="str"/>
      <x:c r="E60" s="411" t="str"/>
      <x:c r="F60" s="411" t="str"/>
      <x:c r="G60" s="411" t="str"/>
      <x:c r="H60" s="411" t="str"/>
      <x:c r="I60" s="411" t="str"/>
      <x:c r="J60" s="411" t="str"/>
      <x:c r="K60" s="411" t="str"/>
      <x:c r="L60" s="411" t="str"/>
      <x:c r="M60" s="373"/>
      <x:c r="N60" s="373"/>
      <x:c r="O60" s="373"/>
      <x:c r="P60" s="373"/>
      <x:c r="Q60" s="373"/>
      <x:c r="R60" s="373"/>
      <x:c r="S60" s="373"/>
      <x:c r="T60" s="373"/>
      <x:c r="U60" s="373"/>
      <x:c r="V60" s="373"/>
      <x:c r="W60" s="373"/>
      <x:c r="X60" s="373"/>
      <x:c r="Y60" s="373"/>
      <x:c r="Z60" s="373"/>
    </x:row>
    <x:row r="61">
      <x:c r="A61" s="411" t="str"/>
      <x:c r="B61" s="460" t="str"/>
      <x:c r="C61" s="411" t="str"/>
      <x:c r="D61" s="411" t="str"/>
      <x:c r="E61" s="411" t="str"/>
      <x:c r="F61" s="411" t="str"/>
      <x:c r="G61" s="411" t="str"/>
      <x:c r="H61" s="411" t="str"/>
      <x:c r="I61" s="411" t="str"/>
      <x:c r="J61" s="411" t="str"/>
      <x:c r="K61" s="411" t="str"/>
      <x:c r="L61" s="411" t="str"/>
      <x:c r="M61" s="373"/>
      <x:c r="N61" s="373"/>
      <x:c r="O61" s="373"/>
      <x:c r="P61" s="373"/>
      <x:c r="Q61" s="373"/>
      <x:c r="R61" s="373"/>
      <x:c r="S61" s="373"/>
      <x:c r="T61" s="373"/>
      <x:c r="U61" s="373"/>
      <x:c r="V61" s="373"/>
      <x:c r="W61" s="373"/>
      <x:c r="X61" s="373"/>
      <x:c r="Y61" s="373"/>
      <x:c r="Z61" s="373"/>
    </x:row>
    <x:row r="62">
      <x:c r="A62" s="411" t="str"/>
      <x:c r="B62" s="460" t="str"/>
      <x:c r="C62" s="411" t="str"/>
      <x:c r="D62" s="411" t="str"/>
      <x:c r="E62" s="411" t="str"/>
      <x:c r="F62" s="411" t="str"/>
      <x:c r="G62" s="411" t="str"/>
      <x:c r="H62" s="411" t="str"/>
      <x:c r="I62" s="411" t="str"/>
      <x:c r="J62" s="411" t="str"/>
      <x:c r="K62" s="411" t="str"/>
      <x:c r="L62" s="411" t="str"/>
      <x:c r="M62" s="373"/>
      <x:c r="N62" s="373"/>
      <x:c r="O62" s="373"/>
      <x:c r="P62" s="373"/>
      <x:c r="Q62" s="373"/>
      <x:c r="R62" s="373"/>
      <x:c r="S62" s="373"/>
      <x:c r="T62" s="373"/>
      <x:c r="U62" s="373"/>
      <x:c r="V62" s="373"/>
      <x:c r="W62" s="373"/>
      <x:c r="X62" s="373"/>
      <x:c r="Y62" s="373"/>
      <x:c r="Z62" s="373"/>
    </x:row>
    <x:row r="63">
      <x:c r="A63" s="411" t="str"/>
      <x:c r="B63" s="460" t="str"/>
      <x:c r="C63" s="411" t="str"/>
      <x:c r="D63" s="411" t="str"/>
      <x:c r="E63" s="411" t="str"/>
      <x:c r="F63" s="411" t="str"/>
      <x:c r="G63" s="411" t="str"/>
      <x:c r="H63" s="411" t="str"/>
      <x:c r="I63" s="411" t="str"/>
      <x:c r="J63" s="411" t="str"/>
      <x:c r="K63" s="411" t="str"/>
      <x:c r="L63" s="411" t="str"/>
      <x:c r="M63" s="373"/>
      <x:c r="N63" s="373"/>
      <x:c r="O63" s="373"/>
      <x:c r="P63" s="373"/>
      <x:c r="Q63" s="373"/>
      <x:c r="R63" s="373"/>
      <x:c r="S63" s="373"/>
      <x:c r="T63" s="373"/>
      <x:c r="U63" s="373"/>
      <x:c r="V63" s="373"/>
      <x:c r="W63" s="373"/>
      <x:c r="X63" s="373"/>
      <x:c r="Y63" s="373"/>
      <x:c r="Z63" s="373"/>
    </x:row>
    <x:row r="64">
      <x:c r="A64" s="411" t="str"/>
      <x:c r="B64" s="460" t="str"/>
      <x:c r="C64" s="411" t="str"/>
      <x:c r="D64" s="411" t="str"/>
      <x:c r="E64" s="411" t="str"/>
      <x:c r="F64" s="411" t="str"/>
      <x:c r="G64" s="411" t="str"/>
      <x:c r="H64" s="411" t="str"/>
      <x:c r="I64" s="411" t="str"/>
      <x:c r="J64" s="411" t="str"/>
      <x:c r="K64" s="411" t="str"/>
      <x:c r="L64" s="411" t="str"/>
      <x:c r="M64" s="373"/>
      <x:c r="N64" s="373"/>
      <x:c r="O64" s="373"/>
      <x:c r="P64" s="373"/>
      <x:c r="Q64" s="373"/>
      <x:c r="R64" s="373"/>
      <x:c r="S64" s="373"/>
      <x:c r="T64" s="373"/>
      <x:c r="U64" s="373"/>
      <x:c r="V64" s="373"/>
      <x:c r="W64" s="373"/>
      <x:c r="X64" s="373"/>
      <x:c r="Y64" s="373"/>
      <x:c r="Z64" s="373"/>
    </x:row>
    <x:row r="65">
      <x:c r="A65" s="411" t="str"/>
      <x:c r="B65" s="460" t="str"/>
      <x:c r="C65" s="411" t="str"/>
      <x:c r="D65" s="411" t="str"/>
      <x:c r="E65" s="411" t="str"/>
      <x:c r="F65" s="411" t="str"/>
      <x:c r="G65" s="411" t="str"/>
      <x:c r="H65" s="411" t="str"/>
      <x:c r="I65" s="411" t="str"/>
      <x:c r="J65" s="411" t="str"/>
      <x:c r="K65" s="411" t="str"/>
      <x:c r="L65" s="411" t="str"/>
      <x:c r="M65" s="373"/>
      <x:c r="N65" s="373"/>
      <x:c r="O65" s="373"/>
      <x:c r="P65" s="373"/>
      <x:c r="Q65" s="373"/>
      <x:c r="R65" s="373"/>
      <x:c r="S65" s="373"/>
      <x:c r="T65" s="373"/>
      <x:c r="U65" s="373"/>
      <x:c r="V65" s="373"/>
      <x:c r="W65" s="373"/>
      <x:c r="X65" s="373"/>
      <x:c r="Y65" s="373"/>
      <x:c r="Z65" s="373"/>
    </x:row>
    <x:row r="66">
      <x:c r="A66" s="411" t="str"/>
      <x:c r="B66" s="460" t="str"/>
      <x:c r="C66" s="411" t="str"/>
      <x:c r="D66" s="411" t="str"/>
      <x:c r="E66" s="411" t="str"/>
      <x:c r="F66" s="411" t="str"/>
      <x:c r="G66" s="411" t="str"/>
      <x:c r="H66" s="411" t="str"/>
      <x:c r="I66" s="411" t="str"/>
      <x:c r="J66" s="411" t="str"/>
      <x:c r="K66" s="411" t="str"/>
      <x:c r="L66" s="411" t="str"/>
      <x:c r="M66" s="373"/>
      <x:c r="N66" s="373"/>
      <x:c r="O66" s="373"/>
      <x:c r="P66" s="373"/>
      <x:c r="Q66" s="373"/>
      <x:c r="R66" s="373"/>
      <x:c r="S66" s="373"/>
      <x:c r="T66" s="373"/>
      <x:c r="U66" s="373"/>
      <x:c r="V66" s="373"/>
      <x:c r="W66" s="373"/>
      <x:c r="X66" s="373"/>
      <x:c r="Y66" s="373"/>
      <x:c r="Z66" s="373"/>
    </x:row>
    <x:row r="67">
      <x:c r="A67" s="411" t="str"/>
      <x:c r="B67" s="460" t="str"/>
      <x:c r="C67" s="411" t="str"/>
      <x:c r="D67" s="411" t="str"/>
      <x:c r="E67" s="411" t="str"/>
      <x:c r="F67" s="411" t="str"/>
      <x:c r="G67" s="411" t="str"/>
      <x:c r="H67" s="411" t="str"/>
      <x:c r="I67" s="411" t="str"/>
      <x:c r="J67" s="411" t="str"/>
      <x:c r="K67" s="411" t="str"/>
      <x:c r="L67" s="411" t="str"/>
      <x:c r="M67" s="373"/>
      <x:c r="N67" s="373"/>
      <x:c r="O67" s="373"/>
      <x:c r="P67" s="373"/>
      <x:c r="Q67" s="373"/>
      <x:c r="R67" s="373"/>
      <x:c r="S67" s="373"/>
      <x:c r="T67" s="373"/>
      <x:c r="U67" s="373"/>
      <x:c r="V67" s="373"/>
      <x:c r="W67" s="373"/>
      <x:c r="X67" s="373"/>
      <x:c r="Y67" s="373"/>
      <x:c r="Z67" s="373"/>
    </x:row>
    <x:row r="68">
      <x:c r="A68" s="411" t="str"/>
      <x:c r="B68" s="460" t="str"/>
      <x:c r="C68" s="411" t="str"/>
      <x:c r="D68" s="411" t="str"/>
      <x:c r="E68" s="411" t="str"/>
      <x:c r="F68" s="411" t="str"/>
      <x:c r="G68" s="411" t="str"/>
      <x:c r="H68" s="411" t="str"/>
      <x:c r="I68" s="411" t="str"/>
      <x:c r="J68" s="411" t="str"/>
      <x:c r="K68" s="411" t="str"/>
      <x:c r="L68" s="411" t="str"/>
      <x:c r="M68" s="373"/>
      <x:c r="N68" s="373"/>
      <x:c r="O68" s="373"/>
      <x:c r="P68" s="373"/>
      <x:c r="Q68" s="373"/>
      <x:c r="R68" s="373"/>
      <x:c r="S68" s="373"/>
      <x:c r="T68" s="373"/>
      <x:c r="U68" s="373"/>
      <x:c r="V68" s="373"/>
      <x:c r="W68" s="373"/>
      <x:c r="X68" s="373"/>
      <x:c r="Y68" s="373"/>
      <x:c r="Z68" s="373"/>
    </x:row>
    <x:row r="69">
      <x:c r="A69" s="411" t="str"/>
      <x:c r="B69" s="460" t="str"/>
      <x:c r="C69" s="411" t="str"/>
      <x:c r="D69" s="411" t="str"/>
      <x:c r="E69" s="411" t="str"/>
      <x:c r="F69" s="411" t="str"/>
      <x:c r="G69" s="411" t="str"/>
      <x:c r="H69" s="411" t="str"/>
      <x:c r="I69" s="411" t="str"/>
      <x:c r="J69" s="411" t="str"/>
      <x:c r="K69" s="411" t="str"/>
      <x:c r="L69" s="411" t="str"/>
      <x:c r="M69" s="373"/>
      <x:c r="N69" s="373"/>
      <x:c r="O69" s="373"/>
      <x:c r="P69" s="373"/>
      <x:c r="Q69" s="373"/>
      <x:c r="R69" s="373"/>
      <x:c r="S69" s="373"/>
      <x:c r="T69" s="373"/>
      <x:c r="U69" s="373"/>
      <x:c r="V69" s="373"/>
      <x:c r="W69" s="373"/>
      <x:c r="X69" s="373"/>
      <x:c r="Y69" s="373"/>
      <x:c r="Z69" s="373"/>
    </x:row>
    <x:row r="70">
      <x:c r="A70" s="411" t="str"/>
      <x:c r="B70" s="460" t="str"/>
      <x:c r="C70" s="411" t="str"/>
      <x:c r="D70" s="411" t="str"/>
      <x:c r="E70" s="411" t="str"/>
      <x:c r="F70" s="411" t="str"/>
      <x:c r="G70" s="411" t="str"/>
      <x:c r="H70" s="411" t="str"/>
      <x:c r="I70" s="411" t="str"/>
      <x:c r="J70" s="411" t="str"/>
      <x:c r="K70" s="411" t="str"/>
      <x:c r="L70" s="411" t="str"/>
      <x:c r="M70" s="373"/>
      <x:c r="N70" s="373"/>
      <x:c r="O70" s="373"/>
      <x:c r="P70" s="373"/>
      <x:c r="Q70" s="373"/>
      <x:c r="R70" s="373"/>
      <x:c r="S70" s="373"/>
      <x:c r="T70" s="373"/>
      <x:c r="U70" s="373"/>
      <x:c r="V70" s="373"/>
      <x:c r="W70" s="373"/>
      <x:c r="X70" s="373"/>
      <x:c r="Y70" s="373"/>
      <x:c r="Z70" s="373"/>
    </x:row>
    <x:row r="71">
      <x:c r="A71" s="411" t="str"/>
      <x:c r="B71" s="460" t="str"/>
      <x:c r="C71" s="411" t="str"/>
      <x:c r="D71" s="411" t="str"/>
      <x:c r="E71" s="411" t="str"/>
      <x:c r="F71" s="411" t="str"/>
      <x:c r="G71" s="411" t="str"/>
      <x:c r="H71" s="411" t="str"/>
      <x:c r="I71" s="411" t="str"/>
      <x:c r="J71" s="411" t="str"/>
      <x:c r="K71" s="411" t="str"/>
      <x:c r="L71" s="411" t="str"/>
      <x:c r="M71" s="373"/>
      <x:c r="N71" s="373"/>
      <x:c r="O71" s="373"/>
      <x:c r="P71" s="373"/>
      <x:c r="Q71" s="373"/>
      <x:c r="R71" s="373"/>
      <x:c r="S71" s="373"/>
      <x:c r="T71" s="373"/>
      <x:c r="U71" s="373"/>
      <x:c r="V71" s="373"/>
      <x:c r="W71" s="373"/>
      <x:c r="X71" s="373"/>
      <x:c r="Y71" s="373"/>
      <x:c r="Z71" s="373"/>
    </x:row>
    <x:row r="72">
      <x:c r="A72" s="411" t="str"/>
      <x:c r="B72" s="460" t="str"/>
      <x:c r="C72" s="411" t="str"/>
      <x:c r="D72" s="411" t="str"/>
      <x:c r="E72" s="411" t="str"/>
      <x:c r="F72" s="411" t="str"/>
      <x:c r="G72" s="411" t="str"/>
      <x:c r="H72" s="411" t="str"/>
      <x:c r="I72" s="411" t="str"/>
      <x:c r="J72" s="411" t="str"/>
      <x:c r="K72" s="411" t="str"/>
      <x:c r="L72" s="411" t="str"/>
      <x:c r="M72" s="373"/>
      <x:c r="N72" s="373"/>
      <x:c r="O72" s="373"/>
      <x:c r="P72" s="373"/>
      <x:c r="Q72" s="373"/>
      <x:c r="R72" s="373"/>
      <x:c r="S72" s="373"/>
      <x:c r="T72" s="373"/>
      <x:c r="U72" s="373"/>
      <x:c r="V72" s="373"/>
      <x:c r="W72" s="373"/>
      <x:c r="X72" s="373"/>
      <x:c r="Y72" s="373"/>
      <x:c r="Z72" s="373"/>
    </x:row>
    <x:row r="73">
      <x:c r="A73" s="411" t="str"/>
      <x:c r="B73" s="460" t="str"/>
      <x:c r="C73" s="411" t="str"/>
      <x:c r="D73" s="411" t="str"/>
      <x:c r="E73" s="411" t="str"/>
      <x:c r="F73" s="411" t="str"/>
      <x:c r="G73" s="411" t="str"/>
      <x:c r="H73" s="411" t="str"/>
      <x:c r="I73" s="411" t="str"/>
      <x:c r="J73" s="411" t="str"/>
      <x:c r="K73" s="411" t="str"/>
      <x:c r="L73" s="411" t="str"/>
      <x:c r="M73" s="373"/>
      <x:c r="N73" s="373"/>
      <x:c r="O73" s="373"/>
      <x:c r="P73" s="373"/>
      <x:c r="Q73" s="373"/>
      <x:c r="R73" s="373"/>
      <x:c r="S73" s="373"/>
      <x:c r="T73" s="373"/>
      <x:c r="U73" s="373"/>
      <x:c r="V73" s="373"/>
      <x:c r="W73" s="373"/>
      <x:c r="X73" s="373"/>
      <x:c r="Y73" s="373"/>
      <x:c r="Z73" s="373"/>
    </x:row>
    <x:row r="74">
      <x:c r="A74" s="411" t="str"/>
      <x:c r="B74" s="460" t="str"/>
      <x:c r="C74" s="411" t="str"/>
      <x:c r="D74" s="411" t="str"/>
      <x:c r="E74" s="411" t="str"/>
      <x:c r="F74" s="411" t="str"/>
      <x:c r="G74" s="411" t="str"/>
      <x:c r="H74" s="411" t="str"/>
      <x:c r="I74" s="411" t="str"/>
      <x:c r="J74" s="411" t="str"/>
      <x:c r="K74" s="411" t="str"/>
      <x:c r="L74" s="411" t="str"/>
      <x:c r="M74" s="373"/>
      <x:c r="N74" s="373"/>
      <x:c r="O74" s="373"/>
      <x:c r="P74" s="373"/>
      <x:c r="Q74" s="373"/>
      <x:c r="R74" s="373"/>
      <x:c r="S74" s="373"/>
      <x:c r="T74" s="373"/>
      <x:c r="U74" s="373"/>
      <x:c r="V74" s="373"/>
      <x:c r="W74" s="373"/>
      <x:c r="X74" s="373"/>
      <x:c r="Y74" s="373"/>
      <x:c r="Z74" s="373"/>
    </x:row>
    <x:row r="75">
      <x:c r="A75" s="411" t="str"/>
      <x:c r="B75" s="460" t="str"/>
      <x:c r="C75" s="411" t="str"/>
      <x:c r="D75" s="411" t="str"/>
      <x:c r="E75" s="411" t="str"/>
      <x:c r="F75" s="411" t="str"/>
      <x:c r="G75" s="411" t="str"/>
      <x:c r="H75" s="411" t="str"/>
      <x:c r="I75" s="411" t="str"/>
      <x:c r="J75" s="411" t="str"/>
      <x:c r="K75" s="411" t="str"/>
      <x:c r="L75" s="411" t="str"/>
      <x:c r="M75" s="373"/>
      <x:c r="N75" s="373"/>
      <x:c r="O75" s="373"/>
      <x:c r="P75" s="373"/>
      <x:c r="Q75" s="373"/>
      <x:c r="R75" s="373"/>
      <x:c r="S75" s="373"/>
      <x:c r="T75" s="373"/>
      <x:c r="U75" s="373"/>
      <x:c r="V75" s="373"/>
      <x:c r="W75" s="373"/>
      <x:c r="X75" s="373"/>
      <x:c r="Y75" s="373"/>
      <x:c r="Z75" s="373"/>
    </x:row>
    <x:row r="76">
      <x:c r="A76" s="411" t="str"/>
      <x:c r="B76" s="460" t="str"/>
      <x:c r="C76" s="411" t="str"/>
      <x:c r="D76" s="411" t="str"/>
      <x:c r="E76" s="411" t="str"/>
      <x:c r="F76" s="411" t="str"/>
      <x:c r="G76" s="411" t="str"/>
      <x:c r="H76" s="411" t="str"/>
      <x:c r="I76" s="411" t="str"/>
      <x:c r="J76" s="411" t="str"/>
      <x:c r="K76" s="411" t="str"/>
      <x:c r="L76" s="411" t="str"/>
      <x:c r="M76" s="373"/>
      <x:c r="N76" s="373"/>
      <x:c r="O76" s="373"/>
      <x:c r="P76" s="373"/>
      <x:c r="Q76" s="373"/>
      <x:c r="R76" s="373"/>
      <x:c r="S76" s="373"/>
      <x:c r="T76" s="373"/>
      <x:c r="U76" s="373"/>
      <x:c r="V76" s="373"/>
      <x:c r="W76" s="373"/>
      <x:c r="X76" s="373"/>
      <x:c r="Y76" s="373"/>
      <x:c r="Z76" s="373"/>
    </x:row>
    <x:row r="77">
      <x:c r="A77" s="411" t="str"/>
      <x:c r="B77" s="460" t="str"/>
      <x:c r="C77" s="411" t="str"/>
      <x:c r="D77" s="411" t="str"/>
      <x:c r="E77" s="411" t="str"/>
      <x:c r="F77" s="411" t="str"/>
      <x:c r="G77" s="411" t="str"/>
      <x:c r="H77" s="411" t="str"/>
      <x:c r="I77" s="411" t="str"/>
      <x:c r="J77" s="411" t="str"/>
      <x:c r="K77" s="411" t="str"/>
      <x:c r="L77" s="411" t="str"/>
      <x:c r="M77" s="373"/>
      <x:c r="N77" s="373"/>
      <x:c r="O77" s="373"/>
      <x:c r="P77" s="373"/>
      <x:c r="Q77" s="373"/>
      <x:c r="R77" s="373"/>
      <x:c r="S77" s="373"/>
      <x:c r="T77" s="373"/>
      <x:c r="U77" s="373"/>
      <x:c r="V77" s="373"/>
      <x:c r="W77" s="373"/>
      <x:c r="X77" s="373"/>
      <x:c r="Y77" s="373"/>
      <x:c r="Z77" s="373"/>
    </x:row>
    <x:row r="78">
      <x:c r="A78" s="411" t="str"/>
      <x:c r="B78" s="460" t="str"/>
      <x:c r="C78" s="411" t="str"/>
      <x:c r="D78" s="411" t="str"/>
      <x:c r="E78" s="411" t="str"/>
      <x:c r="F78" s="411" t="str"/>
      <x:c r="G78" s="411" t="str"/>
      <x:c r="H78" s="411" t="str"/>
      <x:c r="I78" s="411" t="str"/>
      <x:c r="J78" s="411" t="str"/>
      <x:c r="K78" s="411" t="str"/>
      <x:c r="L78" s="411" t="str"/>
      <x:c r="M78" s="373"/>
      <x:c r="N78" s="373"/>
      <x:c r="O78" s="373"/>
      <x:c r="P78" s="373"/>
      <x:c r="Q78" s="373"/>
      <x:c r="R78" s="373"/>
      <x:c r="S78" s="373"/>
      <x:c r="T78" s="373"/>
      <x:c r="U78" s="373"/>
      <x:c r="V78" s="373"/>
      <x:c r="W78" s="373"/>
      <x:c r="X78" s="373"/>
      <x:c r="Y78" s="373"/>
      <x:c r="Z78" s="373"/>
    </x:row>
    <x:row r="79">
      <x:c r="A79" s="411" t="str"/>
      <x:c r="B79" s="460" t="str"/>
      <x:c r="C79" s="411" t="str"/>
      <x:c r="D79" s="411" t="str"/>
      <x:c r="E79" s="411" t="str"/>
      <x:c r="F79" s="411" t="str"/>
      <x:c r="G79" s="411" t="str"/>
      <x:c r="H79" s="411" t="str"/>
      <x:c r="I79" s="411" t="str"/>
      <x:c r="J79" s="411" t="str"/>
      <x:c r="K79" s="411" t="str"/>
      <x:c r="L79" s="411" t="str"/>
      <x:c r="M79" s="373"/>
      <x:c r="N79" s="373"/>
      <x:c r="O79" s="373"/>
      <x:c r="P79" s="373"/>
      <x:c r="Q79" s="373"/>
      <x:c r="R79" s="373"/>
      <x:c r="S79" s="373"/>
      <x:c r="T79" s="373"/>
      <x:c r="U79" s="373"/>
      <x:c r="V79" s="373"/>
      <x:c r="W79" s="373"/>
      <x:c r="X79" s="373"/>
      <x:c r="Y79" s="373"/>
      <x:c r="Z79" s="373"/>
    </x:row>
    <x:row r="80">
      <x:c r="A80" s="411" t="str"/>
      <x:c r="B80" s="460" t="str"/>
      <x:c r="C80" s="411" t="str"/>
      <x:c r="D80" s="411" t="str"/>
      <x:c r="E80" s="411" t="str"/>
      <x:c r="F80" s="411" t="str"/>
      <x:c r="G80" s="411" t="str"/>
      <x:c r="H80" s="411" t="str"/>
      <x:c r="I80" s="411" t="str"/>
      <x:c r="J80" s="411" t="str"/>
      <x:c r="K80" s="411" t="str"/>
      <x:c r="L80" s="411" t="str"/>
      <x:c r="M80" s="373"/>
      <x:c r="N80" s="373"/>
      <x:c r="O80" s="373"/>
      <x:c r="P80" s="373"/>
      <x:c r="Q80" s="373"/>
      <x:c r="R80" s="373"/>
      <x:c r="S80" s="373"/>
      <x:c r="T80" s="373"/>
      <x:c r="U80" s="373"/>
      <x:c r="V80" s="373"/>
      <x:c r="W80" s="373"/>
      <x:c r="X80" s="373"/>
      <x:c r="Y80" s="373"/>
      <x:c r="Z80" s="373"/>
    </x:row>
    <x:row r="81">
      <x:c r="A81" s="411" t="str"/>
      <x:c r="B81" s="460" t="str"/>
      <x:c r="C81" s="411" t="str"/>
      <x:c r="D81" s="411" t="str"/>
      <x:c r="E81" s="411" t="str"/>
      <x:c r="F81" s="411" t="str"/>
      <x:c r="G81" s="411" t="str"/>
      <x:c r="H81" s="411" t="str"/>
      <x:c r="I81" s="411" t="str"/>
      <x:c r="J81" s="411" t="str"/>
      <x:c r="K81" s="411" t="str"/>
      <x:c r="L81" s="411" t="str"/>
      <x:c r="M81" s="373"/>
      <x:c r="N81" s="373"/>
      <x:c r="O81" s="373"/>
      <x:c r="P81" s="373"/>
      <x:c r="Q81" s="373"/>
      <x:c r="R81" s="373"/>
      <x:c r="S81" s="373"/>
      <x:c r="T81" s="373"/>
      <x:c r="U81" s="373"/>
      <x:c r="V81" s="373"/>
      <x:c r="W81" s="373"/>
      <x:c r="X81" s="373"/>
      <x:c r="Y81" s="373"/>
      <x:c r="Z81" s="373"/>
    </x:row>
    <x:row r="82">
      <x:c r="A82" s="411" t="str"/>
      <x:c r="B82" s="460" t="str"/>
      <x:c r="C82" s="411" t="str"/>
      <x:c r="D82" s="411" t="str"/>
      <x:c r="E82" s="411" t="str"/>
      <x:c r="F82" s="411" t="str"/>
      <x:c r="G82" s="411" t="str"/>
      <x:c r="H82" s="411" t="str"/>
      <x:c r="I82" s="411" t="str"/>
      <x:c r="J82" s="411" t="str"/>
      <x:c r="K82" s="411" t="str"/>
      <x:c r="L82" s="411" t="str"/>
      <x:c r="M82" s="373"/>
      <x:c r="N82" s="373"/>
      <x:c r="O82" s="373"/>
      <x:c r="P82" s="373"/>
      <x:c r="Q82" s="373"/>
      <x:c r="R82" s="373"/>
      <x:c r="S82" s="373"/>
      <x:c r="T82" s="373"/>
      <x:c r="U82" s="373"/>
      <x:c r="V82" s="373"/>
      <x:c r="W82" s="373"/>
      <x:c r="X82" s="373"/>
      <x:c r="Y82" s="373"/>
      <x:c r="Z82" s="373"/>
    </x:row>
    <x:row r="83">
      <x:c r="A83" s="411" t="str"/>
      <x:c r="B83" s="460" t="str"/>
      <x:c r="C83" s="411" t="str"/>
      <x:c r="D83" s="411" t="str"/>
      <x:c r="E83" s="411" t="str"/>
      <x:c r="F83" s="411" t="str"/>
      <x:c r="G83" s="411" t="str"/>
      <x:c r="H83" s="411" t="str"/>
      <x:c r="I83" s="411" t="str"/>
      <x:c r="J83" s="411" t="str"/>
      <x:c r="K83" s="411" t="str"/>
      <x:c r="L83" s="411" t="str"/>
      <x:c r="M83" s="373"/>
      <x:c r="N83" s="373"/>
      <x:c r="O83" s="373"/>
      <x:c r="P83" s="373"/>
      <x:c r="Q83" s="373"/>
      <x:c r="R83" s="373"/>
      <x:c r="S83" s="373"/>
      <x:c r="T83" s="373"/>
      <x:c r="U83" s="373"/>
      <x:c r="V83" s="373"/>
      <x:c r="W83" s="373"/>
      <x:c r="X83" s="373"/>
      <x:c r="Y83" s="373"/>
      <x:c r="Z83" s="373"/>
    </x:row>
    <x:row r="84">
      <x:c r="A84" s="411" t="str"/>
      <x:c r="B84" s="460" t="str"/>
      <x:c r="C84" s="411" t="str"/>
      <x:c r="D84" s="411" t="str"/>
      <x:c r="E84" s="411" t="str"/>
      <x:c r="F84" s="411" t="str"/>
      <x:c r="G84" s="411" t="str"/>
      <x:c r="H84" s="411" t="str"/>
      <x:c r="I84" s="411" t="str"/>
      <x:c r="J84" s="411" t="str"/>
      <x:c r="K84" s="411" t="str"/>
      <x:c r="L84" s="411" t="str"/>
      <x:c r="M84" s="373"/>
      <x:c r="N84" s="373"/>
      <x:c r="O84" s="373"/>
      <x:c r="P84" s="373"/>
      <x:c r="Q84" s="373"/>
      <x:c r="R84" s="373"/>
      <x:c r="S84" s="373"/>
      <x:c r="T84" s="373"/>
      <x:c r="U84" s="373"/>
      <x:c r="V84" s="373"/>
      <x:c r="W84" s="373"/>
      <x:c r="X84" s="373"/>
      <x:c r="Y84" s="373"/>
      <x:c r="Z84" s="373"/>
    </x:row>
    <x:row r="85">
      <x:c r="A85" s="411" t="str"/>
      <x:c r="B85" s="460" t="str"/>
      <x:c r="C85" s="411" t="str"/>
      <x:c r="D85" s="411" t="str"/>
      <x:c r="E85" s="411" t="str"/>
      <x:c r="F85" s="411" t="str"/>
      <x:c r="G85" s="411" t="str"/>
      <x:c r="H85" s="411" t="str"/>
      <x:c r="I85" s="411" t="str"/>
      <x:c r="J85" s="411" t="str"/>
      <x:c r="K85" s="411" t="str"/>
      <x:c r="L85" s="411" t="str"/>
      <x:c r="M85" s="373"/>
      <x:c r="N85" s="373"/>
      <x:c r="O85" s="373"/>
      <x:c r="P85" s="373"/>
      <x:c r="Q85" s="373"/>
      <x:c r="R85" s="373"/>
      <x:c r="S85" s="373"/>
      <x:c r="T85" s="373"/>
      <x:c r="U85" s="373"/>
      <x:c r="V85" s="373"/>
      <x:c r="W85" s="373"/>
      <x:c r="X85" s="373"/>
      <x:c r="Y85" s="373"/>
      <x:c r="Z85" s="373"/>
    </x:row>
    <x:row r="86">
      <x:c r="A86" s="411" t="str"/>
      <x:c r="B86" s="460" t="str"/>
      <x:c r="C86" s="411" t="str"/>
      <x:c r="D86" s="411" t="str"/>
      <x:c r="E86" s="411" t="str"/>
      <x:c r="F86" s="411" t="str"/>
      <x:c r="G86" s="411" t="str"/>
      <x:c r="H86" s="411" t="str"/>
      <x:c r="I86" s="411" t="str"/>
      <x:c r="J86" s="411" t="str"/>
      <x:c r="K86" s="411" t="str"/>
      <x:c r="L86" s="411" t="str"/>
      <x:c r="M86" s="373"/>
      <x:c r="N86" s="373"/>
      <x:c r="O86" s="373"/>
      <x:c r="P86" s="373"/>
      <x:c r="Q86" s="373"/>
      <x:c r="R86" s="373"/>
      <x:c r="S86" s="373"/>
      <x:c r="T86" s="373"/>
      <x:c r="U86" s="373"/>
      <x:c r="V86" s="373"/>
      <x:c r="W86" s="373"/>
      <x:c r="X86" s="373"/>
      <x:c r="Y86" s="373"/>
      <x:c r="Z86" s="373"/>
    </x:row>
    <x:row r="87">
      <x:c r="A87" s="411" t="str"/>
      <x:c r="B87" s="460" t="str"/>
      <x:c r="C87" s="411" t="str"/>
      <x:c r="D87" s="411" t="str"/>
      <x:c r="E87" s="411" t="str"/>
      <x:c r="F87" s="411" t="str"/>
      <x:c r="G87" s="411" t="str"/>
      <x:c r="H87" s="411" t="str"/>
      <x:c r="I87" s="411" t="str"/>
      <x:c r="J87" s="411" t="str"/>
      <x:c r="K87" s="411" t="str"/>
      <x:c r="L87" s="411" t="str"/>
      <x:c r="M87" s="373"/>
      <x:c r="N87" s="373"/>
      <x:c r="O87" s="373"/>
      <x:c r="P87" s="373"/>
      <x:c r="Q87" s="373"/>
      <x:c r="R87" s="373"/>
      <x:c r="S87" s="373"/>
      <x:c r="T87" s="373"/>
      <x:c r="U87" s="373"/>
      <x:c r="V87" s="373"/>
      <x:c r="W87" s="373"/>
      <x:c r="X87" s="373"/>
      <x:c r="Y87" s="373"/>
      <x:c r="Z87" s="373"/>
    </x:row>
    <x:row r="88">
      <x:c r="A88" s="411" t="str"/>
      <x:c r="B88" s="460" t="str"/>
      <x:c r="C88" s="411" t="str"/>
      <x:c r="D88" s="411" t="str"/>
      <x:c r="E88" s="411" t="str"/>
      <x:c r="F88" s="411" t="str"/>
      <x:c r="G88" s="411" t="str"/>
      <x:c r="H88" s="411" t="str"/>
      <x:c r="I88" s="411" t="str"/>
      <x:c r="J88" s="411" t="str"/>
      <x:c r="K88" s="411" t="str"/>
      <x:c r="L88" s="411" t="str"/>
      <x:c r="M88" s="373"/>
      <x:c r="N88" s="373"/>
      <x:c r="O88" s="373"/>
      <x:c r="P88" s="373"/>
      <x:c r="Q88" s="373"/>
      <x:c r="R88" s="373"/>
      <x:c r="S88" s="373"/>
      <x:c r="T88" s="373"/>
      <x:c r="U88" s="373"/>
      <x:c r="V88" s="373"/>
      <x:c r="W88" s="373"/>
      <x:c r="X88" s="373"/>
      <x:c r="Y88" s="373"/>
      <x:c r="Z88" s="373"/>
    </x:row>
    <x:row r="89">
      <x:c r="A89" s="411" t="str"/>
      <x:c r="B89" s="460" t="str"/>
      <x:c r="C89" s="411" t="str"/>
      <x:c r="D89" s="411" t="str"/>
      <x:c r="E89" s="411" t="str"/>
      <x:c r="F89" s="411" t="str"/>
      <x:c r="G89" s="411" t="str"/>
      <x:c r="H89" s="411" t="str"/>
      <x:c r="I89" s="411" t="str"/>
      <x:c r="J89" s="411" t="str"/>
      <x:c r="K89" s="411" t="str"/>
      <x:c r="L89" s="411" t="str"/>
      <x:c r="M89" s="373"/>
      <x:c r="N89" s="373"/>
      <x:c r="O89" s="373"/>
      <x:c r="P89" s="373"/>
      <x:c r="Q89" s="373"/>
      <x:c r="R89" s="373"/>
      <x:c r="S89" s="373"/>
      <x:c r="T89" s="373"/>
      <x:c r="U89" s="373"/>
      <x:c r="V89" s="373"/>
      <x:c r="W89" s="373"/>
      <x:c r="X89" s="373"/>
      <x:c r="Y89" s="373"/>
      <x:c r="Z89" s="373"/>
    </x:row>
    <x:row r="90">
      <x:c r="A90" s="411" t="str"/>
      <x:c r="B90" s="460" t="str"/>
      <x:c r="C90" s="411" t="str"/>
      <x:c r="D90" s="411" t="str"/>
      <x:c r="E90" s="411" t="str"/>
      <x:c r="F90" s="411" t="str"/>
      <x:c r="G90" s="411" t="str"/>
      <x:c r="H90" s="411" t="str"/>
      <x:c r="I90" s="411" t="str"/>
      <x:c r="J90" s="411" t="str"/>
      <x:c r="K90" s="411" t="str"/>
      <x:c r="L90" s="411" t="str"/>
      <x:c r="M90" s="373"/>
      <x:c r="N90" s="373"/>
      <x:c r="O90" s="373"/>
      <x:c r="P90" s="373"/>
      <x:c r="Q90" s="373"/>
      <x:c r="R90" s="373"/>
      <x:c r="S90" s="373"/>
      <x:c r="T90" s="373"/>
      <x:c r="U90" s="373"/>
      <x:c r="V90" s="373"/>
      <x:c r="W90" s="373"/>
      <x:c r="X90" s="373"/>
      <x:c r="Y90" s="373"/>
      <x:c r="Z90" s="373"/>
    </x:row>
    <x:row r="91">
      <x:c r="A91" s="411" t="str"/>
      <x:c r="B91" s="460" t="str"/>
      <x:c r="C91" s="411" t="str"/>
      <x:c r="D91" s="411" t="str"/>
      <x:c r="E91" s="411" t="str"/>
      <x:c r="F91" s="411" t="str"/>
      <x:c r="G91" s="411" t="str"/>
      <x:c r="H91" s="411" t="str"/>
      <x:c r="I91" s="411" t="str"/>
      <x:c r="J91" s="411" t="str"/>
      <x:c r="K91" s="411" t="str"/>
      <x:c r="L91" s="411" t="str"/>
      <x:c r="M91" s="373"/>
      <x:c r="N91" s="373"/>
      <x:c r="O91" s="373"/>
      <x:c r="P91" s="373"/>
      <x:c r="Q91" s="373"/>
      <x:c r="R91" s="373"/>
      <x:c r="S91" s="373"/>
      <x:c r="T91" s="373"/>
      <x:c r="U91" s="373"/>
      <x:c r="V91" s="373"/>
      <x:c r="W91" s="373"/>
      <x:c r="X91" s="373"/>
      <x:c r="Y91" s="373"/>
      <x:c r="Z91" s="373"/>
    </x:row>
    <x:row r="92">
      <x:c r="A92" s="411" t="str"/>
      <x:c r="B92" s="460" t="str"/>
      <x:c r="C92" s="411" t="str"/>
      <x:c r="D92" s="411" t="str"/>
      <x:c r="E92" s="411" t="str"/>
      <x:c r="F92" s="411" t="str"/>
      <x:c r="G92" s="411" t="str"/>
      <x:c r="H92" s="411" t="str"/>
      <x:c r="I92" s="411" t="str"/>
      <x:c r="J92" s="411" t="str"/>
      <x:c r="K92" s="411" t="str"/>
      <x:c r="L92" s="411" t="str"/>
      <x:c r="M92" s="373"/>
      <x:c r="N92" s="373"/>
      <x:c r="O92" s="373"/>
      <x:c r="P92" s="373"/>
      <x:c r="Q92" s="373"/>
      <x:c r="R92" s="373"/>
      <x:c r="S92" s="373"/>
      <x:c r="T92" s="373"/>
      <x:c r="U92" s="373"/>
      <x:c r="V92" s="373"/>
      <x:c r="W92" s="373"/>
      <x:c r="X92" s="373"/>
      <x:c r="Y92" s="373"/>
      <x:c r="Z92" s="373"/>
    </x:row>
    <x:row r="93">
      <x:c r="A93" s="411" t="str"/>
      <x:c r="B93" s="460" t="str"/>
      <x:c r="C93" s="411" t="str"/>
      <x:c r="D93" s="411" t="str"/>
      <x:c r="E93" s="411" t="str"/>
      <x:c r="F93" s="411" t="str"/>
      <x:c r="G93" s="411" t="str"/>
      <x:c r="H93" s="411" t="str"/>
      <x:c r="I93" s="411" t="str"/>
      <x:c r="J93" s="411" t="str"/>
      <x:c r="K93" s="411" t="str"/>
      <x:c r="L93" s="411" t="str"/>
      <x:c r="M93" s="373"/>
      <x:c r="N93" s="373"/>
      <x:c r="O93" s="373"/>
      <x:c r="P93" s="373"/>
      <x:c r="Q93" s="373"/>
      <x:c r="R93" s="373"/>
      <x:c r="S93" s="373"/>
      <x:c r="T93" s="373"/>
      <x:c r="U93" s="373"/>
      <x:c r="V93" s="373"/>
      <x:c r="W93" s="373"/>
      <x:c r="X93" s="373"/>
      <x:c r="Y93" s="373"/>
      <x:c r="Z93" s="373"/>
    </x:row>
    <x:row r="94">
      <x:c r="A94" s="411" t="str"/>
      <x:c r="B94" s="460" t="str"/>
      <x:c r="C94" s="411" t="str"/>
      <x:c r="D94" s="411" t="str"/>
      <x:c r="E94" s="411" t="str"/>
      <x:c r="F94" s="411" t="str"/>
      <x:c r="G94" s="411" t="str"/>
      <x:c r="H94" s="411" t="str"/>
      <x:c r="I94" s="411" t="str"/>
      <x:c r="J94" s="411" t="str"/>
      <x:c r="K94" s="411" t="str"/>
      <x:c r="L94" s="411" t="str"/>
      <x:c r="M94" s="373"/>
      <x:c r="N94" s="373"/>
      <x:c r="O94" s="373"/>
      <x:c r="P94" s="373"/>
      <x:c r="Q94" s="373"/>
      <x:c r="R94" s="373"/>
      <x:c r="S94" s="373"/>
      <x:c r="T94" s="373"/>
      <x:c r="U94" s="373"/>
      <x:c r="V94" s="373"/>
      <x:c r="W94" s="373"/>
      <x:c r="X94" s="373"/>
      <x:c r="Y94" s="373"/>
      <x:c r="Z94" s="373"/>
    </x:row>
    <x:row r="95">
      <x:c r="A95" s="411" t="str"/>
      <x:c r="B95" s="460" t="str"/>
      <x:c r="C95" s="411" t="str"/>
      <x:c r="D95" s="411" t="str"/>
      <x:c r="E95" s="411" t="str"/>
      <x:c r="F95" s="411" t="str"/>
      <x:c r="G95" s="411" t="str"/>
      <x:c r="H95" s="411" t="str"/>
      <x:c r="I95" s="411" t="str"/>
      <x:c r="J95" s="411" t="str"/>
      <x:c r="K95" s="411" t="str"/>
      <x:c r="L95" s="411" t="str"/>
      <x:c r="M95" s="373"/>
      <x:c r="N95" s="373"/>
      <x:c r="O95" s="373"/>
      <x:c r="P95" s="373"/>
      <x:c r="Q95" s="373"/>
      <x:c r="R95" s="373"/>
      <x:c r="S95" s="373"/>
      <x:c r="T95" s="373"/>
      <x:c r="U95" s="373"/>
      <x:c r="V95" s="373"/>
      <x:c r="W95" s="373"/>
      <x:c r="X95" s="373"/>
      <x:c r="Y95" s="373"/>
      <x:c r="Z95" s="373"/>
    </x:row>
    <x:row r="96">
      <x:c r="A96" s="411" t="str"/>
      <x:c r="B96" s="460" t="str"/>
      <x:c r="C96" s="411" t="str"/>
      <x:c r="D96" s="411" t="str"/>
      <x:c r="E96" s="411" t="str"/>
      <x:c r="F96" s="411" t="str"/>
      <x:c r="G96" s="411" t="str"/>
      <x:c r="H96" s="411" t="str"/>
      <x:c r="I96" s="411" t="str"/>
      <x:c r="J96" s="411" t="str"/>
      <x:c r="K96" s="411" t="str"/>
      <x:c r="L96" s="411" t="str"/>
      <x:c r="M96" s="373"/>
      <x:c r="N96" s="373"/>
      <x:c r="O96" s="373"/>
      <x:c r="P96" s="373"/>
      <x:c r="Q96" s="373"/>
      <x:c r="R96" s="373"/>
      <x:c r="S96" s="373"/>
      <x:c r="T96" s="373"/>
      <x:c r="U96" s="373"/>
      <x:c r="V96" s="373"/>
      <x:c r="W96" s="373"/>
      <x:c r="X96" s="373"/>
      <x:c r="Y96" s="373"/>
      <x:c r="Z96" s="373"/>
    </x:row>
    <x:row r="97">
      <x:c r="A97" s="411" t="str"/>
      <x:c r="B97" s="460" t="str"/>
      <x:c r="C97" s="411" t="str"/>
      <x:c r="D97" s="411" t="str"/>
      <x:c r="E97" s="411" t="str"/>
      <x:c r="F97" s="411" t="str"/>
      <x:c r="G97" s="411" t="str"/>
      <x:c r="H97" s="411" t="str"/>
      <x:c r="I97" s="411" t="str"/>
      <x:c r="J97" s="411" t="str"/>
      <x:c r="K97" s="411" t="str"/>
      <x:c r="L97" s="411" t="str"/>
      <x:c r="M97" s="373"/>
      <x:c r="N97" s="373"/>
      <x:c r="O97" s="373"/>
      <x:c r="P97" s="373"/>
      <x:c r="Q97" s="373"/>
      <x:c r="R97" s="373"/>
      <x:c r="S97" s="373"/>
      <x:c r="T97" s="373"/>
      <x:c r="U97" s="373"/>
      <x:c r="V97" s="373"/>
      <x:c r="W97" s="373"/>
      <x:c r="X97" s="373"/>
      <x:c r="Y97" s="373"/>
      <x:c r="Z97" s="373"/>
    </x:row>
    <x:row r="98">
      <x:c r="A98" s="411" t="str"/>
      <x:c r="B98" s="460" t="str"/>
      <x:c r="C98" s="411" t="str"/>
      <x:c r="D98" s="411" t="str"/>
      <x:c r="E98" s="411" t="str"/>
      <x:c r="F98" s="411" t="str"/>
      <x:c r="G98" s="411" t="str"/>
      <x:c r="H98" s="411" t="str"/>
      <x:c r="I98" s="411" t="str"/>
      <x:c r="J98" s="411" t="str"/>
      <x:c r="K98" s="411" t="str"/>
      <x:c r="L98" s="411" t="str"/>
      <x:c r="M98" s="373"/>
      <x:c r="N98" s="373"/>
      <x:c r="O98" s="373"/>
      <x:c r="P98" s="373"/>
      <x:c r="Q98" s="373"/>
      <x:c r="R98" s="373"/>
      <x:c r="S98" s="373"/>
      <x:c r="T98" s="373"/>
      <x:c r="U98" s="373"/>
      <x:c r="V98" s="373"/>
      <x:c r="W98" s="373"/>
      <x:c r="X98" s="373"/>
      <x:c r="Y98" s="373"/>
      <x:c r="Z98" s="373"/>
    </x:row>
    <x:row r="99">
      <x:c r="A99" s="411" t="str"/>
      <x:c r="B99" s="460" t="str"/>
      <x:c r="C99" s="411" t="str"/>
      <x:c r="D99" s="411" t="str"/>
      <x:c r="E99" s="411" t="str"/>
      <x:c r="F99" s="411" t="str"/>
      <x:c r="G99" s="411" t="str"/>
      <x:c r="H99" s="411" t="str"/>
      <x:c r="I99" s="411" t="str"/>
      <x:c r="J99" s="411" t="str"/>
      <x:c r="K99" s="411" t="str"/>
      <x:c r="L99" s="411" t="str"/>
      <x:c r="M99" s="373"/>
      <x:c r="N99" s="373"/>
      <x:c r="O99" s="373"/>
      <x:c r="P99" s="373"/>
      <x:c r="Q99" s="373"/>
      <x:c r="R99" s="373"/>
      <x:c r="S99" s="373"/>
      <x:c r="T99" s="373"/>
      <x:c r="U99" s="373"/>
      <x:c r="V99" s="373"/>
      <x:c r="W99" s="373"/>
      <x:c r="X99" s="373"/>
      <x:c r="Y99" s="373"/>
      <x:c r="Z99" s="373"/>
    </x:row>
    <x:row r="100">
      <x:c r="A100" s="411" t="str"/>
      <x:c r="B100" s="460" t="str"/>
      <x:c r="C100" s="411" t="str"/>
      <x:c r="D100" s="411" t="str"/>
      <x:c r="E100" s="411" t="str"/>
      <x:c r="F100" s="411" t="str"/>
      <x:c r="G100" s="411" t="str"/>
      <x:c r="H100" s="411" t="str"/>
      <x:c r="I100" s="411" t="str"/>
      <x:c r="J100" s="411" t="str"/>
      <x:c r="K100" s="411" t="str"/>
      <x:c r="L100" s="411" t="str"/>
      <x:c r="M100" s="373"/>
      <x:c r="N100" s="373"/>
      <x:c r="O100" s="373"/>
      <x:c r="P100" s="373"/>
      <x:c r="Q100" s="373"/>
      <x:c r="R100" s="373"/>
      <x:c r="S100" s="373"/>
      <x:c r="T100" s="373"/>
      <x:c r="U100" s="373"/>
      <x:c r="V100" s="373"/>
      <x:c r="W100" s="373"/>
      <x:c r="X100" s="373"/>
      <x:c r="Y100" s="373"/>
      <x:c r="Z100" s="373"/>
    </x:row>
    <x:row r="101">
      <x:c r="A101" s="411" t="str"/>
      <x:c r="B101" s="460" t="str"/>
      <x:c r="C101" s="411" t="str"/>
      <x:c r="D101" s="411" t="str"/>
      <x:c r="E101" s="411" t="str"/>
      <x:c r="F101" s="411" t="str"/>
      <x:c r="G101" s="411" t="str"/>
      <x:c r="H101" s="411" t="str"/>
      <x:c r="I101" s="411" t="str"/>
      <x:c r="J101" s="411" t="str"/>
      <x:c r="K101" s="411" t="str"/>
      <x:c r="L101" s="411" t="str"/>
      <x:c r="M101" s="373"/>
      <x:c r="N101" s="373"/>
      <x:c r="O101" s="373"/>
      <x:c r="P101" s="373"/>
      <x:c r="Q101" s="373"/>
      <x:c r="R101" s="373"/>
      <x:c r="S101" s="373"/>
      <x:c r="T101" s="373"/>
      <x:c r="U101" s="373"/>
      <x:c r="V101" s="373"/>
      <x:c r="W101" s="373"/>
      <x:c r="X101" s="373"/>
      <x:c r="Y101" s="373"/>
      <x:c r="Z101" s="373"/>
    </x:row>
    <x:row r="102">
      <x:c r="A102" s="411" t="str"/>
      <x:c r="B102" s="460" t="str"/>
      <x:c r="C102" s="411" t="str"/>
      <x:c r="D102" s="411" t="str"/>
      <x:c r="E102" s="411" t="str"/>
      <x:c r="F102" s="411" t="str"/>
      <x:c r="G102" s="411" t="str"/>
      <x:c r="H102" s="411" t="str"/>
      <x:c r="I102" s="411" t="str"/>
      <x:c r="J102" s="411" t="str"/>
      <x:c r="K102" s="411" t="str"/>
      <x:c r="L102" s="411" t="str"/>
      <x:c r="M102" s="373"/>
      <x:c r="N102" s="373"/>
      <x:c r="O102" s="373"/>
      <x:c r="P102" s="373"/>
      <x:c r="Q102" s="373"/>
      <x:c r="R102" s="373"/>
      <x:c r="S102" s="373"/>
      <x:c r="T102" s="373"/>
      <x:c r="U102" s="373"/>
      <x:c r="V102" s="373"/>
      <x:c r="W102" s="373"/>
      <x:c r="X102" s="373"/>
      <x:c r="Y102" s="373"/>
      <x:c r="Z102" s="373"/>
    </x:row>
    <x:row r="103">
      <x:c r="A103" s="411" t="str"/>
      <x:c r="B103" s="460" t="str"/>
      <x:c r="C103" s="411" t="str"/>
      <x:c r="D103" s="411" t="str"/>
      <x:c r="E103" s="411" t="str"/>
      <x:c r="F103" s="411" t="str"/>
      <x:c r="G103" s="411" t="str"/>
      <x:c r="H103" s="411" t="str"/>
      <x:c r="I103" s="411" t="str"/>
      <x:c r="J103" s="411" t="str"/>
      <x:c r="K103" s="411" t="str"/>
      <x:c r="L103" s="411" t="str"/>
      <x:c r="M103" s="373"/>
      <x:c r="N103" s="373"/>
      <x:c r="O103" s="373"/>
      <x:c r="P103" s="373"/>
      <x:c r="Q103" s="373"/>
      <x:c r="R103" s="373"/>
      <x:c r="S103" s="373"/>
      <x:c r="T103" s="373"/>
      <x:c r="U103" s="373"/>
      <x:c r="V103" s="373"/>
      <x:c r="W103" s="373"/>
      <x:c r="X103" s="373"/>
      <x:c r="Y103" s="373"/>
      <x:c r="Z103" s="373"/>
    </x:row>
    <x:row r="104">
      <x:c r="A104" s="411" t="str"/>
      <x:c r="B104" s="460" t="str"/>
      <x:c r="C104" s="411" t="str"/>
      <x:c r="D104" s="411" t="str"/>
      <x:c r="E104" s="411" t="str"/>
      <x:c r="F104" s="411" t="str"/>
      <x:c r="G104" s="411" t="str"/>
      <x:c r="H104" s="411" t="str"/>
      <x:c r="I104" s="411" t="str"/>
      <x:c r="J104" s="411" t="str"/>
      <x:c r="K104" s="411" t="str"/>
      <x:c r="L104" s="411" t="str"/>
      <x:c r="M104" s="373"/>
      <x:c r="N104" s="373"/>
      <x:c r="O104" s="373"/>
      <x:c r="P104" s="373"/>
      <x:c r="Q104" s="373"/>
      <x:c r="R104" s="373"/>
      <x:c r="S104" s="373"/>
      <x:c r="T104" s="373"/>
      <x:c r="U104" s="373"/>
      <x:c r="V104" s="373"/>
      <x:c r="W104" s="373"/>
      <x:c r="X104" s="373"/>
      <x:c r="Y104" s="373"/>
      <x:c r="Z104" s="373"/>
    </x:row>
    <x:row r="105">
      <x:c r="A105" s="411" t="str"/>
      <x:c r="B105" s="460" t="str"/>
      <x:c r="C105" s="411" t="str"/>
      <x:c r="D105" s="411" t="str"/>
      <x:c r="E105" s="411" t="str"/>
      <x:c r="F105" s="411" t="str"/>
      <x:c r="G105" s="411" t="str"/>
      <x:c r="H105" s="411" t="str"/>
      <x:c r="I105" s="411" t="str"/>
      <x:c r="J105" s="411" t="str"/>
      <x:c r="K105" s="411" t="str"/>
      <x:c r="L105" s="411" t="str"/>
      <x:c r="M105" s="373"/>
      <x:c r="N105" s="373"/>
      <x:c r="O105" s="373"/>
      <x:c r="P105" s="373"/>
      <x:c r="Q105" s="373"/>
      <x:c r="R105" s="373"/>
      <x:c r="S105" s="373"/>
      <x:c r="T105" s="373"/>
      <x:c r="U105" s="373"/>
      <x:c r="V105" s="373"/>
      <x:c r="W105" s="373"/>
      <x:c r="X105" s="373"/>
      <x:c r="Y105" s="373"/>
      <x:c r="Z105" s="373"/>
    </x:row>
    <x:row r="106">
      <x:c r="A106" s="411" t="str"/>
      <x:c r="B106" s="460" t="str"/>
      <x:c r="C106" s="411" t="str"/>
      <x:c r="D106" s="411" t="str"/>
      <x:c r="E106" s="411" t="str"/>
      <x:c r="F106" s="411" t="str"/>
      <x:c r="G106" s="411" t="str"/>
      <x:c r="H106" s="411" t="str"/>
      <x:c r="I106" s="411" t="str"/>
      <x:c r="J106" s="411" t="str"/>
      <x:c r="K106" s="411" t="str"/>
      <x:c r="L106" s="411" t="str"/>
      <x:c r="M106" s="373"/>
      <x:c r="N106" s="373"/>
      <x:c r="O106" s="373"/>
      <x:c r="P106" s="373"/>
      <x:c r="Q106" s="373"/>
      <x:c r="R106" s="373"/>
      <x:c r="S106" s="373"/>
      <x:c r="T106" s="373"/>
      <x:c r="U106" s="373"/>
      <x:c r="V106" s="373"/>
      <x:c r="W106" s="373"/>
      <x:c r="X106" s="373"/>
      <x:c r="Y106" s="373"/>
      <x:c r="Z106" s="373"/>
    </x:row>
    <x:row r="107">
      <x:c r="A107" s="411" t="str"/>
      <x:c r="B107" s="460" t="str"/>
      <x:c r="C107" s="411" t="str"/>
      <x:c r="D107" s="411" t="str"/>
      <x:c r="E107" s="411" t="str"/>
      <x:c r="F107" s="411" t="str"/>
      <x:c r="G107" s="411" t="str"/>
      <x:c r="H107" s="411" t="str"/>
      <x:c r="I107" s="411" t="str"/>
      <x:c r="J107" s="411" t="str"/>
      <x:c r="K107" s="411" t="str"/>
      <x:c r="L107" s="411" t="str"/>
      <x:c r="M107" s="373"/>
      <x:c r="N107" s="373"/>
      <x:c r="O107" s="373"/>
      <x:c r="P107" s="373"/>
      <x:c r="Q107" s="373"/>
      <x:c r="R107" s="373"/>
      <x:c r="S107" s="373"/>
      <x:c r="T107" s="373"/>
      <x:c r="U107" s="373"/>
      <x:c r="V107" s="373"/>
      <x:c r="W107" s="373"/>
      <x:c r="X107" s="373"/>
      <x:c r="Y107" s="373"/>
      <x:c r="Z107" s="373"/>
    </x:row>
    <x:row r="108">
      <x:c r="A108" s="411" t="str"/>
      <x:c r="B108" s="460" t="str"/>
      <x:c r="C108" s="411" t="str"/>
      <x:c r="D108" s="411" t="str"/>
      <x:c r="E108" s="411" t="str"/>
      <x:c r="F108" s="411" t="str"/>
      <x:c r="G108" s="411" t="str"/>
      <x:c r="H108" s="411" t="str"/>
      <x:c r="I108" s="411" t="str"/>
      <x:c r="J108" s="411" t="str"/>
      <x:c r="K108" s="411" t="str"/>
      <x:c r="L108" s="411" t="str"/>
      <x:c r="M108" s="373"/>
      <x:c r="N108" s="373"/>
      <x:c r="O108" s="373"/>
      <x:c r="P108" s="373"/>
      <x:c r="Q108" s="373"/>
      <x:c r="R108" s="373"/>
      <x:c r="S108" s="373"/>
      <x:c r="T108" s="373"/>
      <x:c r="U108" s="373"/>
      <x:c r="V108" s="373"/>
      <x:c r="W108" s="373"/>
      <x:c r="X108" s="373"/>
      <x:c r="Y108" s="373"/>
      <x:c r="Z108" s="373"/>
    </x:row>
    <x:row r="109">
      <x:c r="A109" s="411" t="str"/>
      <x:c r="B109" s="460" t="str"/>
      <x:c r="C109" s="411" t="str"/>
      <x:c r="D109" s="411" t="str"/>
      <x:c r="E109" s="411" t="str"/>
      <x:c r="F109" s="411" t="str"/>
      <x:c r="G109" s="411" t="str"/>
      <x:c r="H109" s="411" t="str"/>
      <x:c r="I109" s="411" t="str"/>
      <x:c r="J109" s="411" t="str"/>
      <x:c r="K109" s="411" t="str"/>
      <x:c r="L109" s="411" t="str"/>
      <x:c r="M109" s="373"/>
      <x:c r="N109" s="373"/>
      <x:c r="O109" s="373"/>
      <x:c r="P109" s="373"/>
      <x:c r="Q109" s="373"/>
      <x:c r="R109" s="373"/>
      <x:c r="S109" s="373"/>
      <x:c r="T109" s="373"/>
      <x:c r="U109" s="373"/>
      <x:c r="V109" s="373"/>
      <x:c r="W109" s="373"/>
      <x:c r="X109" s="373"/>
      <x:c r="Y109" s="373"/>
      <x:c r="Z109" s="373"/>
    </x:row>
    <x:row r="110">
      <x:c r="A110" s="411" t="str"/>
      <x:c r="B110" s="460" t="str"/>
      <x:c r="C110" s="411" t="str"/>
      <x:c r="D110" s="411" t="str"/>
      <x:c r="E110" s="411" t="str"/>
      <x:c r="F110" s="411" t="str"/>
      <x:c r="G110" s="411" t="str"/>
      <x:c r="H110" s="411" t="str"/>
      <x:c r="I110" s="411" t="str"/>
      <x:c r="J110" s="411" t="str"/>
      <x:c r="K110" s="411" t="str"/>
      <x:c r="L110" s="411" t="str"/>
      <x:c r="M110" s="373"/>
      <x:c r="N110" s="373"/>
      <x:c r="O110" s="373"/>
      <x:c r="P110" s="373"/>
      <x:c r="Q110" s="373"/>
      <x:c r="R110" s="373"/>
      <x:c r="S110" s="373"/>
      <x:c r="T110" s="373"/>
      <x:c r="U110" s="373"/>
      <x:c r="V110" s="373"/>
      <x:c r="W110" s="373"/>
      <x:c r="X110" s="373"/>
      <x:c r="Y110" s="373"/>
      <x:c r="Z110" s="373"/>
    </x:row>
    <x:row r="111">
      <x:c r="A111" s="411" t="str"/>
      <x:c r="B111" s="460" t="str"/>
      <x:c r="C111" s="411" t="str"/>
      <x:c r="D111" s="411" t="str"/>
      <x:c r="E111" s="411" t="str"/>
      <x:c r="F111" s="411" t="str"/>
      <x:c r="G111" s="411" t="str"/>
      <x:c r="H111" s="411" t="str"/>
      <x:c r="I111" s="411" t="str"/>
      <x:c r="J111" s="411" t="str"/>
      <x:c r="K111" s="411" t="str"/>
      <x:c r="L111" s="411" t="str"/>
      <x:c r="M111" s="373"/>
      <x:c r="N111" s="373"/>
      <x:c r="O111" s="373"/>
      <x:c r="P111" s="373"/>
      <x:c r="Q111" s="373"/>
      <x:c r="R111" s="373"/>
      <x:c r="S111" s="373"/>
      <x:c r="T111" s="373"/>
      <x:c r="U111" s="373"/>
      <x:c r="V111" s="373"/>
      <x:c r="W111" s="373"/>
      <x:c r="X111" s="373"/>
      <x:c r="Y111" s="373"/>
      <x:c r="Z111" s="373"/>
    </x:row>
    <x:row r="112">
      <x:c r="A112" s="411" t="str"/>
      <x:c r="B112" s="460" t="str"/>
      <x:c r="C112" s="411" t="str"/>
      <x:c r="D112" s="411" t="str"/>
      <x:c r="E112" s="411" t="str"/>
      <x:c r="F112" s="411" t="str"/>
      <x:c r="G112" s="411" t="str"/>
      <x:c r="H112" s="411" t="str"/>
      <x:c r="I112" s="411" t="str"/>
      <x:c r="J112" s="411" t="str"/>
      <x:c r="K112" s="411" t="str"/>
      <x:c r="L112" s="411" t="str"/>
      <x:c r="M112" s="373"/>
      <x:c r="N112" s="373"/>
      <x:c r="O112" s="373"/>
      <x:c r="P112" s="373"/>
      <x:c r="Q112" s="373"/>
      <x:c r="R112" s="373"/>
      <x:c r="S112" s="373"/>
      <x:c r="T112" s="373"/>
      <x:c r="U112" s="373"/>
      <x:c r="V112" s="373"/>
      <x:c r="W112" s="373"/>
      <x:c r="X112" s="373"/>
      <x:c r="Y112" s="373"/>
      <x:c r="Z112" s="373"/>
    </x:row>
    <x:row r="113">
      <x:c r="A113" s="411" t="str"/>
      <x:c r="B113" s="460" t="str"/>
      <x:c r="C113" s="411" t="str"/>
      <x:c r="D113" s="411" t="str"/>
      <x:c r="E113" s="411" t="str"/>
      <x:c r="F113" s="411" t="str"/>
      <x:c r="G113" s="411" t="str"/>
      <x:c r="H113" s="411" t="str"/>
      <x:c r="I113" s="411" t="str"/>
      <x:c r="J113" s="411" t="str"/>
      <x:c r="K113" s="411" t="str"/>
      <x:c r="L113" s="411" t="str"/>
      <x:c r="M113" s="373"/>
      <x:c r="N113" s="373"/>
      <x:c r="O113" s="373"/>
      <x:c r="P113" s="373"/>
      <x:c r="Q113" s="373"/>
      <x:c r="R113" s="373"/>
      <x:c r="S113" s="373"/>
      <x:c r="T113" s="373"/>
      <x:c r="U113" s="373"/>
      <x:c r="V113" s="373"/>
      <x:c r="W113" s="373"/>
      <x:c r="X113" s="373"/>
      <x:c r="Y113" s="373"/>
      <x:c r="Z113" s="373"/>
    </x:row>
    <x:row r="114">
      <x:c r="A114" s="411" t="str"/>
      <x:c r="B114" s="460" t="str"/>
      <x:c r="C114" s="411" t="str"/>
      <x:c r="D114" s="411" t="str"/>
      <x:c r="E114" s="411" t="str"/>
      <x:c r="F114" s="411" t="str"/>
      <x:c r="G114" s="411" t="str"/>
      <x:c r="H114" s="411" t="str"/>
      <x:c r="I114" s="411" t="str"/>
      <x:c r="J114" s="411" t="str"/>
      <x:c r="K114" s="411" t="str"/>
      <x:c r="L114" s="411" t="str"/>
      <x:c r="M114" s="373"/>
      <x:c r="N114" s="373"/>
      <x:c r="O114" s="373"/>
      <x:c r="P114" s="373"/>
      <x:c r="Q114" s="373"/>
      <x:c r="R114" s="373"/>
      <x:c r="S114" s="373"/>
      <x:c r="T114" s="373"/>
      <x:c r="U114" s="373"/>
      <x:c r="V114" s="373"/>
      <x:c r="W114" s="373"/>
      <x:c r="X114" s="373"/>
      <x:c r="Y114" s="373"/>
      <x:c r="Z114" s="373"/>
    </x:row>
    <x:row r="115">
      <x:c r="A115" s="411" t="str"/>
      <x:c r="B115" s="460" t="str"/>
      <x:c r="C115" s="411" t="str"/>
      <x:c r="D115" s="411" t="str"/>
      <x:c r="E115" s="411" t="str"/>
      <x:c r="F115" s="411" t="str"/>
      <x:c r="G115" s="411" t="str"/>
      <x:c r="H115" s="411" t="str"/>
      <x:c r="I115" s="411" t="str"/>
      <x:c r="J115" s="411" t="str"/>
      <x:c r="K115" s="411" t="str"/>
      <x:c r="L115" s="411" t="str"/>
      <x:c r="M115" s="373"/>
      <x:c r="N115" s="373"/>
      <x:c r="O115" s="373"/>
      <x:c r="P115" s="373"/>
      <x:c r="Q115" s="373"/>
      <x:c r="R115" s="373"/>
      <x:c r="S115" s="373"/>
      <x:c r="T115" s="373"/>
      <x:c r="U115" s="373"/>
      <x:c r="V115" s="373"/>
      <x:c r="W115" s="373"/>
      <x:c r="X115" s="373"/>
      <x:c r="Y115" s="373"/>
      <x:c r="Z115" s="373"/>
    </x:row>
    <x:row r="116">
      <x:c r="A116" s="411" t="str"/>
      <x:c r="B116" s="460" t="str"/>
      <x:c r="C116" s="411" t="str"/>
      <x:c r="D116" s="411" t="str"/>
      <x:c r="E116" s="411" t="str"/>
      <x:c r="F116" s="411" t="str"/>
      <x:c r="G116" s="411" t="str"/>
      <x:c r="H116" s="411" t="str"/>
      <x:c r="I116" s="411" t="str"/>
      <x:c r="J116" s="411" t="str"/>
      <x:c r="K116" s="411" t="str"/>
      <x:c r="L116" s="411" t="str"/>
      <x:c r="M116" s="373"/>
      <x:c r="N116" s="373"/>
      <x:c r="O116" s="373"/>
      <x:c r="P116" s="373"/>
      <x:c r="Q116" s="373"/>
      <x:c r="R116" s="373"/>
      <x:c r="S116" s="373"/>
      <x:c r="T116" s="373"/>
      <x:c r="U116" s="373"/>
      <x:c r="V116" s="373"/>
      <x:c r="W116" s="373"/>
      <x:c r="X116" s="373"/>
      <x:c r="Y116" s="373"/>
      <x:c r="Z116" s="373"/>
    </x:row>
    <x:row r="117">
      <x:c r="A117" s="411" t="str"/>
      <x:c r="B117" s="460" t="str"/>
      <x:c r="C117" s="411" t="str"/>
      <x:c r="D117" s="411" t="str"/>
      <x:c r="E117" s="411" t="str"/>
      <x:c r="F117" s="411" t="str"/>
      <x:c r="G117" s="411" t="str"/>
      <x:c r="H117" s="411" t="str"/>
      <x:c r="I117" s="411" t="str"/>
      <x:c r="J117" s="411" t="str"/>
      <x:c r="K117" s="411" t="str"/>
      <x:c r="L117" s="411" t="str"/>
      <x:c r="M117" s="373"/>
      <x:c r="N117" s="373"/>
      <x:c r="O117" s="373"/>
      <x:c r="P117" s="373"/>
      <x:c r="Q117" s="373"/>
      <x:c r="R117" s="373"/>
      <x:c r="S117" s="373"/>
      <x:c r="T117" s="373"/>
      <x:c r="U117" s="373"/>
      <x:c r="V117" s="373"/>
      <x:c r="W117" s="373"/>
      <x:c r="X117" s="373"/>
      <x:c r="Y117" s="373"/>
      <x:c r="Z117" s="373"/>
    </x:row>
    <x:row r="118">
      <x:c r="A118" s="411" t="str"/>
      <x:c r="B118" s="460" t="str"/>
      <x:c r="C118" s="411" t="str"/>
      <x:c r="D118" s="411" t="str"/>
      <x:c r="E118" s="411" t="str"/>
      <x:c r="F118" s="411" t="str"/>
      <x:c r="G118" s="411" t="str"/>
      <x:c r="H118" s="411" t="str"/>
      <x:c r="I118" s="411" t="str"/>
      <x:c r="J118" s="411" t="str"/>
      <x:c r="K118" s="411" t="str"/>
      <x:c r="L118" s="411" t="str"/>
      <x:c r="M118" s="373"/>
      <x:c r="N118" s="373"/>
      <x:c r="O118" s="373"/>
      <x:c r="P118" s="373"/>
      <x:c r="Q118" s="373"/>
      <x:c r="R118" s="373"/>
      <x:c r="S118" s="373"/>
      <x:c r="T118" s="373"/>
      <x:c r="U118" s="373"/>
      <x:c r="V118" s="373"/>
      <x:c r="W118" s="373"/>
      <x:c r="X118" s="373"/>
      <x:c r="Y118" s="373"/>
      <x:c r="Z118" s="373"/>
    </x:row>
    <x:row r="119">
      <x:c r="A119" s="411" t="str"/>
      <x:c r="B119" s="460" t="str"/>
      <x:c r="C119" s="411" t="str"/>
      <x:c r="D119" s="411" t="str"/>
      <x:c r="E119" s="411" t="str"/>
      <x:c r="F119" s="411" t="str"/>
      <x:c r="G119" s="411" t="str"/>
      <x:c r="H119" s="411" t="str"/>
      <x:c r="I119" s="411" t="str"/>
      <x:c r="J119" s="411" t="str"/>
      <x:c r="K119" s="411" t="str"/>
      <x:c r="L119" s="411" t="str"/>
      <x:c r="M119" s="373"/>
      <x:c r="N119" s="373"/>
      <x:c r="O119" s="373"/>
      <x:c r="P119" s="373"/>
      <x:c r="Q119" s="373"/>
      <x:c r="R119" s="373"/>
      <x:c r="S119" s="373"/>
      <x:c r="T119" s="373"/>
      <x:c r="U119" s="373"/>
      <x:c r="V119" s="373"/>
      <x:c r="W119" s="373"/>
      <x:c r="X119" s="373"/>
      <x:c r="Y119" s="373"/>
      <x:c r="Z119" s="373"/>
    </x:row>
    <x:row r="120">
      <x:c r="A120" s="411" t="str"/>
      <x:c r="B120" s="460" t="str"/>
      <x:c r="C120" s="411" t="str"/>
      <x:c r="D120" s="411" t="str"/>
      <x:c r="E120" s="411" t="str"/>
      <x:c r="F120" s="411" t="str"/>
      <x:c r="G120" s="411" t="str"/>
      <x:c r="H120" s="411" t="str"/>
      <x:c r="I120" s="411" t="str"/>
      <x:c r="J120" s="411" t="str"/>
      <x:c r="K120" s="411" t="str"/>
      <x:c r="L120" s="411" t="str"/>
      <x:c r="M120" s="373"/>
      <x:c r="N120" s="373"/>
      <x:c r="O120" s="373"/>
      <x:c r="P120" s="373"/>
      <x:c r="Q120" s="373"/>
      <x:c r="R120" s="373"/>
      <x:c r="S120" s="373"/>
      <x:c r="T120" s="373"/>
      <x:c r="U120" s="373"/>
      <x:c r="V120" s="373"/>
      <x:c r="W120" s="373"/>
      <x:c r="X120" s="373"/>
      <x:c r="Y120" s="373"/>
      <x:c r="Z120" s="373"/>
    </x:row>
    <x:row r="121">
      <x:c r="A121" s="411" t="str"/>
      <x:c r="B121" s="460" t="str"/>
      <x:c r="C121" s="411" t="str"/>
      <x:c r="D121" s="411" t="str"/>
      <x:c r="E121" s="411" t="str"/>
      <x:c r="F121" s="411" t="str"/>
      <x:c r="G121" s="411" t="str"/>
      <x:c r="H121" s="411" t="str"/>
      <x:c r="I121" s="411" t="str"/>
      <x:c r="J121" s="411" t="str"/>
      <x:c r="K121" s="411" t="str"/>
      <x:c r="L121" s="411" t="str"/>
      <x:c r="M121" s="373"/>
      <x:c r="N121" s="373"/>
      <x:c r="O121" s="373"/>
      <x:c r="P121" s="373"/>
      <x:c r="Q121" s="373"/>
      <x:c r="R121" s="373"/>
      <x:c r="S121" s="373"/>
      <x:c r="T121" s="373"/>
      <x:c r="U121" s="373"/>
      <x:c r="V121" s="373"/>
      <x:c r="W121" s="373"/>
      <x:c r="X121" s="373"/>
      <x:c r="Y121" s="373"/>
      <x:c r="Z121" s="373"/>
    </x:row>
    <x:row r="122">
      <x:c r="A122" s="411" t="str"/>
      <x:c r="B122" s="460" t="str"/>
      <x:c r="C122" s="411" t="str"/>
      <x:c r="D122" s="411" t="str"/>
      <x:c r="E122" s="411" t="str"/>
      <x:c r="F122" s="411" t="str"/>
      <x:c r="G122" s="411" t="str"/>
      <x:c r="H122" s="411" t="str"/>
      <x:c r="I122" s="411" t="str"/>
      <x:c r="J122" s="411" t="str"/>
      <x:c r="K122" s="411" t="str"/>
      <x:c r="L122" s="411" t="str"/>
      <x:c r="M122" s="373"/>
      <x:c r="N122" s="373"/>
      <x:c r="O122" s="373"/>
      <x:c r="P122" s="373"/>
      <x:c r="Q122" s="373"/>
      <x:c r="R122" s="373"/>
      <x:c r="S122" s="373"/>
      <x:c r="T122" s="373"/>
      <x:c r="U122" s="373"/>
      <x:c r="V122" s="373"/>
      <x:c r="W122" s="373"/>
      <x:c r="X122" s="373"/>
      <x:c r="Y122" s="373"/>
      <x:c r="Z122" s="373"/>
    </x:row>
    <x:row r="123">
      <x:c r="A123" s="411" t="str"/>
      <x:c r="B123" s="460" t="str"/>
      <x:c r="C123" s="411" t="str"/>
      <x:c r="D123" s="411" t="str"/>
      <x:c r="E123" s="411" t="str"/>
      <x:c r="F123" s="411" t="str"/>
      <x:c r="G123" s="411" t="str"/>
      <x:c r="H123" s="411" t="str"/>
      <x:c r="I123" s="411" t="str"/>
      <x:c r="J123" s="411" t="str"/>
      <x:c r="K123" s="411" t="str"/>
      <x:c r="L123" s="411" t="str"/>
      <x:c r="M123" s="373"/>
      <x:c r="N123" s="373"/>
      <x:c r="O123" s="373"/>
      <x:c r="P123" s="373"/>
      <x:c r="Q123" s="373"/>
      <x:c r="R123" s="373"/>
      <x:c r="S123" s="373"/>
      <x:c r="T123" s="373"/>
      <x:c r="U123" s="373"/>
      <x:c r="V123" s="373"/>
      <x:c r="W123" s="373"/>
      <x:c r="X123" s="373"/>
      <x:c r="Y123" s="373"/>
      <x:c r="Z123" s="373"/>
    </x:row>
    <x:row r="124">
      <x:c r="A124" s="411" t="str"/>
      <x:c r="B124" s="460" t="str"/>
      <x:c r="C124" s="411" t="str"/>
      <x:c r="D124" s="411" t="str"/>
      <x:c r="E124" s="411" t="str"/>
      <x:c r="F124" s="411" t="str"/>
      <x:c r="G124" s="411" t="str"/>
      <x:c r="H124" s="411" t="str"/>
      <x:c r="I124" s="411" t="str"/>
      <x:c r="J124" s="411" t="str"/>
      <x:c r="K124" s="411" t="str"/>
      <x:c r="L124" s="411" t="str"/>
      <x:c r="M124" s="373"/>
      <x:c r="N124" s="373"/>
      <x:c r="O124" s="373"/>
      <x:c r="P124" s="373"/>
      <x:c r="Q124" s="373"/>
      <x:c r="R124" s="373"/>
      <x:c r="S124" s="373"/>
      <x:c r="T124" s="373"/>
      <x:c r="U124" s="373"/>
      <x:c r="V124" s="373"/>
      <x:c r="W124" s="373"/>
      <x:c r="X124" s="373"/>
      <x:c r="Y124" s="373"/>
      <x:c r="Z124" s="373"/>
    </x:row>
    <x:row r="125">
      <x:c r="A125" s="411" t="str"/>
      <x:c r="B125" s="460" t="str"/>
      <x:c r="C125" s="411" t="str"/>
      <x:c r="D125" s="411" t="str"/>
      <x:c r="E125" s="411" t="str"/>
      <x:c r="F125" s="411" t="str"/>
      <x:c r="G125" s="411" t="str"/>
      <x:c r="H125" s="411" t="str"/>
      <x:c r="I125" s="411" t="str"/>
      <x:c r="J125" s="411" t="str"/>
      <x:c r="K125" s="411" t="str"/>
      <x:c r="L125" s="411" t="str"/>
      <x:c r="M125" s="373"/>
      <x:c r="N125" s="373"/>
      <x:c r="O125" s="373"/>
      <x:c r="P125" s="373"/>
      <x:c r="Q125" s="373"/>
      <x:c r="R125" s="373"/>
      <x:c r="S125" s="373"/>
      <x:c r="T125" s="373"/>
      <x:c r="U125" s="373"/>
      <x:c r="V125" s="373"/>
      <x:c r="W125" s="373"/>
      <x:c r="X125" s="373"/>
      <x:c r="Y125" s="373"/>
      <x:c r="Z125" s="373"/>
    </x:row>
    <x:row r="126">
      <x:c r="A126" s="411" t="str"/>
      <x:c r="B126" s="460" t="str"/>
      <x:c r="C126" s="411" t="str"/>
      <x:c r="D126" s="411" t="str"/>
      <x:c r="E126" s="411" t="str"/>
      <x:c r="F126" s="411" t="str"/>
      <x:c r="G126" s="411" t="str"/>
      <x:c r="H126" s="411" t="str"/>
      <x:c r="I126" s="411" t="str"/>
      <x:c r="J126" s="411" t="str"/>
      <x:c r="K126" s="411" t="str"/>
      <x:c r="L126" s="411" t="str"/>
      <x:c r="M126" s="373"/>
      <x:c r="N126" s="373"/>
      <x:c r="O126" s="373"/>
      <x:c r="P126" s="373"/>
      <x:c r="Q126" s="373"/>
      <x:c r="R126" s="373"/>
      <x:c r="S126" s="373"/>
      <x:c r="T126" s="373"/>
      <x:c r="U126" s="373"/>
      <x:c r="V126" s="373"/>
      <x:c r="W126" s="373"/>
      <x:c r="X126" s="373"/>
      <x:c r="Y126" s="373"/>
      <x:c r="Z126" s="373"/>
    </x:row>
    <x:row r="127">
      <x:c r="A127" s="411" t="str"/>
      <x:c r="B127" s="460" t="str"/>
      <x:c r="C127" s="411" t="str"/>
      <x:c r="D127" s="411" t="str"/>
      <x:c r="E127" s="411" t="str"/>
      <x:c r="F127" s="411" t="str"/>
      <x:c r="G127" s="411" t="str"/>
      <x:c r="H127" s="411" t="str"/>
      <x:c r="I127" s="411" t="str"/>
      <x:c r="J127" s="411" t="str"/>
      <x:c r="K127" s="411" t="str"/>
      <x:c r="L127" s="411" t="str"/>
      <x:c r="M127" s="373"/>
      <x:c r="N127" s="373"/>
      <x:c r="O127" s="373"/>
      <x:c r="P127" s="373"/>
      <x:c r="Q127" s="373"/>
      <x:c r="R127" s="373"/>
      <x:c r="S127" s="373"/>
      <x:c r="T127" s="373"/>
      <x:c r="U127" s="373"/>
      <x:c r="V127" s="373"/>
      <x:c r="W127" s="373"/>
      <x:c r="X127" s="373"/>
      <x:c r="Y127" s="373"/>
      <x:c r="Z127" s="373"/>
    </x:row>
    <x:row r="128">
      <x:c r="A128" s="411" t="str"/>
      <x:c r="B128" s="460" t="str"/>
      <x:c r="C128" s="411" t="str"/>
      <x:c r="D128" s="411" t="str"/>
      <x:c r="E128" s="411" t="str"/>
      <x:c r="F128" s="411" t="str"/>
      <x:c r="G128" s="411" t="str"/>
      <x:c r="H128" s="411" t="str"/>
      <x:c r="I128" s="411" t="str"/>
      <x:c r="J128" s="411" t="str"/>
      <x:c r="K128" s="411" t="str"/>
      <x:c r="L128" s="411" t="str"/>
      <x:c r="M128" s="373"/>
      <x:c r="N128" s="373"/>
      <x:c r="O128" s="373"/>
      <x:c r="P128" s="373"/>
      <x:c r="Q128" s="373"/>
      <x:c r="R128" s="373"/>
      <x:c r="S128" s="373"/>
      <x:c r="T128" s="373"/>
      <x:c r="U128" s="373"/>
      <x:c r="V128" s="373"/>
      <x:c r="W128" s="373"/>
      <x:c r="X128" s="373"/>
      <x:c r="Y128" s="373"/>
      <x:c r="Z128" s="373"/>
    </x:row>
    <x:row r="129">
      <x:c r="A129" s="411" t="str"/>
      <x:c r="B129" s="460" t="str"/>
      <x:c r="C129" s="411" t="str"/>
      <x:c r="D129" s="411" t="str"/>
      <x:c r="E129" s="411" t="str"/>
      <x:c r="F129" s="411" t="str"/>
      <x:c r="G129" s="411" t="str"/>
      <x:c r="H129" s="411" t="str"/>
      <x:c r="I129" s="411" t="str"/>
      <x:c r="J129" s="411" t="str"/>
      <x:c r="K129" s="411" t="str"/>
      <x:c r="L129" s="411" t="str"/>
      <x:c r="M129" s="373"/>
      <x:c r="N129" s="373"/>
      <x:c r="O129" s="373"/>
      <x:c r="P129" s="373"/>
      <x:c r="Q129" s="373"/>
      <x:c r="R129" s="373"/>
      <x:c r="S129" s="373"/>
      <x:c r="T129" s="373"/>
      <x:c r="U129" s="373"/>
      <x:c r="V129" s="373"/>
      <x:c r="W129" s="373"/>
      <x:c r="X129" s="373"/>
      <x:c r="Y129" s="373"/>
      <x:c r="Z129" s="373"/>
    </x:row>
    <x:row r="130">
      <x:c r="A130" s="411" t="str"/>
      <x:c r="B130" s="460" t="str"/>
      <x:c r="C130" s="411" t="str"/>
      <x:c r="D130" s="411" t="str"/>
      <x:c r="E130" s="411" t="str"/>
      <x:c r="F130" s="411" t="str"/>
      <x:c r="G130" s="411" t="str"/>
      <x:c r="H130" s="411" t="str"/>
      <x:c r="I130" s="411" t="str"/>
      <x:c r="J130" s="411" t="str"/>
      <x:c r="K130" s="411" t="str"/>
      <x:c r="L130" s="411" t="str"/>
      <x:c r="M130" s="373"/>
      <x:c r="N130" s="373"/>
      <x:c r="O130" s="373"/>
      <x:c r="P130" s="373"/>
      <x:c r="Q130" s="373"/>
      <x:c r="R130" s="373"/>
      <x:c r="S130" s="373"/>
      <x:c r="T130" s="373"/>
      <x:c r="U130" s="373"/>
      <x:c r="V130" s="373"/>
      <x:c r="W130" s="373"/>
      <x:c r="X130" s="373"/>
      <x:c r="Y130" s="373"/>
      <x:c r="Z130" s="373"/>
    </x:row>
    <x:row r="131">
      <x:c r="A131" s="411" t="str"/>
      <x:c r="B131" s="460" t="str"/>
      <x:c r="C131" s="411" t="str"/>
      <x:c r="D131" s="411" t="str"/>
      <x:c r="E131" s="411" t="str"/>
      <x:c r="F131" s="411" t="str"/>
      <x:c r="G131" s="411" t="str"/>
      <x:c r="H131" s="411" t="str"/>
      <x:c r="I131" s="411" t="str"/>
      <x:c r="J131" s="411" t="str"/>
      <x:c r="K131" s="411" t="str"/>
      <x:c r="L131" s="411" t="str"/>
      <x:c r="M131" s="373"/>
      <x:c r="N131" s="373"/>
      <x:c r="O131" s="373"/>
      <x:c r="P131" s="373"/>
      <x:c r="Q131" s="373"/>
      <x:c r="R131" s="373"/>
      <x:c r="S131" s="373"/>
      <x:c r="T131" s="373"/>
      <x:c r="U131" s="373"/>
      <x:c r="V131" s="373"/>
      <x:c r="W131" s="373"/>
      <x:c r="X131" s="373"/>
      <x:c r="Y131" s="373"/>
      <x:c r="Z131" s="373"/>
    </x:row>
    <x:row r="132">
      <x:c r="A132" s="411" t="str"/>
      <x:c r="B132" s="460" t="str"/>
      <x:c r="C132" s="411" t="str"/>
      <x:c r="D132" s="411" t="str"/>
      <x:c r="E132" s="411" t="str"/>
      <x:c r="F132" s="411" t="str"/>
      <x:c r="G132" s="411" t="str"/>
      <x:c r="H132" s="411" t="str"/>
      <x:c r="I132" s="411" t="str"/>
      <x:c r="J132" s="411" t="str"/>
      <x:c r="K132" s="411" t="str"/>
      <x:c r="L132" s="411" t="str"/>
      <x:c r="M132" s="373"/>
      <x:c r="N132" s="373"/>
      <x:c r="O132" s="373"/>
      <x:c r="P132" s="373"/>
      <x:c r="Q132" s="373"/>
      <x:c r="R132" s="373"/>
      <x:c r="S132" s="373"/>
      <x:c r="T132" s="373"/>
      <x:c r="U132" s="373"/>
      <x:c r="V132" s="373"/>
      <x:c r="W132" s="373"/>
      <x:c r="X132" s="373"/>
      <x:c r="Y132" s="373"/>
      <x:c r="Z132" s="373"/>
    </x:row>
    <x:row r="133">
      <x:c r="A133" s="411" t="str"/>
      <x:c r="B133" s="460" t="str"/>
      <x:c r="C133" s="411" t="str"/>
      <x:c r="D133" s="411" t="str"/>
      <x:c r="E133" s="411" t="str"/>
      <x:c r="F133" s="411" t="str"/>
      <x:c r="G133" s="411" t="str"/>
      <x:c r="H133" s="411" t="str"/>
      <x:c r="I133" s="411" t="str"/>
      <x:c r="J133" s="411" t="str"/>
      <x:c r="K133" s="411" t="str"/>
      <x:c r="L133" s="411" t="str"/>
      <x:c r="M133" s="373"/>
      <x:c r="N133" s="373"/>
      <x:c r="O133" s="373"/>
      <x:c r="P133" s="373"/>
      <x:c r="Q133" s="373"/>
      <x:c r="R133" s="373"/>
      <x:c r="S133" s="373"/>
      <x:c r="T133" s="373"/>
      <x:c r="U133" s="373"/>
      <x:c r="V133" s="373"/>
      <x:c r="W133" s="373"/>
      <x:c r="X133" s="373"/>
      <x:c r="Y133" s="373"/>
      <x:c r="Z133" s="373"/>
    </x:row>
    <x:row r="134">
      <x:c r="A134" s="411" t="str"/>
      <x:c r="B134" s="460" t="str"/>
      <x:c r="C134" s="411" t="str"/>
      <x:c r="D134" s="411" t="str"/>
      <x:c r="E134" s="411" t="str"/>
      <x:c r="F134" s="411" t="str"/>
      <x:c r="G134" s="411" t="str"/>
      <x:c r="H134" s="411" t="str"/>
      <x:c r="I134" s="411" t="str"/>
      <x:c r="J134" s="411" t="str"/>
      <x:c r="K134" s="411" t="str"/>
      <x:c r="L134" s="411" t="str"/>
      <x:c r="M134" s="373"/>
      <x:c r="N134" s="373"/>
      <x:c r="O134" s="373"/>
      <x:c r="P134" s="373"/>
      <x:c r="Q134" s="373"/>
      <x:c r="R134" s="373"/>
      <x:c r="S134" s="373"/>
      <x:c r="T134" s="373"/>
      <x:c r="U134" s="373"/>
      <x:c r="V134" s="373"/>
      <x:c r="W134" s="373"/>
      <x:c r="X134" s="373"/>
      <x:c r="Y134" s="373"/>
      <x:c r="Z134" s="373"/>
    </x:row>
    <x:row r="135">
      <x:c r="A135" s="411" t="str"/>
      <x:c r="B135" s="460" t="str"/>
      <x:c r="C135" s="411" t="str"/>
      <x:c r="D135" s="411" t="str"/>
      <x:c r="E135" s="411" t="str"/>
      <x:c r="F135" s="411" t="str"/>
      <x:c r="G135" s="411" t="str"/>
      <x:c r="H135" s="411" t="str"/>
      <x:c r="I135" s="411" t="str"/>
      <x:c r="J135" s="411" t="str"/>
      <x:c r="K135" s="411" t="str"/>
      <x:c r="L135" s="411" t="str"/>
      <x:c r="M135" s="373"/>
      <x:c r="N135" s="373"/>
      <x:c r="O135" s="373"/>
      <x:c r="P135" s="373"/>
      <x:c r="Q135" s="373"/>
      <x:c r="R135" s="373"/>
      <x:c r="S135" s="373"/>
      <x:c r="T135" s="373"/>
      <x:c r="U135" s="373"/>
      <x:c r="V135" s="373"/>
      <x:c r="W135" s="373"/>
      <x:c r="X135" s="373"/>
      <x:c r="Y135" s="373"/>
      <x:c r="Z135" s="373"/>
    </x:row>
    <x:row r="136">
      <x:c r="A136" s="411" t="str"/>
      <x:c r="B136" s="460" t="str"/>
      <x:c r="C136" s="411" t="str"/>
      <x:c r="D136" s="411" t="str"/>
      <x:c r="E136" s="411" t="str"/>
      <x:c r="F136" s="411" t="str"/>
      <x:c r="G136" s="411" t="str"/>
      <x:c r="H136" s="411" t="str"/>
      <x:c r="I136" s="411" t="str"/>
      <x:c r="J136" s="411" t="str"/>
      <x:c r="K136" s="411" t="str"/>
      <x:c r="L136" s="411" t="str"/>
      <x:c r="M136" s="373"/>
      <x:c r="N136" s="373"/>
      <x:c r="O136" s="373"/>
      <x:c r="P136" s="373"/>
      <x:c r="Q136" s="373"/>
      <x:c r="R136" s="373"/>
      <x:c r="S136" s="373"/>
      <x:c r="T136" s="373"/>
      <x:c r="U136" s="373"/>
      <x:c r="V136" s="373"/>
      <x:c r="W136" s="373"/>
      <x:c r="X136" s="373"/>
      <x:c r="Y136" s="373"/>
      <x:c r="Z136" s="373"/>
    </x:row>
    <x:row r="137">
      <x:c r="A137" s="411" t="str"/>
      <x:c r="B137" s="460" t="str"/>
      <x:c r="C137" s="411" t="str"/>
      <x:c r="D137" s="411" t="str"/>
      <x:c r="E137" s="411" t="str"/>
      <x:c r="F137" s="411" t="str"/>
      <x:c r="G137" s="411" t="str"/>
      <x:c r="H137" s="411" t="str"/>
      <x:c r="I137" s="411" t="str"/>
      <x:c r="J137" s="411" t="str"/>
      <x:c r="K137" s="411" t="str"/>
      <x:c r="L137" s="411" t="str"/>
      <x:c r="M137" s="373"/>
      <x:c r="N137" s="373"/>
      <x:c r="O137" s="373"/>
      <x:c r="P137" s="373"/>
      <x:c r="Q137" s="373"/>
      <x:c r="R137" s="373"/>
      <x:c r="S137" s="373"/>
      <x:c r="T137" s="373"/>
      <x:c r="U137" s="373"/>
      <x:c r="V137" s="373"/>
      <x:c r="W137" s="373"/>
      <x:c r="X137" s="373"/>
      <x:c r="Y137" s="373"/>
      <x:c r="Z137" s="373"/>
    </x:row>
    <x:row r="138">
      <x:c r="A138" s="411" t="str"/>
      <x:c r="B138" s="460" t="str"/>
      <x:c r="C138" s="411" t="str"/>
      <x:c r="D138" s="411" t="str"/>
      <x:c r="E138" s="411" t="str"/>
      <x:c r="F138" s="411" t="str"/>
      <x:c r="G138" s="411" t="str"/>
      <x:c r="H138" s="411" t="str"/>
      <x:c r="I138" s="411" t="str"/>
      <x:c r="J138" s="411" t="str"/>
      <x:c r="K138" s="411" t="str"/>
      <x:c r="L138" s="411" t="str"/>
      <x:c r="M138" s="373"/>
      <x:c r="N138" s="373"/>
      <x:c r="O138" s="373"/>
      <x:c r="P138" s="373"/>
      <x:c r="Q138" s="373"/>
      <x:c r="R138" s="373"/>
      <x:c r="S138" s="373"/>
      <x:c r="T138" s="373"/>
      <x:c r="U138" s="373"/>
      <x:c r="V138" s="373"/>
      <x:c r="W138" s="373"/>
      <x:c r="X138" s="373"/>
      <x:c r="Y138" s="373"/>
      <x:c r="Z138" s="373"/>
    </x:row>
    <x:row r="139">
      <x:c r="A139" s="411" t="str"/>
      <x:c r="B139" s="460" t="str"/>
      <x:c r="C139" s="411" t="str"/>
      <x:c r="D139" s="411" t="str"/>
      <x:c r="E139" s="411" t="str"/>
      <x:c r="F139" s="411" t="str"/>
      <x:c r="G139" s="411" t="str"/>
      <x:c r="H139" s="411" t="str"/>
      <x:c r="I139" s="411" t="str"/>
      <x:c r="J139" s="411" t="str"/>
      <x:c r="K139" s="411" t="str"/>
      <x:c r="L139" s="411" t="str"/>
      <x:c r="M139" s="373"/>
      <x:c r="N139" s="373"/>
      <x:c r="O139" s="373"/>
      <x:c r="P139" s="373"/>
      <x:c r="Q139" s="373"/>
      <x:c r="R139" s="373"/>
      <x:c r="S139" s="373"/>
      <x:c r="T139" s="373"/>
      <x:c r="U139" s="373"/>
      <x:c r="V139" s="373"/>
      <x:c r="W139" s="373"/>
      <x:c r="X139" s="373"/>
      <x:c r="Y139" s="373"/>
      <x:c r="Z139" s="373"/>
    </x:row>
    <x:row r="140">
      <x:c r="A140" s="411" t="str"/>
      <x:c r="B140" s="460" t="str"/>
      <x:c r="C140" s="411" t="str"/>
      <x:c r="D140" s="411" t="str"/>
      <x:c r="E140" s="411" t="str"/>
      <x:c r="F140" s="411" t="str"/>
      <x:c r="G140" s="411" t="str"/>
      <x:c r="H140" s="411" t="str"/>
      <x:c r="I140" s="411" t="str"/>
      <x:c r="J140" s="411" t="str"/>
      <x:c r="K140" s="411" t="str"/>
      <x:c r="L140" s="411" t="str"/>
      <x:c r="M140" s="373"/>
      <x:c r="N140" s="373"/>
      <x:c r="O140" s="373"/>
      <x:c r="P140" s="373"/>
      <x:c r="Q140" s="373"/>
      <x:c r="R140" s="373"/>
      <x:c r="S140" s="373"/>
      <x:c r="T140" s="373"/>
      <x:c r="U140" s="373"/>
      <x:c r="V140" s="373"/>
      <x:c r="W140" s="373"/>
      <x:c r="X140" s="373"/>
      <x:c r="Y140" s="373"/>
      <x:c r="Z140" s="373"/>
    </x:row>
    <x:row r="141">
      <x:c r="A141" s="411" t="str"/>
      <x:c r="B141" s="460" t="str"/>
      <x:c r="C141" s="411" t="str"/>
      <x:c r="D141" s="411" t="str"/>
      <x:c r="E141" s="411" t="str"/>
      <x:c r="F141" s="411" t="str"/>
      <x:c r="G141" s="411" t="str"/>
      <x:c r="H141" s="411" t="str"/>
      <x:c r="I141" s="411" t="str"/>
      <x:c r="J141" s="411" t="str"/>
      <x:c r="K141" s="411" t="str"/>
      <x:c r="L141" s="411" t="str"/>
      <x:c r="M141" s="373"/>
      <x:c r="N141" s="373"/>
      <x:c r="O141" s="373"/>
      <x:c r="P141" s="373"/>
      <x:c r="Q141" s="373"/>
      <x:c r="R141" s="373"/>
      <x:c r="S141" s="373"/>
      <x:c r="T141" s="373"/>
      <x:c r="U141" s="373"/>
      <x:c r="V141" s="373"/>
      <x:c r="W141" s="373"/>
      <x:c r="X141" s="373"/>
      <x:c r="Y141" s="373"/>
      <x:c r="Z141" s="373"/>
    </x:row>
    <x:row r="142">
      <x:c r="A142" s="411" t="str"/>
      <x:c r="B142" s="460" t="str"/>
      <x:c r="C142" s="411" t="str"/>
      <x:c r="D142" s="411" t="str"/>
      <x:c r="E142" s="411" t="str"/>
      <x:c r="F142" s="411" t="str"/>
      <x:c r="G142" s="411" t="str"/>
      <x:c r="H142" s="411" t="str"/>
      <x:c r="I142" s="411" t="str"/>
      <x:c r="J142" s="411" t="str"/>
      <x:c r="K142" s="411" t="str"/>
      <x:c r="L142" s="411" t="str"/>
      <x:c r="M142" s="373"/>
      <x:c r="N142" s="373"/>
      <x:c r="O142" s="373"/>
      <x:c r="P142" s="373"/>
      <x:c r="Q142" s="373"/>
      <x:c r="R142" s="373"/>
      <x:c r="S142" s="373"/>
      <x:c r="T142" s="373"/>
      <x:c r="U142" s="373"/>
      <x:c r="V142" s="373"/>
      <x:c r="W142" s="373"/>
      <x:c r="X142" s="373"/>
      <x:c r="Y142" s="373"/>
      <x:c r="Z142" s="373"/>
    </x:row>
    <x:row r="143">
      <x:c r="A143" s="411" t="str"/>
      <x:c r="B143" s="460" t="str"/>
      <x:c r="C143" s="411" t="str"/>
      <x:c r="D143" s="411" t="str"/>
      <x:c r="E143" s="411" t="str"/>
      <x:c r="F143" s="411" t="str"/>
      <x:c r="G143" s="411" t="str"/>
      <x:c r="H143" s="411" t="str"/>
      <x:c r="I143" s="411" t="str"/>
      <x:c r="J143" s="411" t="str"/>
      <x:c r="K143" s="411" t="str"/>
      <x:c r="L143" s="411" t="str"/>
      <x:c r="M143" s="373"/>
      <x:c r="N143" s="373"/>
      <x:c r="O143" s="373"/>
      <x:c r="P143" s="373"/>
      <x:c r="Q143" s="373"/>
      <x:c r="R143" s="373"/>
      <x:c r="S143" s="373"/>
      <x:c r="T143" s="373"/>
      <x:c r="U143" s="373"/>
      <x:c r="V143" s="373"/>
      <x:c r="W143" s="373"/>
      <x:c r="X143" s="373"/>
      <x:c r="Y143" s="373"/>
      <x:c r="Z143" s="373"/>
    </x:row>
    <x:row r="144">
      <x:c r="A144" s="411" t="str"/>
      <x:c r="B144" s="460" t="str"/>
      <x:c r="C144" s="411" t="str"/>
      <x:c r="D144" s="411" t="str"/>
      <x:c r="E144" s="411" t="str"/>
      <x:c r="F144" s="411" t="str"/>
      <x:c r="G144" s="411" t="str"/>
      <x:c r="H144" s="411" t="str"/>
      <x:c r="I144" s="411" t="str"/>
      <x:c r="J144" s="411" t="str"/>
      <x:c r="K144" s="411" t="str"/>
      <x:c r="L144" s="411" t="str"/>
      <x:c r="M144" s="373"/>
      <x:c r="N144" s="373"/>
      <x:c r="O144" s="373"/>
      <x:c r="P144" s="373"/>
      <x:c r="Q144" s="373"/>
      <x:c r="R144" s="373"/>
      <x:c r="S144" s="373"/>
      <x:c r="T144" s="373"/>
      <x:c r="U144" s="373"/>
      <x:c r="V144" s="373"/>
      <x:c r="W144" s="373"/>
      <x:c r="X144" s="373"/>
      <x:c r="Y144" s="373"/>
      <x:c r="Z144" s="373"/>
    </x:row>
    <x:row r="145">
      <x:c r="A145" s="411" t="str"/>
      <x:c r="B145" s="460" t="str"/>
      <x:c r="C145" s="411" t="str"/>
      <x:c r="D145" s="411" t="str"/>
      <x:c r="E145" s="411" t="str"/>
      <x:c r="F145" s="411" t="str"/>
      <x:c r="G145" s="411" t="str"/>
      <x:c r="H145" s="411" t="str"/>
      <x:c r="I145" s="411" t="str"/>
      <x:c r="J145" s="411" t="str"/>
      <x:c r="K145" s="411" t="str"/>
      <x:c r="L145" s="411" t="str"/>
      <x:c r="M145" s="373"/>
      <x:c r="N145" s="373"/>
      <x:c r="O145" s="373"/>
      <x:c r="P145" s="373"/>
      <x:c r="Q145" s="373"/>
      <x:c r="R145" s="373"/>
      <x:c r="S145" s="373"/>
      <x:c r="T145" s="373"/>
      <x:c r="U145" s="373"/>
      <x:c r="V145" s="373"/>
      <x:c r="W145" s="373"/>
      <x:c r="X145" s="373"/>
      <x:c r="Y145" s="373"/>
      <x:c r="Z145" s="373"/>
    </x:row>
    <x:row r="146">
      <x:c r="A146" s="411" t="str"/>
      <x:c r="B146" s="460" t="str"/>
      <x:c r="C146" s="411" t="str"/>
      <x:c r="D146" s="411" t="str"/>
      <x:c r="E146" s="411" t="str"/>
      <x:c r="F146" s="411" t="str"/>
      <x:c r="G146" s="411" t="str"/>
      <x:c r="H146" s="411" t="str"/>
      <x:c r="I146" s="411" t="str"/>
      <x:c r="J146" s="411" t="str"/>
      <x:c r="K146" s="411" t="str"/>
      <x:c r="L146" s="411" t="str"/>
      <x:c r="M146" s="373"/>
      <x:c r="N146" s="373"/>
      <x:c r="O146" s="373"/>
      <x:c r="P146" s="373"/>
      <x:c r="Q146" s="373"/>
      <x:c r="R146" s="373"/>
      <x:c r="S146" s="373"/>
      <x:c r="T146" s="373"/>
      <x:c r="U146" s="373"/>
      <x:c r="V146" s="373"/>
      <x:c r="W146" s="373"/>
      <x:c r="X146" s="373"/>
      <x:c r="Y146" s="373"/>
      <x:c r="Z146" s="373"/>
    </x:row>
    <x:row r="147">
      <x:c r="A147" s="411" t="str"/>
      <x:c r="B147" s="460" t="str"/>
      <x:c r="C147" s="411" t="str"/>
      <x:c r="D147" s="411" t="str"/>
      <x:c r="E147" s="411" t="str"/>
      <x:c r="F147" s="411" t="str"/>
      <x:c r="G147" s="411" t="str"/>
      <x:c r="H147" s="411" t="str"/>
      <x:c r="I147" s="411" t="str"/>
      <x:c r="J147" s="411" t="str"/>
      <x:c r="K147" s="411" t="str"/>
      <x:c r="L147" s="411" t="str"/>
      <x:c r="M147" s="373"/>
      <x:c r="N147" s="373"/>
      <x:c r="O147" s="373"/>
      <x:c r="P147" s="373"/>
      <x:c r="Q147" s="373"/>
      <x:c r="R147" s="373"/>
      <x:c r="S147" s="373"/>
      <x:c r="T147" s="373"/>
      <x:c r="U147" s="373"/>
      <x:c r="V147" s="373"/>
      <x:c r="W147" s="373"/>
      <x:c r="X147" s="373"/>
      <x:c r="Y147" s="373"/>
      <x:c r="Z147" s="373"/>
    </x:row>
    <x:row r="148">
      <x:c r="A148" s="411" t="str"/>
      <x:c r="B148" s="460" t="str"/>
      <x:c r="C148" s="411" t="str"/>
      <x:c r="D148" s="411" t="str"/>
      <x:c r="E148" s="411" t="str"/>
      <x:c r="F148" s="411" t="str"/>
      <x:c r="G148" s="411" t="str"/>
      <x:c r="H148" s="411" t="str"/>
      <x:c r="I148" s="411" t="str"/>
      <x:c r="J148" s="411" t="str"/>
      <x:c r="K148" s="411" t="str"/>
      <x:c r="L148" s="411" t="str"/>
      <x:c r="M148" s="373"/>
      <x:c r="N148" s="373"/>
      <x:c r="O148" s="373"/>
      <x:c r="P148" s="373"/>
      <x:c r="Q148" s="373"/>
      <x:c r="R148" s="373"/>
      <x:c r="S148" s="373"/>
      <x:c r="T148" s="373"/>
      <x:c r="U148" s="373"/>
      <x:c r="V148" s="373"/>
      <x:c r="W148" s="373"/>
      <x:c r="X148" s="373"/>
      <x:c r="Y148" s="373"/>
      <x:c r="Z148" s="373"/>
    </x:row>
    <x:row r="149">
      <x:c r="A149" s="411" t="str"/>
      <x:c r="B149" s="460" t="str"/>
      <x:c r="C149" s="411" t="str"/>
      <x:c r="D149" s="411" t="str"/>
      <x:c r="E149" s="411" t="str"/>
      <x:c r="F149" s="411" t="str"/>
      <x:c r="G149" s="411" t="str"/>
      <x:c r="H149" s="411" t="str"/>
      <x:c r="I149" s="411" t="str"/>
      <x:c r="J149" s="411" t="str"/>
      <x:c r="K149" s="411" t="str"/>
      <x:c r="L149" s="411" t="str"/>
      <x:c r="M149" s="373"/>
      <x:c r="N149" s="373"/>
      <x:c r="O149" s="373"/>
      <x:c r="P149" s="373"/>
      <x:c r="Q149" s="373"/>
      <x:c r="R149" s="373"/>
      <x:c r="S149" s="373"/>
      <x:c r="T149" s="373"/>
      <x:c r="U149" s="373"/>
      <x:c r="V149" s="373"/>
      <x:c r="W149" s="373"/>
      <x:c r="X149" s="373"/>
      <x:c r="Y149" s="373"/>
      <x:c r="Z149" s="373"/>
    </x:row>
    <x:row r="150">
      <x:c r="A150" s="411" t="str"/>
      <x:c r="B150" s="460" t="str"/>
      <x:c r="C150" s="411" t="str"/>
      <x:c r="D150" s="411" t="str"/>
      <x:c r="E150" s="411" t="str"/>
      <x:c r="F150" s="411" t="str"/>
      <x:c r="G150" s="411" t="str"/>
      <x:c r="H150" s="411" t="str"/>
      <x:c r="I150" s="411" t="str"/>
      <x:c r="J150" s="411" t="str"/>
      <x:c r="K150" s="411" t="str"/>
      <x:c r="L150" s="411" t="str"/>
      <x:c r="M150" s="373"/>
      <x:c r="N150" s="373"/>
      <x:c r="O150" s="373"/>
      <x:c r="P150" s="373"/>
      <x:c r="Q150" s="373"/>
      <x:c r="R150" s="373"/>
      <x:c r="S150" s="373"/>
      <x:c r="T150" s="373"/>
      <x:c r="U150" s="373"/>
      <x:c r="V150" s="373"/>
      <x:c r="W150" s="373"/>
      <x:c r="X150" s="373"/>
      <x:c r="Y150" s="373"/>
      <x:c r="Z150" s="373"/>
    </x:row>
    <x:row r="151">
      <x:c r="A151" s="411" t="str"/>
      <x:c r="B151" s="460" t="str"/>
      <x:c r="C151" s="411" t="str"/>
      <x:c r="D151" s="411" t="str"/>
      <x:c r="E151" s="411" t="str"/>
      <x:c r="F151" s="411" t="str"/>
      <x:c r="G151" s="411" t="str"/>
      <x:c r="H151" s="411" t="str"/>
      <x:c r="I151" s="411" t="str"/>
      <x:c r="J151" s="411" t="str"/>
      <x:c r="K151" s="411" t="str"/>
      <x:c r="L151" s="411" t="str"/>
      <x:c r="M151" s="373"/>
      <x:c r="N151" s="373"/>
      <x:c r="O151" s="373"/>
      <x:c r="P151" s="373"/>
      <x:c r="Q151" s="373"/>
      <x:c r="R151" s="373"/>
      <x:c r="S151" s="373"/>
      <x:c r="T151" s="373"/>
      <x:c r="U151" s="373"/>
      <x:c r="V151" s="373"/>
      <x:c r="W151" s="373"/>
      <x:c r="X151" s="373"/>
      <x:c r="Y151" s="373"/>
      <x:c r="Z151" s="373"/>
    </x:row>
    <x:row r="152">
      <x:c r="A152" s="411" t="str"/>
      <x:c r="B152" s="460" t="str"/>
      <x:c r="C152" s="411" t="str"/>
      <x:c r="D152" s="411" t="str"/>
      <x:c r="E152" s="411" t="str"/>
      <x:c r="F152" s="411" t="str"/>
      <x:c r="G152" s="411" t="str"/>
      <x:c r="H152" s="411" t="str"/>
      <x:c r="I152" s="411" t="str"/>
      <x:c r="J152" s="411" t="str"/>
      <x:c r="K152" s="411" t="str"/>
      <x:c r="L152" s="411" t="str"/>
      <x:c r="M152" s="373"/>
      <x:c r="N152" s="373"/>
      <x:c r="O152" s="373"/>
      <x:c r="P152" s="373"/>
      <x:c r="Q152" s="373"/>
      <x:c r="R152" s="373"/>
      <x:c r="S152" s="373"/>
      <x:c r="T152" s="373"/>
      <x:c r="U152" s="373"/>
      <x:c r="V152" s="373"/>
      <x:c r="W152" s="373"/>
      <x:c r="X152" s="373"/>
      <x:c r="Y152" s="373"/>
      <x:c r="Z152" s="373"/>
    </x:row>
    <x:row r="153">
      <x:c r="A153" s="411" t="str"/>
      <x:c r="B153" s="460" t="str"/>
      <x:c r="C153" s="411" t="str"/>
      <x:c r="D153" s="411" t="str"/>
      <x:c r="E153" s="411" t="str"/>
      <x:c r="F153" s="411" t="str"/>
      <x:c r="G153" s="411" t="str"/>
      <x:c r="H153" s="411" t="str"/>
      <x:c r="I153" s="411" t="str"/>
      <x:c r="J153" s="411" t="str"/>
      <x:c r="K153" s="411" t="str"/>
      <x:c r="L153" s="411" t="str"/>
      <x:c r="M153" s="373"/>
      <x:c r="N153" s="373"/>
      <x:c r="O153" s="373"/>
      <x:c r="P153" s="373"/>
      <x:c r="Q153" s="373"/>
      <x:c r="R153" s="373"/>
      <x:c r="S153" s="373"/>
      <x:c r="T153" s="373"/>
      <x:c r="U153" s="373"/>
      <x:c r="V153" s="373"/>
      <x:c r="W153" s="373"/>
      <x:c r="X153" s="373"/>
      <x:c r="Y153" s="373"/>
      <x:c r="Z153" s="373"/>
    </x:row>
    <x:row r="154">
      <x:c r="A154" s="411" t="str"/>
      <x:c r="B154" s="460" t="str"/>
      <x:c r="C154" s="411" t="str"/>
      <x:c r="D154" s="411" t="str"/>
      <x:c r="E154" s="411" t="str"/>
      <x:c r="F154" s="411" t="str"/>
      <x:c r="G154" s="411" t="str"/>
      <x:c r="H154" s="411" t="str"/>
      <x:c r="I154" s="411" t="str"/>
      <x:c r="J154" s="411" t="str"/>
      <x:c r="K154" s="411" t="str"/>
      <x:c r="L154" s="411" t="str"/>
      <x:c r="M154" s="373"/>
      <x:c r="N154" s="373"/>
      <x:c r="O154" s="373"/>
      <x:c r="P154" s="373"/>
      <x:c r="Q154" s="373"/>
      <x:c r="R154" s="373"/>
      <x:c r="S154" s="373"/>
      <x:c r="T154" s="373"/>
      <x:c r="U154" s="373"/>
      <x:c r="V154" s="373"/>
      <x:c r="W154" s="373"/>
      <x:c r="X154" s="373"/>
      <x:c r="Y154" s="373"/>
      <x:c r="Z154" s="373"/>
    </x:row>
    <x:row r="155">
      <x:c r="A155" s="411" t="str"/>
      <x:c r="B155" s="460" t="str"/>
      <x:c r="C155" s="411" t="str"/>
      <x:c r="D155" s="411" t="str"/>
      <x:c r="E155" s="411" t="str"/>
      <x:c r="F155" s="411" t="str"/>
      <x:c r="G155" s="411" t="str"/>
      <x:c r="H155" s="411" t="str"/>
      <x:c r="I155" s="411" t="str"/>
      <x:c r="J155" s="411" t="str"/>
      <x:c r="K155" s="411" t="str"/>
      <x:c r="L155" s="411" t="str"/>
      <x:c r="M155" s="373"/>
      <x:c r="N155" s="373"/>
      <x:c r="O155" s="373"/>
      <x:c r="P155" s="373"/>
      <x:c r="Q155" s="373"/>
      <x:c r="R155" s="373"/>
      <x:c r="S155" s="373"/>
      <x:c r="T155" s="373"/>
      <x:c r="U155" s="373"/>
      <x:c r="V155" s="373"/>
      <x:c r="W155" s="373"/>
      <x:c r="X155" s="373"/>
      <x:c r="Y155" s="373"/>
      <x:c r="Z155" s="373"/>
    </x:row>
    <x:row r="156">
      <x:c r="A156" s="411" t="str"/>
      <x:c r="B156" s="460" t="str"/>
      <x:c r="C156" s="411" t="str"/>
      <x:c r="D156" s="411" t="str"/>
      <x:c r="E156" s="411" t="str"/>
      <x:c r="F156" s="411" t="str"/>
      <x:c r="G156" s="411" t="str"/>
      <x:c r="H156" s="411" t="str"/>
      <x:c r="I156" s="411" t="str"/>
      <x:c r="J156" s="411" t="str"/>
      <x:c r="K156" s="411" t="str"/>
      <x:c r="L156" s="411" t="str"/>
      <x:c r="M156" s="373"/>
      <x:c r="N156" s="373"/>
      <x:c r="O156" s="373"/>
      <x:c r="P156" s="373"/>
      <x:c r="Q156" s="373"/>
      <x:c r="R156" s="373"/>
      <x:c r="S156" s="373"/>
      <x:c r="T156" s="373"/>
      <x:c r="U156" s="373"/>
      <x:c r="V156" s="373"/>
      <x:c r="W156" s="373"/>
      <x:c r="X156" s="373"/>
      <x:c r="Y156" s="373"/>
      <x:c r="Z156" s="373"/>
    </x:row>
    <x:row r="157">
      <x:c r="A157" s="411" t="str"/>
      <x:c r="B157" s="460" t="str"/>
      <x:c r="C157" s="411" t="str"/>
      <x:c r="D157" s="411" t="str"/>
      <x:c r="E157" s="411" t="str"/>
      <x:c r="F157" s="411" t="str"/>
      <x:c r="G157" s="411" t="str"/>
      <x:c r="H157" s="411" t="str"/>
      <x:c r="I157" s="411" t="str"/>
      <x:c r="J157" s="411" t="str"/>
      <x:c r="K157" s="411" t="str"/>
      <x:c r="L157" s="411" t="str"/>
      <x:c r="M157" s="373"/>
      <x:c r="N157" s="373"/>
      <x:c r="O157" s="373"/>
      <x:c r="P157" s="373"/>
      <x:c r="Q157" s="373"/>
      <x:c r="R157" s="373"/>
      <x:c r="S157" s="373"/>
      <x:c r="T157" s="373"/>
      <x:c r="U157" s="373"/>
      <x:c r="V157" s="373"/>
      <x:c r="W157" s="373"/>
      <x:c r="X157" s="373"/>
      <x:c r="Y157" s="373"/>
      <x:c r="Z157" s="373"/>
    </x:row>
    <x:row r="158">
      <x:c r="A158" s="411" t="str"/>
      <x:c r="B158" s="460" t="str"/>
      <x:c r="C158" s="411" t="str"/>
      <x:c r="D158" s="411" t="str"/>
      <x:c r="E158" s="411" t="str"/>
      <x:c r="F158" s="411" t="str"/>
      <x:c r="G158" s="411" t="str"/>
      <x:c r="H158" s="411" t="str"/>
      <x:c r="I158" s="411" t="str"/>
      <x:c r="J158" s="411" t="str"/>
      <x:c r="K158" s="411" t="str"/>
      <x:c r="L158" s="411" t="str"/>
      <x:c r="M158" s="373"/>
      <x:c r="N158" s="373"/>
      <x:c r="O158" s="373"/>
      <x:c r="P158" s="373"/>
      <x:c r="Q158" s="373"/>
      <x:c r="R158" s="373"/>
      <x:c r="S158" s="373"/>
      <x:c r="T158" s="373"/>
      <x:c r="U158" s="373"/>
      <x:c r="V158" s="373"/>
      <x:c r="W158" s="373"/>
      <x:c r="X158" s="373"/>
      <x:c r="Y158" s="373"/>
      <x:c r="Z158" s="373"/>
    </x:row>
    <x:row r="159">
      <x:c r="A159" s="411" t="str"/>
      <x:c r="B159" s="460" t="str"/>
      <x:c r="C159" s="411" t="str"/>
      <x:c r="D159" s="411" t="str"/>
      <x:c r="E159" s="411" t="str"/>
      <x:c r="F159" s="411" t="str"/>
      <x:c r="G159" s="411" t="str"/>
      <x:c r="H159" s="411" t="str"/>
      <x:c r="I159" s="411" t="str"/>
      <x:c r="J159" s="411" t="str"/>
      <x:c r="K159" s="411" t="str"/>
      <x:c r="L159" s="411" t="str"/>
      <x:c r="M159" s="373"/>
      <x:c r="N159" s="373"/>
      <x:c r="O159" s="373"/>
      <x:c r="P159" s="373"/>
      <x:c r="Q159" s="373"/>
      <x:c r="R159" s="373"/>
      <x:c r="S159" s="373"/>
      <x:c r="T159" s="373"/>
      <x:c r="U159" s="373"/>
      <x:c r="V159" s="373"/>
      <x:c r="W159" s="373"/>
      <x:c r="X159" s="373"/>
      <x:c r="Y159" s="373"/>
      <x:c r="Z159" s="373"/>
    </x:row>
    <x:row r="160">
      <x:c r="A160" s="411" t="str"/>
      <x:c r="B160" s="460" t="str"/>
      <x:c r="C160" s="411" t="str"/>
      <x:c r="D160" s="411" t="str"/>
      <x:c r="E160" s="411" t="str"/>
      <x:c r="F160" s="411" t="str"/>
      <x:c r="G160" s="411" t="str"/>
      <x:c r="H160" s="411" t="str"/>
      <x:c r="I160" s="411" t="str"/>
      <x:c r="J160" s="411" t="str"/>
      <x:c r="K160" s="411" t="str"/>
      <x:c r="L160" s="411" t="str"/>
      <x:c r="M160" s="373"/>
      <x:c r="N160" s="373"/>
      <x:c r="O160" s="373"/>
      <x:c r="P160" s="373"/>
      <x:c r="Q160" s="373"/>
      <x:c r="R160" s="373"/>
      <x:c r="S160" s="373"/>
      <x:c r="T160" s="373"/>
      <x:c r="U160" s="373"/>
      <x:c r="V160" s="373"/>
      <x:c r="W160" s="373"/>
      <x:c r="X160" s="373"/>
      <x:c r="Y160" s="373"/>
      <x:c r="Z160" s="373"/>
    </x:row>
    <x:row r="161">
      <x:c r="A161" s="411" t="str"/>
      <x:c r="B161" s="460" t="str"/>
      <x:c r="C161" s="411" t="str"/>
      <x:c r="D161" s="411" t="str"/>
      <x:c r="E161" s="411" t="str"/>
      <x:c r="F161" s="411" t="str"/>
      <x:c r="G161" s="411" t="str"/>
      <x:c r="H161" s="411" t="str"/>
      <x:c r="I161" s="411" t="str"/>
      <x:c r="J161" s="411" t="str"/>
      <x:c r="K161" s="411" t="str"/>
      <x:c r="L161" s="411" t="str"/>
      <x:c r="M161" s="373"/>
      <x:c r="N161" s="373"/>
      <x:c r="O161" s="373"/>
      <x:c r="P161" s="373"/>
      <x:c r="Q161" s="373"/>
      <x:c r="R161" s="373"/>
      <x:c r="S161" s="373"/>
      <x:c r="T161" s="373"/>
      <x:c r="U161" s="373"/>
      <x:c r="V161" s="373"/>
      <x:c r="W161" s="373"/>
      <x:c r="X161" s="373"/>
      <x:c r="Y161" s="373"/>
      <x:c r="Z161" s="373"/>
    </x:row>
    <x:row r="162">
      <x:c r="A162" s="411" t="str"/>
      <x:c r="B162" s="460" t="str"/>
      <x:c r="C162" s="411" t="str"/>
      <x:c r="D162" s="411" t="str"/>
      <x:c r="E162" s="411" t="str"/>
      <x:c r="F162" s="411" t="str"/>
      <x:c r="G162" s="411" t="str"/>
      <x:c r="H162" s="411" t="str"/>
      <x:c r="I162" s="411" t="str"/>
      <x:c r="J162" s="411" t="str"/>
      <x:c r="K162" s="411" t="str"/>
      <x:c r="L162" s="411" t="str"/>
      <x:c r="M162" s="373"/>
      <x:c r="N162" s="373"/>
      <x:c r="O162" s="373"/>
      <x:c r="P162" s="373"/>
      <x:c r="Q162" s="373"/>
      <x:c r="R162" s="373"/>
      <x:c r="S162" s="373"/>
      <x:c r="T162" s="373"/>
      <x:c r="U162" s="373"/>
      <x:c r="V162" s="373"/>
      <x:c r="W162" s="373"/>
      <x:c r="X162" s="373"/>
      <x:c r="Y162" s="373"/>
      <x:c r="Z162" s="373"/>
    </x:row>
    <x:row r="163">
      <x:c r="A163" s="411" t="str"/>
      <x:c r="B163" s="460" t="str"/>
      <x:c r="C163" s="411" t="str"/>
      <x:c r="D163" s="411" t="str"/>
      <x:c r="E163" s="411" t="str"/>
      <x:c r="F163" s="411" t="str"/>
      <x:c r="G163" s="411" t="str"/>
      <x:c r="H163" s="411" t="str"/>
      <x:c r="I163" s="411" t="str"/>
      <x:c r="J163" s="411" t="str"/>
      <x:c r="K163" s="411" t="str"/>
      <x:c r="L163" s="411" t="str"/>
      <x:c r="M163" s="373"/>
      <x:c r="N163" s="373"/>
      <x:c r="O163" s="373"/>
      <x:c r="P163" s="373"/>
      <x:c r="Q163" s="373"/>
      <x:c r="R163" s="373"/>
      <x:c r="S163" s="373"/>
      <x:c r="T163" s="373"/>
      <x:c r="U163" s="373"/>
      <x:c r="V163" s="373"/>
      <x:c r="W163" s="373"/>
      <x:c r="X163" s="373"/>
      <x:c r="Y163" s="373"/>
      <x:c r="Z163" s="373"/>
    </x:row>
    <x:row r="164">
      <x:c r="A164" s="411" t="str"/>
      <x:c r="B164" s="460" t="str"/>
      <x:c r="C164" s="411" t="str"/>
      <x:c r="D164" s="411" t="str"/>
      <x:c r="E164" s="411" t="str"/>
      <x:c r="F164" s="411" t="str"/>
      <x:c r="G164" s="411" t="str"/>
      <x:c r="H164" s="411" t="str"/>
      <x:c r="I164" s="411" t="str"/>
      <x:c r="J164" s="411" t="str"/>
      <x:c r="K164" s="411" t="str"/>
      <x:c r="L164" s="411" t="str"/>
      <x:c r="M164" s="373"/>
      <x:c r="N164" s="373"/>
      <x:c r="O164" s="373"/>
      <x:c r="P164" s="373"/>
      <x:c r="Q164" s="373"/>
      <x:c r="R164" s="373"/>
      <x:c r="S164" s="373"/>
      <x:c r="T164" s="373"/>
      <x:c r="U164" s="373"/>
      <x:c r="V164" s="373"/>
      <x:c r="W164" s="373"/>
      <x:c r="X164" s="373"/>
      <x:c r="Y164" s="373"/>
      <x:c r="Z164" s="373"/>
    </x:row>
    <x:row r="165">
      <x:c r="A165" s="411" t="str"/>
      <x:c r="B165" s="460" t="str"/>
      <x:c r="C165" s="411" t="str"/>
      <x:c r="D165" s="411" t="str"/>
      <x:c r="E165" s="411" t="str"/>
      <x:c r="F165" s="411" t="str"/>
      <x:c r="G165" s="411" t="str"/>
      <x:c r="H165" s="411" t="str"/>
      <x:c r="I165" s="411" t="str"/>
      <x:c r="J165" s="411" t="str"/>
      <x:c r="K165" s="411" t="str"/>
      <x:c r="L165" s="411" t="str"/>
      <x:c r="M165" s="373"/>
      <x:c r="N165" s="373"/>
      <x:c r="O165" s="373"/>
      <x:c r="P165" s="373"/>
      <x:c r="Q165" s="373"/>
      <x:c r="R165" s="373"/>
      <x:c r="S165" s="373"/>
      <x:c r="T165" s="373"/>
      <x:c r="U165" s="373"/>
      <x:c r="V165" s="373"/>
      <x:c r="W165" s="373"/>
      <x:c r="X165" s="373"/>
      <x:c r="Y165" s="373"/>
      <x:c r="Z165" s="373"/>
    </x:row>
    <x:row r="166">
      <x:c r="A166" s="411" t="str"/>
      <x:c r="B166" s="460" t="str"/>
      <x:c r="C166" s="411" t="str"/>
      <x:c r="D166" s="411" t="str"/>
      <x:c r="E166" s="411" t="str"/>
      <x:c r="F166" s="411" t="str"/>
      <x:c r="G166" s="411" t="str"/>
      <x:c r="H166" s="411" t="str"/>
      <x:c r="I166" s="411" t="str"/>
      <x:c r="J166" s="411" t="str"/>
      <x:c r="K166" s="411" t="str"/>
      <x:c r="L166" s="411" t="str"/>
      <x:c r="M166" s="373"/>
      <x:c r="N166" s="373"/>
      <x:c r="O166" s="373"/>
      <x:c r="P166" s="373"/>
      <x:c r="Q166" s="373"/>
      <x:c r="R166" s="373"/>
      <x:c r="S166" s="373"/>
      <x:c r="T166" s="373"/>
      <x:c r="U166" s="373"/>
      <x:c r="V166" s="373"/>
      <x:c r="W166" s="373"/>
      <x:c r="X166" s="373"/>
      <x:c r="Y166" s="373"/>
      <x:c r="Z166" s="373"/>
    </x:row>
    <x:row r="167">
      <x:c r="A167" s="411" t="str"/>
      <x:c r="B167" s="460" t="str"/>
      <x:c r="C167" s="411" t="str"/>
      <x:c r="D167" s="411" t="str"/>
      <x:c r="E167" s="411" t="str"/>
      <x:c r="F167" s="411" t="str"/>
      <x:c r="G167" s="411" t="str"/>
      <x:c r="H167" s="411" t="str"/>
      <x:c r="I167" s="411" t="str"/>
      <x:c r="J167" s="411" t="str"/>
      <x:c r="K167" s="411" t="str"/>
      <x:c r="L167" s="411" t="str"/>
      <x:c r="M167" s="373"/>
      <x:c r="N167" s="373"/>
      <x:c r="O167" s="373"/>
      <x:c r="P167" s="373"/>
      <x:c r="Q167" s="373"/>
      <x:c r="R167" s="373"/>
      <x:c r="S167" s="373"/>
      <x:c r="T167" s="373"/>
      <x:c r="U167" s="373"/>
      <x:c r="V167" s="373"/>
      <x:c r="W167" s="373"/>
      <x:c r="X167" s="373"/>
      <x:c r="Y167" s="373"/>
      <x:c r="Z167" s="373"/>
    </x:row>
    <x:row r="168">
      <x:c r="A168" s="411" t="str"/>
      <x:c r="B168" s="460" t="str"/>
      <x:c r="C168" s="411" t="str"/>
      <x:c r="D168" s="411" t="str"/>
      <x:c r="E168" s="411" t="str"/>
      <x:c r="F168" s="411" t="str"/>
      <x:c r="G168" s="411" t="str"/>
      <x:c r="H168" s="411" t="str"/>
      <x:c r="I168" s="411" t="str"/>
      <x:c r="J168" s="411" t="str"/>
      <x:c r="K168" s="411" t="str"/>
      <x:c r="L168" s="411" t="str"/>
      <x:c r="M168" s="373"/>
      <x:c r="N168" s="373"/>
      <x:c r="O168" s="373"/>
      <x:c r="P168" s="373"/>
      <x:c r="Q168" s="373"/>
      <x:c r="R168" s="373"/>
      <x:c r="S168" s="373"/>
      <x:c r="T168" s="373"/>
      <x:c r="U168" s="373"/>
      <x:c r="V168" s="373"/>
      <x:c r="W168" s="373"/>
      <x:c r="X168" s="373"/>
      <x:c r="Y168" s="373"/>
      <x:c r="Z168" s="373"/>
    </x:row>
    <x:row r="169">
      <x:c r="A169" s="411" t="str"/>
      <x:c r="B169" s="460" t="str"/>
      <x:c r="C169" s="411" t="str"/>
      <x:c r="D169" s="411" t="str"/>
      <x:c r="E169" s="411" t="str"/>
      <x:c r="F169" s="411" t="str"/>
      <x:c r="G169" s="411" t="str"/>
      <x:c r="H169" s="411" t="str"/>
      <x:c r="I169" s="411" t="str"/>
      <x:c r="J169" s="411" t="str"/>
      <x:c r="K169" s="411" t="str"/>
      <x:c r="L169" s="411" t="str"/>
      <x:c r="M169" s="373"/>
      <x:c r="N169" s="373"/>
      <x:c r="O169" s="373"/>
      <x:c r="P169" s="373"/>
      <x:c r="Q169" s="373"/>
      <x:c r="R169" s="373"/>
      <x:c r="S169" s="373"/>
      <x:c r="T169" s="373"/>
      <x:c r="U169" s="373"/>
      <x:c r="V169" s="373"/>
      <x:c r="W169" s="373"/>
      <x:c r="X169" s="373"/>
      <x:c r="Y169" s="373"/>
      <x:c r="Z169" s="373"/>
    </x:row>
    <x:row r="170">
      <x:c r="A170" s="411" t="str"/>
      <x:c r="B170" s="460" t="str"/>
      <x:c r="C170" s="411" t="str"/>
      <x:c r="D170" s="411" t="str"/>
      <x:c r="E170" s="411" t="str"/>
      <x:c r="F170" s="411" t="str"/>
      <x:c r="G170" s="411" t="str"/>
      <x:c r="H170" s="411" t="str"/>
      <x:c r="I170" s="411" t="str"/>
      <x:c r="J170" s="411" t="str"/>
      <x:c r="K170" s="411" t="str"/>
      <x:c r="L170" s="411" t="str"/>
      <x:c r="M170" s="373"/>
      <x:c r="N170" s="373"/>
      <x:c r="O170" s="373"/>
      <x:c r="P170" s="373"/>
      <x:c r="Q170" s="373"/>
      <x:c r="R170" s="373"/>
      <x:c r="S170" s="373"/>
      <x:c r="T170" s="373"/>
      <x:c r="U170" s="373"/>
      <x:c r="V170" s="373"/>
      <x:c r="W170" s="373"/>
      <x:c r="X170" s="373"/>
      <x:c r="Y170" s="373"/>
      <x:c r="Z170" s="373"/>
    </x:row>
    <x:row r="171">
      <x:c r="A171" s="411" t="str"/>
      <x:c r="B171" s="460" t="str"/>
      <x:c r="C171" s="411" t="str"/>
      <x:c r="D171" s="411" t="str"/>
      <x:c r="E171" s="411" t="str"/>
      <x:c r="F171" s="411" t="str"/>
      <x:c r="G171" s="411" t="str"/>
      <x:c r="H171" s="411" t="str"/>
      <x:c r="I171" s="411" t="str"/>
      <x:c r="J171" s="411" t="str"/>
      <x:c r="K171" s="411" t="str"/>
      <x:c r="L171" s="411" t="str"/>
      <x:c r="M171" s="373"/>
      <x:c r="N171" s="373"/>
      <x:c r="O171" s="373"/>
      <x:c r="P171" s="373"/>
      <x:c r="Q171" s="373"/>
      <x:c r="R171" s="373"/>
      <x:c r="S171" s="373"/>
      <x:c r="T171" s="373"/>
      <x:c r="U171" s="373"/>
      <x:c r="V171" s="373"/>
      <x:c r="W171" s="373"/>
      <x:c r="X171" s="373"/>
      <x:c r="Y171" s="373"/>
      <x:c r="Z171" s="373"/>
    </x:row>
    <x:row r="172">
      <x:c r="A172" s="411" t="str"/>
      <x:c r="B172" s="460" t="str"/>
      <x:c r="C172" s="411" t="str"/>
      <x:c r="D172" s="411" t="str"/>
      <x:c r="E172" s="411" t="str"/>
      <x:c r="F172" s="411" t="str"/>
      <x:c r="G172" s="411" t="str"/>
      <x:c r="H172" s="411" t="str"/>
      <x:c r="I172" s="411" t="str"/>
      <x:c r="J172" s="411" t="str"/>
      <x:c r="K172" s="411" t="str"/>
      <x:c r="L172" s="411" t="str"/>
      <x:c r="M172" s="373"/>
      <x:c r="N172" s="373"/>
      <x:c r="O172" s="373"/>
      <x:c r="P172" s="373"/>
      <x:c r="Q172" s="373"/>
      <x:c r="R172" s="373"/>
      <x:c r="S172" s="373"/>
      <x:c r="T172" s="373"/>
      <x:c r="U172" s="373"/>
      <x:c r="V172" s="373"/>
      <x:c r="W172" s="373"/>
      <x:c r="X172" s="373"/>
      <x:c r="Y172" s="373"/>
      <x:c r="Z172" s="373"/>
    </x:row>
    <x:row r="173">
      <x:c r="A173" s="411" t="str"/>
      <x:c r="B173" s="460" t="str"/>
      <x:c r="C173" s="411" t="str"/>
      <x:c r="D173" s="411" t="str"/>
      <x:c r="E173" s="411" t="str"/>
      <x:c r="F173" s="411" t="str"/>
      <x:c r="G173" s="411" t="str"/>
      <x:c r="H173" s="411" t="str"/>
      <x:c r="I173" s="411" t="str"/>
      <x:c r="J173" s="411" t="str"/>
      <x:c r="K173" s="411" t="str"/>
      <x:c r="L173" s="411" t="str"/>
      <x:c r="M173" s="373"/>
      <x:c r="N173" s="373"/>
      <x:c r="O173" s="373"/>
      <x:c r="P173" s="373"/>
      <x:c r="Q173" s="373"/>
      <x:c r="R173" s="373"/>
      <x:c r="S173" s="373"/>
      <x:c r="T173" s="373"/>
      <x:c r="U173" s="373"/>
      <x:c r="V173" s="373"/>
      <x:c r="W173" s="373"/>
      <x:c r="X173" s="373"/>
      <x:c r="Y173" s="373"/>
      <x:c r="Z173" s="373"/>
    </x:row>
    <x:row r="174">
      <x:c r="A174" s="411" t="str"/>
      <x:c r="B174" s="460" t="str"/>
      <x:c r="C174" s="411" t="str"/>
      <x:c r="D174" s="411" t="str"/>
      <x:c r="E174" s="411" t="str"/>
      <x:c r="F174" s="411" t="str"/>
      <x:c r="G174" s="411" t="str"/>
      <x:c r="H174" s="411" t="str"/>
      <x:c r="I174" s="411" t="str"/>
      <x:c r="J174" s="411" t="str"/>
      <x:c r="K174" s="411" t="str"/>
      <x:c r="L174" s="411" t="str"/>
      <x:c r="M174" s="373"/>
      <x:c r="N174" s="373"/>
      <x:c r="O174" s="373"/>
      <x:c r="P174" s="373"/>
      <x:c r="Q174" s="373"/>
      <x:c r="R174" s="373"/>
      <x:c r="S174" s="373"/>
      <x:c r="T174" s="373"/>
      <x:c r="U174" s="373"/>
      <x:c r="V174" s="373"/>
      <x:c r="W174" s="373"/>
      <x:c r="X174" s="373"/>
      <x:c r="Y174" s="373"/>
      <x:c r="Z174" s="373"/>
    </x:row>
    <x:row r="175">
      <x:c r="A175" s="411" t="str"/>
      <x:c r="B175" s="460" t="str"/>
      <x:c r="C175" s="411" t="str"/>
      <x:c r="D175" s="411" t="str"/>
      <x:c r="E175" s="411" t="str"/>
      <x:c r="F175" s="411" t="str"/>
      <x:c r="G175" s="411" t="str"/>
      <x:c r="H175" s="411" t="str"/>
      <x:c r="I175" s="411" t="str"/>
      <x:c r="J175" s="411" t="str"/>
      <x:c r="K175" s="411" t="str"/>
      <x:c r="L175" s="411" t="str"/>
      <x:c r="M175" s="373"/>
      <x:c r="N175" s="373"/>
      <x:c r="O175" s="373"/>
      <x:c r="P175" s="373"/>
      <x:c r="Q175" s="373"/>
      <x:c r="R175" s="373"/>
      <x:c r="S175" s="373"/>
      <x:c r="T175" s="373"/>
      <x:c r="U175" s="373"/>
      <x:c r="V175" s="373"/>
      <x:c r="W175" s="373"/>
      <x:c r="X175" s="373"/>
      <x:c r="Y175" s="373"/>
      <x:c r="Z175" s="373"/>
    </x:row>
    <x:row r="176">
      <x:c r="A176" s="411" t="str"/>
      <x:c r="B176" s="460" t="str"/>
      <x:c r="C176" s="411" t="str"/>
      <x:c r="D176" s="411" t="str"/>
      <x:c r="E176" s="411" t="str"/>
      <x:c r="F176" s="411" t="str"/>
      <x:c r="G176" s="411" t="str"/>
      <x:c r="H176" s="411" t="str"/>
      <x:c r="I176" s="411" t="str"/>
      <x:c r="J176" s="411" t="str"/>
      <x:c r="K176" s="411" t="str"/>
      <x:c r="L176" s="411" t="str"/>
      <x:c r="M176" s="373"/>
      <x:c r="N176" s="373"/>
      <x:c r="O176" s="373"/>
      <x:c r="P176" s="373"/>
      <x:c r="Q176" s="373"/>
      <x:c r="R176" s="373"/>
      <x:c r="S176" s="373"/>
      <x:c r="T176" s="373"/>
      <x:c r="U176" s="373"/>
      <x:c r="V176" s="373"/>
      <x:c r="W176" s="373"/>
      <x:c r="X176" s="373"/>
      <x:c r="Y176" s="373"/>
      <x:c r="Z176" s="373"/>
    </x:row>
    <x:row r="177">
      <x:c r="A177" s="411" t="str"/>
      <x:c r="B177" s="460" t="str"/>
      <x:c r="C177" s="411" t="str"/>
      <x:c r="D177" s="411" t="str"/>
      <x:c r="E177" s="411" t="str"/>
      <x:c r="F177" s="411" t="str"/>
      <x:c r="G177" s="411" t="str"/>
      <x:c r="H177" s="411" t="str"/>
      <x:c r="I177" s="411" t="str"/>
      <x:c r="J177" s="411" t="str"/>
      <x:c r="K177" s="411" t="str"/>
      <x:c r="L177" s="411" t="str"/>
      <x:c r="M177" s="373"/>
      <x:c r="N177" s="373"/>
      <x:c r="O177" s="373"/>
      <x:c r="P177" s="373"/>
      <x:c r="Q177" s="373"/>
      <x:c r="R177" s="373"/>
      <x:c r="S177" s="373"/>
      <x:c r="T177" s="373"/>
      <x:c r="U177" s="373"/>
      <x:c r="V177" s="373"/>
      <x:c r="W177" s="373"/>
      <x:c r="X177" s="373"/>
      <x:c r="Y177" s="373"/>
      <x:c r="Z177" s="373"/>
    </x:row>
    <x:row r="178">
      <x:c r="A178" s="411" t="str"/>
      <x:c r="B178" s="460" t="str"/>
      <x:c r="C178" s="411" t="str"/>
      <x:c r="D178" s="411" t="str"/>
      <x:c r="E178" s="411" t="str"/>
      <x:c r="F178" s="411" t="str"/>
      <x:c r="G178" s="411" t="str"/>
      <x:c r="H178" s="411" t="str"/>
      <x:c r="I178" s="411" t="str"/>
      <x:c r="J178" s="411" t="str"/>
      <x:c r="K178" s="411" t="str"/>
      <x:c r="L178" s="411" t="str"/>
      <x:c r="M178" s="373"/>
      <x:c r="N178" s="373"/>
      <x:c r="O178" s="373"/>
      <x:c r="P178" s="373"/>
      <x:c r="Q178" s="373"/>
      <x:c r="R178" s="373"/>
      <x:c r="S178" s="373"/>
      <x:c r="T178" s="373"/>
      <x:c r="U178" s="373"/>
      <x:c r="V178" s="373"/>
      <x:c r="W178" s="373"/>
      <x:c r="X178" s="373"/>
      <x:c r="Y178" s="373"/>
      <x:c r="Z178" s="373"/>
    </x:row>
    <x:row r="179">
      <x:c r="A179" s="411" t="str"/>
      <x:c r="B179" s="460" t="str"/>
      <x:c r="C179" s="411" t="str"/>
      <x:c r="D179" s="411" t="str"/>
      <x:c r="E179" s="411" t="str"/>
      <x:c r="F179" s="411" t="str"/>
      <x:c r="G179" s="411" t="str"/>
      <x:c r="H179" s="411" t="str"/>
      <x:c r="I179" s="411" t="str"/>
      <x:c r="J179" s="411" t="str"/>
      <x:c r="K179" s="411" t="str"/>
      <x:c r="L179" s="411" t="str"/>
      <x:c r="M179" s="373"/>
      <x:c r="N179" s="373"/>
      <x:c r="O179" s="373"/>
      <x:c r="P179" s="373"/>
      <x:c r="Q179" s="373"/>
      <x:c r="R179" s="373"/>
      <x:c r="S179" s="373"/>
      <x:c r="T179" s="373"/>
      <x:c r="U179" s="373"/>
      <x:c r="V179" s="373"/>
      <x:c r="W179" s="373"/>
      <x:c r="X179" s="373"/>
      <x:c r="Y179" s="373"/>
      <x:c r="Z179" s="373"/>
    </x:row>
    <x:row r="180">
      <x:c r="A180" s="411" t="str"/>
      <x:c r="B180" s="460" t="str"/>
      <x:c r="C180" s="411" t="str"/>
      <x:c r="D180" s="411" t="str"/>
      <x:c r="E180" s="411" t="str"/>
      <x:c r="F180" s="411" t="str"/>
      <x:c r="G180" s="411" t="str"/>
      <x:c r="H180" s="411" t="str"/>
      <x:c r="I180" s="411" t="str"/>
      <x:c r="J180" s="411" t="str"/>
      <x:c r="K180" s="411" t="str"/>
      <x:c r="L180" s="411" t="str"/>
      <x:c r="M180" s="373"/>
      <x:c r="N180" s="373"/>
      <x:c r="O180" s="373"/>
      <x:c r="P180" s="373"/>
      <x:c r="Q180" s="373"/>
      <x:c r="R180" s="373"/>
      <x:c r="S180" s="373"/>
      <x:c r="T180" s="373"/>
      <x:c r="U180" s="373"/>
      <x:c r="V180" s="373"/>
      <x:c r="W180" s="373"/>
      <x:c r="X180" s="373"/>
      <x:c r="Y180" s="373"/>
      <x:c r="Z180" s="373"/>
    </x:row>
    <x:row r="181">
      <x:c r="A181" s="411" t="str"/>
      <x:c r="B181" s="460" t="str"/>
      <x:c r="C181" s="411" t="str"/>
      <x:c r="D181" s="411" t="str"/>
      <x:c r="E181" s="411" t="str"/>
      <x:c r="F181" s="411" t="str"/>
      <x:c r="G181" s="411" t="str"/>
      <x:c r="H181" s="411" t="str"/>
      <x:c r="I181" s="411" t="str"/>
      <x:c r="J181" s="411" t="str"/>
      <x:c r="K181" s="411" t="str"/>
      <x:c r="L181" s="411" t="str"/>
      <x:c r="M181" s="373"/>
      <x:c r="N181" s="373"/>
      <x:c r="O181" s="373"/>
      <x:c r="P181" s="373"/>
      <x:c r="Q181" s="373"/>
      <x:c r="R181" s="373"/>
      <x:c r="S181" s="373"/>
      <x:c r="T181" s="373"/>
      <x:c r="U181" s="373"/>
      <x:c r="V181" s="373"/>
      <x:c r="W181" s="373"/>
      <x:c r="X181" s="373"/>
      <x:c r="Y181" s="373"/>
      <x:c r="Z181" s="373"/>
    </x:row>
    <x:row r="182">
      <x:c r="A182" s="411" t="str"/>
      <x:c r="B182" s="460" t="str"/>
      <x:c r="C182" s="411" t="str"/>
      <x:c r="D182" s="411" t="str"/>
      <x:c r="E182" s="411" t="str"/>
      <x:c r="F182" s="411" t="str"/>
      <x:c r="G182" s="411" t="str"/>
      <x:c r="H182" s="411" t="str"/>
      <x:c r="I182" s="411" t="str"/>
      <x:c r="J182" s="411" t="str"/>
      <x:c r="K182" s="411" t="str"/>
      <x:c r="L182" s="411" t="str"/>
      <x:c r="M182" s="373"/>
      <x:c r="N182" s="373"/>
      <x:c r="O182" s="373"/>
      <x:c r="P182" s="373"/>
      <x:c r="Q182" s="373"/>
      <x:c r="R182" s="373"/>
      <x:c r="S182" s="373"/>
      <x:c r="T182" s="373"/>
      <x:c r="U182" s="373"/>
      <x:c r="V182" s="373"/>
      <x:c r="W182" s="373"/>
      <x:c r="X182" s="373"/>
      <x:c r="Y182" s="373"/>
      <x:c r="Z182" s="373"/>
    </x:row>
    <x:row r="183">
      <x:c r="A183" s="411" t="str"/>
      <x:c r="B183" s="460" t="str"/>
      <x:c r="C183" s="411" t="str"/>
      <x:c r="D183" s="411" t="str"/>
      <x:c r="E183" s="411" t="str"/>
      <x:c r="F183" s="411" t="str"/>
      <x:c r="G183" s="411" t="str"/>
      <x:c r="H183" s="411" t="str"/>
      <x:c r="I183" s="411" t="str"/>
      <x:c r="J183" s="411" t="str"/>
      <x:c r="K183" s="411" t="str"/>
      <x:c r="L183" s="411" t="str"/>
      <x:c r="M183" s="373"/>
      <x:c r="N183" s="373"/>
      <x:c r="O183" s="373"/>
      <x:c r="P183" s="373"/>
      <x:c r="Q183" s="373"/>
      <x:c r="R183" s="373"/>
      <x:c r="S183" s="373"/>
      <x:c r="T183" s="373"/>
      <x:c r="U183" s="373"/>
      <x:c r="V183" s="373"/>
      <x:c r="W183" s="373"/>
      <x:c r="X183" s="373"/>
      <x:c r="Y183" s="373"/>
      <x:c r="Z183" s="373"/>
    </x:row>
    <x:row r="184">
      <x:c r="A184" s="411" t="str"/>
      <x:c r="B184" s="460" t="str"/>
      <x:c r="C184" s="411" t="str"/>
      <x:c r="D184" s="411" t="str"/>
      <x:c r="E184" s="411" t="str"/>
      <x:c r="F184" s="411" t="str"/>
      <x:c r="G184" s="411" t="str"/>
      <x:c r="H184" s="411" t="str"/>
      <x:c r="I184" s="411" t="str"/>
      <x:c r="J184" s="411" t="str"/>
      <x:c r="K184" s="411" t="str"/>
      <x:c r="L184" s="411" t="str"/>
      <x:c r="M184" s="373"/>
      <x:c r="N184" s="373"/>
      <x:c r="O184" s="373"/>
      <x:c r="P184" s="373"/>
      <x:c r="Q184" s="373"/>
      <x:c r="R184" s="373"/>
      <x:c r="S184" s="373"/>
      <x:c r="T184" s="373"/>
      <x:c r="U184" s="373"/>
      <x:c r="V184" s="373"/>
      <x:c r="W184" s="373"/>
      <x:c r="X184" s="373"/>
      <x:c r="Y184" s="373"/>
      <x:c r="Z184" s="373"/>
    </x:row>
    <x:row r="185">
      <x:c r="A185" s="411" t="str"/>
      <x:c r="B185" s="460" t="str"/>
      <x:c r="C185" s="411" t="str"/>
      <x:c r="D185" s="411" t="str"/>
      <x:c r="E185" s="411" t="str"/>
      <x:c r="F185" s="411" t="str"/>
      <x:c r="G185" s="411" t="str"/>
      <x:c r="H185" s="411" t="str"/>
      <x:c r="I185" s="411" t="str"/>
      <x:c r="J185" s="411" t="str"/>
      <x:c r="K185" s="411" t="str"/>
      <x:c r="L185" s="411" t="str"/>
      <x:c r="M185" s="373"/>
      <x:c r="N185" s="373"/>
      <x:c r="O185" s="373"/>
      <x:c r="P185" s="373"/>
      <x:c r="Q185" s="373"/>
      <x:c r="R185" s="373"/>
      <x:c r="S185" s="373"/>
      <x:c r="T185" s="373"/>
      <x:c r="U185" s="373"/>
      <x:c r="V185" s="373"/>
      <x:c r="W185" s="373"/>
      <x:c r="X185" s="373"/>
      <x:c r="Y185" s="373"/>
      <x:c r="Z185" s="373"/>
    </x:row>
    <x:row r="186">
      <x:c r="A186" s="411" t="str"/>
      <x:c r="B186" s="460" t="str"/>
      <x:c r="C186" s="411" t="str"/>
      <x:c r="D186" s="411" t="str"/>
      <x:c r="E186" s="411" t="str"/>
      <x:c r="F186" s="411" t="str"/>
      <x:c r="G186" s="411" t="str"/>
      <x:c r="H186" s="411" t="str"/>
      <x:c r="I186" s="411" t="str"/>
      <x:c r="J186" s="411" t="str"/>
      <x:c r="K186" s="411" t="str"/>
      <x:c r="L186" s="411" t="str"/>
      <x:c r="M186" s="373"/>
      <x:c r="N186" s="373"/>
      <x:c r="O186" s="373"/>
      <x:c r="P186" s="373"/>
      <x:c r="Q186" s="373"/>
      <x:c r="R186" s="373"/>
      <x:c r="S186" s="373"/>
      <x:c r="T186" s="373"/>
      <x:c r="U186" s="373"/>
      <x:c r="V186" s="373"/>
      <x:c r="W186" s="373"/>
      <x:c r="X186" s="373"/>
      <x:c r="Y186" s="373"/>
      <x:c r="Z186" s="373"/>
    </x:row>
    <x:row r="187">
      <x:c r="A187" s="411" t="str"/>
      <x:c r="B187" s="460" t="str"/>
      <x:c r="C187" s="411" t="str"/>
      <x:c r="D187" s="411" t="str"/>
      <x:c r="E187" s="411" t="str"/>
      <x:c r="F187" s="411" t="str"/>
      <x:c r="G187" s="411" t="str"/>
      <x:c r="H187" s="411" t="str"/>
      <x:c r="I187" s="411" t="str"/>
      <x:c r="J187" s="411" t="str"/>
      <x:c r="K187" s="411" t="str"/>
      <x:c r="L187" s="411" t="str"/>
      <x:c r="M187" s="373"/>
      <x:c r="N187" s="373"/>
      <x:c r="O187" s="373"/>
      <x:c r="P187" s="373"/>
      <x:c r="Q187" s="373"/>
      <x:c r="R187" s="373"/>
      <x:c r="S187" s="373"/>
      <x:c r="T187" s="373"/>
      <x:c r="U187" s="373"/>
      <x:c r="V187" s="373"/>
      <x:c r="W187" s="373"/>
      <x:c r="X187" s="373"/>
      <x:c r="Y187" s="373"/>
      <x:c r="Z187" s="373"/>
    </x:row>
    <x:row r="188">
      <x:c r="A188" s="411" t="str"/>
      <x:c r="B188" s="460" t="str"/>
      <x:c r="C188" s="411" t="str"/>
      <x:c r="D188" s="411" t="str"/>
      <x:c r="E188" s="411" t="str"/>
      <x:c r="F188" s="411" t="str"/>
      <x:c r="G188" s="411" t="str"/>
      <x:c r="H188" s="411" t="str"/>
      <x:c r="I188" s="411" t="str"/>
      <x:c r="J188" s="411" t="str"/>
      <x:c r="K188" s="411" t="str"/>
      <x:c r="L188" s="411" t="str"/>
      <x:c r="M188" s="373"/>
      <x:c r="N188" s="373"/>
      <x:c r="O188" s="373"/>
      <x:c r="P188" s="373"/>
      <x:c r="Q188" s="373"/>
      <x:c r="R188" s="373"/>
      <x:c r="S188" s="373"/>
      <x:c r="T188" s="373"/>
      <x:c r="U188" s="373"/>
      <x:c r="V188" s="373"/>
      <x:c r="W188" s="373"/>
      <x:c r="X188" s="373"/>
      <x:c r="Y188" s="373"/>
      <x:c r="Z188" s="373"/>
    </x:row>
    <x:row r="189">
      <x:c r="A189" s="411" t="str"/>
      <x:c r="B189" s="460" t="str"/>
      <x:c r="C189" s="411" t="str"/>
      <x:c r="D189" s="411" t="str"/>
      <x:c r="E189" s="411" t="str"/>
      <x:c r="F189" s="411" t="str"/>
      <x:c r="G189" s="411" t="str"/>
      <x:c r="H189" s="411" t="str"/>
      <x:c r="I189" s="411" t="str"/>
      <x:c r="J189" s="411" t="str"/>
      <x:c r="K189" s="411" t="str"/>
      <x:c r="L189" s="411" t="str"/>
      <x:c r="M189" s="373"/>
      <x:c r="N189" s="373"/>
      <x:c r="O189" s="373"/>
      <x:c r="P189" s="373"/>
      <x:c r="Q189" s="373"/>
      <x:c r="R189" s="373"/>
      <x:c r="S189" s="373"/>
      <x:c r="T189" s="373"/>
      <x:c r="U189" s="373"/>
      <x:c r="V189" s="373"/>
      <x:c r="W189" s="373"/>
      <x:c r="X189" s="373"/>
      <x:c r="Y189" s="373"/>
      <x:c r="Z189" s="373"/>
    </x:row>
    <x:row r="190">
      <x:c r="A190" s="411" t="str"/>
      <x:c r="B190" s="460" t="str"/>
      <x:c r="C190" s="411" t="str"/>
      <x:c r="D190" s="411" t="str"/>
      <x:c r="E190" s="411" t="str"/>
      <x:c r="F190" s="411" t="str"/>
      <x:c r="G190" s="411" t="str"/>
      <x:c r="H190" s="411" t="str"/>
      <x:c r="I190" s="411" t="str"/>
      <x:c r="J190" s="411" t="str"/>
      <x:c r="K190" s="411" t="str"/>
      <x:c r="L190" s="411" t="str"/>
      <x:c r="M190" s="373"/>
      <x:c r="N190" s="373"/>
      <x:c r="O190" s="373"/>
      <x:c r="P190" s="373"/>
      <x:c r="Q190" s="373"/>
      <x:c r="R190" s="373"/>
      <x:c r="S190" s="373"/>
      <x:c r="T190" s="373"/>
      <x:c r="U190" s="373"/>
      <x:c r="V190" s="373"/>
      <x:c r="W190" s="373"/>
      <x:c r="X190" s="373"/>
      <x:c r="Y190" s="373"/>
      <x:c r="Z190" s="373"/>
    </x:row>
    <x:row r="191">
      <x:c r="A191" s="411" t="str"/>
      <x:c r="B191" s="460" t="str"/>
      <x:c r="C191" s="411" t="str"/>
      <x:c r="D191" s="411" t="str"/>
      <x:c r="E191" s="411" t="str"/>
      <x:c r="F191" s="411" t="str"/>
      <x:c r="G191" s="411" t="str"/>
      <x:c r="H191" s="411" t="str"/>
      <x:c r="I191" s="411" t="str"/>
      <x:c r="J191" s="411" t="str"/>
      <x:c r="K191" s="411" t="str"/>
      <x:c r="L191" s="411" t="str"/>
      <x:c r="M191" s="373"/>
      <x:c r="N191" s="373"/>
      <x:c r="O191" s="373"/>
      <x:c r="P191" s="373"/>
      <x:c r="Q191" s="373"/>
      <x:c r="R191" s="373"/>
      <x:c r="S191" s="373"/>
      <x:c r="T191" s="373"/>
      <x:c r="U191" s="373"/>
      <x:c r="V191" s="373"/>
      <x:c r="W191" s="373"/>
      <x:c r="X191" s="373"/>
      <x:c r="Y191" s="373"/>
      <x:c r="Z191" s="373"/>
    </x:row>
    <x:row r="192">
      <x:c r="A192" s="411" t="str"/>
      <x:c r="B192" s="460" t="str"/>
      <x:c r="C192" s="411" t="str"/>
      <x:c r="D192" s="411" t="str"/>
      <x:c r="E192" s="411" t="str"/>
      <x:c r="F192" s="411" t="str"/>
      <x:c r="G192" s="411" t="str"/>
      <x:c r="H192" s="411" t="str"/>
      <x:c r="I192" s="411" t="str"/>
      <x:c r="J192" s="411" t="str"/>
      <x:c r="K192" s="411" t="str"/>
      <x:c r="L192" s="411" t="str"/>
      <x:c r="M192" s="373"/>
      <x:c r="N192" s="373"/>
      <x:c r="O192" s="373"/>
      <x:c r="P192" s="373"/>
      <x:c r="Q192" s="373"/>
      <x:c r="R192" s="373"/>
      <x:c r="S192" s="373"/>
      <x:c r="T192" s="373"/>
      <x:c r="U192" s="373"/>
      <x:c r="V192" s="373"/>
      <x:c r="W192" s="373"/>
      <x:c r="X192" s="373"/>
      <x:c r="Y192" s="373"/>
      <x:c r="Z192" s="373"/>
    </x:row>
    <x:row r="193">
      <x:c r="A193" s="411" t="str"/>
      <x:c r="B193" s="460" t="str"/>
      <x:c r="C193" s="411" t="str"/>
      <x:c r="D193" s="411" t="str"/>
      <x:c r="E193" s="411" t="str"/>
      <x:c r="F193" s="411" t="str"/>
      <x:c r="G193" s="411" t="str"/>
      <x:c r="H193" s="411" t="str"/>
      <x:c r="I193" s="411" t="str"/>
      <x:c r="J193" s="411" t="str"/>
      <x:c r="K193" s="411" t="str"/>
      <x:c r="L193" s="411" t="str"/>
      <x:c r="M193" s="373"/>
      <x:c r="N193" s="373"/>
      <x:c r="O193" s="373"/>
      <x:c r="P193" s="373"/>
      <x:c r="Q193" s="373"/>
      <x:c r="R193" s="373"/>
      <x:c r="S193" s="373"/>
      <x:c r="T193" s="373"/>
      <x:c r="U193" s="373"/>
      <x:c r="V193" s="373"/>
      <x:c r="W193" s="373"/>
      <x:c r="X193" s="373"/>
      <x:c r="Y193" s="373"/>
      <x:c r="Z193" s="373"/>
    </x:row>
    <x:row r="194">
      <x:c r="A194" s="411" t="str"/>
      <x:c r="B194" s="460" t="str"/>
      <x:c r="C194" s="411" t="str"/>
      <x:c r="D194" s="411" t="str"/>
      <x:c r="E194" s="411" t="str"/>
      <x:c r="F194" s="411" t="str"/>
      <x:c r="G194" s="411" t="str"/>
      <x:c r="H194" s="411" t="str"/>
      <x:c r="I194" s="411" t="str"/>
      <x:c r="J194" s="411" t="str"/>
      <x:c r="K194" s="411" t="str"/>
      <x:c r="L194" s="411" t="str"/>
      <x:c r="M194" s="373"/>
      <x:c r="N194" s="373"/>
      <x:c r="O194" s="373"/>
      <x:c r="P194" s="373"/>
      <x:c r="Q194" s="373"/>
      <x:c r="R194" s="373"/>
      <x:c r="S194" s="373"/>
      <x:c r="T194" s="373"/>
      <x:c r="U194" s="373"/>
      <x:c r="V194" s="373"/>
      <x:c r="W194" s="373"/>
      <x:c r="X194" s="373"/>
      <x:c r="Y194" s="373"/>
      <x:c r="Z194" s="373"/>
    </x:row>
    <x:row r="195">
      <x:c r="A195" s="411" t="str"/>
      <x:c r="B195" s="460" t="str"/>
      <x:c r="C195" s="411" t="str"/>
      <x:c r="D195" s="411" t="str"/>
      <x:c r="E195" s="411" t="str"/>
      <x:c r="F195" s="411" t="str"/>
      <x:c r="G195" s="411" t="str"/>
      <x:c r="H195" s="411" t="str"/>
      <x:c r="I195" s="411" t="str"/>
      <x:c r="J195" s="411" t="str"/>
      <x:c r="K195" s="411" t="str"/>
      <x:c r="L195" s="411" t="str"/>
      <x:c r="M195" s="373"/>
      <x:c r="N195" s="373"/>
      <x:c r="O195" s="373"/>
      <x:c r="P195" s="373"/>
      <x:c r="Q195" s="373"/>
      <x:c r="R195" s="373"/>
      <x:c r="S195" s="373"/>
      <x:c r="T195" s="373"/>
      <x:c r="U195" s="373"/>
      <x:c r="V195" s="373"/>
      <x:c r="W195" s="373"/>
      <x:c r="X195" s="373"/>
      <x:c r="Y195" s="373"/>
      <x:c r="Z195" s="373"/>
    </x:row>
    <x:row r="196">
      <x:c r="A196" s="411" t="str"/>
      <x:c r="B196" s="460" t="str"/>
      <x:c r="C196" s="411" t="str"/>
      <x:c r="D196" s="411" t="str"/>
      <x:c r="E196" s="411" t="str"/>
      <x:c r="F196" s="411" t="str"/>
      <x:c r="G196" s="411" t="str"/>
      <x:c r="H196" s="411" t="str"/>
      <x:c r="I196" s="411" t="str"/>
      <x:c r="J196" s="411" t="str"/>
      <x:c r="K196" s="411" t="str"/>
      <x:c r="L196" s="411" t="str"/>
      <x:c r="M196" s="373"/>
      <x:c r="N196" s="373"/>
      <x:c r="O196" s="373"/>
      <x:c r="P196" s="373"/>
      <x:c r="Q196" s="373"/>
      <x:c r="R196" s="373"/>
      <x:c r="S196" s="373"/>
      <x:c r="T196" s="373"/>
      <x:c r="U196" s="373"/>
      <x:c r="V196" s="373"/>
      <x:c r="W196" s="373"/>
      <x:c r="X196" s="373"/>
      <x:c r="Y196" s="373"/>
      <x:c r="Z196" s="373"/>
    </x:row>
    <x:row r="197">
      <x:c r="A197" s="411" t="str"/>
      <x:c r="B197" s="460" t="str"/>
      <x:c r="C197" s="411" t="str"/>
      <x:c r="D197" s="411" t="str"/>
      <x:c r="E197" s="411" t="str"/>
      <x:c r="F197" s="411" t="str"/>
      <x:c r="G197" s="411" t="str"/>
      <x:c r="H197" s="411" t="str"/>
      <x:c r="I197" s="411" t="str"/>
      <x:c r="J197" s="411" t="str"/>
      <x:c r="K197" s="411" t="str"/>
      <x:c r="L197" s="411" t="str"/>
      <x:c r="M197" s="373"/>
      <x:c r="N197" s="373"/>
      <x:c r="O197" s="373"/>
      <x:c r="P197" s="373"/>
      <x:c r="Q197" s="373"/>
      <x:c r="R197" s="373"/>
      <x:c r="S197" s="373"/>
      <x:c r="T197" s="373"/>
      <x:c r="U197" s="373"/>
      <x:c r="V197" s="373"/>
      <x:c r="W197" s="373"/>
      <x:c r="X197" s="373"/>
      <x:c r="Y197" s="373"/>
      <x:c r="Z197" s="373"/>
    </x:row>
    <x:row r="198">
      <x:c r="A198" s="411" t="str"/>
      <x:c r="B198" s="460" t="str"/>
      <x:c r="C198" s="411" t="str"/>
      <x:c r="D198" s="411" t="str"/>
      <x:c r="E198" s="411" t="str"/>
      <x:c r="F198" s="411" t="str"/>
      <x:c r="G198" s="411" t="str"/>
      <x:c r="H198" s="411" t="str"/>
      <x:c r="I198" s="411" t="str"/>
      <x:c r="J198" s="411" t="str"/>
      <x:c r="K198" s="411" t="str"/>
      <x:c r="L198" s="411" t="str"/>
      <x:c r="M198" s="373"/>
      <x:c r="N198" s="373"/>
      <x:c r="O198" s="373"/>
      <x:c r="P198" s="373"/>
      <x:c r="Q198" s="373"/>
      <x:c r="R198" s="373"/>
      <x:c r="S198" s="373"/>
      <x:c r="T198" s="373"/>
      <x:c r="U198" s="373"/>
      <x:c r="V198" s="373"/>
      <x:c r="W198" s="373"/>
      <x:c r="X198" s="373"/>
      <x:c r="Y198" s="373"/>
      <x:c r="Z198" s="373"/>
    </x:row>
    <x:row r="199">
      <x:c r="A199" s="411" t="str"/>
      <x:c r="B199" s="460" t="str"/>
      <x:c r="C199" s="411" t="str"/>
      <x:c r="D199" s="411" t="str"/>
      <x:c r="E199" s="411" t="str"/>
      <x:c r="F199" s="411" t="str"/>
      <x:c r="G199" s="411" t="str"/>
      <x:c r="H199" s="411" t="str"/>
      <x:c r="I199" s="411" t="str"/>
      <x:c r="J199" s="411" t="str"/>
      <x:c r="K199" s="411" t="str"/>
      <x:c r="L199" s="411" t="str"/>
      <x:c r="M199" s="373"/>
      <x:c r="N199" s="373"/>
      <x:c r="O199" s="373"/>
      <x:c r="P199" s="373"/>
      <x:c r="Q199" s="373"/>
      <x:c r="R199" s="373"/>
      <x:c r="S199" s="373"/>
      <x:c r="T199" s="373"/>
      <x:c r="U199" s="373"/>
      <x:c r="V199" s="373"/>
      <x:c r="W199" s="373"/>
      <x:c r="X199" s="373"/>
      <x:c r="Y199" s="373"/>
      <x:c r="Z199" s="373"/>
    </x:row>
    <x:row r="200">
      <x:c r="A200" s="411" t="str"/>
      <x:c r="B200" s="460" t="str"/>
      <x:c r="C200" s="411" t="str"/>
      <x:c r="D200" s="411" t="str"/>
      <x:c r="E200" s="411" t="str"/>
      <x:c r="F200" s="411" t="str"/>
      <x:c r="G200" s="411" t="str"/>
      <x:c r="H200" s="411" t="str"/>
      <x:c r="I200" s="411" t="str"/>
      <x:c r="J200" s="411" t="str"/>
      <x:c r="K200" s="411" t="str"/>
      <x:c r="L200" s="411" t="str"/>
      <x:c r="M200" s="373"/>
      <x:c r="N200" s="373"/>
      <x:c r="O200" s="373"/>
      <x:c r="P200" s="373"/>
      <x:c r="Q200" s="373"/>
      <x:c r="R200" s="373"/>
      <x:c r="S200" s="373"/>
      <x:c r="T200" s="373"/>
      <x:c r="U200" s="373"/>
      <x:c r="V200" s="373"/>
      <x:c r="W200" s="373"/>
      <x:c r="X200" s="373"/>
      <x:c r="Y200" s="373"/>
      <x:c r="Z200" s="373"/>
    </x:row>
    <x:row r="201">
      <x:c r="A201" s="411" t="str"/>
      <x:c r="B201" s="460" t="str"/>
      <x:c r="C201" s="411" t="str"/>
      <x:c r="D201" s="411" t="str"/>
      <x:c r="E201" s="411" t="str"/>
      <x:c r="F201" s="411" t="str"/>
      <x:c r="G201" s="411" t="str"/>
      <x:c r="H201" s="411" t="str"/>
      <x:c r="I201" s="411" t="str"/>
      <x:c r="J201" s="411" t="str"/>
      <x:c r="K201" s="411" t="str"/>
      <x:c r="L201" s="411" t="str"/>
      <x:c r="M201" s="373"/>
      <x:c r="N201" s="373"/>
      <x:c r="O201" s="373"/>
      <x:c r="P201" s="373"/>
      <x:c r="Q201" s="373"/>
      <x:c r="R201" s="373"/>
      <x:c r="S201" s="373"/>
      <x:c r="T201" s="373"/>
      <x:c r="U201" s="373"/>
      <x:c r="V201" s="373"/>
      <x:c r="W201" s="373"/>
      <x:c r="X201" s="373"/>
      <x:c r="Y201" s="373"/>
      <x:c r="Z201" s="373"/>
    </x:row>
    <x:row r="202">
      <x:c r="A202" s="411" t="str"/>
      <x:c r="B202" s="460" t="str"/>
      <x:c r="C202" s="411" t="str"/>
      <x:c r="D202" s="411" t="str"/>
      <x:c r="E202" s="411" t="str"/>
      <x:c r="F202" s="411" t="str"/>
      <x:c r="G202" s="411" t="str"/>
      <x:c r="H202" s="411" t="str"/>
      <x:c r="I202" s="411" t="str"/>
      <x:c r="J202" s="411" t="str"/>
      <x:c r="K202" s="411" t="str"/>
      <x:c r="L202" s="411" t="str"/>
      <x:c r="M202" s="373"/>
      <x:c r="N202" s="373"/>
      <x:c r="O202" s="373"/>
      <x:c r="P202" s="373"/>
      <x:c r="Q202" s="373"/>
      <x:c r="R202" s="373"/>
      <x:c r="S202" s="373"/>
      <x:c r="T202" s="373"/>
      <x:c r="U202" s="373"/>
      <x:c r="V202" s="373"/>
      <x:c r="W202" s="373"/>
      <x:c r="X202" s="373"/>
      <x:c r="Y202" s="373"/>
      <x:c r="Z202" s="373"/>
    </x:row>
    <x:row r="203">
      <x:c r="A203" s="411" t="str"/>
      <x:c r="B203" s="460" t="str"/>
      <x:c r="C203" s="411" t="str"/>
      <x:c r="D203" s="411" t="str"/>
      <x:c r="E203" s="411" t="str"/>
      <x:c r="F203" s="411" t="str"/>
      <x:c r="G203" s="411" t="str"/>
      <x:c r="H203" s="411" t="str"/>
      <x:c r="I203" s="411" t="str"/>
      <x:c r="J203" s="411" t="str"/>
      <x:c r="K203" s="411" t="str"/>
      <x:c r="L203" s="411" t="str"/>
      <x:c r="M203" s="373"/>
      <x:c r="N203" s="373"/>
      <x:c r="O203" s="373"/>
      <x:c r="P203" s="373"/>
      <x:c r="Q203" s="373"/>
      <x:c r="R203" s="373"/>
      <x:c r="S203" s="373"/>
      <x:c r="T203" s="373"/>
      <x:c r="U203" s="373"/>
      <x:c r="V203" s="373"/>
      <x:c r="W203" s="373"/>
      <x:c r="X203" s="373"/>
      <x:c r="Y203" s="373"/>
      <x:c r="Z203" s="373"/>
    </x:row>
    <x:row r="204">
      <x:c r="A204" s="412" t="str"/>
      <x:c r="B204" s="461" t="str"/>
      <x:c r="C204" s="412" t="str"/>
      <x:c r="D204" s="412" t="str"/>
      <x:c r="E204" s="412" t="str"/>
      <x:c r="F204" s="412" t="str"/>
      <x:c r="G204" s="412" t="str"/>
      <x:c r="H204" s="412" t="str"/>
      <x:c r="I204" s="412" t="str"/>
      <x:c r="J204" s="412" t="str"/>
      <x:c r="K204" s="412" t="str"/>
      <x:c r="L204" s="412" t="str"/>
      <x:c r="M204" s="373"/>
      <x:c r="N204" s="373"/>
      <x:c r="O204" s="373"/>
      <x:c r="P204" s="373"/>
      <x:c r="Q204" s="373"/>
      <x:c r="R204" s="373"/>
      <x:c r="S204" s="373"/>
      <x:c r="T204" s="373"/>
      <x:c r="U204" s="373"/>
      <x:c r="V204" s="373"/>
      <x:c r="W204" s="373"/>
      <x:c r="X204" s="373"/>
      <x:c r="Y204" s="373"/>
      <x:c r="Z204" s="373"/>
    </x:row>
    <x:row r="205">
      <x:c r="A205" s="373"/>
      <x:c r="B205" s="373"/>
      <x:c r="C205" s="373"/>
      <x:c r="D205" s="373"/>
      <x:c r="E205" s="373"/>
      <x:c r="F205" s="373"/>
      <x:c r="G205" s="373"/>
      <x:c r="H205" s="373"/>
      <x:c r="I205" s="373"/>
      <x:c r="J205" s="373"/>
      <x:c r="K205" s="373"/>
      <x:c r="L205" s="373"/>
      <x:c r="M205" s="373"/>
      <x:c r="N205" s="373"/>
      <x:c r="O205" s="373"/>
      <x:c r="P205" s="373"/>
      <x:c r="Q205" s="373"/>
      <x:c r="R205" s="373"/>
      <x:c r="S205" s="373"/>
      <x:c r="T205" s="373"/>
      <x:c r="U205" s="373"/>
      <x:c r="V205" s="373"/>
      <x:c r="W205" s="373"/>
      <x:c r="X205" s="373"/>
      <x:c r="Y205" s="373"/>
      <x:c r="Z205" s="373"/>
    </x:row>
    <x:row r="206">
      <x:c r="A206" s="373"/>
      <x:c r="B206" s="373"/>
      <x:c r="C206" s="373"/>
      <x:c r="D206" s="373"/>
      <x:c r="E206" s="373"/>
      <x:c r="F206" s="373"/>
      <x:c r="G206" s="373"/>
      <x:c r="H206" s="373"/>
      <x:c r="I206" s="373"/>
      <x:c r="J206" s="373"/>
      <x:c r="K206" s="373"/>
      <x:c r="L206" s="373"/>
      <x:c r="M206" s="373"/>
      <x:c r="N206" s="373"/>
      <x:c r="O206" s="373"/>
      <x:c r="P206" s="373"/>
      <x:c r="Q206" s="373"/>
      <x:c r="R206" s="373"/>
      <x:c r="S206" s="373"/>
      <x:c r="T206" s="373"/>
      <x:c r="U206" s="373"/>
      <x:c r="V206" s="373"/>
      <x:c r="W206" s="373"/>
      <x:c r="X206" s="373"/>
      <x:c r="Y206" s="373"/>
      <x:c r="Z206" s="373"/>
    </x:row>
    <x:row r="207">
      <x:c r="A207" s="373"/>
      <x:c r="B207" s="373"/>
      <x:c r="C207" s="373"/>
      <x:c r="D207" s="373"/>
      <x:c r="E207" s="373"/>
      <x:c r="F207" s="373"/>
      <x:c r="G207" s="373"/>
      <x:c r="H207" s="373"/>
      <x:c r="I207" s="373"/>
      <x:c r="J207" s="373"/>
      <x:c r="K207" s="373"/>
      <x:c r="L207" s="373"/>
      <x:c r="M207" s="373"/>
      <x:c r="N207" s="373"/>
      <x:c r="O207" s="373"/>
      <x:c r="P207" s="373"/>
      <x:c r="Q207" s="373"/>
      <x:c r="R207" s="373"/>
      <x:c r="S207" s="373"/>
      <x:c r="T207" s="373"/>
      <x:c r="U207" s="373"/>
      <x:c r="V207" s="373"/>
      <x:c r="W207" s="373"/>
      <x:c r="X207" s="373"/>
      <x:c r="Y207" s="373"/>
      <x:c r="Z207" s="373"/>
    </x:row>
    <x:row r="208">
      <x:c r="A208" s="373"/>
      <x:c r="B208" s="373"/>
      <x:c r="C208" s="373"/>
      <x:c r="D208" s="373"/>
      <x:c r="E208" s="373"/>
      <x:c r="F208" s="373"/>
      <x:c r="G208" s="373"/>
      <x:c r="H208" s="373"/>
      <x:c r="I208" s="373"/>
      <x:c r="J208" s="373"/>
      <x:c r="K208" s="373"/>
      <x:c r="L208" s="373"/>
      <x:c r="M208" s="373"/>
      <x:c r="N208" s="373"/>
      <x:c r="O208" s="373"/>
      <x:c r="P208" s="373"/>
      <x:c r="Q208" s="373"/>
      <x:c r="R208" s="373"/>
      <x:c r="S208" s="373"/>
      <x:c r="T208" s="373"/>
      <x:c r="U208" s="373"/>
      <x:c r="V208" s="373"/>
      <x:c r="W208" s="373"/>
      <x:c r="X208" s="373"/>
      <x:c r="Y208" s="373"/>
      <x:c r="Z208" s="373"/>
    </x:row>
    <x:row r="209">
      <x:c r="A209" s="373"/>
      <x:c r="B209" s="373"/>
      <x:c r="C209" s="373"/>
      <x:c r="D209" s="373"/>
      <x:c r="E209" s="373"/>
      <x:c r="F209" s="373"/>
      <x:c r="G209" s="373"/>
      <x:c r="H209" s="373"/>
      <x:c r="I209" s="373"/>
      <x:c r="J209" s="373"/>
      <x:c r="K209" s="373"/>
      <x:c r="L209" s="373"/>
      <x:c r="M209" s="373"/>
      <x:c r="N209" s="373"/>
      <x:c r="O209" s="373"/>
      <x:c r="P209" s="373"/>
      <x:c r="Q209" s="373"/>
      <x:c r="R209" s="373"/>
      <x:c r="S209" s="373"/>
      <x:c r="T209" s="373"/>
      <x:c r="U209" s="373"/>
      <x:c r="V209" s="373"/>
      <x:c r="W209" s="373"/>
      <x:c r="X209" s="373"/>
      <x:c r="Y209" s="373"/>
      <x:c r="Z209" s="373"/>
    </x:row>
    <x:row r="210">
      <x:c r="A210" s="373"/>
      <x:c r="B210" s="373"/>
      <x:c r="C210" s="373"/>
      <x:c r="D210" s="373"/>
      <x:c r="E210" s="373"/>
      <x:c r="F210" s="373"/>
      <x:c r="G210" s="373"/>
      <x:c r="H210" s="373"/>
      <x:c r="I210" s="373"/>
      <x:c r="J210" s="373"/>
      <x:c r="K210" s="373"/>
      <x:c r="L210" s="373"/>
      <x:c r="M210" s="373"/>
      <x:c r="N210" s="373"/>
      <x:c r="O210" s="373"/>
      <x:c r="P210" s="373"/>
      <x:c r="Q210" s="373"/>
      <x:c r="R210" s="373"/>
      <x:c r="S210" s="373"/>
      <x:c r="T210" s="373"/>
      <x:c r="U210" s="373"/>
      <x:c r="V210" s="373"/>
      <x:c r="W210" s="373"/>
      <x:c r="X210" s="373"/>
      <x:c r="Y210" s="373"/>
      <x:c r="Z210" s="373"/>
    </x:row>
    <x:row r="211">
      <x:c r="A211" s="373"/>
      <x:c r="B211" s="373"/>
      <x:c r="C211" s="373"/>
      <x:c r="D211" s="373"/>
      <x:c r="E211" s="373"/>
      <x:c r="F211" s="373"/>
      <x:c r="G211" s="373"/>
      <x:c r="H211" s="373"/>
      <x:c r="I211" s="373"/>
      <x:c r="J211" s="373"/>
      <x:c r="K211" s="373"/>
      <x:c r="L211" s="373"/>
      <x:c r="M211" s="373"/>
      <x:c r="N211" s="373"/>
      <x:c r="O211" s="373"/>
      <x:c r="P211" s="373"/>
      <x:c r="Q211" s="373"/>
      <x:c r="R211" s="373"/>
      <x:c r="S211" s="373"/>
      <x:c r="T211" s="373"/>
      <x:c r="U211" s="373"/>
      <x:c r="V211" s="373"/>
      <x:c r="W211" s="373"/>
      <x:c r="X211" s="373"/>
      <x:c r="Y211" s="373"/>
      <x:c r="Z211" s="373"/>
    </x:row>
    <x:row r="212">
      <x:c r="A212" s="373"/>
      <x:c r="B212" s="373"/>
      <x:c r="C212" s="373"/>
      <x:c r="D212" s="373"/>
      <x:c r="E212" s="373"/>
      <x:c r="F212" s="373"/>
      <x:c r="G212" s="373"/>
      <x:c r="H212" s="373"/>
      <x:c r="I212" s="373"/>
      <x:c r="J212" s="373"/>
      <x:c r="K212" s="373"/>
      <x:c r="L212" s="373"/>
      <x:c r="M212" s="373"/>
      <x:c r="N212" s="373"/>
      <x:c r="O212" s="373"/>
      <x:c r="P212" s="373"/>
      <x:c r="Q212" s="373"/>
      <x:c r="R212" s="373"/>
      <x:c r="S212" s="373"/>
      <x:c r="T212" s="373"/>
      <x:c r="U212" s="373"/>
      <x:c r="V212" s="373"/>
      <x:c r="W212" s="373"/>
      <x:c r="X212" s="373"/>
      <x:c r="Y212" s="373"/>
      <x:c r="Z212" s="373"/>
    </x:row>
    <x:row r="213">
      <x:c r="A213" s="373"/>
      <x:c r="B213" s="373"/>
      <x:c r="C213" s="373"/>
      <x:c r="D213" s="373"/>
      <x:c r="E213" s="373"/>
      <x:c r="F213" s="373"/>
      <x:c r="G213" s="373"/>
      <x:c r="H213" s="373"/>
      <x:c r="I213" s="373"/>
      <x:c r="J213" s="373"/>
      <x:c r="K213" s="373"/>
      <x:c r="L213" s="373"/>
      <x:c r="M213" s="373"/>
      <x:c r="N213" s="373"/>
      <x:c r="O213" s="373"/>
      <x:c r="P213" s="373"/>
      <x:c r="Q213" s="373"/>
      <x:c r="R213" s="373"/>
      <x:c r="S213" s="373"/>
      <x:c r="T213" s="373"/>
      <x:c r="U213" s="373"/>
      <x:c r="V213" s="373"/>
      <x:c r="W213" s="373"/>
      <x:c r="X213" s="373"/>
      <x:c r="Y213" s="373"/>
      <x:c r="Z213" s="373"/>
    </x:row>
    <x:row r="214">
      <x:c r="A214" s="373"/>
      <x:c r="B214" s="373"/>
      <x:c r="C214" s="373"/>
      <x:c r="D214" s="373"/>
      <x:c r="E214" s="373"/>
      <x:c r="F214" s="373"/>
      <x:c r="G214" s="373"/>
      <x:c r="H214" s="373"/>
      <x:c r="I214" s="373"/>
      <x:c r="J214" s="373"/>
      <x:c r="K214" s="373"/>
      <x:c r="L214" s="373"/>
      <x:c r="M214" s="373"/>
      <x:c r="N214" s="373"/>
      <x:c r="O214" s="373"/>
      <x:c r="P214" s="373"/>
      <x:c r="Q214" s="373"/>
      <x:c r="R214" s="373"/>
      <x:c r="S214" s="373"/>
      <x:c r="T214" s="373"/>
      <x:c r="U214" s="373"/>
      <x:c r="V214" s="373"/>
      <x:c r="W214" s="373"/>
      <x:c r="X214" s="373"/>
      <x:c r="Y214" s="373"/>
      <x:c r="Z214" s="373"/>
    </x:row>
    <x:row r="215">
      <x:c r="A215" s="373"/>
      <x:c r="B215" s="373"/>
      <x:c r="C215" s="373"/>
      <x:c r="D215" s="373"/>
      <x:c r="E215" s="373"/>
      <x:c r="F215" s="373"/>
      <x:c r="G215" s="373"/>
      <x:c r="H215" s="373"/>
      <x:c r="I215" s="373"/>
      <x:c r="J215" s="373"/>
      <x:c r="K215" s="373"/>
      <x:c r="L215" s="373"/>
      <x:c r="M215" s="373"/>
      <x:c r="N215" s="373"/>
      <x:c r="O215" s="373"/>
      <x:c r="P215" s="373"/>
      <x:c r="Q215" s="373"/>
      <x:c r="R215" s="373"/>
      <x:c r="S215" s="373"/>
      <x:c r="T215" s="373"/>
      <x:c r="U215" s="373"/>
      <x:c r="V215" s="373"/>
      <x:c r="W215" s="373"/>
      <x:c r="X215" s="373"/>
      <x:c r="Y215" s="373"/>
      <x:c r="Z215" s="373"/>
    </x:row>
    <x:row r="216">
      <x:c r="A216" s="373"/>
      <x:c r="B216" s="373"/>
      <x:c r="C216" s="373"/>
      <x:c r="D216" s="373"/>
      <x:c r="E216" s="373"/>
      <x:c r="F216" s="373"/>
      <x:c r="G216" s="373"/>
      <x:c r="H216" s="373"/>
      <x:c r="I216" s="373"/>
      <x:c r="J216" s="373"/>
      <x:c r="K216" s="373"/>
      <x:c r="L216" s="373"/>
      <x:c r="M216" s="373"/>
      <x:c r="N216" s="373"/>
      <x:c r="O216" s="373"/>
      <x:c r="P216" s="373"/>
      <x:c r="Q216" s="373"/>
      <x:c r="R216" s="373"/>
      <x:c r="S216" s="373"/>
      <x:c r="T216" s="373"/>
      <x:c r="U216" s="373"/>
      <x:c r="V216" s="373"/>
      <x:c r="W216" s="373"/>
      <x:c r="X216" s="373"/>
      <x:c r="Y216" s="373"/>
      <x:c r="Z216" s="373"/>
    </x:row>
    <x:row r="217">
      <x:c r="A217" s="373"/>
      <x:c r="B217" s="373"/>
      <x:c r="C217" s="373"/>
      <x:c r="D217" s="373"/>
      <x:c r="E217" s="373"/>
      <x:c r="F217" s="373"/>
      <x:c r="G217" s="373"/>
      <x:c r="H217" s="373"/>
      <x:c r="I217" s="373"/>
      <x:c r="J217" s="373"/>
      <x:c r="K217" s="373"/>
      <x:c r="L217" s="373"/>
      <x:c r="M217" s="373"/>
      <x:c r="N217" s="373"/>
      <x:c r="O217" s="373"/>
      <x:c r="P217" s="373"/>
      <x:c r="Q217" s="373"/>
      <x:c r="R217" s="373"/>
      <x:c r="S217" s="373"/>
      <x:c r="T217" s="373"/>
      <x:c r="U217" s="373"/>
      <x:c r="V217" s="373"/>
      <x:c r="W217" s="373"/>
      <x:c r="X217" s="373"/>
      <x:c r="Y217" s="373"/>
      <x:c r="Z217" s="373"/>
    </x:row>
    <x:row r="218">
      <x:c r="A218" s="373"/>
      <x:c r="B218" s="373"/>
      <x:c r="C218" s="373"/>
      <x:c r="D218" s="373"/>
      <x:c r="E218" s="373"/>
      <x:c r="F218" s="373"/>
      <x:c r="G218" s="373"/>
      <x:c r="H218" s="373"/>
      <x:c r="I218" s="373"/>
      <x:c r="J218" s="373"/>
      <x:c r="K218" s="373"/>
      <x:c r="L218" s="373"/>
      <x:c r="M218" s="373"/>
      <x:c r="N218" s="373"/>
      <x:c r="O218" s="373"/>
      <x:c r="P218" s="373"/>
      <x:c r="Q218" s="373"/>
      <x:c r="R218" s="373"/>
      <x:c r="S218" s="373"/>
      <x:c r="T218" s="373"/>
      <x:c r="U218" s="373"/>
      <x:c r="V218" s="373"/>
      <x:c r="W218" s="373"/>
      <x:c r="X218" s="373"/>
      <x:c r="Y218" s="373"/>
      <x:c r="Z218" s="373"/>
    </x:row>
    <x:row r="219">
      <x:c r="A219" s="373"/>
      <x:c r="B219" s="373"/>
      <x:c r="C219" s="373"/>
      <x:c r="D219" s="373"/>
      <x:c r="E219" s="373"/>
      <x:c r="F219" s="373"/>
      <x:c r="G219" s="373"/>
      <x:c r="H219" s="373"/>
      <x:c r="I219" s="373"/>
      <x:c r="J219" s="373"/>
      <x:c r="K219" s="373"/>
      <x:c r="L219" s="373"/>
      <x:c r="M219" s="373"/>
      <x:c r="N219" s="373"/>
      <x:c r="O219" s="373"/>
      <x:c r="P219" s="373"/>
      <x:c r="Q219" s="373"/>
      <x:c r="R219" s="373"/>
      <x:c r="S219" s="373"/>
      <x:c r="T219" s="373"/>
      <x:c r="U219" s="373"/>
      <x:c r="V219" s="373"/>
      <x:c r="W219" s="373"/>
      <x:c r="X219" s="373"/>
      <x:c r="Y219" s="373"/>
      <x:c r="Z219" s="373"/>
    </x:row>
    <x:row r="220">
      <x:c r="A220" s="373"/>
      <x:c r="B220" s="373"/>
      <x:c r="C220" s="373"/>
      <x:c r="D220" s="373"/>
      <x:c r="E220" s="373"/>
      <x:c r="F220" s="373"/>
      <x:c r="G220" s="373"/>
      <x:c r="H220" s="373"/>
      <x:c r="I220" s="373"/>
      <x:c r="J220" s="373"/>
      <x:c r="K220" s="373"/>
      <x:c r="L220" s="373"/>
      <x:c r="M220" s="373"/>
      <x:c r="N220" s="373"/>
      <x:c r="O220" s="373"/>
      <x:c r="P220" s="373"/>
      <x:c r="Q220" s="373"/>
      <x:c r="R220" s="373"/>
      <x:c r="S220" s="373"/>
      <x:c r="T220" s="373"/>
      <x:c r="U220" s="373"/>
      <x:c r="V220" s="373"/>
      <x:c r="W220" s="373"/>
      <x:c r="X220" s="373"/>
      <x:c r="Y220" s="373"/>
      <x:c r="Z220" s="373"/>
    </x:row>
    <x:row r="221">
      <x:c r="A221" s="373"/>
      <x:c r="B221" s="373"/>
      <x:c r="C221" s="373"/>
      <x:c r="D221" s="373"/>
      <x:c r="E221" s="373"/>
      <x:c r="F221" s="373"/>
      <x:c r="G221" s="373"/>
      <x:c r="H221" s="373"/>
      <x:c r="I221" s="373"/>
      <x:c r="J221" s="373"/>
      <x:c r="K221" s="373"/>
      <x:c r="L221" s="373"/>
      <x:c r="M221" s="373"/>
      <x:c r="N221" s="373"/>
      <x:c r="O221" s="373"/>
      <x:c r="P221" s="373"/>
      <x:c r="Q221" s="373"/>
      <x:c r="R221" s="373"/>
      <x:c r="S221" s="373"/>
      <x:c r="T221" s="373"/>
      <x:c r="U221" s="373"/>
      <x:c r="V221" s="373"/>
      <x:c r="W221" s="373"/>
      <x:c r="X221" s="373"/>
      <x:c r="Y221" s="373"/>
      <x:c r="Z221" s="373"/>
    </x:row>
    <x:row r="222">
      <x:c r="A222" s="373"/>
      <x:c r="B222" s="373"/>
      <x:c r="C222" s="373"/>
      <x:c r="D222" s="373"/>
      <x:c r="E222" s="373"/>
      <x:c r="F222" s="373"/>
      <x:c r="G222" s="373"/>
      <x:c r="H222" s="373"/>
      <x:c r="I222" s="373"/>
      <x:c r="J222" s="373"/>
      <x:c r="K222" s="373"/>
      <x:c r="L222" s="373"/>
      <x:c r="M222" s="373"/>
      <x:c r="N222" s="373"/>
      <x:c r="O222" s="373"/>
      <x:c r="P222" s="373"/>
      <x:c r="Q222" s="373"/>
      <x:c r="R222" s="373"/>
      <x:c r="S222" s="373"/>
      <x:c r="T222" s="373"/>
      <x:c r="U222" s="373"/>
      <x:c r="V222" s="373"/>
      <x:c r="W222" s="373"/>
      <x:c r="X222" s="373"/>
      <x:c r="Y222" s="373"/>
      <x:c r="Z222" s="373"/>
    </x:row>
    <x:row r="223">
      <x:c r="A223" s="373"/>
      <x:c r="B223" s="373"/>
      <x:c r="C223" s="373"/>
      <x:c r="D223" s="373"/>
      <x:c r="E223" s="373"/>
      <x:c r="F223" s="373"/>
      <x:c r="G223" s="373"/>
      <x:c r="H223" s="373"/>
      <x:c r="I223" s="373"/>
      <x:c r="J223" s="373"/>
      <x:c r="K223" s="373"/>
      <x:c r="L223" s="373"/>
      <x:c r="M223" s="373"/>
      <x:c r="N223" s="373"/>
      <x:c r="O223" s="373"/>
      <x:c r="P223" s="373"/>
      <x:c r="Q223" s="373"/>
      <x:c r="R223" s="373"/>
      <x:c r="S223" s="373"/>
      <x:c r="T223" s="373"/>
      <x:c r="U223" s="373"/>
      <x:c r="V223" s="373"/>
      <x:c r="W223" s="373"/>
      <x:c r="X223" s="373"/>
      <x:c r="Y223" s="373"/>
      <x:c r="Z223" s="373"/>
    </x:row>
    <x:row r="224">
      <x:c r="A224" s="373"/>
      <x:c r="B224" s="373"/>
      <x:c r="C224" s="373"/>
      <x:c r="D224" s="373"/>
      <x:c r="E224" s="373"/>
      <x:c r="F224" s="373"/>
      <x:c r="G224" s="373"/>
      <x:c r="H224" s="373"/>
      <x:c r="I224" s="373"/>
      <x:c r="J224" s="373"/>
      <x:c r="K224" s="373"/>
      <x:c r="L224" s="373"/>
      <x:c r="M224" s="373"/>
      <x:c r="N224" s="373"/>
      <x:c r="O224" s="373"/>
      <x:c r="P224" s="373"/>
      <x:c r="Q224" s="373"/>
      <x:c r="R224" s="373"/>
      <x:c r="S224" s="373"/>
      <x:c r="T224" s="373"/>
      <x:c r="U224" s="373"/>
      <x:c r="V224" s="373"/>
      <x:c r="W224" s="373"/>
      <x:c r="X224" s="373"/>
      <x:c r="Y224" s="373"/>
      <x:c r="Z224" s="373"/>
    </x:row>
    <x:row r="225">
      <x:c r="A225" s="373"/>
      <x:c r="B225" s="373"/>
      <x:c r="C225" s="373"/>
      <x:c r="D225" s="373"/>
      <x:c r="E225" s="373"/>
      <x:c r="F225" s="373"/>
      <x:c r="G225" s="373"/>
      <x:c r="H225" s="373"/>
      <x:c r="I225" s="373"/>
      <x:c r="J225" s="373"/>
      <x:c r="K225" s="373"/>
      <x:c r="L225" s="373"/>
      <x:c r="M225" s="373"/>
      <x:c r="N225" s="373"/>
      <x:c r="O225" s="373"/>
      <x:c r="P225" s="373"/>
      <x:c r="Q225" s="373"/>
      <x:c r="R225" s="373"/>
      <x:c r="S225" s="373"/>
      <x:c r="T225" s="373"/>
      <x:c r="U225" s="373"/>
      <x:c r="V225" s="373"/>
      <x:c r="W225" s="373"/>
      <x:c r="X225" s="373"/>
      <x:c r="Y225" s="373"/>
      <x:c r="Z225" s="373"/>
    </x:row>
    <x:row r="226">
      <x:c r="A226" s="373"/>
      <x:c r="B226" s="373"/>
      <x:c r="C226" s="373"/>
      <x:c r="D226" s="373"/>
      <x:c r="E226" s="373"/>
      <x:c r="F226" s="373"/>
      <x:c r="G226" s="373"/>
      <x:c r="H226" s="373"/>
      <x:c r="I226" s="373"/>
      <x:c r="J226" s="373"/>
      <x:c r="K226" s="373"/>
      <x:c r="L226" s="373"/>
      <x:c r="M226" s="373"/>
      <x:c r="N226" s="373"/>
      <x:c r="O226" s="373"/>
      <x:c r="P226" s="373"/>
      <x:c r="Q226" s="373"/>
      <x:c r="R226" s="373"/>
      <x:c r="S226" s="373"/>
      <x:c r="T226" s="373"/>
      <x:c r="U226" s="373"/>
      <x:c r="V226" s="373"/>
      <x:c r="W226" s="373"/>
      <x:c r="X226" s="373"/>
      <x:c r="Y226" s="373"/>
      <x:c r="Z226" s="373"/>
    </x:row>
    <x:row r="227">
      <x:c r="A227" s="373"/>
      <x:c r="B227" s="373"/>
      <x:c r="C227" s="373"/>
      <x:c r="D227" s="373"/>
      <x:c r="E227" s="373"/>
      <x:c r="F227" s="373"/>
      <x:c r="G227" s="373"/>
      <x:c r="H227" s="373"/>
      <x:c r="I227" s="373"/>
      <x:c r="J227" s="373"/>
      <x:c r="K227" s="373"/>
      <x:c r="L227" s="373"/>
      <x:c r="M227" s="373"/>
      <x:c r="N227" s="373"/>
      <x:c r="O227" s="373"/>
      <x:c r="P227" s="373"/>
      <x:c r="Q227" s="373"/>
      <x:c r="R227" s="373"/>
      <x:c r="S227" s="373"/>
      <x:c r="T227" s="373"/>
      <x:c r="U227" s="373"/>
      <x:c r="V227" s="373"/>
      <x:c r="W227" s="373"/>
      <x:c r="X227" s="373"/>
      <x:c r="Y227" s="373"/>
      <x:c r="Z227" s="373"/>
    </x:row>
    <x:row r="228">
      <x:c r="A228" s="373"/>
      <x:c r="B228" s="373"/>
      <x:c r="C228" s="373"/>
      <x:c r="D228" s="373"/>
      <x:c r="E228" s="373"/>
      <x:c r="F228" s="373"/>
      <x:c r="G228" s="373"/>
      <x:c r="H228" s="373"/>
      <x:c r="I228" s="373"/>
      <x:c r="J228" s="373"/>
      <x:c r="K228" s="373"/>
      <x:c r="L228" s="373"/>
      <x:c r="M228" s="373"/>
      <x:c r="N228" s="373"/>
      <x:c r="O228" s="373"/>
      <x:c r="P228" s="373"/>
      <x:c r="Q228" s="373"/>
      <x:c r="R228" s="373"/>
      <x:c r="S228" s="373"/>
      <x:c r="T228" s="373"/>
      <x:c r="U228" s="373"/>
      <x:c r="V228" s="373"/>
      <x:c r="W228" s="373"/>
      <x:c r="X228" s="373"/>
      <x:c r="Y228" s="373"/>
      <x:c r="Z228" s="373"/>
    </x:row>
    <x:row r="229">
      <x:c r="A229" s="373"/>
      <x:c r="B229" s="373"/>
      <x:c r="C229" s="373"/>
      <x:c r="D229" s="373"/>
      <x:c r="E229" s="373"/>
      <x:c r="F229" s="373"/>
      <x:c r="G229" s="373"/>
      <x:c r="H229" s="373"/>
      <x:c r="I229" s="373"/>
      <x:c r="J229" s="373"/>
      <x:c r="K229" s="373"/>
      <x:c r="L229" s="373"/>
      <x:c r="M229" s="373"/>
      <x:c r="N229" s="373"/>
      <x:c r="O229" s="373"/>
      <x:c r="P229" s="373"/>
      <x:c r="Q229" s="373"/>
      <x:c r="R229" s="373"/>
      <x:c r="S229" s="373"/>
      <x:c r="T229" s="373"/>
      <x:c r="U229" s="373"/>
      <x:c r="V229" s="373"/>
      <x:c r="W229" s="373"/>
      <x:c r="X229" s="373"/>
      <x:c r="Y229" s="373"/>
      <x:c r="Z229" s="373"/>
    </x:row>
    <x:row r="230">
      <x:c r="A230" s="373"/>
      <x:c r="B230" s="373"/>
      <x:c r="C230" s="373"/>
      <x:c r="D230" s="373"/>
      <x:c r="E230" s="373"/>
      <x:c r="F230" s="373"/>
      <x:c r="G230" s="373"/>
      <x:c r="H230" s="373"/>
      <x:c r="I230" s="373"/>
      <x:c r="J230" s="373"/>
      <x:c r="K230" s="373"/>
      <x:c r="L230" s="373"/>
      <x:c r="M230" s="373"/>
      <x:c r="N230" s="373"/>
      <x:c r="O230" s="373"/>
      <x:c r="P230" s="373"/>
      <x:c r="Q230" s="373"/>
      <x:c r="R230" s="373"/>
      <x:c r="S230" s="373"/>
      <x:c r="T230" s="373"/>
      <x:c r="U230" s="373"/>
      <x:c r="V230" s="373"/>
      <x:c r="W230" s="373"/>
      <x:c r="X230" s="373"/>
      <x:c r="Y230" s="373"/>
      <x:c r="Z230" s="373"/>
    </x:row>
    <x:row r="231">
      <x:c r="A231" s="373"/>
      <x:c r="B231" s="373"/>
      <x:c r="C231" s="373"/>
      <x:c r="D231" s="373"/>
      <x:c r="E231" s="373"/>
      <x:c r="F231" s="373"/>
      <x:c r="G231" s="373"/>
      <x:c r="H231" s="373"/>
      <x:c r="I231" s="373"/>
      <x:c r="J231" s="373"/>
      <x:c r="K231" s="373"/>
      <x:c r="L231" s="373"/>
      <x:c r="M231" s="373"/>
      <x:c r="N231" s="373"/>
      <x:c r="O231" s="373"/>
      <x:c r="P231" s="373"/>
      <x:c r="Q231" s="373"/>
      <x:c r="R231" s="373"/>
      <x:c r="S231" s="373"/>
      <x:c r="T231" s="373"/>
      <x:c r="U231" s="373"/>
      <x:c r="V231" s="373"/>
      <x:c r="W231" s="373"/>
      <x:c r="X231" s="373"/>
      <x:c r="Y231" s="373"/>
      <x:c r="Z231" s="373"/>
    </x:row>
    <x:row r="232">
      <x:c r="A232" s="373"/>
      <x:c r="B232" s="373"/>
      <x:c r="C232" s="373"/>
      <x:c r="D232" s="373"/>
      <x:c r="E232" s="373"/>
      <x:c r="F232" s="373"/>
      <x:c r="G232" s="373"/>
      <x:c r="H232" s="373"/>
      <x:c r="I232" s="373"/>
      <x:c r="J232" s="373"/>
      <x:c r="K232" s="373"/>
      <x:c r="L232" s="373"/>
      <x:c r="M232" s="373"/>
      <x:c r="N232" s="373"/>
      <x:c r="O232" s="373"/>
      <x:c r="P232" s="373"/>
      <x:c r="Q232" s="373"/>
      <x:c r="R232" s="373"/>
      <x:c r="S232" s="373"/>
      <x:c r="T232" s="373"/>
      <x:c r="U232" s="373"/>
      <x:c r="V232" s="373"/>
      <x:c r="W232" s="373"/>
      <x:c r="X232" s="373"/>
      <x:c r="Y232" s="373"/>
      <x:c r="Z232" s="373"/>
    </x:row>
    <x:row r="233">
      <x:c r="A233" s="373"/>
      <x:c r="B233" s="373"/>
      <x:c r="C233" s="373"/>
      <x:c r="D233" s="373"/>
      <x:c r="E233" s="373"/>
      <x:c r="F233" s="373"/>
      <x:c r="G233" s="373"/>
      <x:c r="H233" s="373"/>
      <x:c r="I233" s="373"/>
      <x:c r="J233" s="373"/>
      <x:c r="K233" s="373"/>
      <x:c r="L233" s="373"/>
      <x:c r="M233" s="373"/>
      <x:c r="N233" s="373"/>
      <x:c r="O233" s="373"/>
      <x:c r="P233" s="373"/>
      <x:c r="Q233" s="373"/>
      <x:c r="R233" s="373"/>
      <x:c r="S233" s="373"/>
      <x:c r="T233" s="373"/>
      <x:c r="U233" s="373"/>
      <x:c r="V233" s="373"/>
      <x:c r="W233" s="373"/>
      <x:c r="X233" s="373"/>
      <x:c r="Y233" s="373"/>
      <x:c r="Z233" s="373"/>
    </x:row>
    <x:row r="234">
      <x:c r="A234" s="373"/>
      <x:c r="B234" s="373"/>
      <x:c r="C234" s="373"/>
      <x:c r="D234" s="373"/>
      <x:c r="E234" s="373"/>
      <x:c r="F234" s="373"/>
      <x:c r="G234" s="373"/>
      <x:c r="H234" s="373"/>
      <x:c r="I234" s="373"/>
      <x:c r="J234" s="373"/>
      <x:c r="K234" s="373"/>
      <x:c r="L234" s="373"/>
      <x:c r="M234" s="373"/>
      <x:c r="N234" s="373"/>
      <x:c r="O234" s="373"/>
      <x:c r="P234" s="373"/>
      <x:c r="Q234" s="373"/>
      <x:c r="R234" s="373"/>
      <x:c r="S234" s="373"/>
      <x:c r="T234" s="373"/>
      <x:c r="U234" s="373"/>
      <x:c r="V234" s="373"/>
      <x:c r="W234" s="373"/>
      <x:c r="X234" s="373"/>
      <x:c r="Y234" s="373"/>
      <x:c r="Z234" s="373"/>
    </x:row>
    <x:row r="235">
      <x:c r="A235" s="373"/>
      <x:c r="B235" s="373"/>
      <x:c r="C235" s="373"/>
      <x:c r="D235" s="373"/>
      <x:c r="E235" s="373"/>
      <x:c r="F235" s="373"/>
      <x:c r="G235" s="373"/>
      <x:c r="H235" s="373"/>
      <x:c r="I235" s="373"/>
      <x:c r="J235" s="373"/>
      <x:c r="K235" s="373"/>
      <x:c r="L235" s="373"/>
      <x:c r="M235" s="373"/>
      <x:c r="N235" s="373"/>
      <x:c r="O235" s="373"/>
      <x:c r="P235" s="373"/>
      <x:c r="Q235" s="373"/>
      <x:c r="R235" s="373"/>
      <x:c r="S235" s="373"/>
      <x:c r="T235" s="373"/>
      <x:c r="U235" s="373"/>
      <x:c r="V235" s="373"/>
      <x:c r="W235" s="373"/>
      <x:c r="X235" s="373"/>
      <x:c r="Y235" s="373"/>
      <x:c r="Z235" s="373"/>
    </x:row>
    <x:row r="236">
      <x:c r="A236" s="373"/>
      <x:c r="B236" s="373"/>
      <x:c r="C236" s="373"/>
      <x:c r="D236" s="373"/>
      <x:c r="E236" s="373"/>
      <x:c r="F236" s="373"/>
      <x:c r="G236" s="373"/>
      <x:c r="H236" s="373"/>
      <x:c r="I236" s="373"/>
      <x:c r="J236" s="373"/>
      <x:c r="K236" s="373"/>
      <x:c r="L236" s="373"/>
      <x:c r="M236" s="373"/>
      <x:c r="N236" s="373"/>
      <x:c r="O236" s="373"/>
      <x:c r="P236" s="373"/>
      <x:c r="Q236" s="373"/>
      <x:c r="R236" s="373"/>
      <x:c r="S236" s="373"/>
      <x:c r="T236" s="373"/>
      <x:c r="U236" s="373"/>
      <x:c r="V236" s="373"/>
      <x:c r="W236" s="373"/>
      <x:c r="X236" s="373"/>
      <x:c r="Y236" s="373"/>
      <x:c r="Z236" s="373"/>
    </x:row>
    <x:row r="237">
      <x:c r="A237" s="373"/>
      <x:c r="B237" s="373"/>
      <x:c r="C237" s="373"/>
      <x:c r="D237" s="373"/>
      <x:c r="E237" s="373"/>
      <x:c r="F237" s="373"/>
      <x:c r="G237" s="373"/>
      <x:c r="H237" s="373"/>
      <x:c r="I237" s="373"/>
      <x:c r="J237" s="373"/>
      <x:c r="K237" s="373"/>
      <x:c r="L237" s="373"/>
      <x:c r="M237" s="373"/>
      <x:c r="N237" s="373"/>
      <x:c r="O237" s="373"/>
      <x:c r="P237" s="373"/>
      <x:c r="Q237" s="373"/>
      <x:c r="R237" s="373"/>
      <x:c r="S237" s="373"/>
      <x:c r="T237" s="373"/>
      <x:c r="U237" s="373"/>
      <x:c r="V237" s="373"/>
      <x:c r="W237" s="373"/>
      <x:c r="X237" s="373"/>
      <x:c r="Y237" s="373"/>
      <x:c r="Z237" s="373"/>
    </x:row>
    <x:row r="238">
      <x:c r="A238" s="373"/>
      <x:c r="B238" s="373"/>
      <x:c r="C238" s="373"/>
      <x:c r="D238" s="373"/>
      <x:c r="E238" s="373"/>
      <x:c r="F238" s="373"/>
      <x:c r="G238" s="373"/>
      <x:c r="H238" s="373"/>
      <x:c r="I238" s="373"/>
      <x:c r="J238" s="373"/>
      <x:c r="K238" s="373"/>
      <x:c r="L238" s="373"/>
      <x:c r="M238" s="373"/>
      <x:c r="N238" s="373"/>
      <x:c r="O238" s="373"/>
      <x:c r="P238" s="373"/>
      <x:c r="Q238" s="373"/>
      <x:c r="R238" s="373"/>
      <x:c r="S238" s="373"/>
      <x:c r="T238" s="373"/>
      <x:c r="U238" s="373"/>
      <x:c r="V238" s="373"/>
      <x:c r="W238" s="373"/>
      <x:c r="X238" s="373"/>
      <x:c r="Y238" s="373"/>
      <x:c r="Z238" s="373"/>
    </x:row>
    <x:row r="239">
      <x:c r="A239" s="373"/>
      <x:c r="B239" s="373"/>
      <x:c r="C239" s="373"/>
      <x:c r="D239" s="373"/>
      <x:c r="E239" s="373"/>
      <x:c r="F239" s="373"/>
      <x:c r="G239" s="373"/>
      <x:c r="H239" s="373"/>
      <x:c r="I239" s="373"/>
      <x:c r="J239" s="373"/>
      <x:c r="K239" s="373"/>
      <x:c r="L239" s="373"/>
      <x:c r="M239" s="373"/>
      <x:c r="N239" s="373"/>
      <x:c r="O239" s="373"/>
      <x:c r="P239" s="373"/>
      <x:c r="Q239" s="373"/>
      <x:c r="R239" s="373"/>
      <x:c r="S239" s="373"/>
      <x:c r="T239" s="373"/>
      <x:c r="U239" s="373"/>
      <x:c r="V239" s="373"/>
      <x:c r="W239" s="373"/>
      <x:c r="X239" s="373"/>
      <x:c r="Y239" s="373"/>
      <x:c r="Z239" s="373"/>
    </x:row>
    <x:row r="240">
      <x:c r="A240" s="373"/>
      <x:c r="B240" s="373"/>
      <x:c r="C240" s="373"/>
      <x:c r="D240" s="373"/>
      <x:c r="E240" s="373"/>
      <x:c r="F240" s="373"/>
      <x:c r="G240" s="373"/>
      <x:c r="H240" s="373"/>
      <x:c r="I240" s="373"/>
      <x:c r="J240" s="373"/>
      <x:c r="K240" s="373"/>
      <x:c r="L240" s="373"/>
      <x:c r="M240" s="373"/>
      <x:c r="N240" s="373"/>
      <x:c r="O240" s="373"/>
      <x:c r="P240" s="373"/>
      <x:c r="Q240" s="373"/>
      <x:c r="R240" s="373"/>
      <x:c r="S240" s="373"/>
      <x:c r="T240" s="373"/>
      <x:c r="U240" s="373"/>
      <x:c r="V240" s="373"/>
      <x:c r="W240" s="373"/>
      <x:c r="X240" s="373"/>
      <x:c r="Y240" s="373"/>
      <x:c r="Z240" s="373"/>
    </x:row>
    <x:row r="241">
      <x:c r="A241" s="373"/>
      <x:c r="B241" s="373"/>
      <x:c r="C241" s="373"/>
      <x:c r="D241" s="373"/>
      <x:c r="E241" s="373"/>
      <x:c r="F241" s="373"/>
      <x:c r="G241" s="373"/>
      <x:c r="H241" s="373"/>
      <x:c r="I241" s="373"/>
      <x:c r="J241" s="373"/>
      <x:c r="K241" s="373"/>
      <x:c r="L241" s="373"/>
      <x:c r="M241" s="373"/>
      <x:c r="N241" s="373"/>
      <x:c r="O241" s="373"/>
      <x:c r="P241" s="373"/>
      <x:c r="Q241" s="373"/>
      <x:c r="R241" s="373"/>
      <x:c r="S241" s="373"/>
      <x:c r="T241" s="373"/>
      <x:c r="U241" s="373"/>
      <x:c r="V241" s="373"/>
      <x:c r="W241" s="373"/>
      <x:c r="X241" s="373"/>
      <x:c r="Y241" s="373"/>
      <x:c r="Z241" s="373"/>
    </x:row>
    <x:row r="242">
      <x:c r="A242" s="373"/>
      <x:c r="B242" s="373"/>
      <x:c r="C242" s="373"/>
      <x:c r="D242" s="373"/>
      <x:c r="E242" s="373"/>
      <x:c r="F242" s="373"/>
      <x:c r="G242" s="373"/>
      <x:c r="H242" s="373"/>
      <x:c r="I242" s="373"/>
      <x:c r="J242" s="373"/>
      <x:c r="K242" s="373"/>
      <x:c r="L242" s="373"/>
      <x:c r="M242" s="373"/>
      <x:c r="N242" s="373"/>
      <x:c r="O242" s="373"/>
      <x:c r="P242" s="373"/>
      <x:c r="Q242" s="373"/>
      <x:c r="R242" s="373"/>
      <x:c r="S242" s="373"/>
      <x:c r="T242" s="373"/>
      <x:c r="U242" s="373"/>
      <x:c r="V242" s="373"/>
      <x:c r="W242" s="373"/>
      <x:c r="X242" s="373"/>
      <x:c r="Y242" s="373"/>
      <x:c r="Z242" s="373"/>
    </x:row>
    <x:row r="243">
      <x:c r="A243" s="373"/>
      <x:c r="B243" s="373"/>
      <x:c r="C243" s="373"/>
      <x:c r="D243" s="373"/>
      <x:c r="E243" s="373"/>
      <x:c r="F243" s="373"/>
      <x:c r="G243" s="373"/>
      <x:c r="H243" s="373"/>
      <x:c r="I243" s="373"/>
      <x:c r="J243" s="373"/>
      <x:c r="K243" s="373"/>
      <x:c r="L243" s="373"/>
      <x:c r="M243" s="373"/>
      <x:c r="N243" s="373"/>
      <x:c r="O243" s="373"/>
      <x:c r="P243" s="373"/>
      <x:c r="Q243" s="373"/>
      <x:c r="R243" s="373"/>
      <x:c r="S243" s="373"/>
      <x:c r="T243" s="373"/>
      <x:c r="U243" s="373"/>
      <x:c r="V243" s="373"/>
      <x:c r="W243" s="373"/>
      <x:c r="X243" s="373"/>
      <x:c r="Y243" s="373"/>
      <x:c r="Z243" s="373"/>
    </x:row>
    <x:row r="244">
      <x:c r="A244" s="373"/>
      <x:c r="B244" s="373"/>
      <x:c r="C244" s="373"/>
      <x:c r="D244" s="373"/>
      <x:c r="E244" s="373"/>
      <x:c r="F244" s="373"/>
      <x:c r="G244" s="373"/>
      <x:c r="H244" s="373"/>
      <x:c r="I244" s="373"/>
      <x:c r="J244" s="373"/>
      <x:c r="K244" s="373"/>
      <x:c r="L244" s="373"/>
      <x:c r="M244" s="373"/>
      <x:c r="N244" s="373"/>
      <x:c r="O244" s="373"/>
      <x:c r="P244" s="373"/>
      <x:c r="Q244" s="373"/>
      <x:c r="R244" s="373"/>
      <x:c r="S244" s="373"/>
      <x:c r="T244" s="373"/>
      <x:c r="U244" s="373"/>
      <x:c r="V244" s="373"/>
      <x:c r="W244" s="373"/>
      <x:c r="X244" s="373"/>
      <x:c r="Y244" s="373"/>
      <x:c r="Z244" s="373"/>
    </x:row>
    <x:row r="245">
      <x:c r="A245" s="373"/>
      <x:c r="B245" s="373"/>
      <x:c r="C245" s="373"/>
      <x:c r="D245" s="373"/>
      <x:c r="E245" s="373"/>
      <x:c r="F245" s="373"/>
      <x:c r="G245" s="373"/>
      <x:c r="H245" s="373"/>
      <x:c r="I245" s="373"/>
      <x:c r="J245" s="373"/>
      <x:c r="K245" s="373"/>
      <x:c r="L245" s="373"/>
      <x:c r="M245" s="373"/>
      <x:c r="N245" s="373"/>
      <x:c r="O245" s="373"/>
      <x:c r="P245" s="373"/>
      <x:c r="Q245" s="373"/>
      <x:c r="R245" s="373"/>
      <x:c r="S245" s="373"/>
      <x:c r="T245" s="373"/>
      <x:c r="U245" s="373"/>
      <x:c r="V245" s="373"/>
      <x:c r="W245" s="373"/>
      <x:c r="X245" s="373"/>
      <x:c r="Y245" s="373"/>
      <x:c r="Z245" s="373"/>
    </x:row>
    <x:row r="246">
      <x:c r="A246" s="373"/>
      <x:c r="B246" s="373"/>
      <x:c r="C246" s="373"/>
      <x:c r="D246" s="373"/>
      <x:c r="E246" s="373"/>
      <x:c r="F246" s="373"/>
      <x:c r="G246" s="373"/>
      <x:c r="H246" s="373"/>
      <x:c r="I246" s="373"/>
      <x:c r="J246" s="373"/>
      <x:c r="K246" s="373"/>
      <x:c r="L246" s="373"/>
      <x:c r="M246" s="373"/>
      <x:c r="N246" s="373"/>
      <x:c r="O246" s="373"/>
      <x:c r="P246" s="373"/>
      <x:c r="Q246" s="373"/>
      <x:c r="R246" s="373"/>
      <x:c r="S246" s="373"/>
      <x:c r="T246" s="373"/>
      <x:c r="U246" s="373"/>
      <x:c r="V246" s="373"/>
      <x:c r="W246" s="373"/>
      <x:c r="X246" s="373"/>
      <x:c r="Y246" s="373"/>
      <x:c r="Z246" s="373"/>
    </x:row>
    <x:row r="247">
      <x:c r="A247" s="373"/>
      <x:c r="B247" s="373"/>
      <x:c r="C247" s="373"/>
      <x:c r="D247" s="373"/>
      <x:c r="E247" s="373"/>
      <x:c r="F247" s="373"/>
      <x:c r="G247" s="373"/>
      <x:c r="H247" s="373"/>
      <x:c r="I247" s="373"/>
      <x:c r="J247" s="373"/>
      <x:c r="K247" s="373"/>
      <x:c r="L247" s="373"/>
      <x:c r="M247" s="373"/>
      <x:c r="N247" s="373"/>
      <x:c r="O247" s="373"/>
      <x:c r="P247" s="373"/>
      <x:c r="Q247" s="373"/>
      <x:c r="R247" s="373"/>
      <x:c r="S247" s="373"/>
      <x:c r="T247" s="373"/>
      <x:c r="U247" s="373"/>
      <x:c r="V247" s="373"/>
      <x:c r="W247" s="373"/>
      <x:c r="X247" s="373"/>
      <x:c r="Y247" s="373"/>
      <x:c r="Z247" s="373"/>
    </x:row>
    <x:row r="248">
      <x:c r="A248" s="373"/>
      <x:c r="B248" s="373"/>
      <x:c r="C248" s="373"/>
      <x:c r="D248" s="373"/>
      <x:c r="E248" s="373"/>
      <x:c r="F248" s="373"/>
      <x:c r="G248" s="373"/>
      <x:c r="H248" s="373"/>
      <x:c r="I248" s="373"/>
      <x:c r="J248" s="373"/>
      <x:c r="K248" s="373"/>
      <x:c r="L248" s="373"/>
      <x:c r="M248" s="373"/>
      <x:c r="N248" s="373"/>
      <x:c r="O248" s="373"/>
      <x:c r="P248" s="373"/>
      <x:c r="Q248" s="373"/>
      <x:c r="R248" s="373"/>
      <x:c r="S248" s="373"/>
      <x:c r="T248" s="373"/>
      <x:c r="U248" s="373"/>
      <x:c r="V248" s="373"/>
      <x:c r="W248" s="373"/>
      <x:c r="X248" s="373"/>
      <x:c r="Y248" s="373"/>
      <x:c r="Z248" s="373"/>
    </x:row>
    <x:row r="249">
      <x:c r="A249" s="373"/>
      <x:c r="B249" s="373"/>
      <x:c r="C249" s="373"/>
      <x:c r="D249" s="373"/>
      <x:c r="E249" s="373"/>
      <x:c r="F249" s="373"/>
      <x:c r="G249" s="373"/>
      <x:c r="H249" s="373"/>
      <x:c r="I249" s="373"/>
      <x:c r="J249" s="373"/>
      <x:c r="K249" s="373"/>
      <x:c r="L249" s="373"/>
      <x:c r="M249" s="373"/>
      <x:c r="N249" s="373"/>
      <x:c r="O249" s="373"/>
      <x:c r="P249" s="373"/>
      <x:c r="Q249" s="373"/>
      <x:c r="R249" s="373"/>
      <x:c r="S249" s="373"/>
      <x:c r="T249" s="373"/>
      <x:c r="U249" s="373"/>
      <x:c r="V249" s="373"/>
      <x:c r="W249" s="373"/>
      <x:c r="X249" s="373"/>
      <x:c r="Y249" s="373"/>
      <x:c r="Z249" s="373"/>
    </x:row>
    <x:row r="250">
      <x:c r="A250" s="373"/>
      <x:c r="B250" s="373"/>
      <x:c r="C250" s="373"/>
      <x:c r="D250" s="373"/>
      <x:c r="E250" s="373"/>
      <x:c r="F250" s="373"/>
      <x:c r="G250" s="373"/>
      <x:c r="H250" s="373"/>
      <x:c r="I250" s="373"/>
      <x:c r="J250" s="373"/>
      <x:c r="K250" s="373"/>
      <x:c r="L250" s="373"/>
      <x:c r="M250" s="373"/>
      <x:c r="N250" s="373"/>
      <x:c r="O250" s="373"/>
      <x:c r="P250" s="373"/>
      <x:c r="Q250" s="373"/>
      <x:c r="R250" s="373"/>
      <x:c r="S250" s="373"/>
      <x:c r="T250" s="373"/>
      <x:c r="U250" s="373"/>
      <x:c r="V250" s="373"/>
      <x:c r="W250" s="373"/>
      <x:c r="X250" s="373"/>
      <x:c r="Y250" s="373"/>
      <x:c r="Z250" s="373"/>
    </x:row>
    <x:row r="251">
      <x:c r="A251" s="373"/>
      <x:c r="B251" s="373"/>
      <x:c r="C251" s="373"/>
      <x:c r="D251" s="373"/>
      <x:c r="E251" s="373"/>
      <x:c r="F251" s="373"/>
      <x:c r="G251" s="373"/>
      <x:c r="H251" s="373"/>
      <x:c r="I251" s="373"/>
      <x:c r="J251" s="373"/>
      <x:c r="K251" s="373"/>
      <x:c r="L251" s="373"/>
      <x:c r="M251" s="373"/>
      <x:c r="N251" s="373"/>
      <x:c r="O251" s="373"/>
      <x:c r="P251" s="373"/>
      <x:c r="Q251" s="373"/>
      <x:c r="R251" s="373"/>
      <x:c r="S251" s="373"/>
      <x:c r="T251" s="373"/>
      <x:c r="U251" s="373"/>
      <x:c r="V251" s="373"/>
      <x:c r="W251" s="373"/>
      <x:c r="X251" s="373"/>
      <x:c r="Y251" s="373"/>
      <x:c r="Z251" s="373"/>
    </x:row>
    <x:row r="252">
      <x:c r="A252" s="373"/>
      <x:c r="B252" s="373"/>
      <x:c r="C252" s="373"/>
      <x:c r="D252" s="373"/>
      <x:c r="E252" s="373"/>
      <x:c r="F252" s="373"/>
      <x:c r="G252" s="373"/>
      <x:c r="H252" s="373"/>
      <x:c r="I252" s="373"/>
      <x:c r="J252" s="373"/>
      <x:c r="K252" s="373"/>
      <x:c r="L252" s="373"/>
      <x:c r="M252" s="373"/>
      <x:c r="N252" s="373"/>
      <x:c r="O252" s="373"/>
      <x:c r="P252" s="373"/>
      <x:c r="Q252" s="373"/>
      <x:c r="R252" s="373"/>
      <x:c r="S252" s="373"/>
      <x:c r="T252" s="373"/>
      <x:c r="U252" s="373"/>
      <x:c r="V252" s="373"/>
      <x:c r="W252" s="373"/>
      <x:c r="X252" s="373"/>
      <x:c r="Y252" s="373"/>
      <x:c r="Z252" s="373"/>
    </x:row>
    <x:row r="253">
      <x:c r="A253" s="373"/>
      <x:c r="B253" s="373"/>
      <x:c r="C253" s="373"/>
      <x:c r="D253" s="373"/>
      <x:c r="E253" s="373"/>
      <x:c r="F253" s="373"/>
      <x:c r="G253" s="373"/>
      <x:c r="H253" s="373"/>
      <x:c r="I253" s="373"/>
      <x:c r="J253" s="373"/>
      <x:c r="K253" s="373"/>
      <x:c r="L253" s="373"/>
      <x:c r="M253" s="373"/>
      <x:c r="N253" s="373"/>
      <x:c r="O253" s="373"/>
      <x:c r="P253" s="373"/>
      <x:c r="Q253" s="373"/>
      <x:c r="R253" s="373"/>
      <x:c r="S253" s="373"/>
      <x:c r="T253" s="373"/>
      <x:c r="U253" s="373"/>
      <x:c r="V253" s="373"/>
      <x:c r="W253" s="373"/>
      <x:c r="X253" s="373"/>
      <x:c r="Y253" s="373"/>
      <x:c r="Z253" s="373"/>
    </x:row>
    <x:row r="254">
      <x:c r="A254" s="373"/>
      <x:c r="B254" s="373"/>
      <x:c r="C254" s="373"/>
      <x:c r="D254" s="373"/>
      <x:c r="E254" s="373"/>
      <x:c r="F254" s="373"/>
      <x:c r="G254" s="373"/>
      <x:c r="H254" s="373"/>
      <x:c r="I254" s="373"/>
      <x:c r="J254" s="373"/>
      <x:c r="K254" s="373"/>
      <x:c r="L254" s="373"/>
      <x:c r="M254" s="373"/>
      <x:c r="N254" s="373"/>
      <x:c r="O254" s="373"/>
      <x:c r="P254" s="373"/>
      <x:c r="Q254" s="373"/>
      <x:c r="R254" s="373"/>
      <x:c r="S254" s="373"/>
      <x:c r="T254" s="373"/>
      <x:c r="U254" s="373"/>
      <x:c r="V254" s="373"/>
      <x:c r="W254" s="373"/>
      <x:c r="X254" s="373"/>
      <x:c r="Y254" s="373"/>
      <x:c r="Z254" s="373"/>
    </x:row>
    <x:row r="255">
      <x:c r="A255" s="373"/>
      <x:c r="B255" s="373"/>
      <x:c r="C255" s="373"/>
      <x:c r="D255" s="373"/>
      <x:c r="E255" s="373"/>
      <x:c r="F255" s="373"/>
      <x:c r="G255" s="373"/>
      <x:c r="H255" s="373"/>
      <x:c r="I255" s="373"/>
      <x:c r="J255" s="373"/>
      <x:c r="K255" s="373"/>
      <x:c r="L255" s="373"/>
      <x:c r="M255" s="373"/>
      <x:c r="N255" s="373"/>
      <x:c r="O255" s="373"/>
      <x:c r="P255" s="373"/>
      <x:c r="Q255" s="373"/>
      <x:c r="R255" s="373"/>
      <x:c r="S255" s="373"/>
      <x:c r="T255" s="373"/>
      <x:c r="U255" s="373"/>
      <x:c r="V255" s="373"/>
      <x:c r="W255" s="373"/>
      <x:c r="X255" s="373"/>
      <x:c r="Y255" s="373"/>
      <x:c r="Z255" s="373"/>
    </x:row>
    <x:row r="256">
      <x:c r="A256" s="373"/>
      <x:c r="B256" s="373"/>
      <x:c r="C256" s="373"/>
      <x:c r="D256" s="373"/>
      <x:c r="E256" s="373"/>
      <x:c r="F256" s="373"/>
      <x:c r="G256" s="373"/>
      <x:c r="H256" s="373"/>
      <x:c r="I256" s="373"/>
      <x:c r="J256" s="373"/>
      <x:c r="K256" s="373"/>
      <x:c r="L256" s="373"/>
      <x:c r="M256" s="373"/>
      <x:c r="N256" s="373"/>
      <x:c r="O256" s="373"/>
      <x:c r="P256" s="373"/>
      <x:c r="Q256" s="373"/>
      <x:c r="R256" s="373"/>
      <x:c r="S256" s="373"/>
      <x:c r="T256" s="373"/>
      <x:c r="U256" s="373"/>
      <x:c r="V256" s="373"/>
      <x:c r="W256" s="373"/>
      <x:c r="X256" s="373"/>
      <x:c r="Y256" s="373"/>
      <x:c r="Z256" s="373"/>
    </x:row>
    <x:row r="257">
      <x:c r="A257" s="373"/>
      <x:c r="B257" s="373"/>
      <x:c r="C257" s="373"/>
      <x:c r="D257" s="373"/>
      <x:c r="E257" s="373"/>
      <x:c r="F257" s="373"/>
      <x:c r="G257" s="373"/>
      <x:c r="H257" s="373"/>
      <x:c r="I257" s="373"/>
      <x:c r="J257" s="373"/>
      <x:c r="K257" s="373"/>
      <x:c r="L257" s="373"/>
      <x:c r="M257" s="373"/>
      <x:c r="N257" s="373"/>
      <x:c r="O257" s="373"/>
      <x:c r="P257" s="373"/>
      <x:c r="Q257" s="373"/>
      <x:c r="R257" s="373"/>
      <x:c r="S257" s="373"/>
      <x:c r="T257" s="373"/>
      <x:c r="U257" s="373"/>
      <x:c r="V257" s="373"/>
      <x:c r="W257" s="373"/>
      <x:c r="X257" s="373"/>
      <x:c r="Y257" s="373"/>
      <x:c r="Z257" s="373"/>
    </x:row>
    <x:row r="258">
      <x:c r="A258" s="373"/>
      <x:c r="B258" s="373"/>
      <x:c r="C258" s="373"/>
      <x:c r="D258" s="373"/>
      <x:c r="E258" s="373"/>
      <x:c r="F258" s="373"/>
      <x:c r="G258" s="373"/>
      <x:c r="H258" s="373"/>
      <x:c r="I258" s="373"/>
      <x:c r="J258" s="373"/>
      <x:c r="K258" s="373"/>
      <x:c r="L258" s="373"/>
      <x:c r="M258" s="373"/>
      <x:c r="N258" s="373"/>
      <x:c r="O258" s="373"/>
      <x:c r="P258" s="373"/>
      <x:c r="Q258" s="373"/>
      <x:c r="R258" s="373"/>
      <x:c r="S258" s="373"/>
      <x:c r="T258" s="373"/>
      <x:c r="U258" s="373"/>
      <x:c r="V258" s="373"/>
      <x:c r="W258" s="373"/>
      <x:c r="X258" s="373"/>
      <x:c r="Y258" s="373"/>
      <x:c r="Z258" s="373"/>
    </x:row>
    <x:row r="259">
      <x:c r="A259" s="373"/>
      <x:c r="B259" s="373"/>
      <x:c r="C259" s="373"/>
      <x:c r="D259" s="373"/>
      <x:c r="E259" s="373"/>
      <x:c r="F259" s="373"/>
      <x:c r="G259" s="373"/>
      <x:c r="H259" s="373"/>
      <x:c r="I259" s="373"/>
      <x:c r="J259" s="373"/>
      <x:c r="K259" s="373"/>
      <x:c r="L259" s="373"/>
      <x:c r="M259" s="373"/>
      <x:c r="N259" s="373"/>
      <x:c r="O259" s="373"/>
      <x:c r="P259" s="373"/>
      <x:c r="Q259" s="373"/>
      <x:c r="R259" s="373"/>
      <x:c r="S259" s="373"/>
      <x:c r="T259" s="373"/>
      <x:c r="U259" s="373"/>
      <x:c r="V259" s="373"/>
      <x:c r="W259" s="373"/>
      <x:c r="X259" s="373"/>
      <x:c r="Y259" s="373"/>
      <x:c r="Z259" s="373"/>
    </x:row>
    <x:row r="260">
      <x:c r="A260" s="373"/>
      <x:c r="B260" s="373"/>
      <x:c r="C260" s="373"/>
      <x:c r="D260" s="373"/>
      <x:c r="E260" s="373"/>
      <x:c r="F260" s="373"/>
      <x:c r="G260" s="373"/>
      <x:c r="H260" s="373"/>
      <x:c r="I260" s="373"/>
      <x:c r="J260" s="373"/>
      <x:c r="K260" s="373"/>
      <x:c r="L260" s="373"/>
      <x:c r="M260" s="373"/>
      <x:c r="N260" s="373"/>
      <x:c r="O260" s="373"/>
      <x:c r="P260" s="373"/>
      <x:c r="Q260" s="373"/>
      <x:c r="R260" s="373"/>
      <x:c r="S260" s="373"/>
      <x:c r="T260" s="373"/>
      <x:c r="U260" s="373"/>
      <x:c r="V260" s="373"/>
      <x:c r="W260" s="373"/>
      <x:c r="X260" s="373"/>
      <x:c r="Y260" s="373"/>
      <x:c r="Z260" s="373"/>
    </x:row>
    <x:row r="261">
      <x:c r="A261" s="373"/>
      <x:c r="B261" s="373"/>
      <x:c r="C261" s="373"/>
      <x:c r="D261" s="373"/>
      <x:c r="E261" s="373"/>
      <x:c r="F261" s="373"/>
      <x:c r="G261" s="373"/>
      <x:c r="H261" s="373"/>
      <x:c r="I261" s="373"/>
      <x:c r="J261" s="373"/>
      <x:c r="K261" s="373"/>
      <x:c r="L261" s="373"/>
      <x:c r="M261" s="373"/>
      <x:c r="N261" s="373"/>
      <x:c r="O261" s="373"/>
      <x:c r="P261" s="373"/>
      <x:c r="Q261" s="373"/>
      <x:c r="R261" s="373"/>
      <x:c r="S261" s="373"/>
      <x:c r="T261" s="373"/>
      <x:c r="U261" s="373"/>
      <x:c r="V261" s="373"/>
      <x:c r="W261" s="373"/>
      <x:c r="X261" s="373"/>
      <x:c r="Y261" s="373"/>
      <x:c r="Z261" s="373"/>
    </x:row>
    <x:row r="262">
      <x:c r="A262" s="373"/>
      <x:c r="B262" s="373"/>
      <x:c r="C262" s="373"/>
      <x:c r="D262" s="373"/>
      <x:c r="E262" s="373"/>
      <x:c r="F262" s="373"/>
      <x:c r="G262" s="373"/>
      <x:c r="H262" s="373"/>
      <x:c r="I262" s="373"/>
      <x:c r="J262" s="373"/>
      <x:c r="K262" s="373"/>
      <x:c r="L262" s="373"/>
      <x:c r="M262" s="373"/>
      <x:c r="N262" s="373"/>
      <x:c r="O262" s="373"/>
      <x:c r="P262" s="373"/>
      <x:c r="Q262" s="373"/>
      <x:c r="R262" s="373"/>
      <x:c r="S262" s="373"/>
      <x:c r="T262" s="373"/>
      <x:c r="U262" s="373"/>
      <x:c r="V262" s="373"/>
      <x:c r="W262" s="373"/>
      <x:c r="X262" s="373"/>
      <x:c r="Y262" s="373"/>
      <x:c r="Z262" s="373"/>
    </x:row>
    <x:row r="263">
      <x:c r="A263" s="373"/>
      <x:c r="B263" s="373"/>
      <x:c r="C263" s="373"/>
      <x:c r="D263" s="373"/>
      <x:c r="E263" s="373"/>
      <x:c r="F263" s="373"/>
      <x:c r="G263" s="373"/>
      <x:c r="H263" s="373"/>
      <x:c r="I263" s="373"/>
      <x:c r="J263" s="373"/>
      <x:c r="K263" s="373"/>
      <x:c r="L263" s="373"/>
      <x:c r="M263" s="373"/>
      <x:c r="N263" s="373"/>
      <x:c r="O263" s="373"/>
      <x:c r="P263" s="373"/>
      <x:c r="Q263" s="373"/>
      <x:c r="R263" s="373"/>
      <x:c r="S263" s="373"/>
      <x:c r="T263" s="373"/>
      <x:c r="U263" s="373"/>
      <x:c r="V263" s="373"/>
      <x:c r="W263" s="373"/>
      <x:c r="X263" s="373"/>
      <x:c r="Y263" s="373"/>
      <x:c r="Z263" s="373"/>
    </x:row>
    <x:row r="264">
      <x:c r="A264" s="373"/>
      <x:c r="B264" s="373"/>
      <x:c r="C264" s="373"/>
      <x:c r="D264" s="373"/>
      <x:c r="E264" s="373"/>
      <x:c r="F264" s="373"/>
      <x:c r="G264" s="373"/>
      <x:c r="H264" s="373"/>
      <x:c r="I264" s="373"/>
      <x:c r="J264" s="373"/>
      <x:c r="K264" s="373"/>
      <x:c r="L264" s="373"/>
      <x:c r="M264" s="373"/>
      <x:c r="N264" s="373"/>
      <x:c r="O264" s="373"/>
      <x:c r="P264" s="373"/>
      <x:c r="Q264" s="373"/>
      <x:c r="R264" s="373"/>
      <x:c r="S264" s="373"/>
      <x:c r="T264" s="373"/>
      <x:c r="U264" s="373"/>
      <x:c r="V264" s="373"/>
      <x:c r="W264" s="373"/>
      <x:c r="X264" s="373"/>
      <x:c r="Y264" s="373"/>
      <x:c r="Z264" s="373"/>
    </x:row>
    <x:row r="265">
      <x:c r="A265" s="373"/>
      <x:c r="B265" s="373"/>
      <x:c r="C265" s="373"/>
      <x:c r="D265" s="373"/>
      <x:c r="E265" s="373"/>
      <x:c r="F265" s="373"/>
      <x:c r="G265" s="373"/>
      <x:c r="H265" s="373"/>
      <x:c r="I265" s="373"/>
      <x:c r="J265" s="373"/>
      <x:c r="K265" s="373"/>
      <x:c r="L265" s="373"/>
      <x:c r="M265" s="373"/>
      <x:c r="N265" s="373"/>
      <x:c r="O265" s="373"/>
      <x:c r="P265" s="373"/>
      <x:c r="Q265" s="373"/>
      <x:c r="R265" s="373"/>
      <x:c r="S265" s="373"/>
      <x:c r="T265" s="373"/>
      <x:c r="U265" s="373"/>
      <x:c r="V265" s="373"/>
      <x:c r="W265" s="373"/>
      <x:c r="X265" s="373"/>
      <x:c r="Y265" s="373"/>
      <x:c r="Z265" s="373"/>
    </x:row>
    <x:row r="266">
      <x:c r="A266" s="373"/>
      <x:c r="B266" s="373"/>
      <x:c r="C266" s="373"/>
      <x:c r="D266" s="373"/>
      <x:c r="E266" s="373"/>
      <x:c r="F266" s="373"/>
      <x:c r="G266" s="373"/>
      <x:c r="H266" s="373"/>
      <x:c r="I266" s="373"/>
      <x:c r="J266" s="373"/>
      <x:c r="K266" s="373"/>
      <x:c r="L266" s="373"/>
      <x:c r="M266" s="373"/>
      <x:c r="N266" s="373"/>
      <x:c r="O266" s="373"/>
      <x:c r="P266" s="373"/>
      <x:c r="Q266" s="373"/>
      <x:c r="R266" s="373"/>
      <x:c r="S266" s="373"/>
      <x:c r="T266" s="373"/>
      <x:c r="U266" s="373"/>
      <x:c r="V266" s="373"/>
      <x:c r="W266" s="373"/>
      <x:c r="X266" s="373"/>
      <x:c r="Y266" s="373"/>
      <x:c r="Z266" s="373"/>
    </x:row>
    <x:row r="267">
      <x:c r="A267" s="373"/>
      <x:c r="B267" s="373"/>
      <x:c r="C267" s="373"/>
      <x:c r="D267" s="373"/>
      <x:c r="E267" s="373"/>
      <x:c r="F267" s="373"/>
      <x:c r="G267" s="373"/>
      <x:c r="H267" s="373"/>
      <x:c r="I267" s="373"/>
      <x:c r="J267" s="373"/>
      <x:c r="K267" s="373"/>
      <x:c r="L267" s="373"/>
      <x:c r="M267" s="373"/>
      <x:c r="N267" s="373"/>
      <x:c r="O267" s="373"/>
      <x:c r="P267" s="373"/>
      <x:c r="Q267" s="373"/>
      <x:c r="R267" s="373"/>
      <x:c r="S267" s="373"/>
      <x:c r="T267" s="373"/>
      <x:c r="U267" s="373"/>
      <x:c r="V267" s="373"/>
      <x:c r="W267" s="373"/>
      <x:c r="X267" s="373"/>
      <x:c r="Y267" s="373"/>
      <x:c r="Z267" s="373"/>
    </x:row>
    <x:row r="268">
      <x:c r="A268" s="373"/>
      <x:c r="B268" s="373"/>
      <x:c r="C268" s="373"/>
      <x:c r="D268" s="373"/>
      <x:c r="E268" s="373"/>
      <x:c r="F268" s="373"/>
      <x:c r="G268" s="373"/>
      <x:c r="H268" s="373"/>
      <x:c r="I268" s="373"/>
      <x:c r="J268" s="373"/>
      <x:c r="K268" s="373"/>
      <x:c r="L268" s="373"/>
      <x:c r="M268" s="373"/>
      <x:c r="N268" s="373"/>
      <x:c r="O268" s="373"/>
      <x:c r="P268" s="373"/>
      <x:c r="Q268" s="373"/>
      <x:c r="R268" s="373"/>
      <x:c r="S268" s="373"/>
      <x:c r="T268" s="373"/>
      <x:c r="U268" s="373"/>
      <x:c r="V268" s="373"/>
      <x:c r="W268" s="373"/>
      <x:c r="X268" s="373"/>
      <x:c r="Y268" s="373"/>
      <x:c r="Z268" s="373"/>
    </x:row>
    <x:row r="269">
      <x:c r="A269" s="373"/>
      <x:c r="B269" s="373"/>
      <x:c r="C269" s="373"/>
      <x:c r="D269" s="373"/>
      <x:c r="E269" s="373"/>
      <x:c r="F269" s="373"/>
      <x:c r="G269" s="373"/>
      <x:c r="H269" s="373"/>
      <x:c r="I269" s="373"/>
      <x:c r="J269" s="373"/>
      <x:c r="K269" s="373"/>
      <x:c r="L269" s="373"/>
      <x:c r="M269" s="373"/>
      <x:c r="N269" s="373"/>
      <x:c r="O269" s="373"/>
      <x:c r="P269" s="373"/>
      <x:c r="Q269" s="373"/>
      <x:c r="R269" s="373"/>
      <x:c r="S269" s="373"/>
      <x:c r="T269" s="373"/>
      <x:c r="U269" s="373"/>
      <x:c r="V269" s="373"/>
      <x:c r="W269" s="373"/>
      <x:c r="X269" s="373"/>
      <x:c r="Y269" s="373"/>
      <x:c r="Z269" s="373"/>
    </x:row>
    <x:row r="270">
      <x:c r="A270" s="373"/>
      <x:c r="B270" s="373"/>
      <x:c r="C270" s="373"/>
      <x:c r="D270" s="373"/>
      <x:c r="E270" s="373"/>
      <x:c r="F270" s="373"/>
      <x:c r="G270" s="373"/>
      <x:c r="H270" s="373"/>
      <x:c r="I270" s="373"/>
      <x:c r="J270" s="373"/>
      <x:c r="K270" s="373"/>
      <x:c r="L270" s="373"/>
      <x:c r="M270" s="373"/>
      <x:c r="N270" s="373"/>
      <x:c r="O270" s="373"/>
      <x:c r="P270" s="373"/>
      <x:c r="Q270" s="373"/>
      <x:c r="R270" s="373"/>
      <x:c r="S270" s="373"/>
      <x:c r="T270" s="373"/>
      <x:c r="U270" s="373"/>
      <x:c r="V270" s="373"/>
      <x:c r="W270" s="373"/>
      <x:c r="X270" s="373"/>
      <x:c r="Y270" s="373"/>
      <x:c r="Z270" s="373"/>
    </x:row>
    <x:row r="271">
      <x:c r="A271" s="373"/>
      <x:c r="B271" s="373"/>
      <x:c r="C271" s="373"/>
      <x:c r="D271" s="373"/>
      <x:c r="E271" s="373"/>
      <x:c r="F271" s="373"/>
      <x:c r="G271" s="373"/>
      <x:c r="H271" s="373"/>
      <x:c r="I271" s="373"/>
      <x:c r="J271" s="373"/>
      <x:c r="K271" s="373"/>
      <x:c r="L271" s="373"/>
      <x:c r="M271" s="373"/>
      <x:c r="N271" s="373"/>
      <x:c r="O271" s="373"/>
      <x:c r="P271" s="373"/>
      <x:c r="Q271" s="373"/>
      <x:c r="R271" s="373"/>
      <x:c r="S271" s="373"/>
      <x:c r="T271" s="373"/>
      <x:c r="U271" s="373"/>
      <x:c r="V271" s="373"/>
      <x:c r="W271" s="373"/>
      <x:c r="X271" s="373"/>
      <x:c r="Y271" s="373"/>
      <x:c r="Z271" s="373"/>
    </x:row>
    <x:row r="272">
      <x:c r="A272" s="373"/>
      <x:c r="B272" s="373"/>
      <x:c r="C272" s="373"/>
      <x:c r="D272" s="373"/>
      <x:c r="E272" s="373"/>
      <x:c r="F272" s="373"/>
      <x:c r="G272" s="373"/>
      <x:c r="H272" s="373"/>
      <x:c r="I272" s="373"/>
      <x:c r="J272" s="373"/>
      <x:c r="K272" s="373"/>
      <x:c r="L272" s="373"/>
      <x:c r="M272" s="373"/>
      <x:c r="N272" s="373"/>
      <x:c r="O272" s="373"/>
      <x:c r="P272" s="373"/>
      <x:c r="Q272" s="373"/>
      <x:c r="R272" s="373"/>
      <x:c r="S272" s="373"/>
      <x:c r="T272" s="373"/>
      <x:c r="U272" s="373"/>
      <x:c r="V272" s="373"/>
      <x:c r="W272" s="373"/>
      <x:c r="X272" s="373"/>
      <x:c r="Y272" s="373"/>
      <x:c r="Z272" s="373"/>
    </x:row>
    <x:row r="273">
      <x:c r="A273" s="373"/>
      <x:c r="B273" s="373"/>
      <x:c r="C273" s="373"/>
      <x:c r="D273" s="373"/>
      <x:c r="E273" s="373"/>
      <x:c r="F273" s="373"/>
      <x:c r="G273" s="373"/>
      <x:c r="H273" s="373"/>
      <x:c r="I273" s="373"/>
      <x:c r="J273" s="373"/>
      <x:c r="K273" s="373"/>
      <x:c r="L273" s="373"/>
      <x:c r="M273" s="373"/>
      <x:c r="N273" s="373"/>
      <x:c r="O273" s="373"/>
      <x:c r="P273" s="373"/>
      <x:c r="Q273" s="373"/>
      <x:c r="R273" s="373"/>
      <x:c r="S273" s="373"/>
      <x:c r="T273" s="373"/>
      <x:c r="U273" s="373"/>
      <x:c r="V273" s="373"/>
      <x:c r="W273" s="373"/>
      <x:c r="X273" s="373"/>
      <x:c r="Y273" s="373"/>
      <x:c r="Z273" s="373"/>
    </x:row>
    <x:row r="274">
      <x:c r="A274" s="373"/>
      <x:c r="B274" s="373"/>
      <x:c r="C274" s="373"/>
      <x:c r="D274" s="373"/>
      <x:c r="E274" s="373"/>
      <x:c r="F274" s="373"/>
      <x:c r="G274" s="373"/>
      <x:c r="H274" s="373"/>
      <x:c r="I274" s="373"/>
      <x:c r="J274" s="373"/>
      <x:c r="K274" s="373"/>
      <x:c r="L274" s="373"/>
      <x:c r="M274" s="373"/>
      <x:c r="N274" s="373"/>
      <x:c r="O274" s="373"/>
      <x:c r="P274" s="373"/>
      <x:c r="Q274" s="373"/>
      <x:c r="R274" s="373"/>
      <x:c r="S274" s="373"/>
      <x:c r="T274" s="373"/>
      <x:c r="U274" s="373"/>
      <x:c r="V274" s="373"/>
      <x:c r="W274" s="373"/>
      <x:c r="X274" s="373"/>
      <x:c r="Y274" s="373"/>
      <x:c r="Z274" s="373"/>
    </x:row>
    <x:row r="275">
      <x:c r="A275" s="373"/>
      <x:c r="B275" s="373"/>
      <x:c r="C275" s="373"/>
      <x:c r="D275" s="373"/>
      <x:c r="E275" s="373"/>
      <x:c r="F275" s="373"/>
      <x:c r="G275" s="373"/>
      <x:c r="H275" s="373"/>
      <x:c r="I275" s="373"/>
      <x:c r="J275" s="373"/>
      <x:c r="K275" s="373"/>
      <x:c r="L275" s="373"/>
      <x:c r="M275" s="373"/>
      <x:c r="N275" s="373"/>
      <x:c r="O275" s="373"/>
      <x:c r="P275" s="373"/>
      <x:c r="Q275" s="373"/>
      <x:c r="R275" s="373"/>
      <x:c r="S275" s="373"/>
      <x:c r="T275" s="373"/>
      <x:c r="U275" s="373"/>
      <x:c r="V275" s="373"/>
      <x:c r="W275" s="373"/>
      <x:c r="X275" s="373"/>
      <x:c r="Y275" s="373"/>
      <x:c r="Z275" s="373"/>
    </x:row>
    <x:row r="276">
      <x:c r="A276" s="373"/>
      <x:c r="B276" s="373"/>
      <x:c r="C276" s="373"/>
      <x:c r="D276" s="373"/>
      <x:c r="E276" s="373"/>
      <x:c r="F276" s="373"/>
      <x:c r="G276" s="373"/>
      <x:c r="H276" s="373"/>
      <x:c r="I276" s="373"/>
      <x:c r="J276" s="373"/>
      <x:c r="K276" s="373"/>
      <x:c r="L276" s="373"/>
      <x:c r="M276" s="373"/>
      <x:c r="N276" s="373"/>
      <x:c r="O276" s="373"/>
      <x:c r="P276" s="373"/>
      <x:c r="Q276" s="373"/>
      <x:c r="R276" s="373"/>
      <x:c r="S276" s="373"/>
      <x:c r="T276" s="373"/>
      <x:c r="U276" s="373"/>
      <x:c r="V276" s="373"/>
      <x:c r="W276" s="373"/>
      <x:c r="X276" s="373"/>
      <x:c r="Y276" s="373"/>
      <x:c r="Z276" s="373"/>
    </x:row>
    <x:row r="277">
      <x:c r="A277" s="373"/>
      <x:c r="B277" s="373"/>
      <x:c r="C277" s="373"/>
      <x:c r="D277" s="373"/>
      <x:c r="E277" s="373"/>
      <x:c r="F277" s="373"/>
      <x:c r="G277" s="373"/>
      <x:c r="H277" s="373"/>
      <x:c r="I277" s="373"/>
      <x:c r="J277" s="373"/>
      <x:c r="K277" s="373"/>
      <x:c r="L277" s="373"/>
      <x:c r="M277" s="373"/>
      <x:c r="N277" s="373"/>
      <x:c r="O277" s="373"/>
      <x:c r="P277" s="373"/>
      <x:c r="Q277" s="373"/>
      <x:c r="R277" s="373"/>
      <x:c r="S277" s="373"/>
      <x:c r="T277" s="373"/>
      <x:c r="U277" s="373"/>
      <x:c r="V277" s="373"/>
      <x:c r="W277" s="373"/>
      <x:c r="X277" s="373"/>
      <x:c r="Y277" s="373"/>
      <x:c r="Z277" s="373"/>
    </x:row>
    <x:row r="278">
      <x:c r="A278" s="373"/>
      <x:c r="B278" s="373"/>
      <x:c r="C278" s="373"/>
      <x:c r="D278" s="373"/>
      <x:c r="E278" s="373"/>
      <x:c r="F278" s="373"/>
      <x:c r="G278" s="373"/>
      <x:c r="H278" s="373"/>
      <x:c r="I278" s="373"/>
      <x:c r="J278" s="373"/>
      <x:c r="K278" s="373"/>
      <x:c r="L278" s="373"/>
      <x:c r="M278" s="373"/>
      <x:c r="N278" s="373"/>
      <x:c r="O278" s="373"/>
      <x:c r="P278" s="373"/>
      <x:c r="Q278" s="373"/>
      <x:c r="R278" s="373"/>
      <x:c r="S278" s="373"/>
      <x:c r="T278" s="373"/>
      <x:c r="U278" s="373"/>
      <x:c r="V278" s="373"/>
      <x:c r="W278" s="373"/>
      <x:c r="X278" s="373"/>
      <x:c r="Y278" s="373"/>
      <x:c r="Z278" s="373"/>
    </x:row>
    <x:row r="279">
      <x:c r="A279" s="373"/>
      <x:c r="B279" s="373"/>
      <x:c r="C279" s="373"/>
      <x:c r="D279" s="373"/>
      <x:c r="E279" s="373"/>
      <x:c r="F279" s="373"/>
      <x:c r="G279" s="373"/>
      <x:c r="H279" s="373"/>
      <x:c r="I279" s="373"/>
      <x:c r="J279" s="373"/>
      <x:c r="K279" s="373"/>
      <x:c r="L279" s="373"/>
      <x:c r="M279" s="373"/>
      <x:c r="N279" s="373"/>
      <x:c r="O279" s="373"/>
      <x:c r="P279" s="373"/>
      <x:c r="Q279" s="373"/>
      <x:c r="R279" s="373"/>
      <x:c r="S279" s="373"/>
      <x:c r="T279" s="373"/>
      <x:c r="U279" s="373"/>
      <x:c r="V279" s="373"/>
      <x:c r="W279" s="373"/>
      <x:c r="X279" s="373"/>
      <x:c r="Y279" s="373"/>
      <x:c r="Z279" s="373"/>
    </x:row>
    <x:row r="280">
      <x:c r="A280" s="373"/>
      <x:c r="B280" s="373"/>
      <x:c r="C280" s="373"/>
      <x:c r="D280" s="373"/>
      <x:c r="E280" s="373"/>
      <x:c r="F280" s="373"/>
      <x:c r="G280" s="373"/>
      <x:c r="H280" s="373"/>
      <x:c r="I280" s="373"/>
      <x:c r="J280" s="373"/>
      <x:c r="K280" s="373"/>
      <x:c r="L280" s="373"/>
      <x:c r="M280" s="373"/>
      <x:c r="N280" s="373"/>
      <x:c r="O280" s="373"/>
      <x:c r="P280" s="373"/>
      <x:c r="Q280" s="373"/>
      <x:c r="R280" s="373"/>
      <x:c r="S280" s="373"/>
      <x:c r="T280" s="373"/>
      <x:c r="U280" s="373"/>
      <x:c r="V280" s="373"/>
      <x:c r="W280" s="373"/>
      <x:c r="X280" s="373"/>
      <x:c r="Y280" s="373"/>
      <x:c r="Z280" s="373"/>
    </x:row>
    <x:row r="281">
      <x:c r="A281" s="373"/>
      <x:c r="B281" s="373"/>
      <x:c r="C281" s="373"/>
      <x:c r="D281" s="373"/>
      <x:c r="E281" s="373"/>
      <x:c r="F281" s="373"/>
      <x:c r="G281" s="373"/>
      <x:c r="H281" s="373"/>
      <x:c r="I281" s="373"/>
      <x:c r="J281" s="373"/>
      <x:c r="K281" s="373"/>
      <x:c r="L281" s="373"/>
      <x:c r="M281" s="373"/>
      <x:c r="N281" s="373"/>
      <x:c r="O281" s="373"/>
      <x:c r="P281" s="373"/>
      <x:c r="Q281" s="373"/>
      <x:c r="R281" s="373"/>
      <x:c r="S281" s="373"/>
      <x:c r="T281" s="373"/>
      <x:c r="U281" s="373"/>
      <x:c r="V281" s="373"/>
      <x:c r="W281" s="373"/>
      <x:c r="X281" s="373"/>
      <x:c r="Y281" s="373"/>
      <x:c r="Z281" s="373"/>
    </x:row>
    <x:row r="282">
      <x:c r="A282" s="373"/>
      <x:c r="B282" s="373"/>
      <x:c r="C282" s="373"/>
      <x:c r="D282" s="373"/>
      <x:c r="E282" s="373"/>
      <x:c r="F282" s="373"/>
      <x:c r="G282" s="373"/>
      <x:c r="H282" s="373"/>
      <x:c r="I282" s="373"/>
      <x:c r="J282" s="373"/>
      <x:c r="K282" s="373"/>
      <x:c r="L282" s="373"/>
      <x:c r="M282" s="373"/>
      <x:c r="N282" s="373"/>
      <x:c r="O282" s="373"/>
      <x:c r="P282" s="373"/>
      <x:c r="Q282" s="373"/>
      <x:c r="R282" s="373"/>
      <x:c r="S282" s="373"/>
      <x:c r="T282" s="373"/>
      <x:c r="U282" s="373"/>
      <x:c r="V282" s="373"/>
      <x:c r="W282" s="373"/>
      <x:c r="X282" s="373"/>
      <x:c r="Y282" s="373"/>
      <x:c r="Z282" s="373"/>
    </x:row>
    <x:row r="283">
      <x:c r="A283" s="373"/>
      <x:c r="B283" s="373"/>
      <x:c r="C283" s="373"/>
      <x:c r="D283" s="373"/>
      <x:c r="E283" s="373"/>
      <x:c r="F283" s="373"/>
      <x:c r="G283" s="373"/>
      <x:c r="H283" s="373"/>
      <x:c r="I283" s="373"/>
      <x:c r="J283" s="373"/>
      <x:c r="K283" s="373"/>
      <x:c r="L283" s="373"/>
      <x:c r="M283" s="373"/>
      <x:c r="N283" s="373"/>
      <x:c r="O283" s="373"/>
      <x:c r="P283" s="373"/>
      <x:c r="Q283" s="373"/>
      <x:c r="R283" s="373"/>
      <x:c r="S283" s="373"/>
      <x:c r="T283" s="373"/>
      <x:c r="U283" s="373"/>
      <x:c r="V283" s="373"/>
      <x:c r="W283" s="373"/>
      <x:c r="X283" s="373"/>
      <x:c r="Y283" s="373"/>
      <x:c r="Z283" s="373"/>
    </x:row>
    <x:row r="284">
      <x:c r="A284" s="373"/>
      <x:c r="B284" s="373"/>
      <x:c r="C284" s="373"/>
      <x:c r="D284" s="373"/>
      <x:c r="E284" s="373"/>
      <x:c r="F284" s="373"/>
      <x:c r="G284" s="373"/>
      <x:c r="H284" s="373"/>
      <x:c r="I284" s="373"/>
      <x:c r="J284" s="373"/>
      <x:c r="K284" s="373"/>
      <x:c r="L284" s="373"/>
      <x:c r="M284" s="373"/>
      <x:c r="N284" s="373"/>
      <x:c r="O284" s="373"/>
      <x:c r="P284" s="373"/>
      <x:c r="Q284" s="373"/>
      <x:c r="R284" s="373"/>
      <x:c r="S284" s="373"/>
      <x:c r="T284" s="373"/>
      <x:c r="U284" s="373"/>
      <x:c r="V284" s="373"/>
      <x:c r="W284" s="373"/>
      <x:c r="X284" s="373"/>
      <x:c r="Y284" s="373"/>
      <x:c r="Z284" s="373"/>
    </x:row>
    <x:row r="285">
      <x:c r="A285" s="373"/>
      <x:c r="B285" s="373"/>
      <x:c r="C285" s="373"/>
      <x:c r="D285" s="373"/>
      <x:c r="E285" s="373"/>
      <x:c r="F285" s="373"/>
      <x:c r="G285" s="373"/>
      <x:c r="H285" s="373"/>
      <x:c r="I285" s="373"/>
      <x:c r="J285" s="373"/>
      <x:c r="K285" s="373"/>
      <x:c r="L285" s="373"/>
      <x:c r="M285" s="373"/>
      <x:c r="N285" s="373"/>
      <x:c r="O285" s="373"/>
      <x:c r="P285" s="373"/>
      <x:c r="Q285" s="373"/>
      <x:c r="R285" s="373"/>
      <x:c r="S285" s="373"/>
      <x:c r="T285" s="373"/>
      <x:c r="U285" s="373"/>
      <x:c r="V285" s="373"/>
      <x:c r="W285" s="373"/>
      <x:c r="X285" s="373"/>
      <x:c r="Y285" s="373"/>
      <x:c r="Z285" s="373"/>
    </x:row>
    <x:row r="286">
      <x:c r="A286" s="373"/>
      <x:c r="B286" s="373"/>
      <x:c r="C286" s="373"/>
      <x:c r="D286" s="373"/>
      <x:c r="E286" s="373"/>
      <x:c r="F286" s="373"/>
      <x:c r="G286" s="373"/>
      <x:c r="H286" s="373"/>
      <x:c r="I286" s="373"/>
      <x:c r="J286" s="373"/>
      <x:c r="K286" s="373"/>
      <x:c r="L286" s="373"/>
      <x:c r="M286" s="373"/>
      <x:c r="N286" s="373"/>
      <x:c r="O286" s="373"/>
      <x:c r="P286" s="373"/>
      <x:c r="Q286" s="373"/>
      <x:c r="R286" s="373"/>
      <x:c r="S286" s="373"/>
      <x:c r="T286" s="373"/>
      <x:c r="U286" s="373"/>
      <x:c r="V286" s="373"/>
      <x:c r="W286" s="373"/>
      <x:c r="X286" s="373"/>
      <x:c r="Y286" s="373"/>
      <x:c r="Z286" s="373"/>
    </x:row>
    <x:row r="287">
      <x:c r="A287" s="373"/>
      <x:c r="B287" s="373"/>
      <x:c r="C287" s="373"/>
      <x:c r="D287" s="373"/>
      <x:c r="E287" s="373"/>
      <x:c r="F287" s="373"/>
      <x:c r="G287" s="373"/>
      <x:c r="H287" s="373"/>
      <x:c r="I287" s="373"/>
      <x:c r="J287" s="373"/>
      <x:c r="K287" s="373"/>
      <x:c r="L287" s="373"/>
      <x:c r="M287" s="373"/>
      <x:c r="N287" s="373"/>
      <x:c r="O287" s="373"/>
      <x:c r="P287" s="373"/>
      <x:c r="Q287" s="373"/>
      <x:c r="R287" s="373"/>
      <x:c r="S287" s="373"/>
      <x:c r="T287" s="373"/>
      <x:c r="U287" s="373"/>
      <x:c r="V287" s="373"/>
      <x:c r="W287" s="373"/>
      <x:c r="X287" s="373"/>
      <x:c r="Y287" s="373"/>
      <x:c r="Z287" s="373"/>
    </x:row>
    <x:row r="288">
      <x:c r="A288" s="373"/>
      <x:c r="B288" s="373"/>
      <x:c r="C288" s="373"/>
      <x:c r="D288" s="373"/>
      <x:c r="E288" s="373"/>
      <x:c r="F288" s="373"/>
      <x:c r="G288" s="373"/>
      <x:c r="H288" s="373"/>
      <x:c r="I288" s="373"/>
      <x:c r="J288" s="373"/>
      <x:c r="K288" s="373"/>
      <x:c r="L288" s="373"/>
      <x:c r="M288" s="373"/>
      <x:c r="N288" s="373"/>
      <x:c r="O288" s="373"/>
      <x:c r="P288" s="373"/>
      <x:c r="Q288" s="373"/>
      <x:c r="R288" s="373"/>
      <x:c r="S288" s="373"/>
      <x:c r="T288" s="373"/>
      <x:c r="U288" s="373"/>
      <x:c r="V288" s="373"/>
      <x:c r="W288" s="373"/>
      <x:c r="X288" s="373"/>
      <x:c r="Y288" s="373"/>
      <x:c r="Z288" s="373"/>
    </x:row>
    <x:row r="289">
      <x:c r="A289" s="373"/>
      <x:c r="B289" s="373"/>
      <x:c r="C289" s="373"/>
      <x:c r="D289" s="373"/>
      <x:c r="E289" s="373"/>
      <x:c r="F289" s="373"/>
      <x:c r="G289" s="373"/>
      <x:c r="H289" s="373"/>
      <x:c r="I289" s="373"/>
      <x:c r="J289" s="373"/>
      <x:c r="K289" s="373"/>
      <x:c r="L289" s="373"/>
      <x:c r="M289" s="373"/>
      <x:c r="N289" s="373"/>
      <x:c r="O289" s="373"/>
      <x:c r="P289" s="373"/>
      <x:c r="Q289" s="373"/>
      <x:c r="R289" s="373"/>
      <x:c r="S289" s="373"/>
      <x:c r="T289" s="373"/>
      <x:c r="U289" s="373"/>
      <x:c r="V289" s="373"/>
      <x:c r="W289" s="373"/>
      <x:c r="X289" s="373"/>
      <x:c r="Y289" s="373"/>
      <x:c r="Z289" s="373"/>
    </x:row>
    <x:row r="290">
      <x:c r="A290" s="373"/>
      <x:c r="B290" s="373"/>
      <x:c r="C290" s="373"/>
      <x:c r="D290" s="373"/>
      <x:c r="E290" s="373"/>
      <x:c r="F290" s="373"/>
      <x:c r="G290" s="373"/>
      <x:c r="H290" s="373"/>
      <x:c r="I290" s="373"/>
      <x:c r="J290" s="373"/>
      <x:c r="K290" s="373"/>
      <x:c r="L290" s="373"/>
      <x:c r="M290" s="373"/>
      <x:c r="N290" s="373"/>
      <x:c r="O290" s="373"/>
      <x:c r="P290" s="373"/>
      <x:c r="Q290" s="373"/>
      <x:c r="R290" s="373"/>
      <x:c r="S290" s="373"/>
      <x:c r="T290" s="373"/>
      <x:c r="U290" s="373"/>
      <x:c r="V290" s="373"/>
      <x:c r="W290" s="373"/>
      <x:c r="X290" s="373"/>
      <x:c r="Y290" s="373"/>
      <x:c r="Z290" s="373"/>
    </x:row>
    <x:row r="291">
      <x:c r="A291" s="373"/>
      <x:c r="B291" s="373"/>
      <x:c r="C291" s="373"/>
      <x:c r="D291" s="373"/>
      <x:c r="E291" s="373"/>
      <x:c r="F291" s="373"/>
      <x:c r="G291" s="373"/>
      <x:c r="H291" s="373"/>
      <x:c r="I291" s="373"/>
      <x:c r="J291" s="373"/>
      <x:c r="K291" s="373"/>
      <x:c r="L291" s="373"/>
      <x:c r="M291" s="373"/>
      <x:c r="N291" s="373"/>
      <x:c r="O291" s="373"/>
      <x:c r="P291" s="373"/>
      <x:c r="Q291" s="373"/>
      <x:c r="R291" s="373"/>
      <x:c r="S291" s="373"/>
      <x:c r="T291" s="373"/>
      <x:c r="U291" s="373"/>
      <x:c r="V291" s="373"/>
      <x:c r="W291" s="373"/>
      <x:c r="X291" s="373"/>
      <x:c r="Y291" s="373"/>
      <x:c r="Z291" s="373"/>
    </x:row>
    <x:row r="292">
      <x:c r="A292" s="373"/>
      <x:c r="B292" s="373"/>
      <x:c r="C292" s="373"/>
      <x:c r="D292" s="373"/>
      <x:c r="E292" s="373"/>
      <x:c r="F292" s="373"/>
      <x:c r="G292" s="373"/>
      <x:c r="H292" s="373"/>
      <x:c r="I292" s="373"/>
      <x:c r="J292" s="373"/>
      <x:c r="K292" s="373"/>
      <x:c r="L292" s="373"/>
      <x:c r="M292" s="373"/>
      <x:c r="N292" s="373"/>
      <x:c r="O292" s="373"/>
      <x:c r="P292" s="373"/>
      <x:c r="Q292" s="373"/>
      <x:c r="R292" s="373"/>
      <x:c r="S292" s="373"/>
      <x:c r="T292" s="373"/>
      <x:c r="U292" s="373"/>
      <x:c r="V292" s="373"/>
      <x:c r="W292" s="373"/>
      <x:c r="X292" s="373"/>
      <x:c r="Y292" s="373"/>
      <x:c r="Z292" s="373"/>
    </x:row>
    <x:row r="293">
      <x:c r="A293" s="373"/>
      <x:c r="B293" s="373"/>
      <x:c r="C293" s="373"/>
      <x:c r="D293" s="373"/>
      <x:c r="E293" s="373"/>
      <x:c r="F293" s="373"/>
      <x:c r="G293" s="373"/>
      <x:c r="H293" s="373"/>
      <x:c r="I293" s="373"/>
      <x:c r="J293" s="373"/>
      <x:c r="K293" s="373"/>
      <x:c r="L293" s="373"/>
      <x:c r="M293" s="373"/>
      <x:c r="N293" s="373"/>
      <x:c r="O293" s="373"/>
      <x:c r="P293" s="373"/>
      <x:c r="Q293" s="373"/>
      <x:c r="R293" s="373"/>
      <x:c r="S293" s="373"/>
      <x:c r="T293" s="373"/>
      <x:c r="U293" s="373"/>
      <x:c r="V293" s="373"/>
      <x:c r="W293" s="373"/>
      <x:c r="X293" s="373"/>
      <x:c r="Y293" s="373"/>
      <x:c r="Z293" s="373"/>
    </x:row>
    <x:row r="294">
      <x:c r="A294" s="373"/>
      <x:c r="B294" s="373"/>
      <x:c r="C294" s="373"/>
      <x:c r="D294" s="373"/>
      <x:c r="E294" s="373"/>
      <x:c r="F294" s="373"/>
      <x:c r="G294" s="373"/>
      <x:c r="H294" s="373"/>
      <x:c r="I294" s="373"/>
      <x:c r="J294" s="373"/>
      <x:c r="K294" s="373"/>
      <x:c r="L294" s="373"/>
      <x:c r="M294" s="373"/>
      <x:c r="N294" s="373"/>
      <x:c r="O294" s="373"/>
      <x:c r="P294" s="373"/>
      <x:c r="Q294" s="373"/>
      <x:c r="R294" s="373"/>
      <x:c r="S294" s="373"/>
      <x:c r="T294" s="373"/>
      <x:c r="U294" s="373"/>
      <x:c r="V294" s="373"/>
      <x:c r="W294" s="373"/>
      <x:c r="X294" s="373"/>
      <x:c r="Y294" s="373"/>
      <x:c r="Z294" s="373"/>
    </x:row>
    <x:row r="295">
      <x:c r="A295" s="373"/>
      <x:c r="B295" s="373"/>
      <x:c r="C295" s="373"/>
      <x:c r="D295" s="373"/>
      <x:c r="E295" s="373"/>
      <x:c r="F295" s="373"/>
      <x:c r="G295" s="373"/>
      <x:c r="H295" s="373"/>
      <x:c r="I295" s="373"/>
      <x:c r="J295" s="373"/>
      <x:c r="K295" s="373"/>
      <x:c r="L295" s="373"/>
      <x:c r="M295" s="373"/>
      <x:c r="N295" s="373"/>
      <x:c r="O295" s="373"/>
      <x:c r="P295" s="373"/>
      <x:c r="Q295" s="373"/>
      <x:c r="R295" s="373"/>
      <x:c r="S295" s="373"/>
      <x:c r="T295" s="373"/>
      <x:c r="U295" s="373"/>
      <x:c r="V295" s="373"/>
      <x:c r="W295" s="373"/>
      <x:c r="X295" s="373"/>
      <x:c r="Y295" s="373"/>
      <x:c r="Z295" s="373"/>
    </x:row>
    <x:row r="296">
      <x:c r="A296" s="373"/>
      <x:c r="B296" s="373"/>
      <x:c r="C296" s="373"/>
      <x:c r="D296" s="373"/>
      <x:c r="E296" s="373"/>
      <x:c r="F296" s="373"/>
      <x:c r="G296" s="373"/>
      <x:c r="H296" s="373"/>
      <x:c r="I296" s="373"/>
      <x:c r="J296" s="373"/>
      <x:c r="K296" s="373"/>
      <x:c r="L296" s="373"/>
      <x:c r="M296" s="373"/>
      <x:c r="N296" s="373"/>
      <x:c r="O296" s="373"/>
      <x:c r="P296" s="373"/>
      <x:c r="Q296" s="373"/>
      <x:c r="R296" s="373"/>
      <x:c r="S296" s="373"/>
      <x:c r="T296" s="373"/>
      <x:c r="U296" s="373"/>
      <x:c r="V296" s="373"/>
      <x:c r="W296" s="373"/>
      <x:c r="X296" s="373"/>
      <x:c r="Y296" s="373"/>
      <x:c r="Z296" s="373"/>
    </x:row>
    <x:row r="297">
      <x:c r="A297" s="373"/>
      <x:c r="B297" s="373"/>
      <x:c r="C297" s="373"/>
      <x:c r="D297" s="373"/>
      <x:c r="E297" s="373"/>
      <x:c r="F297" s="373"/>
      <x:c r="G297" s="373"/>
      <x:c r="H297" s="373"/>
      <x:c r="I297" s="373"/>
      <x:c r="J297" s="373"/>
      <x:c r="K297" s="373"/>
      <x:c r="L297" s="373"/>
      <x:c r="M297" s="373"/>
      <x:c r="N297" s="373"/>
      <x:c r="O297" s="373"/>
      <x:c r="P297" s="373"/>
      <x:c r="Q297" s="373"/>
      <x:c r="R297" s="373"/>
      <x:c r="S297" s="373"/>
      <x:c r="T297" s="373"/>
      <x:c r="U297" s="373"/>
      <x:c r="V297" s="373"/>
      <x:c r="W297" s="373"/>
      <x:c r="X297" s="373"/>
      <x:c r="Y297" s="373"/>
      <x:c r="Z297" s="373"/>
    </x:row>
    <x:row r="298">
      <x:c r="A298" s="373"/>
      <x:c r="B298" s="373"/>
      <x:c r="C298" s="373"/>
      <x:c r="D298" s="373"/>
      <x:c r="E298" s="373"/>
      <x:c r="F298" s="373"/>
      <x:c r="G298" s="373"/>
      <x:c r="H298" s="373"/>
      <x:c r="I298" s="373"/>
      <x:c r="J298" s="373"/>
      <x:c r="K298" s="373"/>
      <x:c r="L298" s="373"/>
      <x:c r="M298" s="373"/>
      <x:c r="N298" s="373"/>
      <x:c r="O298" s="373"/>
      <x:c r="P298" s="373"/>
      <x:c r="Q298" s="373"/>
      <x:c r="R298" s="373"/>
      <x:c r="S298" s="373"/>
      <x:c r="T298" s="373"/>
      <x:c r="U298" s="373"/>
      <x:c r="V298" s="373"/>
      <x:c r="W298" s="373"/>
      <x:c r="X298" s="373"/>
      <x:c r="Y298" s="373"/>
      <x:c r="Z298" s="373"/>
    </x:row>
    <x:row r="299">
      <x:c r="A299" s="373"/>
      <x:c r="B299" s="373"/>
      <x:c r="C299" s="373"/>
      <x:c r="D299" s="373"/>
      <x:c r="E299" s="373"/>
      <x:c r="F299" s="373"/>
      <x:c r="G299" s="373"/>
      <x:c r="H299" s="373"/>
      <x:c r="I299" s="373"/>
      <x:c r="J299" s="373"/>
      <x:c r="K299" s="373"/>
      <x:c r="L299" s="373"/>
      <x:c r="M299" s="373"/>
      <x:c r="N299" s="373"/>
      <x:c r="O299" s="373"/>
      <x:c r="P299" s="373"/>
      <x:c r="Q299" s="373"/>
      <x:c r="R299" s="373"/>
      <x:c r="S299" s="373"/>
      <x:c r="T299" s="373"/>
      <x:c r="U299" s="373"/>
      <x:c r="V299" s="373"/>
      <x:c r="W299" s="373"/>
      <x:c r="X299" s="373"/>
      <x:c r="Y299" s="373"/>
      <x:c r="Z299" s="373"/>
    </x:row>
    <x:row r="300">
      <x:c r="A300" s="373"/>
      <x:c r="B300" s="373"/>
      <x:c r="C300" s="373"/>
      <x:c r="D300" s="373"/>
      <x:c r="E300" s="373"/>
      <x:c r="F300" s="373"/>
      <x:c r="G300" s="373"/>
      <x:c r="H300" s="373"/>
      <x:c r="I300" s="373"/>
      <x:c r="J300" s="373"/>
      <x:c r="K300" s="373"/>
      <x:c r="L300" s="373"/>
      <x:c r="M300" s="373"/>
      <x:c r="N300" s="373"/>
      <x:c r="O300" s="373"/>
      <x:c r="P300" s="373"/>
      <x:c r="Q300" s="373"/>
      <x:c r="R300" s="373"/>
      <x:c r="S300" s="373"/>
      <x:c r="T300" s="373"/>
      <x:c r="U300" s="373"/>
      <x:c r="V300" s="373"/>
      <x:c r="W300" s="373"/>
      <x:c r="X300" s="373"/>
      <x:c r="Y300" s="373"/>
      <x:c r="Z300" s="373"/>
    </x:row>
    <x:row r="301">
      <x:c r="A301" s="373"/>
      <x:c r="B301" s="373"/>
      <x:c r="C301" s="373"/>
      <x:c r="D301" s="373"/>
      <x:c r="E301" s="373"/>
      <x:c r="F301" s="373"/>
      <x:c r="G301" s="373"/>
      <x:c r="H301" s="373"/>
      <x:c r="I301" s="373"/>
      <x:c r="J301" s="373"/>
      <x:c r="K301" s="373"/>
      <x:c r="L301" s="373"/>
      <x:c r="M301" s="373"/>
      <x:c r="N301" s="373"/>
      <x:c r="O301" s="373"/>
      <x:c r="P301" s="373"/>
      <x:c r="Q301" s="373"/>
      <x:c r="R301" s="373"/>
      <x:c r="S301" s="373"/>
      <x:c r="T301" s="373"/>
      <x:c r="U301" s="373"/>
      <x:c r="V301" s="373"/>
      <x:c r="W301" s="373"/>
      <x:c r="X301" s="373"/>
      <x:c r="Y301" s="373"/>
      <x:c r="Z301" s="373"/>
    </x:row>
    <x:row r="302">
      <x:c r="A302" s="373"/>
      <x:c r="B302" s="373"/>
      <x:c r="C302" s="373"/>
      <x:c r="D302" s="373"/>
      <x:c r="E302" s="373"/>
      <x:c r="F302" s="373"/>
      <x:c r="G302" s="373"/>
      <x:c r="H302" s="373"/>
      <x:c r="I302" s="373"/>
      <x:c r="J302" s="373"/>
      <x:c r="K302" s="373"/>
      <x:c r="L302" s="373"/>
      <x:c r="M302" s="373"/>
      <x:c r="N302" s="373"/>
      <x:c r="O302" s="373"/>
      <x:c r="P302" s="373"/>
      <x:c r="Q302" s="373"/>
      <x:c r="R302" s="373"/>
      <x:c r="S302" s="373"/>
      <x:c r="T302" s="373"/>
      <x:c r="U302" s="373"/>
      <x:c r="V302" s="373"/>
      <x:c r="W302" s="373"/>
      <x:c r="X302" s="373"/>
      <x:c r="Y302" s="373"/>
      <x:c r="Z302" s="373"/>
    </x:row>
    <x:row r="303">
      <x:c r="A303" s="373"/>
      <x:c r="B303" s="373"/>
      <x:c r="C303" s="373"/>
      <x:c r="D303" s="373"/>
      <x:c r="E303" s="373"/>
      <x:c r="F303" s="373"/>
      <x:c r="G303" s="373"/>
      <x:c r="H303" s="373"/>
      <x:c r="I303" s="373"/>
      <x:c r="J303" s="373"/>
      <x:c r="K303" s="373"/>
      <x:c r="L303" s="373"/>
      <x:c r="M303" s="373"/>
      <x:c r="N303" s="373"/>
      <x:c r="O303" s="373"/>
      <x:c r="P303" s="373"/>
      <x:c r="Q303" s="373"/>
      <x:c r="R303" s="373"/>
      <x:c r="S303" s="373"/>
      <x:c r="T303" s="373"/>
      <x:c r="U303" s="373"/>
      <x:c r="V303" s="373"/>
      <x:c r="W303" s="373"/>
      <x:c r="X303" s="373"/>
      <x:c r="Y303" s="373"/>
      <x:c r="Z303" s="373"/>
    </x:row>
    <x:row r="304">
      <x:c r="A304" s="373"/>
      <x:c r="B304" s="373"/>
      <x:c r="C304" s="373"/>
      <x:c r="D304" s="373"/>
      <x:c r="E304" s="373"/>
      <x:c r="F304" s="373"/>
      <x:c r="G304" s="373"/>
      <x:c r="H304" s="373"/>
      <x:c r="I304" s="373"/>
      <x:c r="J304" s="373"/>
      <x:c r="K304" s="373"/>
      <x:c r="L304" s="373"/>
      <x:c r="M304" s="373"/>
      <x:c r="N304" s="373"/>
      <x:c r="O304" s="373"/>
      <x:c r="P304" s="373"/>
      <x:c r="Q304" s="373"/>
      <x:c r="R304" s="373"/>
      <x:c r="S304" s="373"/>
      <x:c r="T304" s="373"/>
      <x:c r="U304" s="373"/>
      <x:c r="V304" s="373"/>
      <x:c r="W304" s="373"/>
      <x:c r="X304" s="373"/>
      <x:c r="Y304" s="373"/>
      <x:c r="Z304" s="373"/>
    </x:row>
    <x:row r="305">
      <x:c r="A305" s="373"/>
      <x:c r="B305" s="373"/>
      <x:c r="C305" s="373"/>
      <x:c r="D305" s="373"/>
      <x:c r="E305" s="373"/>
      <x:c r="F305" s="373"/>
      <x:c r="G305" s="373"/>
      <x:c r="H305" s="373"/>
      <x:c r="I305" s="373"/>
      <x:c r="J305" s="373"/>
      <x:c r="K305" s="373"/>
      <x:c r="L305" s="373"/>
      <x:c r="M305" s="373"/>
      <x:c r="N305" s="373"/>
      <x:c r="O305" s="373"/>
      <x:c r="P305" s="373"/>
      <x:c r="Q305" s="373"/>
      <x:c r="R305" s="373"/>
      <x:c r="S305" s="373"/>
      <x:c r="T305" s="373"/>
      <x:c r="U305" s="373"/>
      <x:c r="V305" s="373"/>
      <x:c r="W305" s="373"/>
      <x:c r="X305" s="373"/>
      <x:c r="Y305" s="373"/>
      <x:c r="Z305" s="373"/>
    </x:row>
    <x:row r="306">
      <x:c r="A306" s="373"/>
      <x:c r="B306" s="373"/>
      <x:c r="C306" s="373"/>
      <x:c r="D306" s="373"/>
      <x:c r="E306" s="373"/>
      <x:c r="F306" s="373"/>
      <x:c r="G306" s="373"/>
      <x:c r="H306" s="373"/>
      <x:c r="I306" s="373"/>
      <x:c r="J306" s="373"/>
      <x:c r="K306" s="373"/>
      <x:c r="L306" s="373"/>
      <x:c r="M306" s="373"/>
      <x:c r="N306" s="373"/>
      <x:c r="O306" s="373"/>
      <x:c r="P306" s="373"/>
      <x:c r="Q306" s="373"/>
      <x:c r="R306" s="373"/>
      <x:c r="S306" s="373"/>
      <x:c r="T306" s="373"/>
      <x:c r="U306" s="373"/>
      <x:c r="V306" s="373"/>
      <x:c r="W306" s="373"/>
      <x:c r="X306" s="373"/>
      <x:c r="Y306" s="373"/>
      <x:c r="Z306" s="373"/>
    </x:row>
    <x:row r="307">
      <x:c r="A307" s="373"/>
      <x:c r="B307" s="373"/>
      <x:c r="C307" s="373"/>
      <x:c r="D307" s="373"/>
      <x:c r="E307" s="373"/>
      <x:c r="F307" s="373"/>
      <x:c r="G307" s="373"/>
      <x:c r="H307" s="373"/>
      <x:c r="I307" s="373"/>
      <x:c r="J307" s="373"/>
      <x:c r="K307" s="373"/>
      <x:c r="L307" s="373"/>
      <x:c r="M307" s="373"/>
      <x:c r="N307" s="373"/>
      <x:c r="O307" s="373"/>
      <x:c r="P307" s="373"/>
      <x:c r="Q307" s="373"/>
      <x:c r="R307" s="373"/>
      <x:c r="S307" s="373"/>
      <x:c r="T307" s="373"/>
      <x:c r="U307" s="373"/>
      <x:c r="V307" s="373"/>
      <x:c r="W307" s="373"/>
      <x:c r="X307" s="373"/>
      <x:c r="Y307" s="373"/>
      <x:c r="Z307" s="373"/>
    </x:row>
    <x:row r="308">
      <x:c r="A308" s="373"/>
      <x:c r="B308" s="373"/>
      <x:c r="C308" s="373"/>
      <x:c r="D308" s="373"/>
      <x:c r="E308" s="373"/>
      <x:c r="F308" s="373"/>
      <x:c r="G308" s="373"/>
      <x:c r="H308" s="373"/>
      <x:c r="I308" s="373"/>
      <x:c r="J308" s="373"/>
      <x:c r="K308" s="373"/>
      <x:c r="L308" s="373"/>
      <x:c r="M308" s="373"/>
      <x:c r="N308" s="373"/>
      <x:c r="O308" s="373"/>
      <x:c r="P308" s="373"/>
      <x:c r="Q308" s="373"/>
      <x:c r="R308" s="373"/>
      <x:c r="S308" s="373"/>
      <x:c r="T308" s="373"/>
      <x:c r="U308" s="373"/>
      <x:c r="V308" s="373"/>
      <x:c r="W308" s="373"/>
      <x:c r="X308" s="373"/>
      <x:c r="Y308" s="373"/>
      <x:c r="Z308" s="373"/>
    </x:row>
    <x:row r="309">
      <x:c r="A309" s="373"/>
      <x:c r="B309" s="373"/>
      <x:c r="C309" s="373"/>
      <x:c r="D309" s="373"/>
      <x:c r="E309" s="373"/>
      <x:c r="F309" s="373"/>
      <x:c r="G309" s="373"/>
      <x:c r="H309" s="373"/>
      <x:c r="I309" s="373"/>
      <x:c r="J309" s="373"/>
      <x:c r="K309" s="373"/>
      <x:c r="L309" s="373"/>
      <x:c r="M309" s="373"/>
      <x:c r="N309" s="373"/>
      <x:c r="O309" s="373"/>
      <x:c r="P309" s="373"/>
      <x:c r="Q309" s="373"/>
      <x:c r="R309" s="373"/>
      <x:c r="S309" s="373"/>
      <x:c r="T309" s="373"/>
      <x:c r="U309" s="373"/>
      <x:c r="V309" s="373"/>
      <x:c r="W309" s="373"/>
      <x:c r="X309" s="373"/>
      <x:c r="Y309" s="373"/>
      <x:c r="Z309" s="373"/>
    </x:row>
    <x:row r="310">
      <x:c r="A310" s="373"/>
      <x:c r="B310" s="373"/>
      <x:c r="C310" s="373"/>
      <x:c r="D310" s="373"/>
      <x:c r="E310" s="373"/>
      <x:c r="F310" s="373"/>
      <x:c r="G310" s="373"/>
      <x:c r="H310" s="373"/>
      <x:c r="I310" s="373"/>
      <x:c r="J310" s="373"/>
      <x:c r="K310" s="373"/>
      <x:c r="L310" s="373"/>
      <x:c r="M310" s="373"/>
      <x:c r="N310" s="373"/>
      <x:c r="O310" s="373"/>
      <x:c r="P310" s="373"/>
      <x:c r="Q310" s="373"/>
      <x:c r="R310" s="373"/>
      <x:c r="S310" s="373"/>
      <x:c r="T310" s="373"/>
      <x:c r="U310" s="373"/>
      <x:c r="V310" s="373"/>
      <x:c r="W310" s="373"/>
      <x:c r="X310" s="373"/>
      <x:c r="Y310" s="373"/>
      <x:c r="Z310" s="373"/>
    </x:row>
    <x:row r="311">
      <x:c r="A311" s="373"/>
      <x:c r="B311" s="373"/>
      <x:c r="C311" s="373"/>
      <x:c r="D311" s="373"/>
      <x:c r="E311" s="373"/>
      <x:c r="F311" s="373"/>
      <x:c r="G311" s="373"/>
      <x:c r="H311" s="373"/>
      <x:c r="I311" s="373"/>
      <x:c r="J311" s="373"/>
      <x:c r="K311" s="373"/>
      <x:c r="L311" s="373"/>
      <x:c r="M311" s="373"/>
      <x:c r="N311" s="373"/>
      <x:c r="O311" s="373"/>
      <x:c r="P311" s="373"/>
      <x:c r="Q311" s="373"/>
      <x:c r="R311" s="373"/>
      <x:c r="S311" s="373"/>
      <x:c r="T311" s="373"/>
      <x:c r="U311" s="373"/>
      <x:c r="V311" s="373"/>
      <x:c r="W311" s="373"/>
      <x:c r="X311" s="373"/>
      <x:c r="Y311" s="373"/>
      <x:c r="Z311" s="373"/>
    </x:row>
    <x:row r="312">
      <x:c r="A312" s="373"/>
      <x:c r="B312" s="373"/>
      <x:c r="C312" s="373"/>
      <x:c r="D312" s="373"/>
      <x:c r="E312" s="373"/>
      <x:c r="F312" s="373"/>
      <x:c r="G312" s="373"/>
      <x:c r="H312" s="373"/>
      <x:c r="I312" s="373"/>
      <x:c r="J312" s="373"/>
      <x:c r="K312" s="373"/>
      <x:c r="L312" s="373"/>
      <x:c r="M312" s="373"/>
      <x:c r="N312" s="373"/>
      <x:c r="O312" s="373"/>
      <x:c r="P312" s="373"/>
      <x:c r="Q312" s="373"/>
      <x:c r="R312" s="373"/>
      <x:c r="S312" s="373"/>
      <x:c r="T312" s="373"/>
      <x:c r="U312" s="373"/>
      <x:c r="V312" s="373"/>
      <x:c r="W312" s="373"/>
      <x:c r="X312" s="373"/>
      <x:c r="Y312" s="373"/>
      <x:c r="Z312" s="373"/>
    </x:row>
    <x:row r="313">
      <x:c r="A313" s="373"/>
      <x:c r="B313" s="373"/>
      <x:c r="C313" s="373"/>
      <x:c r="D313" s="373"/>
      <x:c r="E313" s="373"/>
      <x:c r="F313" s="373"/>
      <x:c r="G313" s="373"/>
      <x:c r="H313" s="373"/>
      <x:c r="I313" s="373"/>
      <x:c r="J313" s="373"/>
      <x:c r="K313" s="373"/>
      <x:c r="L313" s="373"/>
      <x:c r="M313" s="373"/>
      <x:c r="N313" s="373"/>
      <x:c r="O313" s="373"/>
      <x:c r="P313" s="373"/>
      <x:c r="Q313" s="373"/>
      <x:c r="R313" s="373"/>
      <x:c r="S313" s="373"/>
      <x:c r="T313" s="373"/>
      <x:c r="U313" s="373"/>
      <x:c r="V313" s="373"/>
      <x:c r="W313" s="373"/>
      <x:c r="X313" s="373"/>
      <x:c r="Y313" s="373"/>
      <x:c r="Z313" s="373"/>
    </x:row>
    <x:row r="314">
      <x:c r="A314" s="373"/>
      <x:c r="B314" s="373"/>
      <x:c r="C314" s="373"/>
      <x:c r="D314" s="373"/>
      <x:c r="E314" s="373"/>
      <x:c r="F314" s="373"/>
      <x:c r="G314" s="373"/>
      <x:c r="H314" s="373"/>
      <x:c r="I314" s="373"/>
      <x:c r="J314" s="373"/>
      <x:c r="K314" s="373"/>
      <x:c r="L314" s="373"/>
      <x:c r="M314" s="373"/>
      <x:c r="N314" s="373"/>
      <x:c r="O314" s="373"/>
      <x:c r="P314" s="373"/>
      <x:c r="Q314" s="373"/>
      <x:c r="R314" s="373"/>
      <x:c r="S314" s="373"/>
      <x:c r="T314" s="373"/>
      <x:c r="U314" s="373"/>
      <x:c r="V314" s="373"/>
      <x:c r="W314" s="373"/>
      <x:c r="X314" s="373"/>
      <x:c r="Y314" s="373"/>
      <x:c r="Z314" s="373"/>
    </x:row>
    <x:row r="315">
      <x:c r="A315" s="373"/>
      <x:c r="B315" s="373"/>
      <x:c r="C315" s="373"/>
      <x:c r="D315" s="373"/>
      <x:c r="E315" s="373"/>
      <x:c r="F315" s="373"/>
      <x:c r="G315" s="373"/>
      <x:c r="H315" s="373"/>
      <x:c r="I315" s="373"/>
      <x:c r="J315" s="373"/>
      <x:c r="K315" s="373"/>
      <x:c r="L315" s="373"/>
      <x:c r="M315" s="373"/>
      <x:c r="N315" s="373"/>
      <x:c r="O315" s="373"/>
      <x:c r="P315" s="373"/>
      <x:c r="Q315" s="373"/>
      <x:c r="R315" s="373"/>
      <x:c r="S315" s="373"/>
      <x:c r="T315" s="373"/>
      <x:c r="U315" s="373"/>
      <x:c r="V315" s="373"/>
      <x:c r="W315" s="373"/>
      <x:c r="X315" s="373"/>
      <x:c r="Y315" s="373"/>
      <x:c r="Z315" s="373"/>
    </x:row>
    <x:row r="316">
      <x:c r="A316" s="373"/>
      <x:c r="B316" s="373"/>
      <x:c r="C316" s="373"/>
      <x:c r="D316" s="373"/>
      <x:c r="E316" s="373"/>
      <x:c r="F316" s="373"/>
      <x:c r="G316" s="373"/>
      <x:c r="H316" s="373"/>
      <x:c r="I316" s="373"/>
      <x:c r="J316" s="373"/>
      <x:c r="K316" s="373"/>
      <x:c r="L316" s="373"/>
      <x:c r="M316" s="373"/>
      <x:c r="N316" s="373"/>
      <x:c r="O316" s="373"/>
      <x:c r="P316" s="373"/>
      <x:c r="Q316" s="373"/>
      <x:c r="R316" s="373"/>
      <x:c r="S316" s="373"/>
      <x:c r="T316" s="373"/>
      <x:c r="U316" s="373"/>
      <x:c r="V316" s="373"/>
      <x:c r="W316" s="373"/>
      <x:c r="X316" s="373"/>
      <x:c r="Y316" s="373"/>
      <x:c r="Z316" s="373"/>
    </x:row>
    <x:row r="317">
      <x:c r="A317" s="373"/>
      <x:c r="B317" s="373"/>
      <x:c r="C317" s="373"/>
      <x:c r="D317" s="373"/>
      <x:c r="E317" s="373"/>
      <x:c r="F317" s="373"/>
      <x:c r="G317" s="373"/>
      <x:c r="H317" s="373"/>
      <x:c r="I317" s="373"/>
      <x:c r="J317" s="373"/>
      <x:c r="K317" s="373"/>
      <x:c r="L317" s="373"/>
      <x:c r="M317" s="373"/>
      <x:c r="N317" s="373"/>
      <x:c r="O317" s="373"/>
      <x:c r="P317" s="373"/>
      <x:c r="Q317" s="373"/>
      <x:c r="R317" s="373"/>
      <x:c r="S317" s="373"/>
      <x:c r="T317" s="373"/>
      <x:c r="U317" s="373"/>
      <x:c r="V317" s="373"/>
      <x:c r="W317" s="373"/>
      <x:c r="X317" s="373"/>
      <x:c r="Y317" s="373"/>
      <x:c r="Z317" s="373"/>
    </x:row>
    <x:row r="318">
      <x:c r="A318" s="373"/>
      <x:c r="B318" s="373"/>
      <x:c r="C318" s="373"/>
      <x:c r="D318" s="373"/>
      <x:c r="E318" s="373"/>
      <x:c r="F318" s="373"/>
      <x:c r="G318" s="373"/>
      <x:c r="H318" s="373"/>
      <x:c r="I318" s="373"/>
      <x:c r="J318" s="373"/>
      <x:c r="K318" s="373"/>
      <x:c r="L318" s="373"/>
      <x:c r="M318" s="373"/>
      <x:c r="N318" s="373"/>
      <x:c r="O318" s="373"/>
      <x:c r="P318" s="373"/>
      <x:c r="Q318" s="373"/>
      <x:c r="R318" s="373"/>
      <x:c r="S318" s="373"/>
      <x:c r="T318" s="373"/>
      <x:c r="U318" s="373"/>
      <x:c r="V318" s="373"/>
      <x:c r="W318" s="373"/>
      <x:c r="X318" s="373"/>
      <x:c r="Y318" s="373"/>
      <x:c r="Z318" s="373"/>
    </x:row>
    <x:row r="319">
      <x:c r="A319" s="373"/>
      <x:c r="B319" s="373"/>
      <x:c r="C319" s="373"/>
      <x:c r="D319" s="373"/>
      <x:c r="E319" s="373"/>
      <x:c r="F319" s="373"/>
      <x:c r="G319" s="373"/>
      <x:c r="H319" s="373"/>
      <x:c r="I319" s="373"/>
      <x:c r="J319" s="373"/>
      <x:c r="K319" s="373"/>
      <x:c r="L319" s="373"/>
      <x:c r="M319" s="373"/>
      <x:c r="N319" s="373"/>
      <x:c r="O319" s="373"/>
      <x:c r="P319" s="373"/>
      <x:c r="Q319" s="373"/>
      <x:c r="R319" s="373"/>
      <x:c r="S319" s="373"/>
      <x:c r="T319" s="373"/>
      <x:c r="U319" s="373"/>
      <x:c r="V319" s="373"/>
      <x:c r="W319" s="373"/>
      <x:c r="X319" s="373"/>
      <x:c r="Y319" s="373"/>
      <x:c r="Z319" s="373"/>
    </x:row>
    <x:row r="320">
      <x:c r="A320" s="373"/>
      <x:c r="B320" s="373"/>
      <x:c r="C320" s="373"/>
      <x:c r="D320" s="373"/>
      <x:c r="E320" s="373"/>
      <x:c r="F320" s="373"/>
      <x:c r="G320" s="373"/>
      <x:c r="H320" s="373"/>
      <x:c r="I320" s="373"/>
      <x:c r="J320" s="373"/>
      <x:c r="K320" s="373"/>
      <x:c r="L320" s="373"/>
      <x:c r="M320" s="373"/>
      <x:c r="N320" s="373"/>
      <x:c r="O320" s="373"/>
      <x:c r="P320" s="373"/>
      <x:c r="Q320" s="373"/>
      <x:c r="R320" s="373"/>
      <x:c r="S320" s="373"/>
      <x:c r="T320" s="373"/>
      <x:c r="U320" s="373"/>
      <x:c r="V320" s="373"/>
      <x:c r="W320" s="373"/>
      <x:c r="X320" s="373"/>
      <x:c r="Y320" s="373"/>
      <x:c r="Z320" s="373"/>
    </x:row>
    <x:row r="321">
      <x:c r="A321" s="373"/>
      <x:c r="B321" s="373"/>
      <x:c r="C321" s="373"/>
      <x:c r="D321" s="373"/>
      <x:c r="E321" s="373"/>
      <x:c r="F321" s="373"/>
      <x:c r="G321" s="373"/>
      <x:c r="H321" s="373"/>
      <x:c r="I321" s="373"/>
      <x:c r="J321" s="373"/>
      <x:c r="K321" s="373"/>
      <x:c r="L321" s="373"/>
      <x:c r="M321" s="373"/>
      <x:c r="N321" s="373"/>
      <x:c r="O321" s="373"/>
      <x:c r="P321" s="373"/>
      <x:c r="Q321" s="373"/>
      <x:c r="R321" s="373"/>
      <x:c r="S321" s="373"/>
      <x:c r="T321" s="373"/>
      <x:c r="U321" s="373"/>
      <x:c r="V321" s="373"/>
      <x:c r="W321" s="373"/>
      <x:c r="X321" s="373"/>
      <x:c r="Y321" s="373"/>
      <x:c r="Z321" s="373"/>
    </x:row>
    <x:row r="322">
      <x:c r="A322" s="373"/>
      <x:c r="B322" s="373"/>
      <x:c r="C322" s="373"/>
      <x:c r="D322" s="373"/>
      <x:c r="E322" s="373"/>
      <x:c r="F322" s="373"/>
      <x:c r="G322" s="373"/>
      <x:c r="H322" s="373"/>
      <x:c r="I322" s="373"/>
      <x:c r="J322" s="373"/>
      <x:c r="K322" s="373"/>
      <x:c r="L322" s="373"/>
      <x:c r="M322" s="373"/>
      <x:c r="N322" s="373"/>
      <x:c r="O322" s="373"/>
      <x:c r="P322" s="373"/>
      <x:c r="Q322" s="373"/>
      <x:c r="R322" s="373"/>
      <x:c r="S322" s="373"/>
      <x:c r="T322" s="373"/>
      <x:c r="U322" s="373"/>
      <x:c r="V322" s="373"/>
      <x:c r="W322" s="373"/>
      <x:c r="X322" s="373"/>
      <x:c r="Y322" s="373"/>
      <x:c r="Z322" s="373"/>
    </x:row>
    <x:row r="323">
      <x:c r="A323" s="373"/>
      <x:c r="B323" s="373"/>
      <x:c r="C323" s="373"/>
      <x:c r="D323" s="373"/>
      <x:c r="E323" s="373"/>
      <x:c r="F323" s="373"/>
      <x:c r="G323" s="373"/>
      <x:c r="H323" s="373"/>
      <x:c r="I323" s="373"/>
      <x:c r="J323" s="373"/>
      <x:c r="K323" s="373"/>
      <x:c r="L323" s="373"/>
      <x:c r="M323" s="373"/>
      <x:c r="N323" s="373"/>
      <x:c r="O323" s="373"/>
      <x:c r="P323" s="373"/>
      <x:c r="Q323" s="373"/>
      <x:c r="R323" s="373"/>
      <x:c r="S323" s="373"/>
      <x:c r="T323" s="373"/>
      <x:c r="U323" s="373"/>
      <x:c r="V323" s="373"/>
      <x:c r="W323" s="373"/>
      <x:c r="X323" s="373"/>
      <x:c r="Y323" s="373"/>
      <x:c r="Z323" s="373"/>
    </x:row>
    <x:row r="324">
      <x:c r="A324" s="373"/>
      <x:c r="B324" s="373"/>
      <x:c r="C324" s="373"/>
      <x:c r="D324" s="373"/>
      <x:c r="E324" s="373"/>
      <x:c r="F324" s="373"/>
      <x:c r="G324" s="373"/>
      <x:c r="H324" s="373"/>
      <x:c r="I324" s="373"/>
      <x:c r="J324" s="373"/>
      <x:c r="K324" s="373"/>
      <x:c r="L324" s="373"/>
      <x:c r="M324" s="373"/>
      <x:c r="N324" s="373"/>
      <x:c r="O324" s="373"/>
      <x:c r="P324" s="373"/>
      <x:c r="Q324" s="373"/>
      <x:c r="R324" s="373"/>
      <x:c r="S324" s="373"/>
      <x:c r="T324" s="373"/>
      <x:c r="U324" s="373"/>
      <x:c r="V324" s="373"/>
      <x:c r="W324" s="373"/>
      <x:c r="X324" s="373"/>
      <x:c r="Y324" s="373"/>
      <x:c r="Z324" s="373"/>
    </x:row>
    <x:row r="325">
      <x:c r="A325" s="373"/>
      <x:c r="B325" s="373"/>
      <x:c r="C325" s="373"/>
      <x:c r="D325" s="373"/>
      <x:c r="E325" s="373"/>
      <x:c r="F325" s="373"/>
      <x:c r="G325" s="373"/>
      <x:c r="H325" s="373"/>
      <x:c r="I325" s="373"/>
      <x:c r="J325" s="373"/>
      <x:c r="K325" s="373"/>
      <x:c r="L325" s="373"/>
      <x:c r="M325" s="373"/>
      <x:c r="N325" s="373"/>
      <x:c r="O325" s="373"/>
      <x:c r="P325" s="373"/>
      <x:c r="Q325" s="373"/>
      <x:c r="R325" s="373"/>
      <x:c r="S325" s="373"/>
      <x:c r="T325" s="373"/>
      <x:c r="U325" s="373"/>
      <x:c r="V325" s="373"/>
      <x:c r="W325" s="373"/>
      <x:c r="X325" s="373"/>
      <x:c r="Y325" s="373"/>
      <x:c r="Z325" s="373"/>
    </x:row>
    <x:row r="326">
      <x:c r="A326" s="373"/>
      <x:c r="B326" s="373"/>
      <x:c r="C326" s="373"/>
      <x:c r="D326" s="373"/>
      <x:c r="E326" s="373"/>
      <x:c r="F326" s="373"/>
      <x:c r="G326" s="373"/>
      <x:c r="H326" s="373"/>
      <x:c r="I326" s="373"/>
      <x:c r="J326" s="373"/>
      <x:c r="K326" s="373"/>
      <x:c r="L326" s="373"/>
      <x:c r="M326" s="373"/>
      <x:c r="N326" s="373"/>
      <x:c r="O326" s="373"/>
      <x:c r="P326" s="373"/>
      <x:c r="Q326" s="373"/>
      <x:c r="R326" s="373"/>
      <x:c r="S326" s="373"/>
      <x:c r="T326" s="373"/>
      <x:c r="U326" s="373"/>
      <x:c r="V326" s="373"/>
      <x:c r="W326" s="373"/>
      <x:c r="X326" s="373"/>
      <x:c r="Y326" s="373"/>
      <x:c r="Z326" s="373"/>
    </x:row>
    <x:row r="327">
      <x:c r="A327" s="373"/>
      <x:c r="B327" s="373"/>
      <x:c r="C327" s="373"/>
      <x:c r="D327" s="373"/>
      <x:c r="E327" s="373"/>
      <x:c r="F327" s="373"/>
      <x:c r="G327" s="373"/>
      <x:c r="H327" s="373"/>
      <x:c r="I327" s="373"/>
      <x:c r="J327" s="373"/>
      <x:c r="K327" s="373"/>
      <x:c r="L327" s="373"/>
      <x:c r="M327" s="373"/>
      <x:c r="N327" s="373"/>
      <x:c r="O327" s="373"/>
      <x:c r="P327" s="373"/>
      <x:c r="Q327" s="373"/>
      <x:c r="R327" s="373"/>
      <x:c r="S327" s="373"/>
      <x:c r="T327" s="373"/>
      <x:c r="U327" s="373"/>
      <x:c r="V327" s="373"/>
      <x:c r="W327" s="373"/>
      <x:c r="X327" s="373"/>
      <x:c r="Y327" s="373"/>
      <x:c r="Z327" s="373"/>
    </x:row>
    <x:row r="328">
      <x:c r="A328" s="373"/>
      <x:c r="B328" s="373"/>
      <x:c r="C328" s="373"/>
      <x:c r="D328" s="373"/>
      <x:c r="E328" s="373"/>
      <x:c r="F328" s="373"/>
      <x:c r="G328" s="373"/>
      <x:c r="H328" s="373"/>
      <x:c r="I328" s="373"/>
      <x:c r="J328" s="373"/>
      <x:c r="K328" s="373"/>
      <x:c r="L328" s="373"/>
      <x:c r="M328" s="373"/>
      <x:c r="N328" s="373"/>
      <x:c r="O328" s="373"/>
      <x:c r="P328" s="373"/>
      <x:c r="Q328" s="373"/>
      <x:c r="R328" s="373"/>
      <x:c r="S328" s="373"/>
      <x:c r="T328" s="373"/>
      <x:c r="U328" s="373"/>
      <x:c r="V328" s="373"/>
      <x:c r="W328" s="373"/>
      <x:c r="X328" s="373"/>
      <x:c r="Y328" s="373"/>
      <x:c r="Z328" s="373"/>
    </x:row>
    <x:row r="329">
      <x:c r="A329" s="373"/>
      <x:c r="B329" s="373"/>
      <x:c r="C329" s="373"/>
      <x:c r="D329" s="373"/>
      <x:c r="E329" s="373"/>
      <x:c r="F329" s="373"/>
      <x:c r="G329" s="373"/>
      <x:c r="H329" s="373"/>
      <x:c r="I329" s="373"/>
      <x:c r="J329" s="373"/>
      <x:c r="K329" s="373"/>
      <x:c r="L329" s="373"/>
      <x:c r="M329" s="373"/>
      <x:c r="N329" s="373"/>
      <x:c r="O329" s="373"/>
      <x:c r="P329" s="373"/>
      <x:c r="Q329" s="373"/>
      <x:c r="R329" s="373"/>
      <x:c r="S329" s="373"/>
      <x:c r="T329" s="373"/>
      <x:c r="U329" s="373"/>
      <x:c r="V329" s="373"/>
      <x:c r="W329" s="373"/>
      <x:c r="X329" s="373"/>
      <x:c r="Y329" s="373"/>
      <x:c r="Z329" s="373"/>
    </x:row>
    <x:row r="330">
      <x:c r="A330" s="373"/>
      <x:c r="B330" s="373"/>
      <x:c r="C330" s="373"/>
      <x:c r="D330" s="373"/>
      <x:c r="E330" s="373"/>
      <x:c r="F330" s="373"/>
      <x:c r="G330" s="373"/>
      <x:c r="H330" s="373"/>
      <x:c r="I330" s="373"/>
      <x:c r="J330" s="373"/>
      <x:c r="K330" s="373"/>
      <x:c r="L330" s="373"/>
      <x:c r="M330" s="373"/>
      <x:c r="N330" s="373"/>
      <x:c r="O330" s="373"/>
      <x:c r="P330" s="373"/>
      <x:c r="Q330" s="373"/>
      <x:c r="R330" s="373"/>
      <x:c r="S330" s="373"/>
      <x:c r="T330" s="373"/>
      <x:c r="U330" s="373"/>
      <x:c r="V330" s="373"/>
      <x:c r="W330" s="373"/>
      <x:c r="X330" s="373"/>
      <x:c r="Y330" s="373"/>
      <x:c r="Z330" s="373"/>
    </x:row>
    <x:row r="331">
      <x:c r="A331" s="373"/>
      <x:c r="B331" s="373"/>
      <x:c r="C331" s="373"/>
      <x:c r="D331" s="373"/>
      <x:c r="E331" s="373"/>
      <x:c r="F331" s="373"/>
      <x:c r="G331" s="373"/>
      <x:c r="H331" s="373"/>
      <x:c r="I331" s="373"/>
      <x:c r="J331" s="373"/>
      <x:c r="K331" s="373"/>
      <x:c r="L331" s="373"/>
      <x:c r="M331" s="373"/>
      <x:c r="N331" s="373"/>
      <x:c r="O331" s="373"/>
      <x:c r="P331" s="373"/>
      <x:c r="Q331" s="373"/>
      <x:c r="R331" s="373"/>
      <x:c r="S331" s="373"/>
      <x:c r="T331" s="373"/>
      <x:c r="U331" s="373"/>
      <x:c r="V331" s="373"/>
      <x:c r="W331" s="373"/>
      <x:c r="X331" s="373"/>
      <x:c r="Y331" s="373"/>
      <x:c r="Z331" s="373"/>
    </x:row>
    <x:row r="332">
      <x:c r="A332" s="373"/>
      <x:c r="B332" s="373"/>
      <x:c r="C332" s="373"/>
      <x:c r="D332" s="373"/>
      <x:c r="E332" s="373"/>
      <x:c r="F332" s="373"/>
      <x:c r="G332" s="373"/>
      <x:c r="H332" s="373"/>
      <x:c r="I332" s="373"/>
      <x:c r="J332" s="373"/>
      <x:c r="K332" s="373"/>
      <x:c r="L332" s="373"/>
      <x:c r="M332" s="373"/>
      <x:c r="N332" s="373"/>
      <x:c r="O332" s="373"/>
      <x:c r="P332" s="373"/>
      <x:c r="Q332" s="373"/>
      <x:c r="R332" s="373"/>
      <x:c r="S332" s="373"/>
      <x:c r="T332" s="373"/>
      <x:c r="U332" s="373"/>
      <x:c r="V332" s="373"/>
      <x:c r="W332" s="373"/>
      <x:c r="X332" s="373"/>
      <x:c r="Y332" s="373"/>
      <x:c r="Z332" s="373"/>
    </x:row>
    <x:row r="333">
      <x:c r="A333" s="373"/>
      <x:c r="B333" s="373"/>
      <x:c r="C333" s="373"/>
      <x:c r="D333" s="373"/>
      <x:c r="E333" s="373"/>
      <x:c r="F333" s="373"/>
      <x:c r="G333" s="373"/>
      <x:c r="H333" s="373"/>
      <x:c r="I333" s="373"/>
      <x:c r="J333" s="373"/>
      <x:c r="K333" s="373"/>
      <x:c r="L333" s="373"/>
      <x:c r="M333" s="373"/>
      <x:c r="N333" s="373"/>
      <x:c r="O333" s="373"/>
      <x:c r="P333" s="373"/>
      <x:c r="Q333" s="373"/>
      <x:c r="R333" s="373"/>
      <x:c r="S333" s="373"/>
      <x:c r="T333" s="373"/>
      <x:c r="U333" s="373"/>
      <x:c r="V333" s="373"/>
      <x:c r="W333" s="373"/>
      <x:c r="X333" s="373"/>
      <x:c r="Y333" s="373"/>
      <x:c r="Z333" s="373"/>
    </x:row>
    <x:row r="334">
      <x:c r="A334" s="373"/>
      <x:c r="B334" s="373"/>
      <x:c r="C334" s="373"/>
      <x:c r="D334" s="373"/>
      <x:c r="E334" s="373"/>
      <x:c r="F334" s="373"/>
      <x:c r="G334" s="373"/>
      <x:c r="H334" s="373"/>
      <x:c r="I334" s="373"/>
      <x:c r="J334" s="373"/>
      <x:c r="K334" s="373"/>
      <x:c r="L334" s="373"/>
      <x:c r="M334" s="373"/>
      <x:c r="N334" s="373"/>
      <x:c r="O334" s="373"/>
      <x:c r="P334" s="373"/>
      <x:c r="Q334" s="373"/>
      <x:c r="R334" s="373"/>
      <x:c r="S334" s="373"/>
      <x:c r="T334" s="373"/>
      <x:c r="U334" s="373"/>
      <x:c r="V334" s="373"/>
      <x:c r="W334" s="373"/>
      <x:c r="X334" s="373"/>
      <x:c r="Y334" s="373"/>
      <x:c r="Z334" s="373"/>
    </x:row>
    <x:row r="335">
      <x:c r="A335" s="373"/>
      <x:c r="B335" s="373"/>
      <x:c r="C335" s="373"/>
      <x:c r="D335" s="373"/>
      <x:c r="E335" s="373"/>
      <x:c r="F335" s="373"/>
      <x:c r="G335" s="373"/>
      <x:c r="H335" s="373"/>
      <x:c r="I335" s="373"/>
      <x:c r="J335" s="373"/>
      <x:c r="K335" s="373"/>
      <x:c r="L335" s="373"/>
      <x:c r="M335" s="373"/>
      <x:c r="N335" s="373"/>
      <x:c r="O335" s="373"/>
      <x:c r="P335" s="373"/>
      <x:c r="Q335" s="373"/>
      <x:c r="R335" s="373"/>
      <x:c r="S335" s="373"/>
      <x:c r="T335" s="373"/>
      <x:c r="U335" s="373"/>
      <x:c r="V335" s="373"/>
      <x:c r="W335" s="373"/>
      <x:c r="X335" s="373"/>
      <x:c r="Y335" s="373"/>
      <x:c r="Z335" s="373"/>
    </x:row>
    <x:row r="336">
      <x:c r="A336" s="373"/>
      <x:c r="B336" s="373"/>
      <x:c r="C336" s="373"/>
      <x:c r="D336" s="373"/>
      <x:c r="E336" s="373"/>
      <x:c r="F336" s="373"/>
      <x:c r="G336" s="373"/>
      <x:c r="H336" s="373"/>
      <x:c r="I336" s="373"/>
      <x:c r="J336" s="373"/>
      <x:c r="K336" s="373"/>
      <x:c r="L336" s="373"/>
      <x:c r="M336" s="373"/>
      <x:c r="N336" s="373"/>
      <x:c r="O336" s="373"/>
      <x:c r="P336" s="373"/>
      <x:c r="Q336" s="373"/>
      <x:c r="R336" s="373"/>
      <x:c r="S336" s="373"/>
      <x:c r="T336" s="373"/>
      <x:c r="U336" s="373"/>
      <x:c r="V336" s="373"/>
      <x:c r="W336" s="373"/>
      <x:c r="X336" s="373"/>
      <x:c r="Y336" s="373"/>
      <x:c r="Z336" s="373"/>
    </x:row>
    <x:row r="337">
      <x:c r="A337" s="373"/>
      <x:c r="B337" s="373"/>
      <x:c r="C337" s="373"/>
      <x:c r="D337" s="373"/>
      <x:c r="E337" s="373"/>
      <x:c r="F337" s="373"/>
      <x:c r="G337" s="373"/>
      <x:c r="H337" s="373"/>
      <x:c r="I337" s="373"/>
      <x:c r="J337" s="373"/>
      <x:c r="K337" s="373"/>
      <x:c r="L337" s="373"/>
      <x:c r="M337" s="373"/>
      <x:c r="N337" s="373"/>
      <x:c r="O337" s="373"/>
      <x:c r="P337" s="373"/>
      <x:c r="Q337" s="373"/>
      <x:c r="R337" s="373"/>
      <x:c r="S337" s="373"/>
      <x:c r="T337" s="373"/>
      <x:c r="U337" s="373"/>
      <x:c r="V337" s="373"/>
      <x:c r="W337" s="373"/>
      <x:c r="X337" s="373"/>
      <x:c r="Y337" s="373"/>
      <x:c r="Z337" s="373"/>
    </x:row>
    <x:row r="338">
      <x:c r="A338" s="373"/>
      <x:c r="B338" s="373"/>
      <x:c r="C338" s="373"/>
      <x:c r="D338" s="373"/>
      <x:c r="E338" s="373"/>
      <x:c r="F338" s="373"/>
      <x:c r="G338" s="373"/>
      <x:c r="H338" s="373"/>
      <x:c r="I338" s="373"/>
      <x:c r="J338" s="373"/>
      <x:c r="K338" s="373"/>
      <x:c r="L338" s="373"/>
      <x:c r="M338" s="373"/>
      <x:c r="N338" s="373"/>
      <x:c r="O338" s="373"/>
      <x:c r="P338" s="373"/>
      <x:c r="Q338" s="373"/>
      <x:c r="R338" s="373"/>
      <x:c r="S338" s="373"/>
      <x:c r="T338" s="373"/>
      <x:c r="U338" s="373"/>
      <x:c r="V338" s="373"/>
      <x:c r="W338" s="373"/>
      <x:c r="X338" s="373"/>
      <x:c r="Y338" s="373"/>
      <x:c r="Z338" s="373"/>
    </x:row>
    <x:row r="339">
      <x:c r="A339" s="373"/>
      <x:c r="B339" s="373"/>
      <x:c r="C339" s="373"/>
      <x:c r="D339" s="373"/>
      <x:c r="E339" s="373"/>
      <x:c r="F339" s="373"/>
      <x:c r="G339" s="373"/>
      <x:c r="H339" s="373"/>
      <x:c r="I339" s="373"/>
      <x:c r="J339" s="373"/>
      <x:c r="K339" s="373"/>
      <x:c r="L339" s="373"/>
      <x:c r="M339" s="373"/>
      <x:c r="N339" s="373"/>
      <x:c r="O339" s="373"/>
      <x:c r="P339" s="373"/>
      <x:c r="Q339" s="373"/>
      <x:c r="R339" s="373"/>
      <x:c r="S339" s="373"/>
      <x:c r="T339" s="373"/>
      <x:c r="U339" s="373"/>
      <x:c r="V339" s="373"/>
      <x:c r="W339" s="373"/>
      <x:c r="X339" s="373"/>
      <x:c r="Y339" s="373"/>
      <x:c r="Z339" s="373"/>
    </x:row>
    <x:row r="340">
      <x:c r="A340" s="373"/>
      <x:c r="B340" s="373"/>
      <x:c r="C340" s="373"/>
      <x:c r="D340" s="373"/>
      <x:c r="E340" s="373"/>
      <x:c r="F340" s="373"/>
      <x:c r="G340" s="373"/>
      <x:c r="H340" s="373"/>
      <x:c r="I340" s="373"/>
      <x:c r="J340" s="373"/>
      <x:c r="K340" s="373"/>
      <x:c r="L340" s="373"/>
      <x:c r="M340" s="373"/>
      <x:c r="N340" s="373"/>
      <x:c r="O340" s="373"/>
      <x:c r="P340" s="373"/>
      <x:c r="Q340" s="373"/>
      <x:c r="R340" s="373"/>
      <x:c r="S340" s="373"/>
      <x:c r="T340" s="373"/>
      <x:c r="U340" s="373"/>
      <x:c r="V340" s="373"/>
      <x:c r="W340" s="373"/>
      <x:c r="X340" s="373"/>
      <x:c r="Y340" s="373"/>
      <x:c r="Z340" s="373"/>
    </x:row>
    <x:row r="341">
      <x:c r="A341" s="373"/>
      <x:c r="B341" s="373"/>
      <x:c r="C341" s="373"/>
      <x:c r="D341" s="373"/>
      <x:c r="E341" s="373"/>
      <x:c r="F341" s="373"/>
      <x:c r="G341" s="373"/>
      <x:c r="H341" s="373"/>
      <x:c r="I341" s="373"/>
      <x:c r="J341" s="373"/>
      <x:c r="K341" s="373"/>
      <x:c r="L341" s="373"/>
      <x:c r="M341" s="373"/>
      <x:c r="N341" s="373"/>
      <x:c r="O341" s="373"/>
      <x:c r="P341" s="373"/>
      <x:c r="Q341" s="373"/>
      <x:c r="R341" s="373"/>
      <x:c r="S341" s="373"/>
      <x:c r="T341" s="373"/>
      <x:c r="U341" s="373"/>
      <x:c r="V341" s="373"/>
      <x:c r="W341" s="373"/>
      <x:c r="X341" s="373"/>
      <x:c r="Y341" s="373"/>
      <x:c r="Z341" s="373"/>
    </x:row>
    <x:row r="342">
      <x:c r="A342" s="373"/>
      <x:c r="B342" s="373"/>
      <x:c r="C342" s="373"/>
      <x:c r="D342" s="373"/>
      <x:c r="E342" s="373"/>
      <x:c r="F342" s="373"/>
      <x:c r="G342" s="373"/>
      <x:c r="H342" s="373"/>
      <x:c r="I342" s="373"/>
      <x:c r="J342" s="373"/>
      <x:c r="K342" s="373"/>
      <x:c r="L342" s="373"/>
      <x:c r="M342" s="373"/>
      <x:c r="N342" s="373"/>
      <x:c r="O342" s="373"/>
      <x:c r="P342" s="373"/>
      <x:c r="Q342" s="373"/>
      <x:c r="R342" s="373"/>
      <x:c r="S342" s="373"/>
      <x:c r="T342" s="373"/>
      <x:c r="U342" s="373"/>
      <x:c r="V342" s="373"/>
      <x:c r="W342" s="373"/>
      <x:c r="X342" s="373"/>
      <x:c r="Y342" s="373"/>
      <x:c r="Z342" s="373"/>
    </x:row>
    <x:row r="343">
      <x:c r="A343" s="373"/>
      <x:c r="B343" s="373"/>
      <x:c r="C343" s="373"/>
      <x:c r="D343" s="373"/>
      <x:c r="E343" s="373"/>
      <x:c r="F343" s="373"/>
      <x:c r="G343" s="373"/>
      <x:c r="H343" s="373"/>
      <x:c r="I343" s="373"/>
      <x:c r="J343" s="373"/>
      <x:c r="K343" s="373"/>
      <x:c r="L343" s="373"/>
      <x:c r="M343" s="373"/>
      <x:c r="N343" s="373"/>
      <x:c r="O343" s="373"/>
      <x:c r="P343" s="373"/>
      <x:c r="Q343" s="373"/>
      <x:c r="R343" s="373"/>
      <x:c r="S343" s="373"/>
      <x:c r="T343" s="373"/>
      <x:c r="U343" s="373"/>
      <x:c r="V343" s="373"/>
      <x:c r="W343" s="373"/>
      <x:c r="X343" s="373"/>
      <x:c r="Y343" s="373"/>
      <x:c r="Z343" s="373"/>
    </x:row>
    <x:row r="344">
      <x:c r="A344" s="373"/>
      <x:c r="B344" s="373"/>
      <x:c r="C344" s="373"/>
      <x:c r="D344" s="373"/>
      <x:c r="E344" s="373"/>
      <x:c r="F344" s="373"/>
      <x:c r="G344" s="373"/>
      <x:c r="H344" s="373"/>
      <x:c r="I344" s="373"/>
      <x:c r="J344" s="373"/>
      <x:c r="K344" s="373"/>
      <x:c r="L344" s="373"/>
      <x:c r="M344" s="373"/>
      <x:c r="N344" s="373"/>
      <x:c r="O344" s="373"/>
      <x:c r="P344" s="373"/>
      <x:c r="Q344" s="373"/>
      <x:c r="R344" s="373"/>
      <x:c r="S344" s="373"/>
      <x:c r="T344" s="373"/>
      <x:c r="U344" s="373"/>
      <x:c r="V344" s="373"/>
      <x:c r="W344" s="373"/>
      <x:c r="X344" s="373"/>
      <x:c r="Y344" s="373"/>
      <x:c r="Z344" s="373"/>
    </x:row>
    <x:row r="345">
      <x:c r="A345" s="373"/>
      <x:c r="B345" s="373"/>
      <x:c r="C345" s="373"/>
      <x:c r="D345" s="373"/>
      <x:c r="E345" s="373"/>
      <x:c r="F345" s="373"/>
      <x:c r="G345" s="373"/>
      <x:c r="H345" s="373"/>
      <x:c r="I345" s="373"/>
      <x:c r="J345" s="373"/>
      <x:c r="K345" s="373"/>
      <x:c r="L345" s="373"/>
      <x:c r="M345" s="373"/>
      <x:c r="N345" s="373"/>
      <x:c r="O345" s="373"/>
      <x:c r="P345" s="373"/>
      <x:c r="Q345" s="373"/>
      <x:c r="R345" s="373"/>
      <x:c r="S345" s="373"/>
      <x:c r="T345" s="373"/>
      <x:c r="U345" s="373"/>
      <x:c r="V345" s="373"/>
      <x:c r="W345" s="373"/>
      <x:c r="X345" s="373"/>
      <x:c r="Y345" s="373"/>
      <x:c r="Z345" s="373"/>
    </x:row>
    <x:row r="346">
      <x:c r="A346" s="373"/>
      <x:c r="B346" s="373"/>
      <x:c r="C346" s="373"/>
      <x:c r="D346" s="373"/>
      <x:c r="E346" s="373"/>
      <x:c r="F346" s="373"/>
      <x:c r="G346" s="373"/>
      <x:c r="H346" s="373"/>
      <x:c r="I346" s="373"/>
      <x:c r="J346" s="373"/>
      <x:c r="K346" s="373"/>
      <x:c r="L346" s="373"/>
      <x:c r="M346" s="373"/>
      <x:c r="N346" s="373"/>
      <x:c r="O346" s="373"/>
      <x:c r="P346" s="373"/>
      <x:c r="Q346" s="373"/>
      <x:c r="R346" s="373"/>
      <x:c r="S346" s="373"/>
      <x:c r="T346" s="373"/>
      <x:c r="U346" s="373"/>
      <x:c r="V346" s="373"/>
      <x:c r="W346" s="373"/>
      <x:c r="X346" s="373"/>
      <x:c r="Y346" s="373"/>
      <x:c r="Z346" s="373"/>
    </x:row>
    <x:row r="347">
      <x:c r="A347" s="373"/>
      <x:c r="B347" s="373"/>
      <x:c r="C347" s="373"/>
      <x:c r="D347" s="373"/>
      <x:c r="E347" s="373"/>
      <x:c r="F347" s="373"/>
      <x:c r="G347" s="373"/>
      <x:c r="H347" s="373"/>
      <x:c r="I347" s="373"/>
      <x:c r="J347" s="373"/>
      <x:c r="K347" s="373"/>
      <x:c r="L347" s="373"/>
      <x:c r="M347" s="373"/>
      <x:c r="N347" s="373"/>
      <x:c r="O347" s="373"/>
      <x:c r="P347" s="373"/>
      <x:c r="Q347" s="373"/>
      <x:c r="R347" s="373"/>
      <x:c r="S347" s="373"/>
      <x:c r="T347" s="373"/>
      <x:c r="U347" s="373"/>
      <x:c r="V347" s="373"/>
      <x:c r="W347" s="373"/>
      <x:c r="X347" s="373"/>
      <x:c r="Y347" s="373"/>
      <x:c r="Z347" s="373"/>
    </x:row>
    <x:row r="348">
      <x:c r="A348" s="373"/>
      <x:c r="B348" s="373"/>
      <x:c r="C348" s="373"/>
      <x:c r="D348" s="373"/>
      <x:c r="E348" s="373"/>
      <x:c r="F348" s="373"/>
      <x:c r="G348" s="373"/>
      <x:c r="H348" s="373"/>
      <x:c r="I348" s="373"/>
      <x:c r="J348" s="373"/>
      <x:c r="K348" s="373"/>
      <x:c r="L348" s="373"/>
      <x:c r="M348" s="373"/>
      <x:c r="N348" s="373"/>
      <x:c r="O348" s="373"/>
      <x:c r="P348" s="373"/>
      <x:c r="Q348" s="373"/>
      <x:c r="R348" s="373"/>
      <x:c r="S348" s="373"/>
      <x:c r="T348" s="373"/>
      <x:c r="U348" s="373"/>
      <x:c r="V348" s="373"/>
      <x:c r="W348" s="373"/>
      <x:c r="X348" s="373"/>
      <x:c r="Y348" s="373"/>
      <x:c r="Z348" s="373"/>
    </x:row>
    <x:row r="349">
      <x:c r="A349" s="373"/>
      <x:c r="B349" s="373"/>
      <x:c r="C349" s="373"/>
      <x:c r="D349" s="373"/>
      <x:c r="E349" s="373"/>
      <x:c r="F349" s="373"/>
      <x:c r="G349" s="373"/>
      <x:c r="H349" s="373"/>
      <x:c r="I349" s="373"/>
      <x:c r="J349" s="373"/>
      <x:c r="K349" s="373"/>
      <x:c r="L349" s="373"/>
      <x:c r="M349" s="373"/>
      <x:c r="N349" s="373"/>
      <x:c r="O349" s="373"/>
      <x:c r="P349" s="373"/>
      <x:c r="Q349" s="373"/>
      <x:c r="R349" s="373"/>
      <x:c r="S349" s="373"/>
      <x:c r="T349" s="373"/>
      <x:c r="U349" s="373"/>
      <x:c r="V349" s="373"/>
      <x:c r="W349" s="373"/>
      <x:c r="X349" s="373"/>
      <x:c r="Y349" s="373"/>
      <x:c r="Z349" s="373"/>
    </x:row>
    <x:row r="350">
      <x:c r="A350" s="373"/>
      <x:c r="B350" s="373"/>
      <x:c r="C350" s="373"/>
      <x:c r="D350" s="373"/>
      <x:c r="E350" s="373"/>
      <x:c r="F350" s="373"/>
      <x:c r="G350" s="373"/>
      <x:c r="H350" s="373"/>
      <x:c r="I350" s="373"/>
      <x:c r="J350" s="373"/>
      <x:c r="K350" s="373"/>
      <x:c r="L350" s="373"/>
      <x:c r="M350" s="373"/>
      <x:c r="N350" s="373"/>
      <x:c r="O350" s="373"/>
      <x:c r="P350" s="373"/>
      <x:c r="Q350" s="373"/>
      <x:c r="R350" s="373"/>
      <x:c r="S350" s="373"/>
      <x:c r="T350" s="373"/>
      <x:c r="U350" s="373"/>
      <x:c r="V350" s="373"/>
      <x:c r="W350" s="373"/>
      <x:c r="X350" s="373"/>
      <x:c r="Y350" s="373"/>
      <x:c r="Z350" s="373"/>
    </x:row>
    <x:row r="351">
      <x:c r="A351" s="373"/>
      <x:c r="B351" s="373"/>
      <x:c r="C351" s="373"/>
      <x:c r="D351" s="373"/>
      <x:c r="E351" s="373"/>
      <x:c r="F351" s="373"/>
      <x:c r="G351" s="373"/>
      <x:c r="H351" s="373"/>
      <x:c r="I351" s="373"/>
      <x:c r="J351" s="373"/>
      <x:c r="K351" s="373"/>
      <x:c r="L351" s="373"/>
      <x:c r="M351" s="373"/>
      <x:c r="N351" s="373"/>
      <x:c r="O351" s="373"/>
      <x:c r="P351" s="373"/>
      <x:c r="Q351" s="373"/>
      <x:c r="R351" s="373"/>
      <x:c r="S351" s="373"/>
      <x:c r="T351" s="373"/>
      <x:c r="U351" s="373"/>
      <x:c r="V351" s="373"/>
      <x:c r="W351" s="373"/>
      <x:c r="X351" s="373"/>
      <x:c r="Y351" s="373"/>
      <x:c r="Z351" s="373"/>
    </x:row>
    <x:row r="352">
      <x:c r="A352" s="373"/>
      <x:c r="B352" s="373"/>
      <x:c r="C352" s="373"/>
      <x:c r="D352" s="373"/>
      <x:c r="E352" s="373"/>
      <x:c r="F352" s="373"/>
      <x:c r="G352" s="373"/>
      <x:c r="H352" s="373"/>
      <x:c r="I352" s="373"/>
      <x:c r="J352" s="373"/>
      <x:c r="K352" s="373"/>
      <x:c r="L352" s="373"/>
      <x:c r="M352" s="373"/>
      <x:c r="N352" s="373"/>
      <x:c r="O352" s="373"/>
      <x:c r="P352" s="373"/>
      <x:c r="Q352" s="373"/>
      <x:c r="R352" s="373"/>
      <x:c r="S352" s="373"/>
      <x:c r="T352" s="373"/>
      <x:c r="U352" s="373"/>
      <x:c r="V352" s="373"/>
      <x:c r="W352" s="373"/>
      <x:c r="X352" s="373"/>
      <x:c r="Y352" s="373"/>
      <x:c r="Z352" s="373"/>
    </x:row>
    <x:row r="353">
      <x:c r="A353" s="373"/>
      <x:c r="B353" s="373"/>
      <x:c r="C353" s="373"/>
      <x:c r="D353" s="373"/>
      <x:c r="E353" s="373"/>
      <x:c r="F353" s="373"/>
      <x:c r="G353" s="373"/>
      <x:c r="H353" s="373"/>
      <x:c r="I353" s="373"/>
      <x:c r="J353" s="373"/>
      <x:c r="K353" s="373"/>
      <x:c r="L353" s="373"/>
      <x:c r="M353" s="373"/>
      <x:c r="N353" s="373"/>
      <x:c r="O353" s="373"/>
      <x:c r="P353" s="373"/>
      <x:c r="Q353" s="373"/>
      <x:c r="R353" s="373"/>
      <x:c r="S353" s="373"/>
      <x:c r="T353" s="373"/>
      <x:c r="U353" s="373"/>
      <x:c r="V353" s="373"/>
      <x:c r="W353" s="373"/>
      <x:c r="X353" s="373"/>
      <x:c r="Y353" s="373"/>
      <x:c r="Z353" s="373"/>
    </x:row>
    <x:row r="354">
      <x:c r="A354" s="373"/>
      <x:c r="B354" s="373"/>
      <x:c r="C354" s="373"/>
      <x:c r="D354" s="373"/>
      <x:c r="E354" s="373"/>
      <x:c r="F354" s="373"/>
      <x:c r="G354" s="373"/>
      <x:c r="H354" s="373"/>
      <x:c r="I354" s="373"/>
      <x:c r="J354" s="373"/>
      <x:c r="K354" s="373"/>
      <x:c r="L354" s="373"/>
      <x:c r="M354" s="373"/>
      <x:c r="N354" s="373"/>
      <x:c r="O354" s="373"/>
      <x:c r="P354" s="373"/>
      <x:c r="Q354" s="373"/>
      <x:c r="R354" s="373"/>
      <x:c r="S354" s="373"/>
      <x:c r="T354" s="373"/>
      <x:c r="U354" s="373"/>
      <x:c r="V354" s="373"/>
      <x:c r="W354" s="373"/>
      <x:c r="X354" s="373"/>
      <x:c r="Y354" s="373"/>
      <x:c r="Z354" s="373"/>
    </x:row>
    <x:row r="355">
      <x:c r="A355" s="373"/>
      <x:c r="B355" s="373"/>
      <x:c r="C355" s="373"/>
      <x:c r="D355" s="373"/>
      <x:c r="E355" s="373"/>
      <x:c r="F355" s="373"/>
      <x:c r="G355" s="373"/>
      <x:c r="H355" s="373"/>
      <x:c r="I355" s="373"/>
      <x:c r="J355" s="373"/>
      <x:c r="K355" s="373"/>
      <x:c r="L355" s="373"/>
      <x:c r="M355" s="373"/>
      <x:c r="N355" s="373"/>
      <x:c r="O355" s="373"/>
      <x:c r="P355" s="373"/>
      <x:c r="Q355" s="373"/>
      <x:c r="R355" s="373"/>
      <x:c r="S355" s="373"/>
      <x:c r="T355" s="373"/>
      <x:c r="U355" s="373"/>
      <x:c r="V355" s="373"/>
      <x:c r="W355" s="373"/>
      <x:c r="X355" s="373"/>
      <x:c r="Y355" s="373"/>
      <x:c r="Z355" s="373"/>
    </x:row>
    <x:row r="356">
      <x:c r="A356" s="373"/>
      <x:c r="B356" s="373"/>
      <x:c r="C356" s="373"/>
      <x:c r="D356" s="373"/>
      <x:c r="E356" s="373"/>
      <x:c r="F356" s="373"/>
      <x:c r="G356" s="373"/>
      <x:c r="H356" s="373"/>
      <x:c r="I356" s="373"/>
      <x:c r="J356" s="373"/>
      <x:c r="K356" s="373"/>
      <x:c r="L356" s="373"/>
      <x:c r="M356" s="373"/>
      <x:c r="N356" s="373"/>
      <x:c r="O356" s="373"/>
      <x:c r="P356" s="373"/>
      <x:c r="Q356" s="373"/>
      <x:c r="R356" s="373"/>
      <x:c r="S356" s="373"/>
      <x:c r="T356" s="373"/>
      <x:c r="U356" s="373"/>
      <x:c r="V356" s="373"/>
      <x:c r="W356" s="373"/>
      <x:c r="X356" s="373"/>
      <x:c r="Y356" s="373"/>
      <x:c r="Z356" s="373"/>
    </x:row>
    <x:row r="357">
      <x:c r="A357" s="373"/>
      <x:c r="B357" s="373"/>
      <x:c r="C357" s="373"/>
      <x:c r="D357" s="373"/>
      <x:c r="E357" s="373"/>
      <x:c r="F357" s="373"/>
      <x:c r="G357" s="373"/>
      <x:c r="H357" s="373"/>
      <x:c r="I357" s="373"/>
      <x:c r="J357" s="373"/>
      <x:c r="K357" s="373"/>
      <x:c r="L357" s="373"/>
      <x:c r="M357" s="373"/>
      <x:c r="N357" s="373"/>
      <x:c r="O357" s="373"/>
      <x:c r="P357" s="373"/>
      <x:c r="Q357" s="373"/>
      <x:c r="R357" s="373"/>
      <x:c r="S357" s="373"/>
      <x:c r="T357" s="373"/>
      <x:c r="U357" s="373"/>
      <x:c r="V357" s="373"/>
      <x:c r="W357" s="373"/>
      <x:c r="X357" s="373"/>
      <x:c r="Y357" s="373"/>
      <x:c r="Z357" s="373"/>
    </x:row>
    <x:row r="358">
      <x:c r="A358" s="373"/>
      <x:c r="B358" s="373"/>
      <x:c r="C358" s="373"/>
      <x:c r="D358" s="373"/>
      <x:c r="E358" s="373"/>
      <x:c r="F358" s="373"/>
      <x:c r="G358" s="373"/>
      <x:c r="H358" s="373"/>
      <x:c r="I358" s="373"/>
      <x:c r="J358" s="373"/>
      <x:c r="K358" s="373"/>
      <x:c r="L358" s="373"/>
      <x:c r="M358" s="373"/>
      <x:c r="N358" s="373"/>
      <x:c r="O358" s="373"/>
      <x:c r="P358" s="373"/>
      <x:c r="Q358" s="373"/>
      <x:c r="R358" s="373"/>
      <x:c r="S358" s="373"/>
      <x:c r="T358" s="373"/>
      <x:c r="U358" s="373"/>
      <x:c r="V358" s="373"/>
      <x:c r="W358" s="373"/>
      <x:c r="X358" s="373"/>
      <x:c r="Y358" s="373"/>
      <x:c r="Z358" s="373"/>
    </x:row>
    <x:row r="359">
      <x:c r="A359" s="373"/>
      <x:c r="B359" s="373"/>
      <x:c r="C359" s="373"/>
      <x:c r="D359" s="373"/>
      <x:c r="E359" s="373"/>
      <x:c r="F359" s="373"/>
      <x:c r="G359" s="373"/>
      <x:c r="H359" s="373"/>
      <x:c r="I359" s="373"/>
      <x:c r="J359" s="373"/>
      <x:c r="K359" s="373"/>
      <x:c r="L359" s="373"/>
      <x:c r="M359" s="373"/>
      <x:c r="N359" s="373"/>
      <x:c r="O359" s="373"/>
      <x:c r="P359" s="373"/>
      <x:c r="Q359" s="373"/>
      <x:c r="R359" s="373"/>
      <x:c r="S359" s="373"/>
      <x:c r="T359" s="373"/>
      <x:c r="U359" s="373"/>
      <x:c r="V359" s="373"/>
      <x:c r="W359" s="373"/>
      <x:c r="X359" s="373"/>
      <x:c r="Y359" s="373"/>
      <x:c r="Z359" s="373"/>
    </x:row>
    <x:row r="360">
      <x:c r="A360" s="373"/>
      <x:c r="B360" s="373"/>
      <x:c r="C360" s="373"/>
      <x:c r="D360" s="373"/>
      <x:c r="E360" s="373"/>
      <x:c r="F360" s="373"/>
      <x:c r="G360" s="373"/>
      <x:c r="H360" s="373"/>
      <x:c r="I360" s="373"/>
      <x:c r="J360" s="373"/>
      <x:c r="K360" s="373"/>
      <x:c r="L360" s="373"/>
      <x:c r="M360" s="373"/>
      <x:c r="N360" s="373"/>
      <x:c r="O360" s="373"/>
      <x:c r="P360" s="373"/>
      <x:c r="Q360" s="373"/>
      <x:c r="R360" s="373"/>
      <x:c r="S360" s="373"/>
      <x:c r="T360" s="373"/>
      <x:c r="U360" s="373"/>
      <x:c r="V360" s="373"/>
      <x:c r="W360" s="373"/>
      <x:c r="X360" s="373"/>
      <x:c r="Y360" s="373"/>
      <x:c r="Z360" s="373"/>
    </x:row>
    <x:row r="361">
      <x:c r="A361" s="373"/>
      <x:c r="B361" s="373"/>
      <x:c r="C361" s="373"/>
      <x:c r="D361" s="373"/>
      <x:c r="E361" s="373"/>
      <x:c r="F361" s="373"/>
      <x:c r="G361" s="373"/>
      <x:c r="H361" s="373"/>
      <x:c r="I361" s="373"/>
      <x:c r="J361" s="373"/>
      <x:c r="K361" s="373"/>
      <x:c r="L361" s="373"/>
      <x:c r="M361" s="373"/>
      <x:c r="N361" s="373"/>
      <x:c r="O361" s="373"/>
      <x:c r="P361" s="373"/>
      <x:c r="Q361" s="373"/>
      <x:c r="R361" s="373"/>
      <x:c r="S361" s="373"/>
      <x:c r="T361" s="373"/>
      <x:c r="U361" s="373"/>
      <x:c r="V361" s="373"/>
      <x:c r="W361" s="373"/>
      <x:c r="X361" s="373"/>
      <x:c r="Y361" s="373"/>
      <x:c r="Z361" s="373"/>
    </x:row>
    <x:row r="362">
      <x:c r="A362" s="373"/>
      <x:c r="B362" s="373"/>
      <x:c r="C362" s="373"/>
      <x:c r="D362" s="373"/>
      <x:c r="E362" s="373"/>
      <x:c r="F362" s="373"/>
      <x:c r="G362" s="373"/>
      <x:c r="H362" s="373"/>
      <x:c r="I362" s="373"/>
      <x:c r="J362" s="373"/>
      <x:c r="K362" s="373"/>
      <x:c r="L362" s="373"/>
      <x:c r="M362" s="373"/>
      <x:c r="N362" s="373"/>
      <x:c r="O362" s="373"/>
      <x:c r="P362" s="373"/>
      <x:c r="Q362" s="373"/>
      <x:c r="R362" s="373"/>
      <x:c r="S362" s="373"/>
      <x:c r="T362" s="373"/>
      <x:c r="U362" s="373"/>
      <x:c r="V362" s="373"/>
      <x:c r="W362" s="373"/>
      <x:c r="X362" s="373"/>
      <x:c r="Y362" s="373"/>
      <x:c r="Z362" s="373"/>
    </x:row>
    <x:row r="363">
      <x:c r="A363" s="373"/>
      <x:c r="B363" s="373"/>
      <x:c r="C363" s="373"/>
      <x:c r="D363" s="373"/>
      <x:c r="E363" s="373"/>
      <x:c r="F363" s="373"/>
      <x:c r="G363" s="373"/>
      <x:c r="H363" s="373"/>
      <x:c r="I363" s="373"/>
      <x:c r="J363" s="373"/>
      <x:c r="K363" s="373"/>
      <x:c r="L363" s="373"/>
      <x:c r="M363" s="373"/>
      <x:c r="N363" s="373"/>
      <x:c r="O363" s="373"/>
      <x:c r="P363" s="373"/>
      <x:c r="Q363" s="373"/>
      <x:c r="R363" s="373"/>
      <x:c r="S363" s="373"/>
      <x:c r="T363" s="373"/>
      <x:c r="U363" s="373"/>
      <x:c r="V363" s="373"/>
      <x:c r="W363" s="373"/>
      <x:c r="X363" s="373"/>
      <x:c r="Y363" s="373"/>
      <x:c r="Z363" s="373"/>
    </x:row>
    <x:row r="364">
      <x:c r="A364" s="373"/>
      <x:c r="B364" s="373"/>
      <x:c r="C364" s="373"/>
      <x:c r="D364" s="373"/>
      <x:c r="E364" s="373"/>
      <x:c r="F364" s="373"/>
      <x:c r="G364" s="373"/>
      <x:c r="H364" s="373"/>
      <x:c r="I364" s="373"/>
      <x:c r="J364" s="373"/>
      <x:c r="K364" s="373"/>
      <x:c r="L364" s="373"/>
      <x:c r="M364" s="373"/>
      <x:c r="N364" s="373"/>
      <x:c r="O364" s="373"/>
      <x:c r="P364" s="373"/>
      <x:c r="Q364" s="373"/>
      <x:c r="R364" s="373"/>
      <x:c r="S364" s="373"/>
      <x:c r="T364" s="373"/>
      <x:c r="U364" s="373"/>
      <x:c r="V364" s="373"/>
      <x:c r="W364" s="373"/>
      <x:c r="X364" s="373"/>
      <x:c r="Y364" s="373"/>
      <x:c r="Z364" s="373"/>
    </x:row>
    <x:row r="365">
      <x:c r="A365" s="373"/>
      <x:c r="B365" s="373"/>
      <x:c r="C365" s="373"/>
      <x:c r="D365" s="373"/>
      <x:c r="E365" s="373"/>
      <x:c r="F365" s="373"/>
      <x:c r="G365" s="373"/>
      <x:c r="H365" s="373"/>
      <x:c r="I365" s="373"/>
      <x:c r="J365" s="373"/>
      <x:c r="K365" s="373"/>
      <x:c r="L365" s="373"/>
      <x:c r="M365" s="373"/>
      <x:c r="N365" s="373"/>
      <x:c r="O365" s="373"/>
      <x:c r="P365" s="373"/>
      <x:c r="Q365" s="373"/>
      <x:c r="R365" s="373"/>
      <x:c r="S365" s="373"/>
      <x:c r="T365" s="373"/>
      <x:c r="U365" s="373"/>
      <x:c r="V365" s="373"/>
      <x:c r="W365" s="373"/>
      <x:c r="X365" s="373"/>
      <x:c r="Y365" s="373"/>
      <x:c r="Z365" s="373"/>
    </x:row>
    <x:row r="366">
      <x:c r="A366" s="373"/>
      <x:c r="B366" s="373"/>
      <x:c r="C366" s="373"/>
      <x:c r="D366" s="373"/>
      <x:c r="E366" s="373"/>
      <x:c r="F366" s="373"/>
      <x:c r="G366" s="373"/>
      <x:c r="H366" s="373"/>
      <x:c r="I366" s="373"/>
      <x:c r="J366" s="373"/>
      <x:c r="K366" s="373"/>
      <x:c r="L366" s="373"/>
      <x:c r="M366" s="373"/>
      <x:c r="N366" s="373"/>
      <x:c r="O366" s="373"/>
      <x:c r="P366" s="373"/>
      <x:c r="Q366" s="373"/>
      <x:c r="R366" s="373"/>
      <x:c r="S366" s="373"/>
      <x:c r="T366" s="373"/>
      <x:c r="U366" s="373"/>
      <x:c r="V366" s="373"/>
      <x:c r="W366" s="373"/>
      <x:c r="X366" s="373"/>
      <x:c r="Y366" s="373"/>
      <x:c r="Z366" s="373"/>
    </x:row>
    <x:row r="367">
      <x:c r="A367" s="373"/>
      <x:c r="B367" s="373"/>
      <x:c r="C367" s="373"/>
      <x:c r="D367" s="373"/>
      <x:c r="E367" s="373"/>
      <x:c r="F367" s="373"/>
      <x:c r="G367" s="373"/>
      <x:c r="H367" s="373"/>
      <x:c r="I367" s="373"/>
      <x:c r="J367" s="373"/>
      <x:c r="K367" s="373"/>
      <x:c r="L367" s="373"/>
      <x:c r="M367" s="373"/>
      <x:c r="N367" s="373"/>
      <x:c r="O367" s="373"/>
      <x:c r="P367" s="373"/>
      <x:c r="Q367" s="373"/>
      <x:c r="R367" s="373"/>
      <x:c r="S367" s="373"/>
      <x:c r="T367" s="373"/>
      <x:c r="U367" s="373"/>
      <x:c r="V367" s="373"/>
      <x:c r="W367" s="373"/>
      <x:c r="X367" s="373"/>
      <x:c r="Y367" s="373"/>
      <x:c r="Z367" s="373"/>
    </x:row>
    <x:row r="368">
      <x:c r="A368" s="373"/>
      <x:c r="B368" s="373"/>
      <x:c r="C368" s="373"/>
      <x:c r="D368" s="373"/>
      <x:c r="E368" s="373"/>
      <x:c r="F368" s="373"/>
      <x:c r="G368" s="373"/>
      <x:c r="H368" s="373"/>
      <x:c r="I368" s="373"/>
      <x:c r="J368" s="373"/>
      <x:c r="K368" s="373"/>
      <x:c r="L368" s="373"/>
      <x:c r="M368" s="373"/>
      <x:c r="N368" s="373"/>
      <x:c r="O368" s="373"/>
      <x:c r="P368" s="373"/>
      <x:c r="Q368" s="373"/>
      <x:c r="R368" s="373"/>
      <x:c r="S368" s="373"/>
      <x:c r="T368" s="373"/>
      <x:c r="U368" s="373"/>
      <x:c r="V368" s="373"/>
      <x:c r="W368" s="373"/>
      <x:c r="X368" s="373"/>
      <x:c r="Y368" s="373"/>
      <x:c r="Z368" s="373"/>
    </x:row>
    <x:row r="369">
      <x:c r="A369" s="373"/>
      <x:c r="B369" s="373"/>
      <x:c r="C369" s="373"/>
      <x:c r="D369" s="373"/>
      <x:c r="E369" s="373"/>
      <x:c r="F369" s="373"/>
      <x:c r="G369" s="373"/>
      <x:c r="H369" s="373"/>
      <x:c r="I369" s="373"/>
      <x:c r="J369" s="373"/>
      <x:c r="K369" s="373"/>
      <x:c r="L369" s="373"/>
      <x:c r="M369" s="373"/>
      <x:c r="N369" s="373"/>
      <x:c r="O369" s="373"/>
      <x:c r="P369" s="373"/>
      <x:c r="Q369" s="373"/>
      <x:c r="R369" s="373"/>
      <x:c r="S369" s="373"/>
      <x:c r="T369" s="373"/>
      <x:c r="U369" s="373"/>
      <x:c r="V369" s="373"/>
      <x:c r="W369" s="373"/>
      <x:c r="X369" s="373"/>
      <x:c r="Y369" s="373"/>
      <x:c r="Z369" s="373"/>
    </x:row>
    <x:row r="370">
      <x:c r="A370" s="373"/>
      <x:c r="B370" s="373"/>
      <x:c r="C370" s="373"/>
      <x:c r="D370" s="373"/>
      <x:c r="E370" s="373"/>
      <x:c r="F370" s="373"/>
      <x:c r="G370" s="373"/>
      <x:c r="H370" s="373"/>
      <x:c r="I370" s="373"/>
      <x:c r="J370" s="373"/>
      <x:c r="K370" s="373"/>
      <x:c r="L370" s="373"/>
      <x:c r="M370" s="373"/>
      <x:c r="N370" s="373"/>
      <x:c r="O370" s="373"/>
      <x:c r="P370" s="373"/>
      <x:c r="Q370" s="373"/>
      <x:c r="R370" s="373"/>
      <x:c r="S370" s="373"/>
      <x:c r="T370" s="373"/>
      <x:c r="U370" s="373"/>
      <x:c r="V370" s="373"/>
      <x:c r="W370" s="373"/>
      <x:c r="X370" s="373"/>
      <x:c r="Y370" s="373"/>
      <x:c r="Z370" s="373"/>
    </x:row>
    <x:row r="371">
      <x:c r="A371" s="373"/>
      <x:c r="B371" s="373"/>
      <x:c r="C371" s="373"/>
      <x:c r="D371" s="373"/>
      <x:c r="E371" s="373"/>
      <x:c r="F371" s="373"/>
      <x:c r="G371" s="373"/>
      <x:c r="H371" s="373"/>
      <x:c r="I371" s="373"/>
      <x:c r="J371" s="373"/>
      <x:c r="K371" s="373"/>
      <x:c r="L371" s="373"/>
      <x:c r="M371" s="373"/>
      <x:c r="N371" s="373"/>
      <x:c r="O371" s="373"/>
      <x:c r="P371" s="373"/>
      <x:c r="Q371" s="373"/>
      <x:c r="R371" s="373"/>
      <x:c r="S371" s="373"/>
      <x:c r="T371" s="373"/>
      <x:c r="U371" s="373"/>
      <x:c r="V371" s="373"/>
      <x:c r="W371" s="373"/>
      <x:c r="X371" s="373"/>
      <x:c r="Y371" s="373"/>
      <x:c r="Z371" s="373"/>
    </x:row>
    <x:row r="372">
      <x:c r="A372" s="373"/>
      <x:c r="B372" s="373"/>
      <x:c r="C372" s="373"/>
      <x:c r="D372" s="373"/>
      <x:c r="E372" s="373"/>
      <x:c r="F372" s="373"/>
      <x:c r="G372" s="373"/>
      <x:c r="H372" s="373"/>
      <x:c r="I372" s="373"/>
      <x:c r="J372" s="373"/>
      <x:c r="K372" s="373"/>
      <x:c r="L372" s="373"/>
      <x:c r="M372" s="373"/>
      <x:c r="N372" s="373"/>
      <x:c r="O372" s="373"/>
      <x:c r="P372" s="373"/>
      <x:c r="Q372" s="373"/>
      <x:c r="R372" s="373"/>
      <x:c r="S372" s="373"/>
      <x:c r="T372" s="373"/>
      <x:c r="U372" s="373"/>
      <x:c r="V372" s="373"/>
      <x:c r="W372" s="373"/>
      <x:c r="X372" s="373"/>
      <x:c r="Y372" s="373"/>
      <x:c r="Z372" s="373"/>
    </x:row>
    <x:row r="373">
      <x:c r="A373" s="373"/>
      <x:c r="B373" s="373"/>
      <x:c r="C373" s="373"/>
      <x:c r="D373" s="373"/>
      <x:c r="E373" s="373"/>
      <x:c r="F373" s="373"/>
      <x:c r="G373" s="373"/>
      <x:c r="H373" s="373"/>
      <x:c r="I373" s="373"/>
      <x:c r="J373" s="373"/>
      <x:c r="K373" s="373"/>
      <x:c r="L373" s="373"/>
      <x:c r="M373" s="373"/>
      <x:c r="N373" s="373"/>
      <x:c r="O373" s="373"/>
      <x:c r="P373" s="373"/>
      <x:c r="Q373" s="373"/>
      <x:c r="R373" s="373"/>
      <x:c r="S373" s="373"/>
      <x:c r="T373" s="373"/>
      <x:c r="U373" s="373"/>
      <x:c r="V373" s="373"/>
      <x:c r="W373" s="373"/>
      <x:c r="X373" s="373"/>
      <x:c r="Y373" s="373"/>
      <x:c r="Z373" s="373"/>
    </x:row>
    <x:row r="374">
      <x:c r="A374" s="373"/>
      <x:c r="B374" s="373"/>
      <x:c r="C374" s="373"/>
      <x:c r="D374" s="373"/>
      <x:c r="E374" s="373"/>
      <x:c r="F374" s="373"/>
      <x:c r="G374" s="373"/>
      <x:c r="H374" s="373"/>
      <x:c r="I374" s="373"/>
      <x:c r="J374" s="373"/>
      <x:c r="K374" s="373"/>
      <x:c r="L374" s="373"/>
      <x:c r="M374" s="373"/>
      <x:c r="N374" s="373"/>
      <x:c r="O374" s="373"/>
      <x:c r="P374" s="373"/>
      <x:c r="Q374" s="373"/>
      <x:c r="R374" s="373"/>
      <x:c r="S374" s="373"/>
      <x:c r="T374" s="373"/>
      <x:c r="U374" s="373"/>
      <x:c r="V374" s="373"/>
      <x:c r="W374" s="373"/>
      <x:c r="X374" s="373"/>
      <x:c r="Y374" s="373"/>
      <x:c r="Z374" s="373"/>
    </x:row>
    <x:row r="375">
      <x:c r="A375" s="373"/>
      <x:c r="B375" s="373"/>
      <x:c r="C375" s="373"/>
      <x:c r="D375" s="373"/>
      <x:c r="E375" s="373"/>
      <x:c r="F375" s="373"/>
      <x:c r="G375" s="373"/>
      <x:c r="H375" s="373"/>
      <x:c r="I375" s="373"/>
      <x:c r="J375" s="373"/>
      <x:c r="K375" s="373"/>
      <x:c r="L375" s="373"/>
      <x:c r="M375" s="373"/>
      <x:c r="N375" s="373"/>
      <x:c r="O375" s="373"/>
      <x:c r="P375" s="373"/>
      <x:c r="Q375" s="373"/>
      <x:c r="R375" s="373"/>
      <x:c r="S375" s="373"/>
      <x:c r="T375" s="373"/>
      <x:c r="U375" s="373"/>
      <x:c r="V375" s="373"/>
      <x:c r="W375" s="373"/>
      <x:c r="X375" s="373"/>
      <x:c r="Y375" s="373"/>
      <x:c r="Z375" s="373"/>
    </x:row>
    <x:row r="376">
      <x:c r="A376" s="373"/>
      <x:c r="B376" s="373"/>
      <x:c r="C376" s="373"/>
      <x:c r="D376" s="373"/>
      <x:c r="E376" s="373"/>
      <x:c r="F376" s="373"/>
      <x:c r="G376" s="373"/>
      <x:c r="H376" s="373"/>
      <x:c r="I376" s="373"/>
      <x:c r="J376" s="373"/>
      <x:c r="K376" s="373"/>
      <x:c r="L376" s="373"/>
      <x:c r="M376" s="373"/>
      <x:c r="N376" s="373"/>
      <x:c r="O376" s="373"/>
      <x:c r="P376" s="373"/>
      <x:c r="Q376" s="373"/>
      <x:c r="R376" s="373"/>
      <x:c r="S376" s="373"/>
      <x:c r="T376" s="373"/>
      <x:c r="U376" s="373"/>
      <x:c r="V376" s="373"/>
      <x:c r="W376" s="373"/>
      <x:c r="X376" s="373"/>
      <x:c r="Y376" s="373"/>
      <x:c r="Z376" s="373"/>
    </x:row>
    <x:row r="377">
      <x:c r="A377" s="373"/>
      <x:c r="B377" s="373"/>
      <x:c r="C377" s="373"/>
      <x:c r="D377" s="373"/>
      <x:c r="E377" s="373"/>
      <x:c r="F377" s="373"/>
      <x:c r="G377" s="373"/>
      <x:c r="H377" s="373"/>
      <x:c r="I377" s="373"/>
      <x:c r="J377" s="373"/>
      <x:c r="K377" s="373"/>
      <x:c r="L377" s="373"/>
      <x:c r="M377" s="373"/>
      <x:c r="N377" s="373"/>
      <x:c r="O377" s="373"/>
      <x:c r="P377" s="373"/>
      <x:c r="Q377" s="373"/>
      <x:c r="R377" s="373"/>
      <x:c r="S377" s="373"/>
      <x:c r="T377" s="373"/>
      <x:c r="U377" s="373"/>
      <x:c r="V377" s="373"/>
      <x:c r="W377" s="373"/>
      <x:c r="X377" s="373"/>
      <x:c r="Y377" s="373"/>
      <x:c r="Z377" s="373"/>
    </x:row>
    <x:row r="378">
      <x:c r="A378" s="373"/>
      <x:c r="B378" s="373"/>
      <x:c r="C378" s="373"/>
      <x:c r="D378" s="373"/>
      <x:c r="E378" s="373"/>
      <x:c r="F378" s="373"/>
      <x:c r="G378" s="373"/>
      <x:c r="H378" s="373"/>
      <x:c r="I378" s="373"/>
      <x:c r="J378" s="373"/>
      <x:c r="K378" s="373"/>
      <x:c r="L378" s="373"/>
      <x:c r="M378" s="373"/>
      <x:c r="N378" s="373"/>
      <x:c r="O378" s="373"/>
      <x:c r="P378" s="373"/>
      <x:c r="Q378" s="373"/>
      <x:c r="R378" s="373"/>
      <x:c r="S378" s="373"/>
      <x:c r="T378" s="373"/>
      <x:c r="U378" s="373"/>
      <x:c r="V378" s="373"/>
      <x:c r="W378" s="373"/>
      <x:c r="X378" s="373"/>
      <x:c r="Y378" s="373"/>
      <x:c r="Z378" s="373"/>
    </x:row>
    <x:row r="379">
      <x:c r="A379" s="373"/>
      <x:c r="B379" s="373"/>
      <x:c r="C379" s="373"/>
      <x:c r="D379" s="373"/>
      <x:c r="E379" s="373"/>
      <x:c r="F379" s="373"/>
      <x:c r="G379" s="373"/>
      <x:c r="H379" s="373"/>
      <x:c r="I379" s="373"/>
      <x:c r="J379" s="373"/>
      <x:c r="K379" s="373"/>
      <x:c r="L379" s="373"/>
      <x:c r="M379" s="373"/>
      <x:c r="N379" s="373"/>
      <x:c r="O379" s="373"/>
      <x:c r="P379" s="373"/>
      <x:c r="Q379" s="373"/>
      <x:c r="R379" s="373"/>
      <x:c r="S379" s="373"/>
      <x:c r="T379" s="373"/>
      <x:c r="U379" s="373"/>
      <x:c r="V379" s="373"/>
      <x:c r="W379" s="373"/>
      <x:c r="X379" s="373"/>
      <x:c r="Y379" s="373"/>
      <x:c r="Z379" s="373"/>
    </x:row>
    <x:row r="380">
      <x:c r="A380" s="373"/>
      <x:c r="B380" s="373"/>
      <x:c r="C380" s="373"/>
      <x:c r="D380" s="373"/>
      <x:c r="E380" s="373"/>
      <x:c r="F380" s="373"/>
      <x:c r="G380" s="373"/>
      <x:c r="H380" s="373"/>
      <x:c r="I380" s="373"/>
      <x:c r="J380" s="373"/>
      <x:c r="K380" s="373"/>
      <x:c r="L380" s="373"/>
      <x:c r="M380" s="373"/>
      <x:c r="N380" s="373"/>
      <x:c r="O380" s="373"/>
      <x:c r="P380" s="373"/>
      <x:c r="Q380" s="373"/>
      <x:c r="R380" s="373"/>
      <x:c r="S380" s="373"/>
      <x:c r="T380" s="373"/>
      <x:c r="U380" s="373"/>
      <x:c r="V380" s="373"/>
      <x:c r="W380" s="373"/>
      <x:c r="X380" s="373"/>
      <x:c r="Y380" s="373"/>
      <x:c r="Z380" s="373"/>
    </x:row>
    <x:row r="381">
      <x:c r="A381" s="373"/>
      <x:c r="B381" s="373"/>
      <x:c r="C381" s="373"/>
      <x:c r="D381" s="373"/>
      <x:c r="E381" s="373"/>
      <x:c r="F381" s="373"/>
      <x:c r="G381" s="373"/>
      <x:c r="H381" s="373"/>
      <x:c r="I381" s="373"/>
      <x:c r="J381" s="373"/>
      <x:c r="K381" s="373"/>
      <x:c r="L381" s="373"/>
      <x:c r="M381" s="373"/>
      <x:c r="N381" s="373"/>
      <x:c r="O381" s="373"/>
      <x:c r="P381" s="373"/>
      <x:c r="Q381" s="373"/>
      <x:c r="R381" s="373"/>
      <x:c r="S381" s="373"/>
      <x:c r="T381" s="373"/>
      <x:c r="U381" s="373"/>
      <x:c r="V381" s="373"/>
      <x:c r="W381" s="373"/>
      <x:c r="X381" s="373"/>
      <x:c r="Y381" s="373"/>
      <x:c r="Z381" s="373"/>
    </x:row>
    <x:row r="382">
      <x:c r="A382" s="373"/>
      <x:c r="B382" s="373"/>
      <x:c r="C382" s="373"/>
      <x:c r="D382" s="373"/>
      <x:c r="E382" s="373"/>
      <x:c r="F382" s="373"/>
      <x:c r="G382" s="373"/>
      <x:c r="H382" s="373"/>
      <x:c r="I382" s="373"/>
      <x:c r="J382" s="373"/>
      <x:c r="K382" s="373"/>
      <x:c r="L382" s="373"/>
      <x:c r="M382" s="373"/>
      <x:c r="N382" s="373"/>
      <x:c r="O382" s="373"/>
      <x:c r="P382" s="373"/>
      <x:c r="Q382" s="373"/>
      <x:c r="R382" s="373"/>
      <x:c r="S382" s="373"/>
      <x:c r="T382" s="373"/>
      <x:c r="U382" s="373"/>
      <x:c r="V382" s="373"/>
      <x:c r="W382" s="373"/>
      <x:c r="X382" s="373"/>
      <x:c r="Y382" s="373"/>
      <x:c r="Z382" s="373"/>
    </x:row>
    <x:row r="383">
      <x:c r="A383" s="373"/>
      <x:c r="B383" s="373"/>
      <x:c r="C383" s="373"/>
      <x:c r="D383" s="373"/>
      <x:c r="E383" s="373"/>
      <x:c r="F383" s="373"/>
      <x:c r="G383" s="373"/>
      <x:c r="H383" s="373"/>
      <x:c r="I383" s="373"/>
      <x:c r="J383" s="373"/>
      <x:c r="K383" s="373"/>
      <x:c r="L383" s="373"/>
      <x:c r="M383" s="373"/>
      <x:c r="N383" s="373"/>
      <x:c r="O383" s="373"/>
      <x:c r="P383" s="373"/>
      <x:c r="Q383" s="373"/>
      <x:c r="R383" s="373"/>
      <x:c r="S383" s="373"/>
      <x:c r="T383" s="373"/>
      <x:c r="U383" s="373"/>
      <x:c r="V383" s="373"/>
      <x:c r="W383" s="373"/>
      <x:c r="X383" s="373"/>
      <x:c r="Y383" s="373"/>
      <x:c r="Z383" s="373"/>
    </x:row>
    <x:row r="384">
      <x:c r="A384" s="373"/>
      <x:c r="B384" s="373"/>
      <x:c r="C384" s="373"/>
      <x:c r="D384" s="373"/>
      <x:c r="E384" s="373"/>
      <x:c r="F384" s="373"/>
      <x:c r="G384" s="373"/>
      <x:c r="H384" s="373"/>
      <x:c r="I384" s="373"/>
      <x:c r="J384" s="373"/>
      <x:c r="K384" s="373"/>
      <x:c r="L384" s="373"/>
      <x:c r="M384" s="373"/>
      <x:c r="N384" s="373"/>
      <x:c r="O384" s="373"/>
      <x:c r="P384" s="373"/>
      <x:c r="Q384" s="373"/>
      <x:c r="R384" s="373"/>
      <x:c r="S384" s="373"/>
      <x:c r="T384" s="373"/>
      <x:c r="U384" s="373"/>
      <x:c r="V384" s="373"/>
      <x:c r="W384" s="373"/>
      <x:c r="X384" s="373"/>
      <x:c r="Y384" s="373"/>
      <x:c r="Z384" s="373"/>
    </x:row>
    <x:row r="385">
      <x:c r="A385" s="373"/>
      <x:c r="B385" s="373"/>
      <x:c r="C385" s="373"/>
      <x:c r="D385" s="373"/>
      <x:c r="E385" s="373"/>
      <x:c r="F385" s="373"/>
      <x:c r="G385" s="373"/>
      <x:c r="H385" s="373"/>
      <x:c r="I385" s="373"/>
      <x:c r="J385" s="373"/>
      <x:c r="K385" s="373"/>
      <x:c r="L385" s="373"/>
      <x:c r="M385" s="373"/>
      <x:c r="N385" s="373"/>
      <x:c r="O385" s="373"/>
      <x:c r="P385" s="373"/>
      <x:c r="Q385" s="373"/>
      <x:c r="R385" s="373"/>
      <x:c r="S385" s="373"/>
      <x:c r="T385" s="373"/>
      <x:c r="U385" s="373"/>
      <x:c r="V385" s="373"/>
      <x:c r="W385" s="373"/>
      <x:c r="X385" s="373"/>
      <x:c r="Y385" s="373"/>
      <x:c r="Z385" s="373"/>
    </x:row>
    <x:row r="386">
      <x:c r="A386" s="373"/>
      <x:c r="B386" s="373"/>
      <x:c r="C386" s="373"/>
      <x:c r="D386" s="373"/>
      <x:c r="E386" s="373"/>
      <x:c r="F386" s="373"/>
      <x:c r="G386" s="373"/>
      <x:c r="H386" s="373"/>
      <x:c r="I386" s="373"/>
      <x:c r="J386" s="373"/>
      <x:c r="K386" s="373"/>
      <x:c r="L386" s="373"/>
      <x:c r="M386" s="373"/>
      <x:c r="N386" s="373"/>
      <x:c r="O386" s="373"/>
      <x:c r="P386" s="373"/>
      <x:c r="Q386" s="373"/>
      <x:c r="R386" s="373"/>
      <x:c r="S386" s="373"/>
      <x:c r="T386" s="373"/>
      <x:c r="U386" s="373"/>
      <x:c r="V386" s="373"/>
      <x:c r="W386" s="373"/>
      <x:c r="X386" s="373"/>
      <x:c r="Y386" s="373"/>
      <x:c r="Z386" s="373"/>
    </x:row>
    <x:row r="387">
      <x:c r="A387" s="373"/>
      <x:c r="B387" s="373"/>
      <x:c r="C387" s="373"/>
      <x:c r="D387" s="373"/>
      <x:c r="E387" s="373"/>
      <x:c r="F387" s="373"/>
      <x:c r="G387" s="373"/>
      <x:c r="H387" s="373"/>
      <x:c r="I387" s="373"/>
      <x:c r="J387" s="373"/>
      <x:c r="K387" s="373"/>
      <x:c r="L387" s="373"/>
      <x:c r="M387" s="373"/>
      <x:c r="N387" s="373"/>
      <x:c r="O387" s="373"/>
      <x:c r="P387" s="373"/>
      <x:c r="Q387" s="373"/>
      <x:c r="R387" s="373"/>
      <x:c r="S387" s="373"/>
      <x:c r="T387" s="373"/>
      <x:c r="U387" s="373"/>
      <x:c r="V387" s="373"/>
      <x:c r="W387" s="373"/>
      <x:c r="X387" s="373"/>
      <x:c r="Y387" s="373"/>
      <x:c r="Z387" s="373"/>
    </x:row>
    <x:row r="388">
      <x:c r="A388" s="373"/>
      <x:c r="B388" s="373"/>
      <x:c r="C388" s="373"/>
      <x:c r="D388" s="373"/>
      <x:c r="E388" s="373"/>
      <x:c r="F388" s="373"/>
      <x:c r="G388" s="373"/>
      <x:c r="H388" s="373"/>
      <x:c r="I388" s="373"/>
      <x:c r="J388" s="373"/>
      <x:c r="K388" s="373"/>
      <x:c r="L388" s="373"/>
      <x:c r="M388" s="373"/>
      <x:c r="N388" s="373"/>
      <x:c r="O388" s="373"/>
      <x:c r="P388" s="373"/>
      <x:c r="Q388" s="373"/>
      <x:c r="R388" s="373"/>
      <x:c r="S388" s="373"/>
      <x:c r="T388" s="373"/>
      <x:c r="U388" s="373"/>
      <x:c r="V388" s="373"/>
      <x:c r="W388" s="373"/>
      <x:c r="X388" s="373"/>
      <x:c r="Y388" s="373"/>
      <x:c r="Z388" s="373"/>
    </x:row>
    <x:row r="389">
      <x:c r="A389" s="373"/>
      <x:c r="B389" s="373"/>
      <x:c r="C389" s="373"/>
      <x:c r="D389" s="373"/>
      <x:c r="E389" s="373"/>
      <x:c r="F389" s="373"/>
      <x:c r="G389" s="373"/>
      <x:c r="H389" s="373"/>
      <x:c r="I389" s="373"/>
      <x:c r="J389" s="373"/>
      <x:c r="K389" s="373"/>
      <x:c r="L389" s="373"/>
      <x:c r="M389" s="373"/>
      <x:c r="N389" s="373"/>
      <x:c r="O389" s="373"/>
      <x:c r="P389" s="373"/>
      <x:c r="Q389" s="373"/>
      <x:c r="R389" s="373"/>
      <x:c r="S389" s="373"/>
      <x:c r="T389" s="373"/>
      <x:c r="U389" s="373"/>
      <x:c r="V389" s="373"/>
      <x:c r="W389" s="373"/>
      <x:c r="X389" s="373"/>
      <x:c r="Y389" s="373"/>
      <x:c r="Z389" s="373"/>
    </x:row>
    <x:row r="390">
      <x:c r="A390" s="373"/>
      <x:c r="B390" s="373"/>
      <x:c r="C390" s="373"/>
      <x:c r="D390" s="373"/>
      <x:c r="E390" s="373"/>
      <x:c r="F390" s="373"/>
      <x:c r="G390" s="373"/>
      <x:c r="H390" s="373"/>
      <x:c r="I390" s="373"/>
      <x:c r="J390" s="373"/>
      <x:c r="K390" s="373"/>
      <x:c r="L390" s="373"/>
      <x:c r="M390" s="373"/>
      <x:c r="N390" s="373"/>
      <x:c r="O390" s="373"/>
      <x:c r="P390" s="373"/>
      <x:c r="Q390" s="373"/>
      <x:c r="R390" s="373"/>
      <x:c r="S390" s="373"/>
      <x:c r="T390" s="373"/>
      <x:c r="U390" s="373"/>
      <x:c r="V390" s="373"/>
      <x:c r="W390" s="373"/>
      <x:c r="X390" s="373"/>
      <x:c r="Y390" s="373"/>
      <x:c r="Z390" s="373"/>
    </x:row>
    <x:row r="391">
      <x:c r="A391" s="373"/>
      <x:c r="B391" s="373"/>
      <x:c r="C391" s="373"/>
      <x:c r="D391" s="373"/>
      <x:c r="E391" s="373"/>
      <x:c r="F391" s="373"/>
      <x:c r="G391" s="373"/>
      <x:c r="H391" s="373"/>
      <x:c r="I391" s="373"/>
      <x:c r="J391" s="373"/>
      <x:c r="K391" s="373"/>
      <x:c r="L391" s="373"/>
      <x:c r="M391" s="373"/>
      <x:c r="N391" s="373"/>
      <x:c r="O391" s="373"/>
      <x:c r="P391" s="373"/>
      <x:c r="Q391" s="373"/>
      <x:c r="R391" s="373"/>
      <x:c r="S391" s="373"/>
      <x:c r="T391" s="373"/>
      <x:c r="U391" s="373"/>
      <x:c r="V391" s="373"/>
      <x:c r="W391" s="373"/>
      <x:c r="X391" s="373"/>
      <x:c r="Y391" s="373"/>
      <x:c r="Z391" s="373"/>
    </x:row>
    <x:row r="392">
      <x:c r="A392" s="373"/>
      <x:c r="B392" s="373"/>
      <x:c r="C392" s="373"/>
      <x:c r="D392" s="373"/>
      <x:c r="E392" s="373"/>
      <x:c r="F392" s="373"/>
      <x:c r="G392" s="373"/>
      <x:c r="H392" s="373"/>
      <x:c r="I392" s="373"/>
      <x:c r="J392" s="373"/>
      <x:c r="K392" s="373"/>
      <x:c r="L392" s="373"/>
      <x:c r="M392" s="373"/>
      <x:c r="N392" s="373"/>
      <x:c r="O392" s="373"/>
      <x:c r="P392" s="373"/>
      <x:c r="Q392" s="373"/>
      <x:c r="R392" s="373"/>
      <x:c r="S392" s="373"/>
      <x:c r="T392" s="373"/>
      <x:c r="U392" s="373"/>
      <x:c r="V392" s="373"/>
      <x:c r="W392" s="373"/>
      <x:c r="X392" s="373"/>
      <x:c r="Y392" s="373"/>
      <x:c r="Z392" s="373"/>
    </x:row>
    <x:row r="393">
      <x:c r="A393" s="373"/>
      <x:c r="B393" s="373"/>
      <x:c r="C393" s="373"/>
      <x:c r="D393" s="373"/>
      <x:c r="E393" s="373"/>
      <x:c r="F393" s="373"/>
      <x:c r="G393" s="373"/>
      <x:c r="H393" s="373"/>
      <x:c r="I393" s="373"/>
      <x:c r="J393" s="373"/>
      <x:c r="K393" s="373"/>
      <x:c r="L393" s="373"/>
      <x:c r="M393" s="373"/>
      <x:c r="N393" s="373"/>
      <x:c r="O393" s="373"/>
      <x:c r="P393" s="373"/>
      <x:c r="Q393" s="373"/>
      <x:c r="R393" s="373"/>
      <x:c r="S393" s="373"/>
      <x:c r="T393" s="373"/>
      <x:c r="U393" s="373"/>
      <x:c r="V393" s="373"/>
      <x:c r="W393" s="373"/>
      <x:c r="X393" s="373"/>
      <x:c r="Y393" s="373"/>
      <x:c r="Z393" s="373"/>
    </x:row>
    <x:row r="394">
      <x:c r="A394" s="373"/>
      <x:c r="B394" s="373"/>
      <x:c r="C394" s="373"/>
      <x:c r="D394" s="373"/>
      <x:c r="E394" s="373"/>
      <x:c r="F394" s="373"/>
      <x:c r="G394" s="373"/>
      <x:c r="H394" s="373"/>
      <x:c r="I394" s="373"/>
      <x:c r="J394" s="373"/>
      <x:c r="K394" s="373"/>
      <x:c r="L394" s="373"/>
      <x:c r="M394" s="373"/>
      <x:c r="N394" s="373"/>
      <x:c r="O394" s="373"/>
      <x:c r="P394" s="373"/>
      <x:c r="Q394" s="373"/>
      <x:c r="R394" s="373"/>
      <x:c r="S394" s="373"/>
      <x:c r="T394" s="373"/>
      <x:c r="U394" s="373"/>
      <x:c r="V394" s="373"/>
      <x:c r="W394" s="373"/>
      <x:c r="X394" s="373"/>
      <x:c r="Y394" s="373"/>
      <x:c r="Z394" s="373"/>
    </x:row>
    <x:row r="395">
      <x:c r="A395" s="373"/>
      <x:c r="B395" s="373"/>
      <x:c r="C395" s="373"/>
      <x:c r="D395" s="373"/>
      <x:c r="E395" s="373"/>
      <x:c r="F395" s="373"/>
      <x:c r="G395" s="373"/>
      <x:c r="H395" s="373"/>
      <x:c r="I395" s="373"/>
      <x:c r="J395" s="373"/>
      <x:c r="K395" s="373"/>
      <x:c r="L395" s="373"/>
      <x:c r="M395" s="373"/>
      <x:c r="N395" s="373"/>
      <x:c r="O395" s="373"/>
      <x:c r="P395" s="373"/>
      <x:c r="Q395" s="373"/>
      <x:c r="R395" s="373"/>
      <x:c r="S395" s="373"/>
      <x:c r="T395" s="373"/>
      <x:c r="U395" s="373"/>
      <x:c r="V395" s="373"/>
      <x:c r="W395" s="373"/>
      <x:c r="X395" s="373"/>
      <x:c r="Y395" s="373"/>
      <x:c r="Z395" s="373"/>
    </x:row>
    <x:row r="396">
      <x:c r="A396" s="373"/>
      <x:c r="B396" s="373"/>
      <x:c r="C396" s="373"/>
      <x:c r="D396" s="373"/>
      <x:c r="E396" s="373"/>
      <x:c r="F396" s="373"/>
      <x:c r="G396" s="373"/>
      <x:c r="H396" s="373"/>
      <x:c r="I396" s="373"/>
      <x:c r="J396" s="373"/>
      <x:c r="K396" s="373"/>
      <x:c r="L396" s="373"/>
      <x:c r="M396" s="373"/>
      <x:c r="N396" s="373"/>
      <x:c r="O396" s="373"/>
      <x:c r="P396" s="373"/>
      <x:c r="Q396" s="373"/>
      <x:c r="R396" s="373"/>
      <x:c r="S396" s="373"/>
      <x:c r="T396" s="373"/>
      <x:c r="U396" s="373"/>
      <x:c r="V396" s="373"/>
      <x:c r="W396" s="373"/>
      <x:c r="X396" s="373"/>
      <x:c r="Y396" s="373"/>
      <x:c r="Z396" s="373"/>
    </x:row>
    <x:row r="397">
      <x:c r="A397" s="373"/>
      <x:c r="B397" s="373"/>
      <x:c r="C397" s="373"/>
      <x:c r="D397" s="373"/>
      <x:c r="E397" s="373"/>
      <x:c r="F397" s="373"/>
      <x:c r="G397" s="373"/>
      <x:c r="H397" s="373"/>
      <x:c r="I397" s="373"/>
      <x:c r="J397" s="373"/>
      <x:c r="K397" s="373"/>
      <x:c r="L397" s="373"/>
      <x:c r="M397" s="373"/>
      <x:c r="N397" s="373"/>
      <x:c r="O397" s="373"/>
      <x:c r="P397" s="373"/>
      <x:c r="Q397" s="373"/>
      <x:c r="R397" s="373"/>
      <x:c r="S397" s="373"/>
      <x:c r="T397" s="373"/>
      <x:c r="U397" s="373"/>
      <x:c r="V397" s="373"/>
      <x:c r="W397" s="373"/>
      <x:c r="X397" s="373"/>
      <x:c r="Y397" s="373"/>
      <x:c r="Z397" s="373"/>
    </x:row>
    <x:row r="398">
      <x:c r="A398" s="373"/>
      <x:c r="B398" s="373"/>
      <x:c r="C398" s="373"/>
      <x:c r="D398" s="373"/>
      <x:c r="E398" s="373"/>
      <x:c r="F398" s="373"/>
      <x:c r="G398" s="373"/>
      <x:c r="H398" s="373"/>
      <x:c r="I398" s="373"/>
      <x:c r="J398" s="373"/>
      <x:c r="K398" s="373"/>
      <x:c r="L398" s="373"/>
      <x:c r="M398" s="373"/>
      <x:c r="N398" s="373"/>
      <x:c r="O398" s="373"/>
      <x:c r="P398" s="373"/>
      <x:c r="Q398" s="373"/>
      <x:c r="R398" s="373"/>
      <x:c r="S398" s="373"/>
      <x:c r="T398" s="373"/>
      <x:c r="U398" s="373"/>
      <x:c r="V398" s="373"/>
      <x:c r="W398" s="373"/>
      <x:c r="X398" s="373"/>
      <x:c r="Y398" s="373"/>
      <x:c r="Z398" s="373"/>
    </x:row>
    <x:row r="399">
      <x:c r="A399" s="373"/>
      <x:c r="B399" s="373"/>
      <x:c r="C399" s="373"/>
      <x:c r="D399" s="373"/>
      <x:c r="E399" s="373"/>
      <x:c r="F399" s="373"/>
      <x:c r="G399" s="373"/>
      <x:c r="H399" s="373"/>
      <x:c r="I399" s="373"/>
      <x:c r="J399" s="373"/>
      <x:c r="K399" s="373"/>
      <x:c r="L399" s="373"/>
      <x:c r="M399" s="373"/>
      <x:c r="N399" s="373"/>
      <x:c r="O399" s="373"/>
      <x:c r="P399" s="373"/>
      <x:c r="Q399" s="373"/>
      <x:c r="R399" s="373"/>
      <x:c r="S399" s="373"/>
      <x:c r="T399" s="373"/>
      <x:c r="U399" s="373"/>
      <x:c r="V399" s="373"/>
      <x:c r="W399" s="373"/>
      <x:c r="X399" s="373"/>
      <x:c r="Y399" s="373"/>
      <x:c r="Z399" s="373"/>
    </x:row>
    <x:row r="400">
      <x:c r="A400" s="373"/>
      <x:c r="B400" s="373"/>
      <x:c r="C400" s="373"/>
      <x:c r="D400" s="373"/>
      <x:c r="E400" s="373"/>
      <x:c r="F400" s="373"/>
      <x:c r="G400" s="373"/>
      <x:c r="H400" s="373"/>
      <x:c r="I400" s="373"/>
      <x:c r="J400" s="373"/>
      <x:c r="K400" s="373"/>
      <x:c r="L400" s="373"/>
      <x:c r="M400" s="373"/>
      <x:c r="N400" s="373"/>
      <x:c r="O400" s="373"/>
      <x:c r="P400" s="373"/>
      <x:c r="Q400" s="373"/>
      <x:c r="R400" s="373"/>
      <x:c r="S400" s="373"/>
      <x:c r="T400" s="373"/>
      <x:c r="U400" s="373"/>
      <x:c r="V400" s="373"/>
      <x:c r="W400" s="373"/>
      <x:c r="X400" s="373"/>
      <x:c r="Y400" s="373"/>
      <x:c r="Z400" s="373"/>
    </x:row>
    <x:row r="401">
      <x:c r="A401" s="373"/>
      <x:c r="B401" s="373"/>
      <x:c r="C401" s="373"/>
      <x:c r="D401" s="373"/>
      <x:c r="E401" s="373"/>
      <x:c r="F401" s="373"/>
      <x:c r="G401" s="373"/>
      <x:c r="H401" s="373"/>
      <x:c r="I401" s="373"/>
      <x:c r="J401" s="373"/>
      <x:c r="K401" s="373"/>
      <x:c r="L401" s="373"/>
      <x:c r="M401" s="373"/>
      <x:c r="N401" s="373"/>
      <x:c r="O401" s="373"/>
      <x:c r="P401" s="373"/>
      <x:c r="Q401" s="373"/>
      <x:c r="R401" s="373"/>
      <x:c r="S401" s="373"/>
      <x:c r="T401" s="373"/>
      <x:c r="U401" s="373"/>
      <x:c r="V401" s="373"/>
      <x:c r="W401" s="373"/>
      <x:c r="X401" s="373"/>
      <x:c r="Y401" s="373"/>
      <x:c r="Z401" s="373"/>
    </x:row>
    <x:row r="402">
      <x:c r="A402" s="373"/>
      <x:c r="B402" s="373"/>
      <x:c r="C402" s="373"/>
      <x:c r="D402" s="373"/>
      <x:c r="E402" s="373"/>
      <x:c r="F402" s="373"/>
      <x:c r="G402" s="373"/>
      <x:c r="H402" s="373"/>
      <x:c r="I402" s="373"/>
      <x:c r="J402" s="373"/>
      <x:c r="K402" s="373"/>
      <x:c r="L402" s="373"/>
      <x:c r="M402" s="373"/>
      <x:c r="N402" s="373"/>
      <x:c r="O402" s="373"/>
      <x:c r="P402" s="373"/>
      <x:c r="Q402" s="373"/>
      <x:c r="R402" s="373"/>
      <x:c r="S402" s="373"/>
      <x:c r="T402" s="373"/>
      <x:c r="U402" s="373"/>
      <x:c r="V402" s="373"/>
      <x:c r="W402" s="373"/>
      <x:c r="X402" s="373"/>
      <x:c r="Y402" s="373"/>
      <x:c r="Z402" s="373"/>
    </x:row>
    <x:row r="403">
      <x:c r="A403" s="373"/>
      <x:c r="B403" s="373"/>
      <x:c r="C403" s="373"/>
      <x:c r="D403" s="373"/>
      <x:c r="E403" s="373"/>
      <x:c r="F403" s="373"/>
      <x:c r="G403" s="373"/>
      <x:c r="H403" s="373"/>
      <x:c r="I403" s="373"/>
      <x:c r="J403" s="373"/>
      <x:c r="K403" s="373"/>
      <x:c r="L403" s="373"/>
      <x:c r="M403" s="373"/>
      <x:c r="N403" s="373"/>
      <x:c r="O403" s="373"/>
      <x:c r="P403" s="373"/>
      <x:c r="Q403" s="373"/>
      <x:c r="R403" s="373"/>
      <x:c r="S403" s="373"/>
      <x:c r="T403" s="373"/>
      <x:c r="U403" s="373"/>
      <x:c r="V403" s="373"/>
      <x:c r="W403" s="373"/>
      <x:c r="X403" s="373"/>
      <x:c r="Y403" s="373"/>
      <x:c r="Z403" s="373"/>
    </x:row>
    <x:row r="404">
      <x:c r="A404" s="373"/>
      <x:c r="B404" s="373"/>
      <x:c r="C404" s="373"/>
      <x:c r="D404" s="373"/>
      <x:c r="E404" s="373"/>
      <x:c r="F404" s="373"/>
      <x:c r="G404" s="373"/>
      <x:c r="H404" s="373"/>
      <x:c r="I404" s="373"/>
      <x:c r="J404" s="373"/>
      <x:c r="K404" s="373"/>
      <x:c r="L404" s="373"/>
      <x:c r="M404" s="373"/>
      <x:c r="N404" s="373"/>
      <x:c r="O404" s="373"/>
      <x:c r="P404" s="373"/>
      <x:c r="Q404" s="373"/>
      <x:c r="R404" s="373"/>
      <x:c r="S404" s="373"/>
      <x:c r="T404" s="373"/>
      <x:c r="U404" s="373"/>
      <x:c r="V404" s="373"/>
      <x:c r="W404" s="373"/>
      <x:c r="X404" s="373"/>
      <x:c r="Y404" s="373"/>
      <x:c r="Z404" s="373"/>
    </x:row>
    <x:row r="405">
      <x:c r="A405" s="373"/>
      <x:c r="B405" s="373"/>
      <x:c r="C405" s="373"/>
      <x:c r="D405" s="373"/>
      <x:c r="E405" s="373"/>
      <x:c r="F405" s="373"/>
      <x:c r="G405" s="373"/>
      <x:c r="H405" s="373"/>
      <x:c r="I405" s="373"/>
      <x:c r="J405" s="373"/>
      <x:c r="K405" s="373"/>
      <x:c r="L405" s="373"/>
      <x:c r="M405" s="373"/>
      <x:c r="N405" s="373"/>
      <x:c r="O405" s="373"/>
      <x:c r="P405" s="373"/>
      <x:c r="Q405" s="373"/>
      <x:c r="R405" s="373"/>
      <x:c r="S405" s="373"/>
      <x:c r="T405" s="373"/>
      <x:c r="U405" s="373"/>
      <x:c r="V405" s="373"/>
      <x:c r="W405" s="373"/>
      <x:c r="X405" s="373"/>
      <x:c r="Y405" s="373"/>
      <x:c r="Z405" s="373"/>
    </x:row>
    <x:row r="406">
      <x:c r="A406" s="373"/>
      <x:c r="B406" s="373"/>
      <x:c r="C406" s="373"/>
      <x:c r="D406" s="373"/>
      <x:c r="E406" s="373"/>
      <x:c r="F406" s="373"/>
      <x:c r="G406" s="373"/>
      <x:c r="H406" s="373"/>
      <x:c r="I406" s="373"/>
      <x:c r="J406" s="373"/>
      <x:c r="K406" s="373"/>
      <x:c r="L406" s="373"/>
      <x:c r="M406" s="373"/>
      <x:c r="N406" s="373"/>
      <x:c r="O406" s="373"/>
      <x:c r="P406" s="373"/>
      <x:c r="Q406" s="373"/>
      <x:c r="R406" s="373"/>
      <x:c r="S406" s="373"/>
      <x:c r="T406" s="373"/>
      <x:c r="U406" s="373"/>
      <x:c r="V406" s="373"/>
      <x:c r="W406" s="373"/>
      <x:c r="X406" s="373"/>
      <x:c r="Y406" s="373"/>
      <x:c r="Z406" s="373"/>
    </x:row>
    <x:row r="407">
      <x:c r="A407" s="373"/>
      <x:c r="B407" s="373"/>
      <x:c r="C407" s="373"/>
      <x:c r="D407" s="373"/>
      <x:c r="E407" s="373"/>
      <x:c r="F407" s="373"/>
      <x:c r="G407" s="373"/>
      <x:c r="H407" s="373"/>
      <x:c r="I407" s="373"/>
      <x:c r="J407" s="373"/>
      <x:c r="K407" s="373"/>
      <x:c r="L407" s="373"/>
      <x:c r="M407" s="373"/>
      <x:c r="N407" s="373"/>
      <x:c r="O407" s="373"/>
      <x:c r="P407" s="373"/>
      <x:c r="Q407" s="373"/>
      <x:c r="R407" s="373"/>
      <x:c r="S407" s="373"/>
      <x:c r="T407" s="373"/>
      <x:c r="U407" s="373"/>
      <x:c r="V407" s="373"/>
      <x:c r="W407" s="373"/>
      <x:c r="X407" s="373"/>
      <x:c r="Y407" s="373"/>
      <x:c r="Z407" s="373"/>
    </x:row>
    <x:row r="408">
      <x:c r="A408" s="373"/>
      <x:c r="B408" s="373"/>
      <x:c r="C408" s="373"/>
      <x:c r="D408" s="373"/>
      <x:c r="E408" s="373"/>
      <x:c r="F408" s="373"/>
      <x:c r="G408" s="373"/>
      <x:c r="H408" s="373"/>
      <x:c r="I408" s="373"/>
      <x:c r="J408" s="373"/>
      <x:c r="K408" s="373"/>
      <x:c r="L408" s="373"/>
      <x:c r="M408" s="373"/>
      <x:c r="N408" s="373"/>
      <x:c r="O408" s="373"/>
      <x:c r="P408" s="373"/>
      <x:c r="Q408" s="373"/>
      <x:c r="R408" s="373"/>
      <x:c r="S408" s="373"/>
      <x:c r="T408" s="373"/>
      <x:c r="U408" s="373"/>
      <x:c r="V408" s="373"/>
      <x:c r="W408" s="373"/>
      <x:c r="X408" s="373"/>
      <x:c r="Y408" s="373"/>
      <x:c r="Z408" s="373"/>
    </x:row>
    <x:row r="409">
      <x:c r="A409" s="373"/>
      <x:c r="B409" s="373"/>
      <x:c r="C409" s="373"/>
      <x:c r="D409" s="373"/>
      <x:c r="E409" s="373"/>
      <x:c r="F409" s="373"/>
      <x:c r="G409" s="373"/>
      <x:c r="H409" s="373"/>
      <x:c r="I409" s="373"/>
      <x:c r="J409" s="373"/>
      <x:c r="K409" s="373"/>
      <x:c r="L409" s="373"/>
      <x:c r="M409" s="373"/>
      <x:c r="N409" s="373"/>
      <x:c r="O409" s="373"/>
      <x:c r="P409" s="373"/>
      <x:c r="Q409" s="373"/>
      <x:c r="R409" s="373"/>
      <x:c r="S409" s="373"/>
      <x:c r="T409" s="373"/>
      <x:c r="U409" s="373"/>
      <x:c r="V409" s="373"/>
      <x:c r="W409" s="373"/>
      <x:c r="X409" s="373"/>
      <x:c r="Y409" s="373"/>
      <x:c r="Z409" s="373"/>
    </x:row>
    <x:row r="410">
      <x:c r="A410" s="373"/>
      <x:c r="B410" s="373"/>
      <x:c r="C410" s="373"/>
      <x:c r="D410" s="373"/>
      <x:c r="E410" s="373"/>
      <x:c r="F410" s="373"/>
      <x:c r="G410" s="373"/>
      <x:c r="H410" s="373"/>
      <x:c r="I410" s="373"/>
      <x:c r="J410" s="373"/>
      <x:c r="K410" s="373"/>
      <x:c r="L410" s="373"/>
      <x:c r="M410" s="373"/>
      <x:c r="N410" s="373"/>
      <x:c r="O410" s="373"/>
      <x:c r="P410" s="373"/>
      <x:c r="Q410" s="373"/>
      <x:c r="R410" s="373"/>
      <x:c r="S410" s="373"/>
      <x:c r="T410" s="373"/>
      <x:c r="U410" s="373"/>
      <x:c r="V410" s="373"/>
      <x:c r="W410" s="373"/>
      <x:c r="X410" s="373"/>
      <x:c r="Y410" s="373"/>
      <x:c r="Z410" s="373"/>
    </x:row>
    <x:row r="411">
      <x:c r="A411" s="373"/>
      <x:c r="B411" s="373"/>
      <x:c r="C411" s="373"/>
      <x:c r="D411" s="373"/>
      <x:c r="E411" s="373"/>
      <x:c r="F411" s="373"/>
      <x:c r="G411" s="373"/>
      <x:c r="H411" s="373"/>
      <x:c r="I411" s="373"/>
      <x:c r="J411" s="373"/>
      <x:c r="K411" s="373"/>
      <x:c r="L411" s="373"/>
      <x:c r="M411" s="373"/>
      <x:c r="N411" s="373"/>
      <x:c r="O411" s="373"/>
      <x:c r="P411" s="373"/>
      <x:c r="Q411" s="373"/>
      <x:c r="R411" s="373"/>
      <x:c r="S411" s="373"/>
      <x:c r="T411" s="373"/>
      <x:c r="U411" s="373"/>
      <x:c r="V411" s="373"/>
      <x:c r="W411" s="373"/>
      <x:c r="X411" s="373"/>
      <x:c r="Y411" s="373"/>
      <x:c r="Z411" s="373"/>
    </x:row>
    <x:row r="412">
      <x:c r="A412" s="373"/>
      <x:c r="B412" s="373"/>
      <x:c r="C412" s="373"/>
      <x:c r="D412" s="373"/>
      <x:c r="E412" s="373"/>
      <x:c r="F412" s="373"/>
      <x:c r="G412" s="373"/>
      <x:c r="H412" s="373"/>
      <x:c r="I412" s="373"/>
      <x:c r="J412" s="373"/>
      <x:c r="K412" s="373"/>
      <x:c r="L412" s="373"/>
      <x:c r="M412" s="373"/>
      <x:c r="N412" s="373"/>
      <x:c r="O412" s="373"/>
      <x:c r="P412" s="373"/>
      <x:c r="Q412" s="373"/>
      <x:c r="R412" s="373"/>
      <x:c r="S412" s="373"/>
      <x:c r="T412" s="373"/>
      <x:c r="U412" s="373"/>
      <x:c r="V412" s="373"/>
      <x:c r="W412" s="373"/>
      <x:c r="X412" s="373"/>
      <x:c r="Y412" s="373"/>
      <x:c r="Z412" s="373"/>
    </x:row>
    <x:row r="413">
      <x:c r="A413" s="373"/>
      <x:c r="B413" s="373"/>
      <x:c r="C413" s="373"/>
      <x:c r="D413" s="373"/>
      <x:c r="E413" s="373"/>
      <x:c r="F413" s="373"/>
      <x:c r="G413" s="373"/>
      <x:c r="H413" s="373"/>
      <x:c r="I413" s="373"/>
      <x:c r="J413" s="373"/>
      <x:c r="K413" s="373"/>
      <x:c r="L413" s="373"/>
      <x:c r="M413" s="373"/>
      <x:c r="N413" s="373"/>
      <x:c r="O413" s="373"/>
      <x:c r="P413" s="373"/>
      <x:c r="Q413" s="373"/>
      <x:c r="R413" s="373"/>
      <x:c r="S413" s="373"/>
      <x:c r="T413" s="373"/>
      <x:c r="U413" s="373"/>
      <x:c r="V413" s="373"/>
      <x:c r="W413" s="373"/>
      <x:c r="X413" s="373"/>
      <x:c r="Y413" s="373"/>
      <x:c r="Z413" s="373"/>
    </x:row>
    <x:row r="414">
      <x:c r="A414" s="373"/>
      <x:c r="B414" s="373"/>
      <x:c r="C414" s="373"/>
      <x:c r="D414" s="373"/>
      <x:c r="E414" s="373"/>
      <x:c r="F414" s="373"/>
      <x:c r="G414" s="373"/>
      <x:c r="H414" s="373"/>
      <x:c r="I414" s="373"/>
      <x:c r="J414" s="373"/>
      <x:c r="K414" s="373"/>
      <x:c r="L414" s="373"/>
      <x:c r="M414" s="373"/>
      <x:c r="N414" s="373"/>
      <x:c r="O414" s="373"/>
      <x:c r="P414" s="373"/>
      <x:c r="Q414" s="373"/>
      <x:c r="R414" s="373"/>
      <x:c r="S414" s="373"/>
      <x:c r="T414" s="373"/>
      <x:c r="U414" s="373"/>
      <x:c r="V414" s="373"/>
      <x:c r="W414" s="373"/>
      <x:c r="X414" s="373"/>
      <x:c r="Y414" s="373"/>
      <x:c r="Z414" s="373"/>
    </x:row>
    <x:row r="415">
      <x:c r="A415" s="373"/>
      <x:c r="B415" s="373"/>
      <x:c r="C415" s="373"/>
      <x:c r="D415" s="373"/>
      <x:c r="E415" s="373"/>
      <x:c r="F415" s="373"/>
      <x:c r="G415" s="373"/>
      <x:c r="H415" s="373"/>
      <x:c r="I415" s="373"/>
      <x:c r="J415" s="373"/>
      <x:c r="K415" s="373"/>
      <x:c r="L415" s="373"/>
      <x:c r="M415" s="373"/>
      <x:c r="N415" s="373"/>
      <x:c r="O415" s="373"/>
      <x:c r="P415" s="373"/>
      <x:c r="Q415" s="373"/>
      <x:c r="R415" s="373"/>
      <x:c r="S415" s="373"/>
      <x:c r="T415" s="373"/>
      <x:c r="U415" s="373"/>
      <x:c r="V415" s="373"/>
      <x:c r="W415" s="373"/>
      <x:c r="X415" s="373"/>
      <x:c r="Y415" s="373"/>
      <x:c r="Z415" s="373"/>
    </x:row>
    <x:row r="416">
      <x:c r="A416" s="373"/>
      <x:c r="B416" s="373"/>
      <x:c r="C416" s="373"/>
      <x:c r="D416" s="373"/>
      <x:c r="E416" s="373"/>
      <x:c r="F416" s="373"/>
      <x:c r="G416" s="373"/>
      <x:c r="H416" s="373"/>
      <x:c r="I416" s="373"/>
      <x:c r="J416" s="373"/>
      <x:c r="K416" s="373"/>
      <x:c r="L416" s="373"/>
      <x:c r="M416" s="373"/>
      <x:c r="N416" s="373"/>
      <x:c r="O416" s="373"/>
      <x:c r="P416" s="373"/>
      <x:c r="Q416" s="373"/>
      <x:c r="R416" s="373"/>
      <x:c r="S416" s="373"/>
      <x:c r="T416" s="373"/>
      <x:c r="U416" s="373"/>
      <x:c r="V416" s="373"/>
      <x:c r="W416" s="373"/>
      <x:c r="X416" s="373"/>
      <x:c r="Y416" s="373"/>
      <x:c r="Z416" s="373"/>
    </x:row>
    <x:row r="417">
      <x:c r="A417" s="373"/>
      <x:c r="B417" s="373"/>
      <x:c r="C417" s="373"/>
      <x:c r="D417" s="373"/>
      <x:c r="E417" s="373"/>
      <x:c r="F417" s="373"/>
      <x:c r="G417" s="373"/>
      <x:c r="H417" s="373"/>
      <x:c r="I417" s="373"/>
      <x:c r="J417" s="373"/>
      <x:c r="K417" s="373"/>
      <x:c r="L417" s="373"/>
      <x:c r="M417" s="373"/>
      <x:c r="N417" s="373"/>
      <x:c r="O417" s="373"/>
      <x:c r="P417" s="373"/>
      <x:c r="Q417" s="373"/>
      <x:c r="R417" s="373"/>
      <x:c r="S417" s="373"/>
      <x:c r="T417" s="373"/>
      <x:c r="U417" s="373"/>
      <x:c r="V417" s="373"/>
      <x:c r="W417" s="373"/>
      <x:c r="X417" s="373"/>
      <x:c r="Y417" s="373"/>
      <x:c r="Z417" s="373"/>
    </x:row>
    <x:row r="418">
      <x:c r="A418" s="373"/>
      <x:c r="B418" s="373"/>
      <x:c r="C418" s="373"/>
      <x:c r="D418" s="373"/>
      <x:c r="E418" s="373"/>
      <x:c r="F418" s="373"/>
      <x:c r="G418" s="373"/>
      <x:c r="H418" s="373"/>
      <x:c r="I418" s="373"/>
      <x:c r="J418" s="373"/>
      <x:c r="K418" s="373"/>
      <x:c r="L418" s="373"/>
      <x:c r="M418" s="373"/>
      <x:c r="N418" s="373"/>
      <x:c r="O418" s="373"/>
      <x:c r="P418" s="373"/>
      <x:c r="Q418" s="373"/>
      <x:c r="R418" s="373"/>
      <x:c r="S418" s="373"/>
      <x:c r="T418" s="373"/>
      <x:c r="U418" s="373"/>
      <x:c r="V418" s="373"/>
      <x:c r="W418" s="373"/>
      <x:c r="X418" s="373"/>
      <x:c r="Y418" s="373"/>
      <x:c r="Z418" s="373"/>
    </x:row>
    <x:row r="419">
      <x:c r="A419" s="373"/>
      <x:c r="B419" s="373"/>
      <x:c r="C419" s="373"/>
      <x:c r="D419" s="373"/>
      <x:c r="E419" s="373"/>
      <x:c r="F419" s="373"/>
      <x:c r="G419" s="373"/>
      <x:c r="H419" s="373"/>
      <x:c r="I419" s="373"/>
      <x:c r="J419" s="373"/>
      <x:c r="K419" s="373"/>
      <x:c r="L419" s="373"/>
      <x:c r="M419" s="373"/>
      <x:c r="N419" s="373"/>
      <x:c r="O419" s="373"/>
      <x:c r="P419" s="373"/>
      <x:c r="Q419" s="373"/>
      <x:c r="R419" s="373"/>
      <x:c r="S419" s="373"/>
      <x:c r="T419" s="373"/>
      <x:c r="U419" s="373"/>
      <x:c r="V419" s="373"/>
      <x:c r="W419" s="373"/>
      <x:c r="X419" s="373"/>
      <x:c r="Y419" s="373"/>
      <x:c r="Z419" s="373"/>
    </x:row>
    <x:row r="420">
      <x:c r="A420" s="373"/>
      <x:c r="B420" s="373"/>
      <x:c r="C420" s="373"/>
      <x:c r="D420" s="373"/>
      <x:c r="E420" s="373"/>
      <x:c r="F420" s="373"/>
      <x:c r="G420" s="373"/>
      <x:c r="H420" s="373"/>
      <x:c r="I420" s="373"/>
      <x:c r="J420" s="373"/>
      <x:c r="K420" s="373"/>
      <x:c r="L420" s="373"/>
      <x:c r="M420" s="373"/>
      <x:c r="N420" s="373"/>
      <x:c r="O420" s="373"/>
      <x:c r="P420" s="373"/>
      <x:c r="Q420" s="373"/>
      <x:c r="R420" s="373"/>
      <x:c r="S420" s="373"/>
      <x:c r="T420" s="373"/>
      <x:c r="U420" s="373"/>
      <x:c r="V420" s="373"/>
      <x:c r="W420" s="373"/>
      <x:c r="X420" s="373"/>
      <x:c r="Y420" s="373"/>
      <x:c r="Z420" s="373"/>
    </x:row>
    <x:row r="421">
      <x:c r="A421" s="373"/>
      <x:c r="B421" s="373"/>
      <x:c r="C421" s="373"/>
      <x:c r="D421" s="373"/>
      <x:c r="E421" s="373"/>
      <x:c r="F421" s="373"/>
      <x:c r="G421" s="373"/>
      <x:c r="H421" s="373"/>
      <x:c r="I421" s="373"/>
      <x:c r="J421" s="373"/>
      <x:c r="K421" s="373"/>
      <x:c r="L421" s="373"/>
      <x:c r="M421" s="373"/>
      <x:c r="N421" s="373"/>
      <x:c r="O421" s="373"/>
      <x:c r="P421" s="373"/>
      <x:c r="Q421" s="373"/>
      <x:c r="R421" s="373"/>
      <x:c r="S421" s="373"/>
      <x:c r="T421" s="373"/>
      <x:c r="U421" s="373"/>
      <x:c r="V421" s="373"/>
      <x:c r="W421" s="373"/>
      <x:c r="X421" s="373"/>
      <x:c r="Y421" s="373"/>
      <x:c r="Z421" s="373"/>
    </x:row>
    <x:row r="422">
      <x:c r="A422" s="373"/>
      <x:c r="B422" s="373"/>
      <x:c r="C422" s="373"/>
      <x:c r="D422" s="373"/>
      <x:c r="E422" s="373"/>
      <x:c r="F422" s="373"/>
      <x:c r="G422" s="373"/>
      <x:c r="H422" s="373"/>
      <x:c r="I422" s="373"/>
      <x:c r="J422" s="373"/>
      <x:c r="K422" s="373"/>
      <x:c r="L422" s="373"/>
      <x:c r="M422" s="373"/>
      <x:c r="N422" s="373"/>
      <x:c r="O422" s="373"/>
      <x:c r="P422" s="373"/>
      <x:c r="Q422" s="373"/>
      <x:c r="R422" s="373"/>
      <x:c r="S422" s="373"/>
      <x:c r="T422" s="373"/>
      <x:c r="U422" s="373"/>
      <x:c r="V422" s="373"/>
      <x:c r="W422" s="373"/>
      <x:c r="X422" s="373"/>
      <x:c r="Y422" s="373"/>
      <x:c r="Z422" s="373"/>
    </x:row>
    <x:row r="423">
      <x:c r="A423" s="373"/>
      <x:c r="B423" s="373"/>
      <x:c r="C423" s="373"/>
      <x:c r="D423" s="373"/>
      <x:c r="E423" s="373"/>
      <x:c r="F423" s="373"/>
      <x:c r="G423" s="373"/>
      <x:c r="H423" s="373"/>
      <x:c r="I423" s="373"/>
      <x:c r="J423" s="373"/>
      <x:c r="K423" s="373"/>
      <x:c r="L423" s="373"/>
      <x:c r="M423" s="373"/>
      <x:c r="N423" s="373"/>
      <x:c r="O423" s="373"/>
      <x:c r="P423" s="373"/>
      <x:c r="Q423" s="373"/>
      <x:c r="R423" s="373"/>
      <x:c r="S423" s="373"/>
      <x:c r="T423" s="373"/>
      <x:c r="U423" s="373"/>
      <x:c r="V423" s="373"/>
      <x:c r="W423" s="373"/>
      <x:c r="X423" s="373"/>
      <x:c r="Y423" s="373"/>
      <x:c r="Z423" s="373"/>
    </x:row>
    <x:row r="424">
      <x:c r="A424" s="373"/>
      <x:c r="B424" s="373"/>
      <x:c r="C424" s="373"/>
      <x:c r="D424" s="373"/>
      <x:c r="E424" s="373"/>
      <x:c r="F424" s="373"/>
      <x:c r="G424" s="373"/>
      <x:c r="H424" s="373"/>
      <x:c r="I424" s="373"/>
      <x:c r="J424" s="373"/>
      <x:c r="K424" s="373"/>
      <x:c r="L424" s="373"/>
      <x:c r="M424" s="373"/>
      <x:c r="N424" s="373"/>
      <x:c r="O424" s="373"/>
      <x:c r="P424" s="373"/>
      <x:c r="Q424" s="373"/>
      <x:c r="R424" s="373"/>
      <x:c r="S424" s="373"/>
      <x:c r="T424" s="373"/>
      <x:c r="U424" s="373"/>
      <x:c r="V424" s="373"/>
      <x:c r="W424" s="373"/>
      <x:c r="X424" s="373"/>
      <x:c r="Y424" s="373"/>
      <x:c r="Z424" s="373"/>
    </x:row>
    <x:row r="425">
      <x:c r="A425" s="373"/>
      <x:c r="B425" s="373"/>
      <x:c r="C425" s="373"/>
      <x:c r="D425" s="373"/>
      <x:c r="E425" s="373"/>
      <x:c r="F425" s="373"/>
      <x:c r="G425" s="373"/>
      <x:c r="H425" s="373"/>
      <x:c r="I425" s="373"/>
      <x:c r="J425" s="373"/>
      <x:c r="K425" s="373"/>
      <x:c r="L425" s="373"/>
      <x:c r="M425" s="373"/>
      <x:c r="N425" s="373"/>
      <x:c r="O425" s="373"/>
      <x:c r="P425" s="373"/>
      <x:c r="Q425" s="373"/>
      <x:c r="R425" s="373"/>
      <x:c r="S425" s="373"/>
      <x:c r="T425" s="373"/>
      <x:c r="U425" s="373"/>
      <x:c r="V425" s="373"/>
      <x:c r="W425" s="373"/>
      <x:c r="X425" s="373"/>
      <x:c r="Y425" s="373"/>
      <x:c r="Z425" s="373"/>
    </x:row>
    <x:row r="426">
      <x:c r="A426" s="373"/>
      <x:c r="B426" s="373"/>
      <x:c r="C426" s="373"/>
      <x:c r="D426" s="373"/>
      <x:c r="E426" s="373"/>
      <x:c r="F426" s="373"/>
      <x:c r="G426" s="373"/>
      <x:c r="H426" s="373"/>
      <x:c r="I426" s="373"/>
      <x:c r="J426" s="373"/>
      <x:c r="K426" s="373"/>
      <x:c r="L426" s="373"/>
      <x:c r="M426" s="373"/>
      <x:c r="N426" s="373"/>
      <x:c r="O426" s="373"/>
      <x:c r="P426" s="373"/>
      <x:c r="Q426" s="373"/>
      <x:c r="R426" s="373"/>
      <x:c r="S426" s="373"/>
      <x:c r="T426" s="373"/>
      <x:c r="U426" s="373"/>
      <x:c r="V426" s="373"/>
      <x:c r="W426" s="373"/>
      <x:c r="X426" s="373"/>
      <x:c r="Y426" s="373"/>
      <x:c r="Z426" s="373"/>
    </x:row>
    <x:row r="427">
      <x:c r="A427" s="373"/>
      <x:c r="B427" s="373"/>
      <x:c r="C427" s="373"/>
      <x:c r="D427" s="373"/>
      <x:c r="E427" s="373"/>
      <x:c r="F427" s="373"/>
      <x:c r="G427" s="373"/>
      <x:c r="H427" s="373"/>
      <x:c r="I427" s="373"/>
      <x:c r="J427" s="373"/>
      <x:c r="K427" s="373"/>
      <x:c r="L427" s="373"/>
      <x:c r="M427" s="373"/>
      <x:c r="N427" s="373"/>
      <x:c r="O427" s="373"/>
      <x:c r="P427" s="373"/>
      <x:c r="Q427" s="373"/>
      <x:c r="R427" s="373"/>
      <x:c r="S427" s="373"/>
      <x:c r="T427" s="373"/>
      <x:c r="U427" s="373"/>
      <x:c r="V427" s="373"/>
      <x:c r="W427" s="373"/>
      <x:c r="X427" s="373"/>
      <x:c r="Y427" s="373"/>
      <x:c r="Z427" s="373"/>
    </x:row>
    <x:row r="428">
      <x:c r="A428" s="373"/>
      <x:c r="B428" s="373"/>
      <x:c r="C428" s="373"/>
      <x:c r="D428" s="373"/>
      <x:c r="E428" s="373"/>
      <x:c r="F428" s="373"/>
      <x:c r="G428" s="373"/>
      <x:c r="H428" s="373"/>
      <x:c r="I428" s="373"/>
      <x:c r="J428" s="373"/>
      <x:c r="K428" s="373"/>
      <x:c r="L428" s="373"/>
      <x:c r="M428" s="373"/>
      <x:c r="N428" s="373"/>
      <x:c r="O428" s="373"/>
      <x:c r="P428" s="373"/>
      <x:c r="Q428" s="373"/>
      <x:c r="R428" s="373"/>
      <x:c r="S428" s="373"/>
      <x:c r="T428" s="373"/>
      <x:c r="U428" s="373"/>
      <x:c r="V428" s="373"/>
      <x:c r="W428" s="373"/>
      <x:c r="X428" s="373"/>
      <x:c r="Y428" s="373"/>
      <x:c r="Z428" s="373"/>
    </x:row>
    <x:row r="429">
      <x:c r="A429" s="373"/>
      <x:c r="B429" s="373"/>
      <x:c r="C429" s="373"/>
      <x:c r="D429" s="373"/>
      <x:c r="E429" s="373"/>
      <x:c r="F429" s="373"/>
      <x:c r="G429" s="373"/>
      <x:c r="H429" s="373"/>
      <x:c r="I429" s="373"/>
      <x:c r="J429" s="373"/>
      <x:c r="K429" s="373"/>
      <x:c r="L429" s="373"/>
      <x:c r="M429" s="373"/>
      <x:c r="N429" s="373"/>
      <x:c r="O429" s="373"/>
      <x:c r="P429" s="373"/>
      <x:c r="Q429" s="373"/>
      <x:c r="R429" s="373"/>
      <x:c r="S429" s="373"/>
      <x:c r="T429" s="373"/>
      <x:c r="U429" s="373"/>
      <x:c r="V429" s="373"/>
      <x:c r="W429" s="373"/>
      <x:c r="X429" s="373"/>
      <x:c r="Y429" s="373"/>
      <x:c r="Z429" s="373"/>
    </x:row>
    <x:row r="430">
      <x:c r="A430" s="373"/>
      <x:c r="B430" s="373"/>
      <x:c r="C430" s="373"/>
      <x:c r="D430" s="373"/>
      <x:c r="E430" s="373"/>
      <x:c r="F430" s="373"/>
      <x:c r="G430" s="373"/>
      <x:c r="H430" s="373"/>
      <x:c r="I430" s="373"/>
      <x:c r="J430" s="373"/>
      <x:c r="K430" s="373"/>
      <x:c r="L430" s="373"/>
      <x:c r="M430" s="373"/>
      <x:c r="N430" s="373"/>
      <x:c r="O430" s="373"/>
      <x:c r="P430" s="373"/>
      <x:c r="Q430" s="373"/>
      <x:c r="R430" s="373"/>
      <x:c r="S430" s="373"/>
      <x:c r="T430" s="373"/>
      <x:c r="U430" s="373"/>
      <x:c r="V430" s="373"/>
      <x:c r="W430" s="373"/>
      <x:c r="X430" s="373"/>
      <x:c r="Y430" s="373"/>
      <x:c r="Z430" s="373"/>
    </x:row>
    <x:row r="431">
      <x:c r="A431" s="373"/>
      <x:c r="B431" s="373"/>
      <x:c r="C431" s="373"/>
      <x:c r="D431" s="373"/>
      <x:c r="E431" s="373"/>
      <x:c r="F431" s="373"/>
      <x:c r="G431" s="373"/>
      <x:c r="H431" s="373"/>
      <x:c r="I431" s="373"/>
      <x:c r="J431" s="373"/>
      <x:c r="K431" s="373"/>
      <x:c r="L431" s="373"/>
      <x:c r="M431" s="373"/>
      <x:c r="N431" s="373"/>
      <x:c r="O431" s="373"/>
      <x:c r="P431" s="373"/>
      <x:c r="Q431" s="373"/>
      <x:c r="R431" s="373"/>
      <x:c r="S431" s="373"/>
      <x:c r="T431" s="373"/>
      <x:c r="U431" s="373"/>
      <x:c r="V431" s="373"/>
      <x:c r="W431" s="373"/>
      <x:c r="X431" s="373"/>
      <x:c r="Y431" s="373"/>
      <x:c r="Z431" s="373"/>
    </x:row>
    <x:row r="432">
      <x:c r="A432" s="373"/>
      <x:c r="B432" s="373"/>
      <x:c r="C432" s="373"/>
      <x:c r="D432" s="373"/>
      <x:c r="E432" s="373"/>
      <x:c r="F432" s="373"/>
      <x:c r="G432" s="373"/>
      <x:c r="H432" s="373"/>
      <x:c r="I432" s="373"/>
      <x:c r="J432" s="373"/>
      <x:c r="K432" s="373"/>
      <x:c r="L432" s="373"/>
      <x:c r="M432" s="373"/>
      <x:c r="N432" s="373"/>
      <x:c r="O432" s="373"/>
      <x:c r="P432" s="373"/>
      <x:c r="Q432" s="373"/>
      <x:c r="R432" s="373"/>
      <x:c r="S432" s="373"/>
      <x:c r="T432" s="373"/>
      <x:c r="U432" s="373"/>
      <x:c r="V432" s="373"/>
      <x:c r="W432" s="373"/>
      <x:c r="X432" s="373"/>
      <x:c r="Y432" s="373"/>
      <x:c r="Z432" s="373"/>
    </x:row>
    <x:row r="433">
      <x:c r="A433" s="373"/>
      <x:c r="B433" s="373"/>
      <x:c r="C433" s="373"/>
      <x:c r="D433" s="373"/>
      <x:c r="E433" s="373"/>
      <x:c r="F433" s="373"/>
      <x:c r="G433" s="373"/>
      <x:c r="H433" s="373"/>
      <x:c r="I433" s="373"/>
      <x:c r="J433" s="373"/>
      <x:c r="K433" s="373"/>
      <x:c r="L433" s="373"/>
      <x:c r="M433" s="373"/>
      <x:c r="N433" s="373"/>
      <x:c r="O433" s="373"/>
      <x:c r="P433" s="373"/>
      <x:c r="Q433" s="373"/>
      <x:c r="R433" s="373"/>
      <x:c r="S433" s="373"/>
      <x:c r="T433" s="373"/>
      <x:c r="U433" s="373"/>
      <x:c r="V433" s="373"/>
      <x:c r="W433" s="373"/>
      <x:c r="X433" s="373"/>
      <x:c r="Y433" s="373"/>
      <x:c r="Z433" s="373"/>
    </x:row>
    <x:row r="434">
      <x:c r="A434" s="373"/>
      <x:c r="B434" s="373"/>
      <x:c r="C434" s="373"/>
      <x:c r="D434" s="373"/>
      <x:c r="E434" s="373"/>
      <x:c r="F434" s="373"/>
      <x:c r="G434" s="373"/>
      <x:c r="H434" s="373"/>
      <x:c r="I434" s="373"/>
      <x:c r="J434" s="373"/>
      <x:c r="K434" s="373"/>
      <x:c r="L434" s="373"/>
      <x:c r="M434" s="373"/>
      <x:c r="N434" s="373"/>
      <x:c r="O434" s="373"/>
      <x:c r="P434" s="373"/>
      <x:c r="Q434" s="373"/>
      <x:c r="R434" s="373"/>
      <x:c r="S434" s="373"/>
      <x:c r="T434" s="373"/>
      <x:c r="U434" s="373"/>
      <x:c r="V434" s="373"/>
      <x:c r="W434" s="373"/>
      <x:c r="X434" s="373"/>
      <x:c r="Y434" s="373"/>
      <x:c r="Z434" s="373"/>
    </x:row>
    <x:row r="435">
      <x:c r="A435" s="373"/>
      <x:c r="B435" s="373"/>
      <x:c r="C435" s="373"/>
      <x:c r="D435" s="373"/>
      <x:c r="E435" s="373"/>
      <x:c r="F435" s="373"/>
      <x:c r="G435" s="373"/>
      <x:c r="H435" s="373"/>
      <x:c r="I435" s="373"/>
      <x:c r="J435" s="373"/>
      <x:c r="K435" s="373"/>
      <x:c r="L435" s="373"/>
      <x:c r="M435" s="373"/>
      <x:c r="N435" s="373"/>
      <x:c r="O435" s="373"/>
      <x:c r="P435" s="373"/>
      <x:c r="Q435" s="373"/>
      <x:c r="R435" s="373"/>
      <x:c r="S435" s="373"/>
      <x:c r="T435" s="373"/>
      <x:c r="U435" s="373"/>
      <x:c r="V435" s="373"/>
      <x:c r="W435" s="373"/>
      <x:c r="X435" s="373"/>
      <x:c r="Y435" s="373"/>
      <x:c r="Z435" s="373"/>
    </x:row>
    <x:row r="436">
      <x:c r="A436" s="373"/>
      <x:c r="B436" s="373"/>
      <x:c r="C436" s="373"/>
      <x:c r="D436" s="373"/>
      <x:c r="E436" s="373"/>
      <x:c r="F436" s="373"/>
      <x:c r="G436" s="373"/>
      <x:c r="H436" s="373"/>
      <x:c r="I436" s="373"/>
      <x:c r="J436" s="373"/>
      <x:c r="K436" s="373"/>
      <x:c r="L436" s="373"/>
      <x:c r="M436" s="373"/>
      <x:c r="N436" s="373"/>
      <x:c r="O436" s="373"/>
      <x:c r="P436" s="373"/>
      <x:c r="Q436" s="373"/>
      <x:c r="R436" s="373"/>
      <x:c r="S436" s="373"/>
      <x:c r="T436" s="373"/>
      <x:c r="U436" s="373"/>
      <x:c r="V436" s="373"/>
      <x:c r="W436" s="373"/>
      <x:c r="X436" s="373"/>
      <x:c r="Y436" s="373"/>
      <x:c r="Z436" s="373"/>
    </x:row>
    <x:row r="437">
      <x:c r="A437" s="373"/>
      <x:c r="B437" s="373"/>
      <x:c r="C437" s="373"/>
      <x:c r="D437" s="373"/>
      <x:c r="E437" s="373"/>
      <x:c r="F437" s="373"/>
      <x:c r="G437" s="373"/>
      <x:c r="H437" s="373"/>
      <x:c r="I437" s="373"/>
      <x:c r="J437" s="373"/>
      <x:c r="K437" s="373"/>
      <x:c r="L437" s="373"/>
      <x:c r="M437" s="373"/>
      <x:c r="N437" s="373"/>
      <x:c r="O437" s="373"/>
      <x:c r="P437" s="373"/>
      <x:c r="Q437" s="373"/>
      <x:c r="R437" s="373"/>
      <x:c r="S437" s="373"/>
      <x:c r="T437" s="373"/>
      <x:c r="U437" s="373"/>
      <x:c r="V437" s="373"/>
      <x:c r="W437" s="373"/>
      <x:c r="X437" s="373"/>
      <x:c r="Y437" s="373"/>
      <x:c r="Z437" s="373"/>
    </x:row>
    <x:row r="438">
      <x:c r="A438" s="373"/>
      <x:c r="B438" s="373"/>
      <x:c r="C438" s="373"/>
      <x:c r="D438" s="373"/>
      <x:c r="E438" s="373"/>
      <x:c r="F438" s="373"/>
      <x:c r="G438" s="373"/>
      <x:c r="H438" s="373"/>
      <x:c r="I438" s="373"/>
      <x:c r="J438" s="373"/>
      <x:c r="K438" s="373"/>
      <x:c r="L438" s="373"/>
      <x:c r="M438" s="373"/>
      <x:c r="N438" s="373"/>
      <x:c r="O438" s="373"/>
      <x:c r="P438" s="373"/>
      <x:c r="Q438" s="373"/>
      <x:c r="R438" s="373"/>
      <x:c r="S438" s="373"/>
      <x:c r="T438" s="373"/>
      <x:c r="U438" s="373"/>
      <x:c r="V438" s="373"/>
      <x:c r="W438" s="373"/>
      <x:c r="X438" s="373"/>
      <x:c r="Y438" s="373"/>
      <x:c r="Z438" s="373"/>
    </x:row>
    <x:row r="439">
      <x:c r="A439" s="373"/>
      <x:c r="B439" s="373"/>
      <x:c r="C439" s="373"/>
      <x:c r="D439" s="373"/>
      <x:c r="E439" s="373"/>
      <x:c r="F439" s="373"/>
      <x:c r="G439" s="373"/>
      <x:c r="H439" s="373"/>
      <x:c r="I439" s="373"/>
      <x:c r="J439" s="373"/>
      <x:c r="K439" s="373"/>
      <x:c r="L439" s="373"/>
      <x:c r="M439" s="373"/>
      <x:c r="N439" s="373"/>
      <x:c r="O439" s="373"/>
      <x:c r="P439" s="373"/>
      <x:c r="Q439" s="373"/>
      <x:c r="R439" s="373"/>
      <x:c r="S439" s="373"/>
      <x:c r="T439" s="373"/>
      <x:c r="U439" s="373"/>
      <x:c r="V439" s="373"/>
      <x:c r="W439" s="373"/>
      <x:c r="X439" s="373"/>
      <x:c r="Y439" s="373"/>
      <x:c r="Z439" s="373"/>
    </x:row>
    <x:row r="440">
      <x:c r="A440" s="373"/>
      <x:c r="B440" s="373"/>
      <x:c r="C440" s="373"/>
      <x:c r="D440" s="373"/>
      <x:c r="E440" s="373"/>
      <x:c r="F440" s="373"/>
      <x:c r="G440" s="373"/>
      <x:c r="H440" s="373"/>
      <x:c r="I440" s="373"/>
      <x:c r="J440" s="373"/>
      <x:c r="K440" s="373"/>
      <x:c r="L440" s="373"/>
      <x:c r="M440" s="373"/>
      <x:c r="N440" s="373"/>
      <x:c r="O440" s="373"/>
      <x:c r="P440" s="373"/>
      <x:c r="Q440" s="373"/>
      <x:c r="R440" s="373"/>
      <x:c r="S440" s="373"/>
      <x:c r="T440" s="373"/>
      <x:c r="U440" s="373"/>
      <x:c r="V440" s="373"/>
      <x:c r="W440" s="373"/>
      <x:c r="X440" s="373"/>
      <x:c r="Y440" s="373"/>
      <x:c r="Z440" s="373"/>
    </x:row>
    <x:row r="441">
      <x:c r="A441" s="373"/>
      <x:c r="B441" s="373"/>
      <x:c r="C441" s="373"/>
      <x:c r="D441" s="373"/>
      <x:c r="E441" s="373"/>
      <x:c r="F441" s="373"/>
      <x:c r="G441" s="373"/>
      <x:c r="H441" s="373"/>
      <x:c r="I441" s="373"/>
      <x:c r="J441" s="373"/>
      <x:c r="K441" s="373"/>
      <x:c r="L441" s="373"/>
      <x:c r="M441" s="373"/>
      <x:c r="N441" s="373"/>
      <x:c r="O441" s="373"/>
      <x:c r="P441" s="373"/>
      <x:c r="Q441" s="373"/>
      <x:c r="R441" s="373"/>
      <x:c r="S441" s="373"/>
      <x:c r="T441" s="373"/>
      <x:c r="U441" s="373"/>
      <x:c r="V441" s="373"/>
      <x:c r="W441" s="373"/>
      <x:c r="X441" s="373"/>
      <x:c r="Y441" s="373"/>
      <x:c r="Z441" s="373"/>
    </x:row>
    <x:row r="442">
      <x:c r="A442" s="373"/>
      <x:c r="B442" s="373"/>
      <x:c r="C442" s="373"/>
      <x:c r="D442" s="373"/>
      <x:c r="E442" s="373"/>
      <x:c r="F442" s="373"/>
      <x:c r="G442" s="373"/>
      <x:c r="H442" s="373"/>
      <x:c r="I442" s="373"/>
      <x:c r="J442" s="373"/>
      <x:c r="K442" s="373"/>
      <x:c r="L442" s="373"/>
      <x:c r="M442" s="373"/>
      <x:c r="N442" s="373"/>
      <x:c r="O442" s="373"/>
      <x:c r="P442" s="373"/>
      <x:c r="Q442" s="373"/>
      <x:c r="R442" s="373"/>
      <x:c r="S442" s="373"/>
      <x:c r="T442" s="373"/>
      <x:c r="U442" s="373"/>
      <x:c r="V442" s="373"/>
      <x:c r="W442" s="373"/>
      <x:c r="X442" s="373"/>
      <x:c r="Y442" s="373"/>
      <x:c r="Z442" s="373"/>
    </x:row>
    <x:row r="443">
      <x:c r="A443" s="373"/>
      <x:c r="B443" s="373"/>
      <x:c r="C443" s="373"/>
      <x:c r="D443" s="373"/>
      <x:c r="E443" s="373"/>
      <x:c r="F443" s="373"/>
      <x:c r="G443" s="373"/>
      <x:c r="H443" s="373"/>
      <x:c r="I443" s="373"/>
      <x:c r="J443" s="373"/>
      <x:c r="K443" s="373"/>
      <x:c r="L443" s="373"/>
      <x:c r="M443" s="373"/>
      <x:c r="N443" s="373"/>
      <x:c r="O443" s="373"/>
      <x:c r="P443" s="373"/>
      <x:c r="Q443" s="373"/>
      <x:c r="R443" s="373"/>
      <x:c r="S443" s="373"/>
      <x:c r="T443" s="373"/>
      <x:c r="U443" s="373"/>
      <x:c r="V443" s="373"/>
      <x:c r="W443" s="373"/>
      <x:c r="X443" s="373"/>
      <x:c r="Y443" s="373"/>
      <x:c r="Z443" s="373"/>
    </x:row>
    <x:row r="444">
      <x:c r="A444" s="373"/>
      <x:c r="B444" s="373"/>
      <x:c r="C444" s="373"/>
      <x:c r="D444" s="373"/>
      <x:c r="E444" s="373"/>
      <x:c r="F444" s="373"/>
      <x:c r="G444" s="373"/>
      <x:c r="H444" s="373"/>
      <x:c r="I444" s="373"/>
      <x:c r="J444" s="373"/>
      <x:c r="K444" s="373"/>
      <x:c r="L444" s="373"/>
      <x:c r="M444" s="373"/>
      <x:c r="N444" s="373"/>
      <x:c r="O444" s="373"/>
      <x:c r="P444" s="373"/>
      <x:c r="Q444" s="373"/>
      <x:c r="R444" s="373"/>
      <x:c r="S444" s="373"/>
      <x:c r="T444" s="373"/>
      <x:c r="U444" s="373"/>
      <x:c r="V444" s="373"/>
      <x:c r="W444" s="373"/>
      <x:c r="X444" s="373"/>
      <x:c r="Y444" s="373"/>
      <x:c r="Z444" s="373"/>
    </x:row>
    <x:row r="445">
      <x:c r="A445" s="373"/>
      <x:c r="B445" s="373"/>
      <x:c r="C445" s="373"/>
      <x:c r="D445" s="373"/>
      <x:c r="E445" s="373"/>
      <x:c r="F445" s="373"/>
      <x:c r="G445" s="373"/>
      <x:c r="H445" s="373"/>
      <x:c r="I445" s="373"/>
      <x:c r="J445" s="373"/>
      <x:c r="K445" s="373"/>
      <x:c r="L445" s="373"/>
      <x:c r="M445" s="373"/>
      <x:c r="N445" s="373"/>
      <x:c r="O445" s="373"/>
      <x:c r="P445" s="373"/>
      <x:c r="Q445" s="373"/>
      <x:c r="R445" s="373"/>
      <x:c r="S445" s="373"/>
      <x:c r="T445" s="373"/>
      <x:c r="U445" s="373"/>
      <x:c r="V445" s="373"/>
      <x:c r="W445" s="373"/>
      <x:c r="X445" s="373"/>
      <x:c r="Y445" s="373"/>
      <x:c r="Z445" s="373"/>
    </x:row>
    <x:row r="446">
      <x:c r="A446" s="373"/>
      <x:c r="B446" s="373"/>
      <x:c r="C446" s="373"/>
      <x:c r="D446" s="373"/>
      <x:c r="E446" s="373"/>
      <x:c r="F446" s="373"/>
      <x:c r="G446" s="373"/>
      <x:c r="H446" s="373"/>
      <x:c r="I446" s="373"/>
      <x:c r="J446" s="373"/>
      <x:c r="K446" s="373"/>
      <x:c r="L446" s="373"/>
      <x:c r="M446" s="373"/>
      <x:c r="N446" s="373"/>
      <x:c r="O446" s="373"/>
      <x:c r="P446" s="373"/>
      <x:c r="Q446" s="373"/>
      <x:c r="R446" s="373"/>
      <x:c r="S446" s="373"/>
      <x:c r="T446" s="373"/>
      <x:c r="U446" s="373"/>
      <x:c r="V446" s="373"/>
      <x:c r="W446" s="373"/>
      <x:c r="X446" s="373"/>
      <x:c r="Y446" s="373"/>
      <x:c r="Z446" s="373"/>
    </x:row>
    <x:row r="447">
      <x:c r="A447" s="373"/>
      <x:c r="B447" s="373"/>
      <x:c r="C447" s="373"/>
      <x:c r="D447" s="373"/>
      <x:c r="E447" s="373"/>
      <x:c r="F447" s="373"/>
      <x:c r="G447" s="373"/>
      <x:c r="H447" s="373"/>
      <x:c r="I447" s="373"/>
      <x:c r="J447" s="373"/>
      <x:c r="K447" s="373"/>
      <x:c r="L447" s="373"/>
      <x:c r="M447" s="373"/>
      <x:c r="N447" s="373"/>
      <x:c r="O447" s="373"/>
      <x:c r="P447" s="373"/>
      <x:c r="Q447" s="373"/>
      <x:c r="R447" s="373"/>
      <x:c r="S447" s="373"/>
      <x:c r="T447" s="373"/>
      <x:c r="U447" s="373"/>
      <x:c r="V447" s="373"/>
      <x:c r="W447" s="373"/>
      <x:c r="X447" s="373"/>
      <x:c r="Y447" s="373"/>
      <x:c r="Z447" s="373"/>
    </x:row>
    <x:row r="448">
      <x:c r="A448" s="373"/>
      <x:c r="B448" s="373"/>
      <x:c r="C448" s="373"/>
      <x:c r="D448" s="373"/>
      <x:c r="E448" s="373"/>
      <x:c r="F448" s="373"/>
      <x:c r="G448" s="373"/>
      <x:c r="H448" s="373"/>
      <x:c r="I448" s="373"/>
      <x:c r="J448" s="373"/>
      <x:c r="K448" s="373"/>
      <x:c r="L448" s="373"/>
      <x:c r="M448" s="373"/>
      <x:c r="N448" s="373"/>
      <x:c r="O448" s="373"/>
      <x:c r="P448" s="373"/>
      <x:c r="Q448" s="373"/>
      <x:c r="R448" s="373"/>
      <x:c r="S448" s="373"/>
      <x:c r="T448" s="373"/>
      <x:c r="U448" s="373"/>
      <x:c r="V448" s="373"/>
      <x:c r="W448" s="373"/>
      <x:c r="X448" s="373"/>
      <x:c r="Y448" s="373"/>
      <x:c r="Z448" s="373"/>
    </x:row>
    <x:row r="449">
      <x:c r="A449" s="373"/>
      <x:c r="B449" s="373"/>
      <x:c r="C449" s="373"/>
      <x:c r="D449" s="373"/>
      <x:c r="E449" s="373"/>
      <x:c r="F449" s="373"/>
      <x:c r="G449" s="373"/>
      <x:c r="H449" s="373"/>
      <x:c r="I449" s="373"/>
      <x:c r="J449" s="373"/>
      <x:c r="K449" s="373"/>
      <x:c r="L449" s="373"/>
      <x:c r="M449" s="373"/>
      <x:c r="N449" s="373"/>
      <x:c r="O449" s="373"/>
      <x:c r="P449" s="373"/>
      <x:c r="Q449" s="373"/>
      <x:c r="R449" s="373"/>
      <x:c r="S449" s="373"/>
      <x:c r="T449" s="373"/>
      <x:c r="U449" s="373"/>
      <x:c r="V449" s="373"/>
      <x:c r="W449" s="373"/>
      <x:c r="X449" s="373"/>
      <x:c r="Y449" s="373"/>
      <x:c r="Z449" s="373"/>
    </x:row>
    <x:row r="450">
      <x:c r="A450" s="373"/>
      <x:c r="B450" s="373"/>
      <x:c r="C450" s="373"/>
      <x:c r="D450" s="373"/>
      <x:c r="E450" s="373"/>
      <x:c r="F450" s="373"/>
      <x:c r="G450" s="373"/>
      <x:c r="H450" s="373"/>
      <x:c r="I450" s="373"/>
      <x:c r="J450" s="373"/>
      <x:c r="K450" s="373"/>
      <x:c r="L450" s="373"/>
      <x:c r="M450" s="373"/>
      <x:c r="N450" s="373"/>
      <x:c r="O450" s="373"/>
      <x:c r="P450" s="373"/>
      <x:c r="Q450" s="373"/>
      <x:c r="R450" s="373"/>
      <x:c r="S450" s="373"/>
      <x:c r="T450" s="373"/>
      <x:c r="U450" s="373"/>
      <x:c r="V450" s="373"/>
      <x:c r="W450" s="373"/>
      <x:c r="X450" s="373"/>
      <x:c r="Y450" s="373"/>
      <x:c r="Z450" s="373"/>
    </x:row>
    <x:row r="451">
      <x:c r="A451" s="373"/>
      <x:c r="B451" s="373"/>
      <x:c r="C451" s="373"/>
      <x:c r="D451" s="373"/>
      <x:c r="E451" s="373"/>
      <x:c r="F451" s="373"/>
      <x:c r="G451" s="373"/>
      <x:c r="H451" s="373"/>
      <x:c r="I451" s="373"/>
      <x:c r="J451" s="373"/>
      <x:c r="K451" s="373"/>
      <x:c r="L451" s="373"/>
      <x:c r="M451" s="373"/>
      <x:c r="N451" s="373"/>
      <x:c r="O451" s="373"/>
      <x:c r="P451" s="373"/>
      <x:c r="Q451" s="373"/>
      <x:c r="R451" s="373"/>
      <x:c r="S451" s="373"/>
      <x:c r="T451" s="373"/>
      <x:c r="U451" s="373"/>
      <x:c r="V451" s="373"/>
      <x:c r="W451" s="373"/>
      <x:c r="X451" s="373"/>
      <x:c r="Y451" s="373"/>
      <x:c r="Z451" s="373"/>
    </x:row>
    <x:row r="452">
      <x:c r="A452" s="373"/>
      <x:c r="B452" s="373"/>
      <x:c r="C452" s="373"/>
      <x:c r="D452" s="373"/>
      <x:c r="E452" s="373"/>
      <x:c r="F452" s="373"/>
      <x:c r="G452" s="373"/>
      <x:c r="H452" s="373"/>
      <x:c r="I452" s="373"/>
      <x:c r="J452" s="373"/>
      <x:c r="K452" s="373"/>
      <x:c r="L452" s="373"/>
      <x:c r="M452" s="373"/>
      <x:c r="N452" s="373"/>
      <x:c r="O452" s="373"/>
      <x:c r="P452" s="373"/>
      <x:c r="Q452" s="373"/>
      <x:c r="R452" s="373"/>
      <x:c r="S452" s="373"/>
      <x:c r="T452" s="373"/>
      <x:c r="U452" s="373"/>
      <x:c r="V452" s="373"/>
      <x:c r="W452" s="373"/>
      <x:c r="X452" s="373"/>
      <x:c r="Y452" s="373"/>
      <x:c r="Z452" s="373"/>
    </x:row>
    <x:row r="453">
      <x:c r="A453" s="373"/>
      <x:c r="B453" s="373"/>
      <x:c r="C453" s="373"/>
      <x:c r="D453" s="373"/>
      <x:c r="E453" s="373"/>
      <x:c r="F453" s="373"/>
      <x:c r="G453" s="373"/>
      <x:c r="H453" s="373"/>
      <x:c r="I453" s="373"/>
      <x:c r="J453" s="373"/>
      <x:c r="K453" s="373"/>
      <x:c r="L453" s="373"/>
      <x:c r="M453" s="373"/>
      <x:c r="N453" s="373"/>
      <x:c r="O453" s="373"/>
      <x:c r="P453" s="373"/>
      <x:c r="Q453" s="373"/>
      <x:c r="R453" s="373"/>
      <x:c r="S453" s="373"/>
      <x:c r="T453" s="373"/>
      <x:c r="U453" s="373"/>
      <x:c r="V453" s="373"/>
      <x:c r="W453" s="373"/>
      <x:c r="X453" s="373"/>
      <x:c r="Y453" s="373"/>
      <x:c r="Z453" s="373"/>
    </x:row>
    <x:row r="454">
      <x:c r="A454" s="373"/>
      <x:c r="B454" s="373"/>
      <x:c r="C454" s="373"/>
      <x:c r="D454" s="373"/>
      <x:c r="E454" s="373"/>
      <x:c r="F454" s="373"/>
      <x:c r="G454" s="373"/>
      <x:c r="H454" s="373"/>
      <x:c r="I454" s="373"/>
      <x:c r="J454" s="373"/>
      <x:c r="K454" s="373"/>
      <x:c r="L454" s="373"/>
      <x:c r="M454" s="373"/>
      <x:c r="N454" s="373"/>
      <x:c r="O454" s="373"/>
      <x:c r="P454" s="373"/>
      <x:c r="Q454" s="373"/>
      <x:c r="R454" s="373"/>
      <x:c r="S454" s="373"/>
      <x:c r="T454" s="373"/>
      <x:c r="U454" s="373"/>
      <x:c r="V454" s="373"/>
      <x:c r="W454" s="373"/>
      <x:c r="X454" s="373"/>
      <x:c r="Y454" s="373"/>
      <x:c r="Z454" s="373"/>
    </x:row>
    <x:row r="455">
      <x:c r="A455" s="373"/>
      <x:c r="B455" s="373"/>
      <x:c r="C455" s="373"/>
      <x:c r="D455" s="373"/>
      <x:c r="E455" s="373"/>
      <x:c r="F455" s="373"/>
      <x:c r="G455" s="373"/>
      <x:c r="H455" s="373"/>
      <x:c r="I455" s="373"/>
      <x:c r="J455" s="373"/>
      <x:c r="K455" s="373"/>
      <x:c r="L455" s="373"/>
      <x:c r="M455" s="373"/>
      <x:c r="N455" s="373"/>
      <x:c r="O455" s="373"/>
      <x:c r="P455" s="373"/>
      <x:c r="Q455" s="373"/>
      <x:c r="R455" s="373"/>
      <x:c r="S455" s="373"/>
      <x:c r="T455" s="373"/>
      <x:c r="U455" s="373"/>
      <x:c r="V455" s="373"/>
      <x:c r="W455" s="373"/>
      <x:c r="X455" s="373"/>
      <x:c r="Y455" s="373"/>
      <x:c r="Z455" s="373"/>
    </x:row>
    <x:row r="456">
      <x:c r="A456" s="373"/>
      <x:c r="B456" s="373"/>
      <x:c r="C456" s="373"/>
      <x:c r="D456" s="373"/>
      <x:c r="E456" s="373"/>
      <x:c r="F456" s="373"/>
      <x:c r="G456" s="373"/>
      <x:c r="H456" s="373"/>
      <x:c r="I456" s="373"/>
      <x:c r="J456" s="373"/>
      <x:c r="K456" s="373"/>
      <x:c r="L456" s="373"/>
      <x:c r="M456" s="373"/>
      <x:c r="N456" s="373"/>
      <x:c r="O456" s="373"/>
      <x:c r="P456" s="373"/>
      <x:c r="Q456" s="373"/>
      <x:c r="R456" s="373"/>
      <x:c r="S456" s="373"/>
      <x:c r="T456" s="373"/>
      <x:c r="U456" s="373"/>
      <x:c r="V456" s="373"/>
      <x:c r="W456" s="373"/>
      <x:c r="X456" s="373"/>
      <x:c r="Y456" s="373"/>
      <x:c r="Z456" s="373"/>
    </x:row>
    <x:row r="457">
      <x:c r="A457" s="373"/>
      <x:c r="B457" s="373"/>
      <x:c r="C457" s="373"/>
      <x:c r="D457" s="373"/>
      <x:c r="E457" s="373"/>
      <x:c r="F457" s="373"/>
      <x:c r="G457" s="373"/>
      <x:c r="H457" s="373"/>
      <x:c r="I457" s="373"/>
      <x:c r="J457" s="373"/>
      <x:c r="K457" s="373"/>
      <x:c r="L457" s="373"/>
      <x:c r="M457" s="373"/>
      <x:c r="N457" s="373"/>
      <x:c r="O457" s="373"/>
      <x:c r="P457" s="373"/>
      <x:c r="Q457" s="373"/>
      <x:c r="R457" s="373"/>
      <x:c r="S457" s="373"/>
      <x:c r="T457" s="373"/>
      <x:c r="U457" s="373"/>
      <x:c r="V457" s="373"/>
      <x:c r="W457" s="373"/>
      <x:c r="X457" s="373"/>
      <x:c r="Y457" s="373"/>
      <x:c r="Z457" s="373"/>
    </x:row>
    <x:row r="458">
      <x:c r="A458" s="373"/>
      <x:c r="B458" s="373"/>
      <x:c r="C458" s="373"/>
      <x:c r="D458" s="373"/>
      <x:c r="E458" s="373"/>
      <x:c r="F458" s="373"/>
      <x:c r="G458" s="373"/>
      <x:c r="H458" s="373"/>
      <x:c r="I458" s="373"/>
      <x:c r="J458" s="373"/>
      <x:c r="K458" s="373"/>
      <x:c r="L458" s="373"/>
      <x:c r="M458" s="373"/>
      <x:c r="N458" s="373"/>
      <x:c r="O458" s="373"/>
      <x:c r="P458" s="373"/>
      <x:c r="Q458" s="373"/>
      <x:c r="R458" s="373"/>
      <x:c r="S458" s="373"/>
      <x:c r="T458" s="373"/>
      <x:c r="U458" s="373"/>
      <x:c r="V458" s="373"/>
      <x:c r="W458" s="373"/>
      <x:c r="X458" s="373"/>
      <x:c r="Y458" s="373"/>
      <x:c r="Z458" s="373"/>
    </x:row>
    <x:row r="459">
      <x:c r="A459" s="373"/>
      <x:c r="B459" s="373"/>
      <x:c r="C459" s="373"/>
      <x:c r="D459" s="373"/>
      <x:c r="E459" s="373"/>
      <x:c r="F459" s="373"/>
      <x:c r="G459" s="373"/>
      <x:c r="H459" s="373"/>
      <x:c r="I459" s="373"/>
      <x:c r="J459" s="373"/>
      <x:c r="K459" s="373"/>
      <x:c r="L459" s="373"/>
      <x:c r="M459" s="373"/>
      <x:c r="N459" s="373"/>
      <x:c r="O459" s="373"/>
      <x:c r="P459" s="373"/>
      <x:c r="Q459" s="373"/>
      <x:c r="R459" s="373"/>
      <x:c r="S459" s="373"/>
      <x:c r="T459" s="373"/>
      <x:c r="U459" s="373"/>
      <x:c r="V459" s="373"/>
      <x:c r="W459" s="373"/>
      <x:c r="X459" s="373"/>
      <x:c r="Y459" s="373"/>
      <x:c r="Z459" s="373"/>
    </x:row>
    <x:row r="460">
      <x:c r="A460" s="373"/>
      <x:c r="B460" s="373"/>
      <x:c r="C460" s="373"/>
      <x:c r="D460" s="373"/>
      <x:c r="E460" s="373"/>
      <x:c r="F460" s="373"/>
      <x:c r="G460" s="373"/>
      <x:c r="H460" s="373"/>
      <x:c r="I460" s="373"/>
      <x:c r="J460" s="373"/>
      <x:c r="K460" s="373"/>
      <x:c r="L460" s="373"/>
      <x:c r="M460" s="373"/>
      <x:c r="N460" s="373"/>
      <x:c r="O460" s="373"/>
      <x:c r="P460" s="373"/>
      <x:c r="Q460" s="373"/>
      <x:c r="R460" s="373"/>
      <x:c r="S460" s="373"/>
      <x:c r="T460" s="373"/>
      <x:c r="U460" s="373"/>
      <x:c r="V460" s="373"/>
      <x:c r="W460" s="373"/>
      <x:c r="X460" s="373"/>
      <x:c r="Y460" s="373"/>
      <x:c r="Z460" s="373"/>
    </x:row>
    <x:row r="461">
      <x:c r="A461" s="373"/>
      <x:c r="B461" s="373"/>
      <x:c r="C461" s="373"/>
      <x:c r="D461" s="373"/>
      <x:c r="E461" s="373"/>
      <x:c r="F461" s="373"/>
      <x:c r="G461" s="373"/>
      <x:c r="H461" s="373"/>
      <x:c r="I461" s="373"/>
      <x:c r="J461" s="373"/>
      <x:c r="K461" s="373"/>
      <x:c r="L461" s="373"/>
      <x:c r="M461" s="373"/>
      <x:c r="N461" s="373"/>
      <x:c r="O461" s="373"/>
      <x:c r="P461" s="373"/>
      <x:c r="Q461" s="373"/>
      <x:c r="R461" s="373"/>
      <x:c r="S461" s="373"/>
      <x:c r="T461" s="373"/>
      <x:c r="U461" s="373"/>
      <x:c r="V461" s="373"/>
      <x:c r="W461" s="373"/>
      <x:c r="X461" s="373"/>
      <x:c r="Y461" s="373"/>
      <x:c r="Z461" s="373"/>
    </x:row>
    <x:row r="462">
      <x:c r="A462" s="373"/>
      <x:c r="B462" s="373"/>
      <x:c r="C462" s="373"/>
      <x:c r="D462" s="373"/>
      <x:c r="E462" s="373"/>
      <x:c r="F462" s="373"/>
      <x:c r="G462" s="373"/>
      <x:c r="H462" s="373"/>
      <x:c r="I462" s="373"/>
      <x:c r="J462" s="373"/>
      <x:c r="K462" s="373"/>
      <x:c r="L462" s="373"/>
      <x:c r="M462" s="373"/>
      <x:c r="N462" s="373"/>
      <x:c r="O462" s="373"/>
      <x:c r="P462" s="373"/>
      <x:c r="Q462" s="373"/>
      <x:c r="R462" s="373"/>
      <x:c r="S462" s="373"/>
      <x:c r="T462" s="373"/>
      <x:c r="U462" s="373"/>
      <x:c r="V462" s="373"/>
      <x:c r="W462" s="373"/>
      <x:c r="X462" s="373"/>
      <x:c r="Y462" s="373"/>
      <x:c r="Z462" s="373"/>
    </x:row>
    <x:row r="463">
      <x:c r="A463" s="373"/>
      <x:c r="B463" s="373"/>
      <x:c r="C463" s="373"/>
      <x:c r="D463" s="373"/>
      <x:c r="E463" s="373"/>
      <x:c r="F463" s="373"/>
      <x:c r="G463" s="373"/>
      <x:c r="H463" s="373"/>
      <x:c r="I463" s="373"/>
      <x:c r="J463" s="373"/>
      <x:c r="K463" s="373"/>
      <x:c r="L463" s="373"/>
      <x:c r="M463" s="373"/>
      <x:c r="N463" s="373"/>
      <x:c r="O463" s="373"/>
      <x:c r="P463" s="373"/>
      <x:c r="Q463" s="373"/>
      <x:c r="R463" s="373"/>
      <x:c r="S463" s="373"/>
      <x:c r="T463" s="373"/>
      <x:c r="U463" s="373"/>
      <x:c r="V463" s="373"/>
      <x:c r="W463" s="373"/>
      <x:c r="X463" s="373"/>
      <x:c r="Y463" s="373"/>
      <x:c r="Z463" s="373"/>
    </x:row>
    <x:row r="464">
      <x:c r="A464" s="373"/>
      <x:c r="B464" s="373"/>
      <x:c r="C464" s="373"/>
      <x:c r="D464" s="373"/>
      <x:c r="E464" s="373"/>
      <x:c r="F464" s="373"/>
      <x:c r="G464" s="373"/>
      <x:c r="H464" s="373"/>
      <x:c r="I464" s="373"/>
      <x:c r="J464" s="373"/>
      <x:c r="K464" s="373"/>
      <x:c r="L464" s="373"/>
      <x:c r="M464" s="373"/>
      <x:c r="N464" s="373"/>
      <x:c r="O464" s="373"/>
      <x:c r="P464" s="373"/>
      <x:c r="Q464" s="373"/>
      <x:c r="R464" s="373"/>
      <x:c r="S464" s="373"/>
      <x:c r="T464" s="373"/>
      <x:c r="U464" s="373"/>
      <x:c r="V464" s="373"/>
      <x:c r="W464" s="373"/>
      <x:c r="X464" s="373"/>
      <x:c r="Y464" s="373"/>
      <x:c r="Z464" s="373"/>
    </x:row>
    <x:row r="465">
      <x:c r="A465" s="373"/>
      <x:c r="B465" s="373"/>
      <x:c r="C465" s="373"/>
      <x:c r="D465" s="373"/>
      <x:c r="E465" s="373"/>
      <x:c r="F465" s="373"/>
      <x:c r="G465" s="373"/>
      <x:c r="H465" s="373"/>
      <x:c r="I465" s="373"/>
      <x:c r="J465" s="373"/>
      <x:c r="K465" s="373"/>
      <x:c r="L465" s="373"/>
      <x:c r="M465" s="373"/>
      <x:c r="N465" s="373"/>
      <x:c r="O465" s="373"/>
      <x:c r="P465" s="373"/>
      <x:c r="Q465" s="373"/>
      <x:c r="R465" s="373"/>
      <x:c r="S465" s="373"/>
      <x:c r="T465" s="373"/>
      <x:c r="U465" s="373"/>
      <x:c r="V465" s="373"/>
      <x:c r="W465" s="373"/>
      <x:c r="X465" s="373"/>
      <x:c r="Y465" s="373"/>
      <x:c r="Z465" s="373"/>
    </x:row>
    <x:row r="466">
      <x:c r="A466" s="373"/>
      <x:c r="B466" s="373"/>
      <x:c r="C466" s="373"/>
      <x:c r="D466" s="373"/>
      <x:c r="E466" s="373"/>
      <x:c r="F466" s="373"/>
      <x:c r="G466" s="373"/>
      <x:c r="H466" s="373"/>
      <x:c r="I466" s="373"/>
      <x:c r="J466" s="373"/>
      <x:c r="K466" s="373"/>
      <x:c r="L466" s="373"/>
      <x:c r="M466" s="373"/>
      <x:c r="N466" s="373"/>
      <x:c r="O466" s="373"/>
      <x:c r="P466" s="373"/>
      <x:c r="Q466" s="373"/>
      <x:c r="R466" s="373"/>
      <x:c r="S466" s="373"/>
      <x:c r="T466" s="373"/>
      <x:c r="U466" s="373"/>
      <x:c r="V466" s="373"/>
      <x:c r="W466" s="373"/>
      <x:c r="X466" s="373"/>
      <x:c r="Y466" s="373"/>
      <x:c r="Z466" s="373"/>
    </x:row>
    <x:row r="467">
      <x:c r="A467" s="373"/>
      <x:c r="B467" s="373"/>
      <x:c r="C467" s="373"/>
      <x:c r="D467" s="373"/>
      <x:c r="E467" s="373"/>
      <x:c r="F467" s="373"/>
      <x:c r="G467" s="373"/>
      <x:c r="H467" s="373"/>
      <x:c r="I467" s="373"/>
      <x:c r="J467" s="373"/>
      <x:c r="K467" s="373"/>
      <x:c r="L467" s="373"/>
      <x:c r="M467" s="373"/>
      <x:c r="N467" s="373"/>
      <x:c r="O467" s="373"/>
      <x:c r="P467" s="373"/>
      <x:c r="Q467" s="373"/>
      <x:c r="R467" s="373"/>
      <x:c r="S467" s="373"/>
      <x:c r="T467" s="373"/>
      <x:c r="U467" s="373"/>
      <x:c r="V467" s="373"/>
      <x:c r="W467" s="373"/>
      <x:c r="X467" s="373"/>
      <x:c r="Y467" s="373"/>
      <x:c r="Z467" s="373"/>
    </x:row>
    <x:row r="468">
      <x:c r="A468" s="373"/>
      <x:c r="B468" s="373"/>
      <x:c r="C468" s="373"/>
      <x:c r="D468" s="373"/>
      <x:c r="E468" s="373"/>
      <x:c r="F468" s="373"/>
      <x:c r="G468" s="373"/>
      <x:c r="H468" s="373"/>
      <x:c r="I468" s="373"/>
      <x:c r="J468" s="373"/>
      <x:c r="K468" s="373"/>
      <x:c r="L468" s="373"/>
      <x:c r="M468" s="373"/>
      <x:c r="N468" s="373"/>
      <x:c r="O468" s="373"/>
      <x:c r="P468" s="373"/>
      <x:c r="Q468" s="373"/>
      <x:c r="R468" s="373"/>
      <x:c r="S468" s="373"/>
      <x:c r="T468" s="373"/>
      <x:c r="U468" s="373"/>
      <x:c r="V468" s="373"/>
      <x:c r="W468" s="373"/>
      <x:c r="X468" s="373"/>
      <x:c r="Y468" s="373"/>
      <x:c r="Z468" s="373"/>
    </x:row>
    <x:row r="469">
      <x:c r="A469" s="373"/>
      <x:c r="B469" s="373"/>
      <x:c r="C469" s="373"/>
      <x:c r="D469" s="373"/>
      <x:c r="E469" s="373"/>
      <x:c r="F469" s="373"/>
      <x:c r="G469" s="373"/>
      <x:c r="H469" s="373"/>
      <x:c r="I469" s="373"/>
      <x:c r="J469" s="373"/>
      <x:c r="K469" s="373"/>
      <x:c r="L469" s="373"/>
      <x:c r="M469" s="373"/>
      <x:c r="N469" s="373"/>
      <x:c r="O469" s="373"/>
      <x:c r="P469" s="373"/>
      <x:c r="Q469" s="373"/>
      <x:c r="R469" s="373"/>
      <x:c r="S469" s="373"/>
      <x:c r="T469" s="373"/>
      <x:c r="U469" s="373"/>
      <x:c r="V469" s="373"/>
      <x:c r="W469" s="373"/>
      <x:c r="X469" s="373"/>
      <x:c r="Y469" s="373"/>
      <x:c r="Z469" s="373"/>
    </x:row>
    <x:row r="470">
      <x:c r="A470" s="373"/>
      <x:c r="B470" s="373"/>
      <x:c r="C470" s="373"/>
      <x:c r="D470" s="373"/>
      <x:c r="E470" s="373"/>
      <x:c r="F470" s="373"/>
      <x:c r="G470" s="373"/>
      <x:c r="H470" s="373"/>
      <x:c r="I470" s="373"/>
      <x:c r="J470" s="373"/>
      <x:c r="K470" s="373"/>
      <x:c r="L470" s="373"/>
      <x:c r="M470" s="373"/>
      <x:c r="N470" s="373"/>
      <x:c r="O470" s="373"/>
      <x:c r="P470" s="373"/>
      <x:c r="Q470" s="373"/>
      <x:c r="R470" s="373"/>
      <x:c r="S470" s="373"/>
      <x:c r="T470" s="373"/>
      <x:c r="U470" s="373"/>
      <x:c r="V470" s="373"/>
      <x:c r="W470" s="373"/>
      <x:c r="X470" s="373"/>
      <x:c r="Y470" s="373"/>
      <x:c r="Z470" s="373"/>
    </x:row>
    <x:row r="471">
      <x:c r="A471" s="373"/>
      <x:c r="B471" s="373"/>
      <x:c r="C471" s="373"/>
      <x:c r="D471" s="373"/>
      <x:c r="E471" s="373"/>
      <x:c r="F471" s="373"/>
      <x:c r="G471" s="373"/>
      <x:c r="H471" s="373"/>
      <x:c r="I471" s="373"/>
      <x:c r="J471" s="373"/>
      <x:c r="K471" s="373"/>
      <x:c r="L471" s="373"/>
      <x:c r="M471" s="373"/>
      <x:c r="N471" s="373"/>
      <x:c r="O471" s="373"/>
      <x:c r="P471" s="373"/>
      <x:c r="Q471" s="373"/>
      <x:c r="R471" s="373"/>
      <x:c r="S471" s="373"/>
      <x:c r="T471" s="373"/>
      <x:c r="U471" s="373"/>
      <x:c r="V471" s="373"/>
      <x:c r="W471" s="373"/>
      <x:c r="X471" s="373"/>
      <x:c r="Y471" s="373"/>
      <x:c r="Z471" s="373"/>
    </x:row>
    <x:row r="472">
      <x:c r="A472" s="373"/>
      <x:c r="B472" s="373"/>
      <x:c r="C472" s="373"/>
      <x:c r="D472" s="373"/>
      <x:c r="E472" s="373"/>
      <x:c r="F472" s="373"/>
      <x:c r="G472" s="373"/>
      <x:c r="H472" s="373"/>
      <x:c r="I472" s="373"/>
      <x:c r="J472" s="373"/>
      <x:c r="K472" s="373"/>
      <x:c r="L472" s="373"/>
      <x:c r="M472" s="373"/>
      <x:c r="N472" s="373"/>
      <x:c r="O472" s="373"/>
      <x:c r="P472" s="373"/>
      <x:c r="Q472" s="373"/>
      <x:c r="R472" s="373"/>
      <x:c r="S472" s="373"/>
      <x:c r="T472" s="373"/>
      <x:c r="U472" s="373"/>
      <x:c r="V472" s="373"/>
      <x:c r="W472" s="373"/>
      <x:c r="X472" s="373"/>
      <x:c r="Y472" s="373"/>
      <x:c r="Z472" s="373"/>
    </x:row>
    <x:row r="473">
      <x:c r="A473" s="373"/>
      <x:c r="B473" s="373"/>
      <x:c r="C473" s="373"/>
      <x:c r="D473" s="373"/>
      <x:c r="E473" s="373"/>
      <x:c r="F473" s="373"/>
      <x:c r="G473" s="373"/>
      <x:c r="H473" s="373"/>
      <x:c r="I473" s="373"/>
      <x:c r="J473" s="373"/>
      <x:c r="K473" s="373"/>
      <x:c r="L473" s="373"/>
      <x:c r="M473" s="373"/>
      <x:c r="N473" s="373"/>
      <x:c r="O473" s="373"/>
      <x:c r="P473" s="373"/>
      <x:c r="Q473" s="373"/>
      <x:c r="R473" s="373"/>
      <x:c r="S473" s="373"/>
      <x:c r="T473" s="373"/>
      <x:c r="U473" s="373"/>
      <x:c r="V473" s="373"/>
      <x:c r="W473" s="373"/>
      <x:c r="X473" s="373"/>
      <x:c r="Y473" s="373"/>
      <x:c r="Z473" s="373"/>
    </x:row>
    <x:row r="474">
      <x:c r="A474" s="373"/>
      <x:c r="B474" s="373"/>
      <x:c r="C474" s="373"/>
      <x:c r="D474" s="373"/>
      <x:c r="E474" s="373"/>
      <x:c r="F474" s="373"/>
      <x:c r="G474" s="373"/>
      <x:c r="H474" s="373"/>
      <x:c r="I474" s="373"/>
      <x:c r="J474" s="373"/>
      <x:c r="K474" s="373"/>
      <x:c r="L474" s="373"/>
      <x:c r="M474" s="373"/>
      <x:c r="N474" s="373"/>
      <x:c r="O474" s="373"/>
      <x:c r="P474" s="373"/>
      <x:c r="Q474" s="373"/>
      <x:c r="R474" s="373"/>
      <x:c r="S474" s="373"/>
      <x:c r="T474" s="373"/>
      <x:c r="U474" s="373"/>
      <x:c r="V474" s="373"/>
      <x:c r="W474" s="373"/>
      <x:c r="X474" s="373"/>
      <x:c r="Y474" s="373"/>
      <x:c r="Z474" s="373"/>
    </x:row>
    <x:row r="475">
      <x:c r="A475" s="373"/>
      <x:c r="B475" s="373"/>
      <x:c r="C475" s="373"/>
      <x:c r="D475" s="373"/>
      <x:c r="E475" s="373"/>
      <x:c r="F475" s="373"/>
      <x:c r="G475" s="373"/>
      <x:c r="H475" s="373"/>
      <x:c r="I475" s="373"/>
      <x:c r="J475" s="373"/>
      <x:c r="K475" s="373"/>
      <x:c r="L475" s="373"/>
      <x:c r="M475" s="373"/>
      <x:c r="N475" s="373"/>
      <x:c r="O475" s="373"/>
      <x:c r="P475" s="373"/>
      <x:c r="Q475" s="373"/>
      <x:c r="R475" s="373"/>
      <x:c r="S475" s="373"/>
      <x:c r="T475" s="373"/>
      <x:c r="U475" s="373"/>
      <x:c r="V475" s="373"/>
      <x:c r="W475" s="373"/>
      <x:c r="X475" s="373"/>
      <x:c r="Y475" s="373"/>
      <x:c r="Z475" s="373"/>
    </x:row>
    <x:row r="476">
      <x:c r="A476" s="373"/>
      <x:c r="B476" s="373"/>
      <x:c r="C476" s="373"/>
      <x:c r="D476" s="373"/>
      <x:c r="E476" s="373"/>
      <x:c r="F476" s="373"/>
      <x:c r="G476" s="373"/>
      <x:c r="H476" s="373"/>
      <x:c r="I476" s="373"/>
      <x:c r="J476" s="373"/>
      <x:c r="K476" s="373"/>
      <x:c r="L476" s="373"/>
      <x:c r="M476" s="373"/>
      <x:c r="N476" s="373"/>
      <x:c r="O476" s="373"/>
      <x:c r="P476" s="373"/>
      <x:c r="Q476" s="373"/>
      <x:c r="R476" s="373"/>
      <x:c r="S476" s="373"/>
      <x:c r="T476" s="373"/>
      <x:c r="U476" s="373"/>
      <x:c r="V476" s="373"/>
      <x:c r="W476" s="373"/>
      <x:c r="X476" s="373"/>
      <x:c r="Y476" s="373"/>
      <x:c r="Z476" s="373"/>
    </x:row>
    <x:row r="477">
      <x:c r="A477" s="373"/>
      <x:c r="B477" s="373"/>
      <x:c r="C477" s="373"/>
      <x:c r="D477" s="373"/>
      <x:c r="E477" s="373"/>
      <x:c r="F477" s="373"/>
      <x:c r="G477" s="373"/>
      <x:c r="H477" s="373"/>
      <x:c r="I477" s="373"/>
      <x:c r="J477" s="373"/>
      <x:c r="K477" s="373"/>
      <x:c r="L477" s="373"/>
      <x:c r="M477" s="373"/>
      <x:c r="N477" s="373"/>
      <x:c r="O477" s="373"/>
      <x:c r="P477" s="373"/>
      <x:c r="Q477" s="373"/>
      <x:c r="R477" s="373"/>
      <x:c r="S477" s="373"/>
      <x:c r="T477" s="373"/>
      <x:c r="U477" s="373"/>
      <x:c r="V477" s="373"/>
      <x:c r="W477" s="373"/>
      <x:c r="X477" s="373"/>
      <x:c r="Y477" s="373"/>
      <x:c r="Z477" s="373"/>
    </x:row>
    <x:row r="478">
      <x:c r="A478" s="373"/>
      <x:c r="B478" s="373"/>
      <x:c r="C478" s="373"/>
      <x:c r="D478" s="373"/>
      <x:c r="E478" s="373"/>
      <x:c r="F478" s="373"/>
      <x:c r="G478" s="373"/>
      <x:c r="H478" s="373"/>
      <x:c r="I478" s="373"/>
      <x:c r="J478" s="373"/>
      <x:c r="K478" s="373"/>
      <x:c r="L478" s="373"/>
      <x:c r="M478" s="373"/>
      <x:c r="N478" s="373"/>
      <x:c r="O478" s="373"/>
      <x:c r="P478" s="373"/>
      <x:c r="Q478" s="373"/>
      <x:c r="R478" s="373"/>
      <x:c r="S478" s="373"/>
      <x:c r="T478" s="373"/>
      <x:c r="U478" s="373"/>
      <x:c r="V478" s="373"/>
      <x:c r="W478" s="373"/>
      <x:c r="X478" s="373"/>
      <x:c r="Y478" s="373"/>
      <x:c r="Z478" s="373"/>
    </x:row>
    <x:row r="479">
      <x:c r="A479" s="373"/>
      <x:c r="B479" s="373"/>
      <x:c r="C479" s="373"/>
      <x:c r="D479" s="373"/>
      <x:c r="E479" s="373"/>
      <x:c r="F479" s="373"/>
      <x:c r="G479" s="373"/>
      <x:c r="H479" s="373"/>
      <x:c r="I479" s="373"/>
      <x:c r="J479" s="373"/>
      <x:c r="K479" s="373"/>
      <x:c r="L479" s="373"/>
      <x:c r="M479" s="373"/>
      <x:c r="N479" s="373"/>
      <x:c r="O479" s="373"/>
      <x:c r="P479" s="373"/>
      <x:c r="Q479" s="373"/>
      <x:c r="R479" s="373"/>
      <x:c r="S479" s="373"/>
      <x:c r="T479" s="373"/>
      <x:c r="U479" s="373"/>
      <x:c r="V479" s="373"/>
      <x:c r="W479" s="373"/>
      <x:c r="X479" s="373"/>
      <x:c r="Y479" s="373"/>
      <x:c r="Z479" s="373"/>
    </x:row>
    <x:row r="480">
      <x:c r="A480" s="373"/>
      <x:c r="B480" s="373"/>
      <x:c r="C480" s="373"/>
      <x:c r="D480" s="373"/>
      <x:c r="E480" s="373"/>
      <x:c r="F480" s="373"/>
      <x:c r="G480" s="373"/>
      <x:c r="H480" s="373"/>
      <x:c r="I480" s="373"/>
      <x:c r="J480" s="373"/>
      <x:c r="K480" s="373"/>
      <x:c r="L480" s="373"/>
      <x:c r="M480" s="373"/>
      <x:c r="N480" s="373"/>
      <x:c r="O480" s="373"/>
      <x:c r="P480" s="373"/>
      <x:c r="Q480" s="373"/>
      <x:c r="R480" s="373"/>
      <x:c r="S480" s="373"/>
      <x:c r="T480" s="373"/>
      <x:c r="U480" s="373"/>
      <x:c r="V480" s="373"/>
      <x:c r="W480" s="373"/>
      <x:c r="X480" s="373"/>
      <x:c r="Y480" s="373"/>
      <x:c r="Z480" s="373"/>
    </x:row>
    <x:row r="481">
      <x:c r="A481" s="373"/>
      <x:c r="B481" s="373"/>
      <x:c r="C481" s="373"/>
      <x:c r="D481" s="373"/>
      <x:c r="E481" s="373"/>
      <x:c r="F481" s="373"/>
      <x:c r="G481" s="373"/>
      <x:c r="H481" s="373"/>
      <x:c r="I481" s="373"/>
      <x:c r="J481" s="373"/>
      <x:c r="K481" s="373"/>
      <x:c r="L481" s="373"/>
      <x:c r="M481" s="373"/>
      <x:c r="N481" s="373"/>
      <x:c r="O481" s="373"/>
      <x:c r="P481" s="373"/>
      <x:c r="Q481" s="373"/>
      <x:c r="R481" s="373"/>
      <x:c r="S481" s="373"/>
      <x:c r="T481" s="373"/>
      <x:c r="U481" s="373"/>
      <x:c r="V481" s="373"/>
      <x:c r="W481" s="373"/>
      <x:c r="X481" s="373"/>
      <x:c r="Y481" s="373"/>
      <x:c r="Z481" s="373"/>
    </x:row>
    <x:row r="482">
      <x:c r="A482" s="373"/>
      <x:c r="B482" s="373"/>
      <x:c r="C482" s="373"/>
      <x:c r="D482" s="373"/>
      <x:c r="E482" s="373"/>
      <x:c r="F482" s="373"/>
      <x:c r="G482" s="373"/>
      <x:c r="H482" s="373"/>
      <x:c r="I482" s="373"/>
      <x:c r="J482" s="373"/>
      <x:c r="K482" s="373"/>
      <x:c r="L482" s="373"/>
      <x:c r="M482" s="373"/>
      <x:c r="N482" s="373"/>
      <x:c r="O482" s="373"/>
      <x:c r="P482" s="373"/>
      <x:c r="Q482" s="373"/>
      <x:c r="R482" s="373"/>
      <x:c r="S482" s="373"/>
      <x:c r="T482" s="373"/>
      <x:c r="U482" s="373"/>
      <x:c r="V482" s="373"/>
      <x:c r="W482" s="373"/>
      <x:c r="X482" s="373"/>
      <x:c r="Y482" s="373"/>
      <x:c r="Z482" s="373"/>
    </x:row>
    <x:row r="483">
      <x:c r="A483" s="373"/>
      <x:c r="B483" s="373"/>
      <x:c r="C483" s="373"/>
      <x:c r="D483" s="373"/>
      <x:c r="E483" s="373"/>
      <x:c r="F483" s="373"/>
      <x:c r="G483" s="373"/>
      <x:c r="H483" s="373"/>
      <x:c r="I483" s="373"/>
      <x:c r="J483" s="373"/>
      <x:c r="K483" s="373"/>
      <x:c r="L483" s="373"/>
      <x:c r="M483" s="373"/>
      <x:c r="N483" s="373"/>
      <x:c r="O483" s="373"/>
      <x:c r="P483" s="373"/>
      <x:c r="Q483" s="373"/>
      <x:c r="R483" s="373"/>
      <x:c r="S483" s="373"/>
      <x:c r="T483" s="373"/>
      <x:c r="U483" s="373"/>
      <x:c r="V483" s="373"/>
      <x:c r="W483" s="373"/>
      <x:c r="X483" s="373"/>
      <x:c r="Y483" s="373"/>
      <x:c r="Z483" s="373"/>
    </x:row>
    <x:row r="484">
      <x:c r="A484" s="373"/>
      <x:c r="B484" s="373"/>
      <x:c r="C484" s="373"/>
      <x:c r="D484" s="373"/>
      <x:c r="E484" s="373"/>
      <x:c r="F484" s="373"/>
      <x:c r="G484" s="373"/>
      <x:c r="H484" s="373"/>
      <x:c r="I484" s="373"/>
      <x:c r="J484" s="373"/>
      <x:c r="K484" s="373"/>
      <x:c r="L484" s="373"/>
      <x:c r="M484" s="373"/>
      <x:c r="N484" s="373"/>
      <x:c r="O484" s="373"/>
      <x:c r="P484" s="373"/>
      <x:c r="Q484" s="373"/>
      <x:c r="R484" s="373"/>
      <x:c r="S484" s="373"/>
      <x:c r="T484" s="373"/>
      <x:c r="U484" s="373"/>
      <x:c r="V484" s="373"/>
      <x:c r="W484" s="373"/>
      <x:c r="X484" s="373"/>
      <x:c r="Y484" s="373"/>
      <x:c r="Z484" s="373"/>
    </x:row>
    <x:row r="485">
      <x:c r="A485" s="373"/>
      <x:c r="B485" s="373"/>
      <x:c r="C485" s="373"/>
      <x:c r="D485" s="373"/>
      <x:c r="E485" s="373"/>
      <x:c r="F485" s="373"/>
      <x:c r="G485" s="373"/>
      <x:c r="H485" s="373"/>
      <x:c r="I485" s="373"/>
      <x:c r="J485" s="373"/>
      <x:c r="K485" s="373"/>
      <x:c r="L485" s="373"/>
      <x:c r="M485" s="373"/>
      <x:c r="N485" s="373"/>
      <x:c r="O485" s="373"/>
      <x:c r="P485" s="373"/>
      <x:c r="Q485" s="373"/>
      <x:c r="R485" s="373"/>
      <x:c r="S485" s="373"/>
      <x:c r="T485" s="373"/>
      <x:c r="U485" s="373"/>
      <x:c r="V485" s="373"/>
      <x:c r="W485" s="373"/>
      <x:c r="X485" s="373"/>
      <x:c r="Y485" s="373"/>
      <x:c r="Z485" s="373"/>
    </x:row>
    <x:row r="486">
      <x:c r="A486" s="373"/>
      <x:c r="B486" s="373"/>
      <x:c r="C486" s="373"/>
      <x:c r="D486" s="373"/>
      <x:c r="E486" s="373"/>
      <x:c r="F486" s="373"/>
      <x:c r="G486" s="373"/>
      <x:c r="H486" s="373"/>
      <x:c r="I486" s="373"/>
      <x:c r="J486" s="373"/>
      <x:c r="K486" s="373"/>
      <x:c r="L486" s="373"/>
      <x:c r="M486" s="373"/>
      <x:c r="N486" s="373"/>
      <x:c r="O486" s="373"/>
      <x:c r="P486" s="373"/>
      <x:c r="Q486" s="373"/>
      <x:c r="R486" s="373"/>
      <x:c r="S486" s="373"/>
      <x:c r="T486" s="373"/>
      <x:c r="U486" s="373"/>
      <x:c r="V486" s="373"/>
      <x:c r="W486" s="373"/>
      <x:c r="X486" s="373"/>
      <x:c r="Y486" s="373"/>
      <x:c r="Z486" s="373"/>
    </x:row>
    <x:row r="487">
      <x:c r="A487" s="373"/>
      <x:c r="B487" s="373"/>
      <x:c r="C487" s="373"/>
      <x:c r="D487" s="373"/>
      <x:c r="E487" s="373"/>
      <x:c r="F487" s="373"/>
      <x:c r="G487" s="373"/>
      <x:c r="H487" s="373"/>
      <x:c r="I487" s="373"/>
      <x:c r="J487" s="373"/>
      <x:c r="K487" s="373"/>
      <x:c r="L487" s="373"/>
      <x:c r="M487" s="373"/>
      <x:c r="N487" s="373"/>
      <x:c r="O487" s="373"/>
      <x:c r="P487" s="373"/>
      <x:c r="Q487" s="373"/>
      <x:c r="R487" s="373"/>
      <x:c r="S487" s="373"/>
      <x:c r="T487" s="373"/>
      <x:c r="U487" s="373"/>
      <x:c r="V487" s="373"/>
      <x:c r="W487" s="373"/>
      <x:c r="X487" s="373"/>
      <x:c r="Y487" s="373"/>
      <x:c r="Z487" s="373"/>
    </x:row>
    <x:row r="488">
      <x:c r="A488" s="373"/>
      <x:c r="B488" s="373"/>
      <x:c r="C488" s="373"/>
      <x:c r="D488" s="373"/>
      <x:c r="E488" s="373"/>
      <x:c r="F488" s="373"/>
      <x:c r="G488" s="373"/>
      <x:c r="H488" s="373"/>
      <x:c r="I488" s="373"/>
      <x:c r="J488" s="373"/>
      <x:c r="K488" s="373"/>
      <x:c r="L488" s="373"/>
      <x:c r="M488" s="373"/>
      <x:c r="N488" s="373"/>
      <x:c r="O488" s="373"/>
      <x:c r="P488" s="373"/>
      <x:c r="Q488" s="373"/>
      <x:c r="R488" s="373"/>
      <x:c r="S488" s="373"/>
      <x:c r="T488" s="373"/>
      <x:c r="U488" s="373"/>
      <x:c r="V488" s="373"/>
      <x:c r="W488" s="373"/>
      <x:c r="X488" s="373"/>
      <x:c r="Y488" s="373"/>
      <x:c r="Z488" s="373"/>
    </x:row>
    <x:row r="489">
      <x:c r="A489" s="373"/>
      <x:c r="B489" s="373"/>
      <x:c r="C489" s="373"/>
      <x:c r="D489" s="373"/>
      <x:c r="E489" s="373"/>
      <x:c r="F489" s="373"/>
      <x:c r="G489" s="373"/>
      <x:c r="H489" s="373"/>
      <x:c r="I489" s="373"/>
      <x:c r="J489" s="373"/>
      <x:c r="K489" s="373"/>
      <x:c r="L489" s="373"/>
      <x:c r="M489" s="373"/>
      <x:c r="N489" s="373"/>
      <x:c r="O489" s="373"/>
      <x:c r="P489" s="373"/>
      <x:c r="Q489" s="373"/>
      <x:c r="R489" s="373"/>
      <x:c r="S489" s="373"/>
      <x:c r="T489" s="373"/>
      <x:c r="U489" s="373"/>
      <x:c r="V489" s="373"/>
      <x:c r="W489" s="373"/>
      <x:c r="X489" s="373"/>
      <x:c r="Y489" s="373"/>
      <x:c r="Z489" s="373"/>
    </x:row>
    <x:row r="490">
      <x:c r="A490" s="373"/>
      <x:c r="B490" s="373"/>
      <x:c r="C490" s="373"/>
      <x:c r="D490" s="373"/>
      <x:c r="E490" s="373"/>
      <x:c r="F490" s="373"/>
      <x:c r="G490" s="373"/>
      <x:c r="H490" s="373"/>
      <x:c r="I490" s="373"/>
      <x:c r="J490" s="373"/>
      <x:c r="K490" s="373"/>
      <x:c r="L490" s="373"/>
      <x:c r="M490" s="373"/>
      <x:c r="N490" s="373"/>
      <x:c r="O490" s="373"/>
      <x:c r="P490" s="373"/>
      <x:c r="Q490" s="373"/>
      <x:c r="R490" s="373"/>
      <x:c r="S490" s="373"/>
      <x:c r="T490" s="373"/>
      <x:c r="U490" s="373"/>
      <x:c r="V490" s="373"/>
      <x:c r="W490" s="373"/>
      <x:c r="X490" s="373"/>
      <x:c r="Y490" s="373"/>
      <x:c r="Z490" s="373"/>
    </x:row>
    <x:row r="491">
      <x:c r="A491" s="373"/>
      <x:c r="B491" s="373"/>
      <x:c r="C491" s="373"/>
      <x:c r="D491" s="373"/>
      <x:c r="E491" s="373"/>
      <x:c r="F491" s="373"/>
      <x:c r="G491" s="373"/>
      <x:c r="H491" s="373"/>
      <x:c r="I491" s="373"/>
      <x:c r="J491" s="373"/>
      <x:c r="K491" s="373"/>
      <x:c r="L491" s="373"/>
      <x:c r="M491" s="373"/>
      <x:c r="N491" s="373"/>
      <x:c r="O491" s="373"/>
      <x:c r="P491" s="373"/>
      <x:c r="Q491" s="373"/>
      <x:c r="R491" s="373"/>
      <x:c r="S491" s="373"/>
      <x:c r="T491" s="373"/>
      <x:c r="U491" s="373"/>
      <x:c r="V491" s="373"/>
      <x:c r="W491" s="373"/>
      <x:c r="X491" s="373"/>
      <x:c r="Y491" s="373"/>
      <x:c r="Z491" s="373"/>
    </x:row>
    <x:row r="492">
      <x:c r="A492" s="373"/>
      <x:c r="B492" s="373"/>
      <x:c r="C492" s="373"/>
      <x:c r="D492" s="373"/>
      <x:c r="E492" s="373"/>
      <x:c r="F492" s="373"/>
      <x:c r="G492" s="373"/>
      <x:c r="H492" s="373"/>
      <x:c r="I492" s="373"/>
      <x:c r="J492" s="373"/>
      <x:c r="K492" s="373"/>
      <x:c r="L492" s="373"/>
      <x:c r="M492" s="373"/>
      <x:c r="N492" s="373"/>
      <x:c r="O492" s="373"/>
      <x:c r="P492" s="373"/>
      <x:c r="Q492" s="373"/>
      <x:c r="R492" s="373"/>
      <x:c r="S492" s="373"/>
      <x:c r="T492" s="373"/>
      <x:c r="U492" s="373"/>
      <x:c r="V492" s="373"/>
      <x:c r="W492" s="373"/>
      <x:c r="X492" s="373"/>
      <x:c r="Y492" s="373"/>
      <x:c r="Z492" s="373"/>
    </x:row>
    <x:row r="493">
      <x:c r="A493" s="373"/>
      <x:c r="B493" s="373"/>
      <x:c r="C493" s="373"/>
      <x:c r="D493" s="373"/>
      <x:c r="E493" s="373"/>
      <x:c r="F493" s="373"/>
      <x:c r="G493" s="373"/>
      <x:c r="H493" s="373"/>
      <x:c r="I493" s="373"/>
      <x:c r="J493" s="373"/>
      <x:c r="K493" s="373"/>
      <x:c r="L493" s="373"/>
      <x:c r="M493" s="373"/>
      <x:c r="N493" s="373"/>
      <x:c r="O493" s="373"/>
      <x:c r="P493" s="373"/>
      <x:c r="Q493" s="373"/>
      <x:c r="R493" s="373"/>
      <x:c r="S493" s="373"/>
      <x:c r="T493" s="373"/>
      <x:c r="U493" s="373"/>
      <x:c r="V493" s="373"/>
      <x:c r="W493" s="373"/>
      <x:c r="X493" s="373"/>
      <x:c r="Y493" s="373"/>
      <x:c r="Z493" s="373"/>
    </x:row>
    <x:row r="494">
      <x:c r="A494" s="373"/>
      <x:c r="B494" s="373"/>
      <x:c r="C494" s="373"/>
      <x:c r="D494" s="373"/>
      <x:c r="E494" s="373"/>
      <x:c r="F494" s="373"/>
      <x:c r="G494" s="373"/>
      <x:c r="H494" s="373"/>
      <x:c r="I494" s="373"/>
      <x:c r="J494" s="373"/>
      <x:c r="K494" s="373"/>
      <x:c r="L494" s="373"/>
      <x:c r="M494" s="373"/>
      <x:c r="N494" s="373"/>
      <x:c r="O494" s="373"/>
      <x:c r="P494" s="373"/>
      <x:c r="Q494" s="373"/>
      <x:c r="R494" s="373"/>
      <x:c r="S494" s="373"/>
      <x:c r="T494" s="373"/>
      <x:c r="U494" s="373"/>
      <x:c r="V494" s="373"/>
      <x:c r="W494" s="373"/>
      <x:c r="X494" s="373"/>
      <x:c r="Y494" s="373"/>
      <x:c r="Z494" s="373"/>
    </x:row>
    <x:row r="495">
      <x:c r="A495" s="373"/>
      <x:c r="B495" s="373"/>
      <x:c r="C495" s="373"/>
      <x:c r="D495" s="373"/>
      <x:c r="E495" s="373"/>
      <x:c r="F495" s="373"/>
      <x:c r="G495" s="373"/>
      <x:c r="H495" s="373"/>
      <x:c r="I495" s="373"/>
      <x:c r="J495" s="373"/>
      <x:c r="K495" s="373"/>
      <x:c r="L495" s="373"/>
      <x:c r="M495" s="373"/>
      <x:c r="N495" s="373"/>
      <x:c r="O495" s="373"/>
      <x:c r="P495" s="373"/>
      <x:c r="Q495" s="373"/>
      <x:c r="R495" s="373"/>
      <x:c r="S495" s="373"/>
      <x:c r="T495" s="373"/>
      <x:c r="U495" s="373"/>
      <x:c r="V495" s="373"/>
      <x:c r="W495" s="373"/>
      <x:c r="X495" s="373"/>
      <x:c r="Y495" s="373"/>
      <x:c r="Z495" s="373"/>
    </x:row>
    <x:row r="496">
      <x:c r="A496" s="373"/>
      <x:c r="B496" s="373"/>
      <x:c r="C496" s="373"/>
      <x:c r="D496" s="373"/>
      <x:c r="E496" s="373"/>
      <x:c r="F496" s="373"/>
      <x:c r="G496" s="373"/>
      <x:c r="H496" s="373"/>
      <x:c r="I496" s="373"/>
      <x:c r="J496" s="373"/>
      <x:c r="K496" s="373"/>
      <x:c r="L496" s="373"/>
      <x:c r="M496" s="373"/>
      <x:c r="N496" s="373"/>
      <x:c r="O496" s="373"/>
      <x:c r="P496" s="373"/>
      <x:c r="Q496" s="373"/>
      <x:c r="R496" s="373"/>
      <x:c r="S496" s="373"/>
      <x:c r="T496" s="373"/>
      <x:c r="U496" s="373"/>
      <x:c r="V496" s="373"/>
      <x:c r="W496" s="373"/>
      <x:c r="X496" s="373"/>
      <x:c r="Y496" s="373"/>
      <x:c r="Z496" s="373"/>
    </x:row>
    <x:row r="497">
      <x:c r="A497" s="373"/>
      <x:c r="B497" s="373"/>
      <x:c r="C497" s="373"/>
      <x:c r="D497" s="373"/>
      <x:c r="E497" s="373"/>
      <x:c r="F497" s="373"/>
      <x:c r="G497" s="373"/>
      <x:c r="H497" s="373"/>
      <x:c r="I497" s="373"/>
      <x:c r="J497" s="373"/>
      <x:c r="K497" s="373"/>
      <x:c r="L497" s="373"/>
      <x:c r="M497" s="373"/>
      <x:c r="N497" s="373"/>
      <x:c r="O497" s="373"/>
      <x:c r="P497" s="373"/>
      <x:c r="Q497" s="373"/>
      <x:c r="R497" s="373"/>
      <x:c r="S497" s="373"/>
      <x:c r="T497" s="373"/>
      <x:c r="U497" s="373"/>
      <x:c r="V497" s="373"/>
      <x:c r="W497" s="373"/>
      <x:c r="X497" s="373"/>
      <x:c r="Y497" s="373"/>
      <x:c r="Z497" s="373"/>
    </x:row>
    <x:row r="498">
      <x:c r="A498" s="373"/>
      <x:c r="B498" s="373"/>
      <x:c r="C498" s="373"/>
      <x:c r="D498" s="373"/>
      <x:c r="E498" s="373"/>
      <x:c r="F498" s="373"/>
      <x:c r="G498" s="373"/>
      <x:c r="H498" s="373"/>
      <x:c r="I498" s="373"/>
      <x:c r="J498" s="373"/>
      <x:c r="K498" s="373"/>
      <x:c r="L498" s="373"/>
      <x:c r="M498" s="373"/>
      <x:c r="N498" s="373"/>
      <x:c r="O498" s="373"/>
      <x:c r="P498" s="373"/>
      <x:c r="Q498" s="373"/>
      <x:c r="R498" s="373"/>
      <x:c r="S498" s="373"/>
      <x:c r="T498" s="373"/>
      <x:c r="U498" s="373"/>
      <x:c r="V498" s="373"/>
      <x:c r="W498" s="373"/>
      <x:c r="X498" s="373"/>
      <x:c r="Y498" s="373"/>
      <x:c r="Z498" s="373"/>
    </x:row>
    <x:row r="499">
      <x:c r="A499" s="373"/>
      <x:c r="B499" s="373"/>
      <x:c r="C499" s="373"/>
      <x:c r="D499" s="373"/>
      <x:c r="E499" s="373"/>
      <x:c r="F499" s="373"/>
      <x:c r="G499" s="373"/>
      <x:c r="H499" s="373"/>
      <x:c r="I499" s="373"/>
      <x:c r="J499" s="373"/>
      <x:c r="K499" s="373"/>
      <x:c r="L499" s="373"/>
      <x:c r="M499" s="373"/>
      <x:c r="N499" s="373"/>
      <x:c r="O499" s="373"/>
      <x:c r="P499" s="373"/>
      <x:c r="Q499" s="373"/>
      <x:c r="R499" s="373"/>
      <x:c r="S499" s="373"/>
      <x:c r="T499" s="373"/>
      <x:c r="U499" s="373"/>
      <x:c r="V499" s="373"/>
      <x:c r="W499" s="373"/>
      <x:c r="X499" s="373"/>
      <x:c r="Y499" s="373"/>
      <x:c r="Z499" s="373"/>
    </x:row>
    <x:row r="500">
      <x:c r="A500" s="373"/>
      <x:c r="B500" s="373"/>
      <x:c r="C500" s="373"/>
      <x:c r="D500" s="373"/>
      <x:c r="E500" s="373"/>
      <x:c r="F500" s="373"/>
      <x:c r="G500" s="373"/>
      <x:c r="H500" s="373"/>
      <x:c r="I500" s="373"/>
      <x:c r="J500" s="373"/>
      <x:c r="K500" s="373"/>
      <x:c r="L500" s="373"/>
      <x:c r="M500" s="373"/>
      <x:c r="N500" s="373"/>
      <x:c r="O500" s="373"/>
      <x:c r="P500" s="373"/>
      <x:c r="Q500" s="373"/>
      <x:c r="R500" s="373"/>
      <x:c r="S500" s="373"/>
      <x:c r="T500" s="373"/>
      <x:c r="U500" s="373"/>
      <x:c r="V500" s="373"/>
      <x:c r="W500" s="373"/>
      <x:c r="X500" s="373"/>
      <x:c r="Y500" s="373"/>
      <x:c r="Z500" s="373"/>
    </x:row>
  </x:sheetData>
  <x:mergeCells>
    <x:mergeCell ref="A1:L1"/>
    <x:mergeCell ref="A2:L2"/>
  </x:mergeCells>
  <x:pageMargins left="0.7" right="0.7" top="0.75" bottom="0.75" header="0.3" footer="0.3"/>
  <x:tableParts count="1">
    <x:tablePart xmlns:r="http://schemas.openxmlformats.org/officeDocument/2006/relationships" r:id="R28789244e238430c"/>
  </x:tableParts>
</x:worksheet>
</file>

<file path=xl/worksheets/sheet13.xml><?xml version="1.0" encoding="utf-8"?>
<x:worksheet xmlns:x="http://schemas.openxmlformats.org/spreadsheetml/2006/main">
  <x:sheetFormatPr defaultRowHeight="15"/>
  <x:cols>
    <x:col min="1" max="1" width="20" hidden="0" customWidth="1"/>
    <x:col min="2" max="2" width="22" hidden="0" customWidth="1"/>
    <x:col min="3" max="3" width="24" hidden="0" customWidth="1"/>
    <x:col min="4" max="4" width="12" hidden="0" customWidth="1"/>
    <x:col min="5" max="5" width="10" hidden="0" customWidth="1"/>
    <x:col min="6" max="6" width="34" hidden="0" customWidth="1"/>
    <x:col min="7" max="7" width="44" hidden="0" customWidth="1"/>
    <x:col min="8" max="8" width="32" hidden="0" customWidth="1"/>
    <x:col min="9" max="9" width="28" hidden="0" customWidth="1"/>
  </x:cols>
  <x:sheetData>
    <x:row r="1" ht="32" customHeight="1">
      <x:c r="A1" s="486" t="str">
        <x:v>Excel-to-JavaScript Data Contract</x:v>
      </x:c>
      <x:c r="B1" s="486"/>
      <x:c r="C1" s="486"/>
      <x:c r="D1" s="486"/>
      <x:c r="E1" s="486"/>
      <x:c r="F1" s="486"/>
      <x:c r="G1" s="486"/>
      <x:c r="H1" s="486"/>
      <x:c r="I1" s="486"/>
      <x:c r="J1" s="373"/>
      <x:c r="K1" s="373"/>
      <x:c r="L1" s="373"/>
      <x:c r="M1" s="373"/>
      <x:c r="N1" s="373"/>
      <x:c r="O1" s="373"/>
      <x:c r="P1" s="373"/>
      <x:c r="Q1" s="373"/>
      <x:c r="R1" s="373"/>
      <x:c r="S1" s="373"/>
      <x:c r="T1" s="373"/>
      <x:c r="U1" s="373"/>
      <x:c r="V1" s="373"/>
      <x:c r="W1" s="373"/>
      <x:c r="X1" s="373"/>
      <x:c r="Y1" s="373"/>
      <x:c r="Z1" s="373"/>
    </x:row>
    <x:row r="2" ht="22" customHeight="1">
      <x:c r="A2" s="374" t="str">
        <x:v>Use these stable keys and types for your online dashboard. Excel is the planning/reporting source; runtime data should eventually come from normalized JSON/API records.</x:v>
      </x:c>
      <x:c r="B2" s="374"/>
      <x:c r="C2" s="374"/>
      <x:c r="D2" s="374"/>
      <x:c r="E2" s="374"/>
      <x:c r="F2" s="374"/>
      <x:c r="G2" s="374"/>
      <x:c r="H2" s="374"/>
      <x:c r="I2" s="374"/>
      <x:c r="J2" s="373"/>
      <x:c r="K2" s="373"/>
      <x:c r="L2" s="373"/>
      <x:c r="M2" s="373"/>
      <x:c r="N2" s="373"/>
      <x:c r="O2" s="373"/>
      <x:c r="P2" s="373"/>
      <x:c r="Q2" s="373"/>
      <x:c r="R2" s="373"/>
      <x:c r="S2" s="373"/>
      <x:c r="T2" s="373"/>
      <x:c r="U2" s="373"/>
      <x:c r="V2" s="373"/>
      <x:c r="W2" s="373"/>
      <x:c r="X2" s="373"/>
      <x:c r="Y2" s="373"/>
      <x:c r="Z2" s="373"/>
    </x:row>
    <x:row r="3">
      <x:c r="A3" s="373"/>
      <x:c r="B3" s="373"/>
      <x:c r="C3" s="373"/>
      <x:c r="D3" s="373"/>
      <x:c r="E3" s="373"/>
      <x:c r="F3" s="373"/>
      <x:c r="G3" s="373"/>
      <x:c r="H3" s="373"/>
      <x:c r="I3" s="373"/>
      <x:c r="J3" s="373"/>
      <x:c r="K3" s="373"/>
      <x:c r="L3" s="373"/>
      <x:c r="M3" s="373"/>
      <x:c r="N3" s="373"/>
      <x:c r="O3" s="373"/>
      <x:c r="P3" s="373"/>
      <x:c r="Q3" s="373"/>
      <x:c r="R3" s="373"/>
      <x:c r="S3" s="373"/>
      <x:c r="T3" s="373"/>
      <x:c r="U3" s="373"/>
      <x:c r="V3" s="373"/>
      <x:c r="W3" s="373"/>
      <x:c r="X3" s="373"/>
      <x:c r="Y3" s="373"/>
      <x:c r="Z3" s="373"/>
    </x:row>
    <x:row r="4">
      <x:c r="A4" s="409" t="str">
        <x:v>Sheet / Entity</x:v>
      </x:c>
      <x:c r="B4" s="413" t="str">
        <x:v>Excel Column</x:v>
      </x:c>
      <x:c r="C4" s="413" t="str">
        <x:v>JSON Key</x:v>
      </x:c>
      <x:c r="D4" s="413" t="str">
        <x:v>Type</x:v>
      </x:c>
      <x:c r="E4" s="413" t="str">
        <x:v>Required</x:v>
      </x:c>
      <x:c r="F4" s="413" t="str">
        <x:v>Enum / Rule</x:v>
      </x:c>
      <x:c r="G4" s="413" t="str">
        <x:v>Description</x:v>
      </x:c>
      <x:c r="H4" s="413" t="str">
        <x:v>Example</x:v>
      </x:c>
      <x:c r="I4" s="410" t="str">
        <x:v>Dashboard Use</x:v>
      </x:c>
      <x:c r="J4" s="373"/>
      <x:c r="K4" s="373"/>
      <x:c r="L4" s="373"/>
      <x:c r="M4" s="373"/>
      <x:c r="N4" s="373"/>
      <x:c r="O4" s="373"/>
      <x:c r="P4" s="373"/>
      <x:c r="Q4" s="373"/>
      <x:c r="R4" s="373"/>
      <x:c r="S4" s="373"/>
      <x:c r="T4" s="373"/>
      <x:c r="U4" s="373"/>
      <x:c r="V4" s="373"/>
      <x:c r="W4" s="373"/>
      <x:c r="X4" s="373"/>
      <x:c r="Y4" s="373"/>
      <x:c r="Z4" s="373"/>
    </x:row>
    <x:row r="5">
      <x:c r="A5" s="411" t="str">
        <x:v>Release_Plan</x:v>
      </x:c>
      <x:c r="B5" s="411" t="str">
        <x:v>Version</x:v>
      </x:c>
      <x:c r="C5" s="411" t="str">
        <x:v>version</x:v>
      </x:c>
      <x:c r="D5" s="411" t="str">
        <x:v>string</x:v>
      </x:c>
      <x:c r="E5" s="472" t="b">
        <x:v>1</x:v>
      </x:c>
      <x:c r="F5" s="411" t="str">
        <x:v>SemVer-like release ID</x:v>
      </x:c>
      <x:c r="G5" s="411" t="str">
        <x:v>Release identifier.</x:v>
      </x:c>
      <x:c r="H5" s="411" t="str">
        <x:v>v0.1.1</x:v>
      </x:c>
      <x:c r="I5" s="411" t="str">
        <x:v>Release selector and grouping</x:v>
      </x:c>
      <x:c r="J5" s="373"/>
      <x:c r="K5" s="373"/>
      <x:c r="L5" s="373"/>
      <x:c r="M5" s="373"/>
      <x:c r="N5" s="373"/>
      <x:c r="O5" s="373"/>
      <x:c r="P5" s="373"/>
      <x:c r="Q5" s="373"/>
      <x:c r="R5" s="373"/>
      <x:c r="S5" s="373"/>
      <x:c r="T5" s="373"/>
      <x:c r="U5" s="373"/>
      <x:c r="V5" s="373"/>
      <x:c r="W5" s="373"/>
      <x:c r="X5" s="373"/>
      <x:c r="Y5" s="373"/>
      <x:c r="Z5" s="373"/>
    </x:row>
    <x:row r="6">
      <x:c r="A6" s="411" t="str">
        <x:v>Release_Plan</x:v>
      </x:c>
      <x:c r="B6" s="411" t="str">
        <x:v>Theme</x:v>
      </x:c>
      <x:c r="C6" s="411" t="str">
        <x:v>theme</x:v>
      </x:c>
      <x:c r="D6" s="411" t="str">
        <x:v>string</x:v>
      </x:c>
      <x:c r="E6" s="472" t="b">
        <x:v>1</x:v>
      </x:c>
      <x:c r="F6" s="411" t="str"/>
      <x:c r="G6" s="411" t="str">
        <x:v>Short release name.</x:v>
      </x:c>
      <x:c r="H6" s="411" t="str">
        <x:v>Runtime Cleanup &amp; Deterministic Shutdown</x:v>
      </x:c>
      <x:c r="I6" s="411" t="str">
        <x:v>Release cards</x:v>
      </x:c>
      <x:c r="J6" s="373"/>
      <x:c r="K6" s="373"/>
      <x:c r="L6" s="373"/>
      <x:c r="M6" s="373"/>
      <x:c r="N6" s="373"/>
      <x:c r="O6" s="373"/>
      <x:c r="P6" s="373"/>
      <x:c r="Q6" s="373"/>
      <x:c r="R6" s="373"/>
      <x:c r="S6" s="373"/>
      <x:c r="T6" s="373"/>
      <x:c r="U6" s="373"/>
      <x:c r="V6" s="373"/>
      <x:c r="W6" s="373"/>
      <x:c r="X6" s="373"/>
      <x:c r="Y6" s="373"/>
      <x:c r="Z6" s="373"/>
    </x:row>
    <x:row r="7">
      <x:c r="A7" s="411" t="str">
        <x:v>Release_Plan</x:v>
      </x:c>
      <x:c r="B7" s="411" t="str">
        <x:v>Status</x:v>
      </x:c>
      <x:c r="C7" s="411" t="str">
        <x:v>status</x:v>
      </x:c>
      <x:c r="D7" s="411" t="str">
        <x:v>enum</x:v>
      </x:c>
      <x:c r="E7" s="472" t="b">
        <x:v>1</x:v>
      </x:c>
      <x:c r="F7" s="411" t="str">
        <x:v>Release Status</x:v>
      </x:c>
      <x:c r="G7" s="411" t="str">
        <x:v>Current release workflow state.</x:v>
      </x:c>
      <x:c r="H7" s="411" t="str">
        <x:v>In Progress</x:v>
      </x:c>
      <x:c r="I7" s="411" t="str">
        <x:v>Status badge</x:v>
      </x:c>
      <x:c r="J7" s="373"/>
      <x:c r="K7" s="373"/>
      <x:c r="L7" s="373"/>
      <x:c r="M7" s="373"/>
      <x:c r="N7" s="373"/>
      <x:c r="O7" s="373"/>
      <x:c r="P7" s="373"/>
      <x:c r="Q7" s="373"/>
      <x:c r="R7" s="373"/>
      <x:c r="S7" s="373"/>
      <x:c r="T7" s="373"/>
      <x:c r="U7" s="373"/>
      <x:c r="V7" s="373"/>
      <x:c r="W7" s="373"/>
      <x:c r="X7" s="373"/>
      <x:c r="Y7" s="373"/>
      <x:c r="Z7" s="373"/>
    </x:row>
    <x:row r="8">
      <x:c r="A8" s="411" t="str">
        <x:v>Release_Plan</x:v>
      </x:c>
      <x:c r="B8" s="411" t="str">
        <x:v>Feature Progress</x:v>
      </x:c>
      <x:c r="C8" s="411" t="str">
        <x:v>featureProgress</x:v>
      </x:c>
      <x:c r="D8" s="411" t="str">
        <x:v>number</x:v>
      </x:c>
      <x:c r="E8" s="472" t="b">
        <x:v>1</x:v>
      </x:c>
      <x:c r="F8" s="411" t="str">
        <x:v>0..1</x:v>
      </x:c>
      <x:c r="G8" s="411" t="str">
        <x:v>Formula-derived feature completion.</x:v>
      </x:c>
      <x:c r="H8" s="411" t="str">
        <x:v>0.42</x:v>
      </x:c>
      <x:c r="I8" s="411" t="str">
        <x:v>Progress bar</x:v>
      </x:c>
      <x:c r="J8" s="373"/>
      <x:c r="K8" s="373"/>
      <x:c r="L8" s="373"/>
      <x:c r="M8" s="373"/>
      <x:c r="N8" s="373"/>
      <x:c r="O8" s="373"/>
      <x:c r="P8" s="373"/>
      <x:c r="Q8" s="373"/>
      <x:c r="R8" s="373"/>
      <x:c r="S8" s="373"/>
      <x:c r="T8" s="373"/>
      <x:c r="U8" s="373"/>
      <x:c r="V8" s="373"/>
      <x:c r="W8" s="373"/>
      <x:c r="X8" s="373"/>
      <x:c r="Y8" s="373"/>
      <x:c r="Z8" s="373"/>
    </x:row>
    <x:row r="9">
      <x:c r="A9" s="411" t="str">
        <x:v>Release_Plan</x:v>
      </x:c>
      <x:c r="B9" s="411" t="str">
        <x:v>Test Pass Rate</x:v>
      </x:c>
      <x:c r="C9" s="411" t="str">
        <x:v>testPassRate</x:v>
      </x:c>
      <x:c r="D9" s="411" t="str">
        <x:v>number</x:v>
      </x:c>
      <x:c r="E9" s="472" t="b">
        <x:v>1</x:v>
      </x:c>
      <x:c r="F9" s="411" t="str">
        <x:v>0..1</x:v>
      </x:c>
      <x:c r="G9" s="411" t="str">
        <x:v>Passed tests divided by catalog tests.</x:v>
      </x:c>
      <x:c r="H9" s="411" t="str">
        <x:v>0.80</x:v>
      </x:c>
      <x:c r="I9" s="411" t="str">
        <x:v>Quality KPI</x:v>
      </x:c>
      <x:c r="J9" s="373"/>
      <x:c r="K9" s="373"/>
      <x:c r="L9" s="373"/>
      <x:c r="M9" s="373"/>
      <x:c r="N9" s="373"/>
      <x:c r="O9" s="373"/>
      <x:c r="P9" s="373"/>
      <x:c r="Q9" s="373"/>
      <x:c r="R9" s="373"/>
      <x:c r="S9" s="373"/>
      <x:c r="T9" s="373"/>
      <x:c r="U9" s="373"/>
      <x:c r="V9" s="373"/>
      <x:c r="W9" s="373"/>
      <x:c r="X9" s="373"/>
      <x:c r="Y9" s="373"/>
      <x:c r="Z9" s="373"/>
    </x:row>
    <x:row r="10">
      <x:c r="A10" s="411" t="str">
        <x:v>Release_Plan</x:v>
      </x:c>
      <x:c r="B10" s="411" t="str">
        <x:v>Gate Pass Rate</x:v>
      </x:c>
      <x:c r="C10" s="411" t="str">
        <x:v>gatePassRate</x:v>
      </x:c>
      <x:c r="D10" s="411" t="str">
        <x:v>number</x:v>
      </x:c>
      <x:c r="E10" s="472" t="b">
        <x:v>1</x:v>
      </x:c>
      <x:c r="F10" s="411" t="str">
        <x:v>0..1</x:v>
      </x:c>
      <x:c r="G10" s="411" t="str">
        <x:v>Passed release gates divided by total gates.</x:v>
      </x:c>
      <x:c r="H10" s="411" t="str">
        <x:v>0.50</x:v>
      </x:c>
      <x:c r="I10" s="411" t="str">
        <x:v>Readiness KPI</x:v>
      </x:c>
      <x:c r="J10" s="373"/>
      <x:c r="K10" s="373"/>
      <x:c r="L10" s="373"/>
      <x:c r="M10" s="373"/>
      <x:c r="N10" s="373"/>
      <x:c r="O10" s="373"/>
      <x:c r="P10" s="373"/>
      <x:c r="Q10" s="373"/>
      <x:c r="R10" s="373"/>
      <x:c r="S10" s="373"/>
      <x:c r="T10" s="373"/>
      <x:c r="U10" s="373"/>
      <x:c r="V10" s="373"/>
      <x:c r="W10" s="373"/>
      <x:c r="X10" s="373"/>
      <x:c r="Y10" s="373"/>
      <x:c r="Z10" s="373"/>
    </x:row>
    <x:row r="11">
      <x:c r="A11" s="411" t="str">
        <x:v>Release_Plan</x:v>
      </x:c>
      <x:c r="B11" s="411" t="str">
        <x:v>Release Readiness</x:v>
      </x:c>
      <x:c r="C11" s="411" t="str">
        <x:v>readiness</x:v>
      </x:c>
      <x:c r="D11" s="411" t="str">
        <x:v>number</x:v>
      </x:c>
      <x:c r="E11" s="472" t="b">
        <x:v>1</x:v>
      </x:c>
      <x:c r="F11" s="411" t="str">
        <x:v>0..1</x:v>
      </x:c>
      <x:c r="G11" s="411" t="str">
        <x:v>Weighted feature/test/gate readiness.</x:v>
      </x:c>
      <x:c r="H11" s="411" t="str">
        <x:v>0.61</x:v>
      </x:c>
      <x:c r="I11" s="411" t="str">
        <x:v>Executive KPI</x:v>
      </x:c>
      <x:c r="J11" s="373"/>
      <x:c r="K11" s="373"/>
      <x:c r="L11" s="373"/>
      <x:c r="M11" s="373"/>
      <x:c r="N11" s="373"/>
      <x:c r="O11" s="373"/>
      <x:c r="P11" s="373"/>
      <x:c r="Q11" s="373"/>
      <x:c r="R11" s="373"/>
      <x:c r="S11" s="373"/>
      <x:c r="T11" s="373"/>
      <x:c r="U11" s="373"/>
      <x:c r="V11" s="373"/>
      <x:c r="W11" s="373"/>
      <x:c r="X11" s="373"/>
      <x:c r="Y11" s="373"/>
      <x:c r="Z11" s="373"/>
    </x:row>
    <x:row r="12">
      <x:c r="A12" s="411" t="str">
        <x:v>Features</x:v>
      </x:c>
      <x:c r="B12" s="411" t="str">
        <x:v>Feature ID</x:v>
      </x:c>
      <x:c r="C12" s="411" t="str">
        <x:v>featureId</x:v>
      </x:c>
      <x:c r="D12" s="411" t="str">
        <x:v>string</x:v>
      </x:c>
      <x:c r="E12" s="472" t="b">
        <x:v>1</x:v>
      </x:c>
      <x:c r="F12" s="411" t="str">
        <x:v>Unique</x:v>
      </x:c>
      <x:c r="G12" s="411" t="str">
        <x:v>Stable feature identifier.</x:v>
      </x:c>
      <x:c r="H12" s="411" t="str">
        <x:v>F-RUN-004</x:v>
      </x:c>
      <x:c r="I12" s="411" t="str">
        <x:v>Drill-down key</x:v>
      </x:c>
      <x:c r="J12" s="373"/>
      <x:c r="K12" s="373"/>
      <x:c r="L12" s="373"/>
      <x:c r="M12" s="373"/>
      <x:c r="N12" s="373"/>
      <x:c r="O12" s="373"/>
      <x:c r="P12" s="373"/>
      <x:c r="Q12" s="373"/>
      <x:c r="R12" s="373"/>
      <x:c r="S12" s="373"/>
      <x:c r="T12" s="373"/>
      <x:c r="U12" s="373"/>
      <x:c r="V12" s="373"/>
      <x:c r="W12" s="373"/>
      <x:c r="X12" s="373"/>
      <x:c r="Y12" s="373"/>
      <x:c r="Z12" s="373"/>
    </x:row>
    <x:row r="13">
      <x:c r="A13" s="411" t="str">
        <x:v>Features</x:v>
      </x:c>
      <x:c r="B13" s="411" t="str">
        <x:v>Release</x:v>
      </x:c>
      <x:c r="C13" s="411" t="str">
        <x:v>release</x:v>
      </x:c>
      <x:c r="D13" s="411" t="str">
        <x:v>string</x:v>
      </x:c>
      <x:c r="E13" s="472" t="b">
        <x:v>1</x:v>
      </x:c>
      <x:c r="F13" s="411" t="str">
        <x:v>Foreign key → Release_Plan.version</x:v>
      </x:c>
      <x:c r="G13" s="411" t="str">
        <x:v>Owning version.</x:v>
      </x:c>
      <x:c r="H13" s="411" t="str">
        <x:v>v0.1.1</x:v>
      </x:c>
      <x:c r="I13" s="411" t="str">
        <x:v>Grouping/filter</x:v>
      </x:c>
      <x:c r="J13" s="373"/>
      <x:c r="K13" s="373"/>
      <x:c r="L13" s="373"/>
      <x:c r="M13" s="373"/>
      <x:c r="N13" s="373"/>
      <x:c r="O13" s="373"/>
      <x:c r="P13" s="373"/>
      <x:c r="Q13" s="373"/>
      <x:c r="R13" s="373"/>
      <x:c r="S13" s="373"/>
      <x:c r="T13" s="373"/>
      <x:c r="U13" s="373"/>
      <x:c r="V13" s="373"/>
      <x:c r="W13" s="373"/>
      <x:c r="X13" s="373"/>
      <x:c r="Y13" s="373"/>
      <x:c r="Z13" s="373"/>
    </x:row>
    <x:row r="14">
      <x:c r="A14" s="411" t="str">
        <x:v>Features</x:v>
      </x:c>
      <x:c r="B14" s="411" t="str">
        <x:v>Epic</x:v>
      </x:c>
      <x:c r="C14" s="411" t="str">
        <x:v>epic</x:v>
      </x:c>
      <x:c r="D14" s="411" t="str">
        <x:v>string</x:v>
      </x:c>
      <x:c r="E14" s="472" t="b">
        <x:v>1</x:v>
      </x:c>
      <x:c r="F14" s="411" t="str"/>
      <x:c r="G14" s="411" t="str">
        <x:v>Functional category.</x:v>
      </x:c>
      <x:c r="H14" s="411" t="str">
        <x:v>Runtime</x:v>
      </x:c>
      <x:c r="I14" s="411" t="str">
        <x:v>Grouping/filter</x:v>
      </x:c>
      <x:c r="J14" s="373"/>
      <x:c r="K14" s="373"/>
      <x:c r="L14" s="373"/>
      <x:c r="M14" s="373"/>
      <x:c r="N14" s="373"/>
      <x:c r="O14" s="373"/>
      <x:c r="P14" s="373"/>
      <x:c r="Q14" s="373"/>
      <x:c r="R14" s="373"/>
      <x:c r="S14" s="373"/>
      <x:c r="T14" s="373"/>
      <x:c r="U14" s="373"/>
      <x:c r="V14" s="373"/>
      <x:c r="W14" s="373"/>
      <x:c r="X14" s="373"/>
      <x:c r="Y14" s="373"/>
      <x:c r="Z14" s="373"/>
    </x:row>
    <x:row r="15">
      <x:c r="A15" s="411" t="str">
        <x:v>Features</x:v>
      </x:c>
      <x:c r="B15" s="411" t="str">
        <x:v>Feature</x:v>
      </x:c>
      <x:c r="C15" s="411" t="str">
        <x:v>name</x:v>
      </x:c>
      <x:c r="D15" s="411" t="str">
        <x:v>string</x:v>
      </x:c>
      <x:c r="E15" s="472" t="b">
        <x:v>1</x:v>
      </x:c>
      <x:c r="F15" s="411" t="str"/>
      <x:c r="G15" s="411" t="str">
        <x:v>Human-readable feature name.</x:v>
      </x:c>
      <x:c r="H15" s="411" t="str">
        <x:v>Graceful shutdown sequence</x:v>
      </x:c>
      <x:c r="I15" s="411" t="str">
        <x:v>Feature table</x:v>
      </x:c>
      <x:c r="J15" s="373"/>
      <x:c r="K15" s="373"/>
      <x:c r="L15" s="373"/>
      <x:c r="M15" s="373"/>
      <x:c r="N15" s="373"/>
      <x:c r="O15" s="373"/>
      <x:c r="P15" s="373"/>
      <x:c r="Q15" s="373"/>
      <x:c r="R15" s="373"/>
      <x:c r="S15" s="373"/>
      <x:c r="T15" s="373"/>
      <x:c r="U15" s="373"/>
      <x:c r="V15" s="373"/>
      <x:c r="W15" s="373"/>
      <x:c r="X15" s="373"/>
      <x:c r="Y15" s="373"/>
      <x:c r="Z15" s="373"/>
    </x:row>
    <x:row r="16">
      <x:c r="A16" s="411" t="str">
        <x:v>Features</x:v>
      </x:c>
      <x:c r="B16" s="411" t="str">
        <x:v>Description</x:v>
      </x:c>
      <x:c r="C16" s="411" t="str">
        <x:v>description</x:v>
      </x:c>
      <x:c r="D16" s="411" t="str">
        <x:v>string</x:v>
      </x:c>
      <x:c r="E16" s="472" t="b">
        <x:v>1</x:v>
      </x:c>
      <x:c r="F16" s="411" t="str"/>
      <x:c r="G16" s="411" t="str">
        <x:v>Detailed scope.</x:v>
      </x:c>
      <x:c r="H16" s="411" t="str">
        <x:v>Stop goals, deactivate modes...</x:v>
      </x:c>
      <x:c r="I16" s="411" t="str">
        <x:v>Feature details</x:v>
      </x:c>
      <x:c r="J16" s="373"/>
      <x:c r="K16" s="373"/>
      <x:c r="L16" s="373"/>
      <x:c r="M16" s="373"/>
      <x:c r="N16" s="373"/>
      <x:c r="O16" s="373"/>
      <x:c r="P16" s="373"/>
      <x:c r="Q16" s="373"/>
      <x:c r="R16" s="373"/>
      <x:c r="S16" s="373"/>
      <x:c r="T16" s="373"/>
      <x:c r="U16" s="373"/>
      <x:c r="V16" s="373"/>
      <x:c r="W16" s="373"/>
      <x:c r="X16" s="373"/>
      <x:c r="Y16" s="373"/>
      <x:c r="Z16" s="373"/>
    </x:row>
    <x:row r="17">
      <x:c r="A17" s="411" t="str">
        <x:v>Features</x:v>
      </x:c>
      <x:c r="B17" s="411" t="str">
        <x:v>Priority</x:v>
      </x:c>
      <x:c r="C17" s="411" t="str">
        <x:v>priority</x:v>
      </x:c>
      <x:c r="D17" s="411" t="str">
        <x:v>enum</x:v>
      </x:c>
      <x:c r="E17" s="472" t="b">
        <x:v>1</x:v>
      </x:c>
      <x:c r="F17" s="411" t="str">
        <x:v>Priority</x:v>
      </x:c>
      <x:c r="G17" s="411" t="str">
        <x:v>Delivery and verification criticality.</x:v>
      </x:c>
      <x:c r="H17" s="411" t="str">
        <x:v>Critical</x:v>
      </x:c>
      <x:c r="I17" s="411" t="str">
        <x:v>Priority badge</x:v>
      </x:c>
      <x:c r="J17" s="373"/>
      <x:c r="K17" s="373"/>
      <x:c r="L17" s="373"/>
      <x:c r="M17" s="373"/>
      <x:c r="N17" s="373"/>
      <x:c r="O17" s="373"/>
      <x:c r="P17" s="373"/>
      <x:c r="Q17" s="373"/>
      <x:c r="R17" s="373"/>
      <x:c r="S17" s="373"/>
      <x:c r="T17" s="373"/>
      <x:c r="U17" s="373"/>
      <x:c r="V17" s="373"/>
      <x:c r="W17" s="373"/>
      <x:c r="X17" s="373"/>
      <x:c r="Y17" s="373"/>
      <x:c r="Z17" s="373"/>
    </x:row>
    <x:row r="18">
      <x:c r="A18" s="411" t="str">
        <x:v>Features</x:v>
      </x:c>
      <x:c r="B18" s="411" t="str">
        <x:v>Status</x:v>
      </x:c>
      <x:c r="C18" s="411" t="str">
        <x:v>status</x:v>
      </x:c>
      <x:c r="D18" s="411" t="str">
        <x:v>enum</x:v>
      </x:c>
      <x:c r="E18" s="472" t="b">
        <x:v>1</x:v>
      </x:c>
      <x:c r="F18" s="411" t="str">
        <x:v>Feature Status</x:v>
      </x:c>
      <x:c r="G18" s="411" t="str">
        <x:v>Workflow state.</x:v>
      </x:c>
      <x:c r="H18" s="411" t="str">
        <x:v>In Progress</x:v>
      </x:c>
      <x:c r="I18" s="411" t="str">
        <x:v>Kanban/progress</x:v>
      </x:c>
      <x:c r="J18" s="373"/>
      <x:c r="K18" s="373"/>
      <x:c r="L18" s="373"/>
      <x:c r="M18" s="373"/>
      <x:c r="N18" s="373"/>
      <x:c r="O18" s="373"/>
      <x:c r="P18" s="373"/>
      <x:c r="Q18" s="373"/>
      <x:c r="R18" s="373"/>
      <x:c r="S18" s="373"/>
      <x:c r="T18" s="373"/>
      <x:c r="U18" s="373"/>
      <x:c r="V18" s="373"/>
      <x:c r="W18" s="373"/>
      <x:c r="X18" s="373"/>
      <x:c r="Y18" s="373"/>
      <x:c r="Z18" s="373"/>
    </x:row>
    <x:row r="19">
      <x:c r="A19" s="411" t="str">
        <x:v>Features</x:v>
      </x:c>
      <x:c r="B19" s="411" t="str">
        <x:v>Progress %</x:v>
      </x:c>
      <x:c r="C19" s="411" t="str">
        <x:v>progress</x:v>
      </x:c>
      <x:c r="D19" s="411" t="str">
        <x:v>number</x:v>
      </x:c>
      <x:c r="E19" s="472" t="b">
        <x:v>1</x:v>
      </x:c>
      <x:c r="F19" s="411" t="str">
        <x:v>0..1</x:v>
      </x:c>
      <x:c r="G19" s="411" t="str">
        <x:v>Formula-derived progress.</x:v>
      </x:c>
      <x:c r="H19" s="411" t="str">
        <x:v>0.50</x:v>
      </x:c>
      <x:c r="I19" s="411" t="str">
        <x:v>Progress bar</x:v>
      </x:c>
      <x:c r="J19" s="373"/>
      <x:c r="K19" s="373"/>
      <x:c r="L19" s="373"/>
      <x:c r="M19" s="373"/>
      <x:c r="N19" s="373"/>
      <x:c r="O19" s="373"/>
      <x:c r="P19" s="373"/>
      <x:c r="Q19" s="373"/>
      <x:c r="R19" s="373"/>
      <x:c r="S19" s="373"/>
      <x:c r="T19" s="373"/>
      <x:c r="U19" s="373"/>
      <x:c r="V19" s="373"/>
      <x:c r="W19" s="373"/>
      <x:c r="X19" s="373"/>
      <x:c r="Y19" s="373"/>
      <x:c r="Z19" s="373"/>
    </x:row>
    <x:row r="20">
      <x:c r="A20" s="411" t="str">
        <x:v>Features</x:v>
      </x:c>
      <x:c r="B20" s="411" t="str">
        <x:v>Test Count</x:v>
      </x:c>
      <x:c r="C20" s="411" t="str">
        <x:v>testCount</x:v>
      </x:c>
      <x:c r="D20" s="411" t="str">
        <x:v>integer</x:v>
      </x:c>
      <x:c r="E20" s="472" t="b">
        <x:v>1</x:v>
      </x:c>
      <x:c r="F20" s="411" t="str">
        <x:v>&gt;=0</x:v>
      </x:c>
      <x:c r="G20" s="411" t="str">
        <x:v>Linked test count.</x:v>
      </x:c>
      <x:c r="H20" s="411" t="str">
        <x:v>4</x:v>
      </x:c>
      <x:c r="I20" s="411" t="str">
        <x:v>Coverage KPI</x:v>
      </x:c>
      <x:c r="J20" s="373"/>
      <x:c r="K20" s="373"/>
      <x:c r="L20" s="373"/>
      <x:c r="M20" s="373"/>
      <x:c r="N20" s="373"/>
      <x:c r="O20" s="373"/>
      <x:c r="P20" s="373"/>
      <x:c r="Q20" s="373"/>
      <x:c r="R20" s="373"/>
      <x:c r="S20" s="373"/>
      <x:c r="T20" s="373"/>
      <x:c r="U20" s="373"/>
      <x:c r="V20" s="373"/>
      <x:c r="W20" s="373"/>
      <x:c r="X20" s="373"/>
      <x:c r="Y20" s="373"/>
      <x:c r="Z20" s="373"/>
    </x:row>
    <x:row r="21">
      <x:c r="A21" s="411" t="str">
        <x:v>Features</x:v>
      </x:c>
      <x:c r="B21" s="411" t="str">
        <x:v>Passed Tests</x:v>
      </x:c>
      <x:c r="C21" s="411" t="str">
        <x:v>passedTests</x:v>
      </x:c>
      <x:c r="D21" s="411" t="str">
        <x:v>integer</x:v>
      </x:c>
      <x:c r="E21" s="472" t="b">
        <x:v>1</x:v>
      </x:c>
      <x:c r="F21" s="411" t="str">
        <x:v>&gt;=0</x:v>
      </x:c>
      <x:c r="G21" s="411" t="str">
        <x:v>Linked passed test count.</x:v>
      </x:c>
      <x:c r="H21" s="411" t="str">
        <x:v>3</x:v>
      </x:c>
      <x:c r="I21" s="411" t="str">
        <x:v>Quality KPI</x:v>
      </x:c>
      <x:c r="J21" s="373"/>
      <x:c r="K21" s="373"/>
      <x:c r="L21" s="373"/>
      <x:c r="M21" s="373"/>
      <x:c r="N21" s="373"/>
      <x:c r="O21" s="373"/>
      <x:c r="P21" s="373"/>
      <x:c r="Q21" s="373"/>
      <x:c r="R21" s="373"/>
      <x:c r="S21" s="373"/>
      <x:c r="T21" s="373"/>
      <x:c r="U21" s="373"/>
      <x:c r="V21" s="373"/>
      <x:c r="W21" s="373"/>
      <x:c r="X21" s="373"/>
      <x:c r="Y21" s="373"/>
      <x:c r="Z21" s="373"/>
    </x:row>
    <x:row r="22">
      <x:c r="A22" s="411" t="str">
        <x:v>Features</x:v>
      </x:c>
      <x:c r="B22" s="411" t="str">
        <x:v>Open Defects</x:v>
      </x:c>
      <x:c r="C22" s="411" t="str">
        <x:v>openDefects</x:v>
      </x:c>
      <x:c r="D22" s="411" t="str">
        <x:v>integer</x:v>
      </x:c>
      <x:c r="E22" s="472" t="b">
        <x:v>1</x:v>
      </x:c>
      <x:c r="F22" s="411" t="str">
        <x:v>&gt;=0</x:v>
      </x:c>
      <x:c r="G22" s="411" t="str">
        <x:v>Linked non-closed defect count.</x:v>
      </x:c>
      <x:c r="H22" s="411" t="str">
        <x:v>1</x:v>
      </x:c>
      <x:c r="I22" s="411" t="str">
        <x:v>Risk indicator</x:v>
      </x:c>
      <x:c r="J22" s="373"/>
      <x:c r="K22" s="373"/>
      <x:c r="L22" s="373"/>
      <x:c r="M22" s="373"/>
      <x:c r="N22" s="373"/>
      <x:c r="O22" s="373"/>
      <x:c r="P22" s="373"/>
      <x:c r="Q22" s="373"/>
      <x:c r="R22" s="373"/>
      <x:c r="S22" s="373"/>
      <x:c r="T22" s="373"/>
      <x:c r="U22" s="373"/>
      <x:c r="V22" s="373"/>
      <x:c r="W22" s="373"/>
      <x:c r="X22" s="373"/>
      <x:c r="Y22" s="373"/>
      <x:c r="Z22" s="373"/>
    </x:row>
    <x:row r="23">
      <x:c r="A23" s="411" t="str">
        <x:v>Requirements</x:v>
      </x:c>
      <x:c r="B23" s="411" t="str">
        <x:v>Requirement ID</x:v>
      </x:c>
      <x:c r="C23" s="411" t="str">
        <x:v>requirementId</x:v>
      </x:c>
      <x:c r="D23" s="411" t="str">
        <x:v>string</x:v>
      </x:c>
      <x:c r="E23" s="472" t="b">
        <x:v>1</x:v>
      </x:c>
      <x:c r="F23" s="411" t="str">
        <x:v>Unique</x:v>
      </x:c>
      <x:c r="G23" s="411" t="str">
        <x:v>Stable requirement identifier.</x:v>
      </x:c>
      <x:c r="H23" s="411" t="str">
        <x:v>REQ-001</x:v>
      </x:c>
      <x:c r="I23" s="411" t="str">
        <x:v>Traceability key</x:v>
      </x:c>
      <x:c r="J23" s="373"/>
      <x:c r="K23" s="373"/>
      <x:c r="L23" s="373"/>
      <x:c r="M23" s="373"/>
      <x:c r="N23" s="373"/>
      <x:c r="O23" s="373"/>
      <x:c r="P23" s="373"/>
      <x:c r="Q23" s="373"/>
      <x:c r="R23" s="373"/>
      <x:c r="S23" s="373"/>
      <x:c r="T23" s="373"/>
      <x:c r="U23" s="373"/>
      <x:c r="V23" s="373"/>
      <x:c r="W23" s="373"/>
      <x:c r="X23" s="373"/>
      <x:c r="Y23" s="373"/>
      <x:c r="Z23" s="373"/>
    </x:row>
    <x:row r="24">
      <x:c r="A24" s="411" t="str">
        <x:v>Requirements</x:v>
      </x:c>
      <x:c r="B24" s="411" t="str">
        <x:v>Coverage %</x:v>
      </x:c>
      <x:c r="C24" s="411" t="str">
        <x:v>coverage</x:v>
      </x:c>
      <x:c r="D24" s="411" t="str">
        <x:v>number</x:v>
      </x:c>
      <x:c r="E24" s="472" t="b">
        <x:v>1</x:v>
      </x:c>
      <x:c r="F24" s="411" t="str">
        <x:v>0..1</x:v>
      </x:c>
      <x:c r="G24" s="411" t="str">
        <x:v>Passed tests divided by linked tests.</x:v>
      </x:c>
      <x:c r="H24" s="411" t="str">
        <x:v>0.75</x:v>
      </x:c>
      <x:c r="I24" s="411" t="str">
        <x:v>Coverage dashboard</x:v>
      </x:c>
      <x:c r="J24" s="373"/>
      <x:c r="K24" s="373"/>
      <x:c r="L24" s="373"/>
      <x:c r="M24" s="373"/>
      <x:c r="N24" s="373"/>
      <x:c r="O24" s="373"/>
      <x:c r="P24" s="373"/>
      <x:c r="Q24" s="373"/>
      <x:c r="R24" s="373"/>
      <x:c r="S24" s="373"/>
      <x:c r="T24" s="373"/>
      <x:c r="U24" s="373"/>
      <x:c r="V24" s="373"/>
      <x:c r="W24" s="373"/>
      <x:c r="X24" s="373"/>
      <x:c r="Y24" s="373"/>
      <x:c r="Z24" s="373"/>
    </x:row>
    <x:row r="25">
      <x:c r="A25" s="411" t="str">
        <x:v>Test_Cases</x:v>
      </x:c>
      <x:c r="B25" s="411" t="str">
        <x:v>Test ID</x:v>
      </x:c>
      <x:c r="C25" s="411" t="str">
        <x:v>testId</x:v>
      </x:c>
      <x:c r="D25" s="411" t="str">
        <x:v>string</x:v>
      </x:c>
      <x:c r="E25" s="472" t="b">
        <x:v>1</x:v>
      </x:c>
      <x:c r="F25" s="411" t="str">
        <x:v>Unique</x:v>
      </x:c>
      <x:c r="G25" s="411" t="str">
        <x:v>Stable test identifier.</x:v>
      </x:c>
      <x:c r="H25" s="411" t="str">
        <x:v>TC-0004</x:v>
      </x:c>
      <x:c r="I25" s="411" t="str">
        <x:v>Test drill-down</x:v>
      </x:c>
      <x:c r="J25" s="373"/>
      <x:c r="K25" s="373"/>
      <x:c r="L25" s="373"/>
      <x:c r="M25" s="373"/>
      <x:c r="N25" s="373"/>
      <x:c r="O25" s="373"/>
      <x:c r="P25" s="373"/>
      <x:c r="Q25" s="373"/>
      <x:c r="R25" s="373"/>
      <x:c r="S25" s="373"/>
      <x:c r="T25" s="373"/>
      <x:c r="U25" s="373"/>
      <x:c r="V25" s="373"/>
      <x:c r="W25" s="373"/>
      <x:c r="X25" s="373"/>
      <x:c r="Y25" s="373"/>
      <x:c r="Z25" s="373"/>
    </x:row>
    <x:row r="26">
      <x:c r="A26" s="411" t="str">
        <x:v>Test_Cases</x:v>
      </x:c>
      <x:c r="B26" s="411" t="str">
        <x:v>Test Level</x:v>
      </x:c>
      <x:c r="C26" s="411" t="str">
        <x:v>level</x:v>
      </x:c>
      <x:c r="D26" s="411" t="str">
        <x:v>enum</x:v>
      </x:c>
      <x:c r="E26" s="472" t="b">
        <x:v>1</x:v>
      </x:c>
      <x:c r="F26" s="411" t="str">
        <x:v>Configuration|Unit|Lifecycle|Readiness|Launch|Integration|E2E|Fault|Regression|Safety|Performance</x:v>
      </x:c>
      <x:c r="G26" s="411" t="str">
        <x:v>Verification layer.</x:v>
      </x:c>
      <x:c r="H26" s="411" t="str">
        <x:v>E2E</x:v>
      </x:c>
      <x:c r="I26" s="411" t="str">
        <x:v>Filter</x:v>
      </x:c>
      <x:c r="J26" s="373"/>
      <x:c r="K26" s="373"/>
      <x:c r="L26" s="373"/>
      <x:c r="M26" s="373"/>
      <x:c r="N26" s="373"/>
      <x:c r="O26" s="373"/>
      <x:c r="P26" s="373"/>
      <x:c r="Q26" s="373"/>
      <x:c r="R26" s="373"/>
      <x:c r="S26" s="373"/>
      <x:c r="T26" s="373"/>
      <x:c r="U26" s="373"/>
      <x:c r="V26" s="373"/>
      <x:c r="W26" s="373"/>
      <x:c r="X26" s="373"/>
      <x:c r="Y26" s="373"/>
      <x:c r="Z26" s="373"/>
    </x:row>
    <x:row r="27">
      <x:c r="A27" s="411" t="str">
        <x:v>Test_Cases</x:v>
      </x:c>
      <x:c r="B27" s="411" t="str">
        <x:v>Current Status</x:v>
      </x:c>
      <x:c r="C27" s="411" t="str">
        <x:v>status</x:v>
      </x:c>
      <x:c r="D27" s="411" t="str">
        <x:v>enum</x:v>
      </x:c>
      <x:c r="E27" s="472" t="b">
        <x:v>1</x:v>
      </x:c>
      <x:c r="F27" s="411" t="str">
        <x:v>Test Status</x:v>
      </x:c>
      <x:c r="G27" s="411" t="str">
        <x:v>Current catalog status.</x:v>
      </x:c>
      <x:c r="H27" s="411" t="str">
        <x:v>Passed</x:v>
      </x:c>
      <x:c r="I27" s="411" t="str">
        <x:v>Status badge</x:v>
      </x:c>
      <x:c r="J27" s="373"/>
      <x:c r="K27" s="373"/>
      <x:c r="L27" s="373"/>
      <x:c r="M27" s="373"/>
      <x:c r="N27" s="373"/>
      <x:c r="O27" s="373"/>
      <x:c r="P27" s="373"/>
      <x:c r="Q27" s="373"/>
      <x:c r="R27" s="373"/>
      <x:c r="S27" s="373"/>
      <x:c r="T27" s="373"/>
      <x:c r="U27" s="373"/>
      <x:c r="V27" s="373"/>
      <x:c r="W27" s="373"/>
      <x:c r="X27" s="373"/>
      <x:c r="Y27" s="373"/>
      <x:c r="Z27" s="373"/>
    </x:row>
    <x:row r="28">
      <x:c r="A28" s="411" t="str">
        <x:v>Test_Cases</x:v>
      </x:c>
      <x:c r="B28" s="411" t="str">
        <x:v>Automation</x:v>
      </x:c>
      <x:c r="C28" s="411" t="str">
        <x:v>automation</x:v>
      </x:c>
      <x:c r="D28" s="411" t="str">
        <x:v>enum</x:v>
      </x:c>
      <x:c r="E28" s="472" t="b">
        <x:v>1</x:v>
      </x:c>
      <x:c r="F28" s="411" t="str">
        <x:v>Automation Status</x:v>
      </x:c>
      <x:c r="G28" s="411" t="str">
        <x:v>Automation maturity.</x:v>
      </x:c>
      <x:c r="H28" s="411" t="str">
        <x:v>Automated</x:v>
      </x:c>
      <x:c r="I28" s="411" t="str">
        <x:v>Automation chart</x:v>
      </x:c>
      <x:c r="J28" s="373"/>
      <x:c r="K28" s="373"/>
      <x:c r="L28" s="373"/>
      <x:c r="M28" s="373"/>
      <x:c r="N28" s="373"/>
      <x:c r="O28" s="373"/>
      <x:c r="P28" s="373"/>
      <x:c r="Q28" s="373"/>
      <x:c r="R28" s="373"/>
      <x:c r="S28" s="373"/>
      <x:c r="T28" s="373"/>
      <x:c r="U28" s="373"/>
      <x:c r="V28" s="373"/>
      <x:c r="W28" s="373"/>
      <x:c r="X28" s="373"/>
      <x:c r="Y28" s="373"/>
      <x:c r="Z28" s="373"/>
    </x:row>
    <x:row r="29">
      <x:c r="A29" s="411" t="str">
        <x:v>Test_Executions</x:v>
      </x:c>
      <x:c r="B29" s="411" t="str">
        <x:v>Run ID</x:v>
      </x:c>
      <x:c r="C29" s="411" t="str">
        <x:v>runId</x:v>
      </x:c>
      <x:c r="D29" s="411" t="str">
        <x:v>string</x:v>
      </x:c>
      <x:c r="E29" s="472" t="b">
        <x:v>1</x:v>
      </x:c>
      <x:c r="F29" s="411" t="str">
        <x:v>Unique</x:v>
      </x:c>
      <x:c r="G29" s="411" t="str">
        <x:v>Execution identifier.</x:v>
      </x:c>
      <x:c r="H29" s="411" t="str">
        <x:v>run_20260805_001</x:v>
      </x:c>
      <x:c r="I29" s="411" t="str">
        <x:v>Run key</x:v>
      </x:c>
      <x:c r="J29" s="373"/>
      <x:c r="K29" s="373"/>
      <x:c r="L29" s="373"/>
      <x:c r="M29" s="373"/>
      <x:c r="N29" s="373"/>
      <x:c r="O29" s="373"/>
      <x:c r="P29" s="373"/>
      <x:c r="Q29" s="373"/>
      <x:c r="R29" s="373"/>
      <x:c r="S29" s="373"/>
      <x:c r="T29" s="373"/>
      <x:c r="U29" s="373"/>
      <x:c r="V29" s="373"/>
      <x:c r="W29" s="373"/>
      <x:c r="X29" s="373"/>
      <x:c r="Y29" s="373"/>
      <x:c r="Z29" s="373"/>
    </x:row>
    <x:row r="30">
      <x:c r="A30" s="411" t="str">
        <x:v>Test_Executions</x:v>
      </x:c>
      <x:c r="B30" s="411" t="str">
        <x:v>Date/Time</x:v>
      </x:c>
      <x:c r="C30" s="411" t="str">
        <x:v>timestamp</x:v>
      </x:c>
      <x:c r="D30" s="411" t="str">
        <x:v>datetime</x:v>
      </x:c>
      <x:c r="E30" s="472" t="b">
        <x:v>1</x:v>
      </x:c>
      <x:c r="F30" s="411" t="str">
        <x:v>ISO-8601</x:v>
      </x:c>
      <x:c r="G30" s="411" t="str">
        <x:v>Execution timestamp.</x:v>
      </x:c>
      <x:c r="H30" s="411" t="n">
        <x:v>46240.21527777778</x:v>
      </x:c>
      <x:c r="I30" s="411" t="str">
        <x:v>Timeline</x:v>
      </x:c>
      <x:c r="J30" s="373"/>
      <x:c r="K30" s="373"/>
      <x:c r="L30" s="373"/>
      <x:c r="M30" s="373"/>
      <x:c r="N30" s="373"/>
      <x:c r="O30" s="373"/>
      <x:c r="P30" s="373"/>
      <x:c r="Q30" s="373"/>
      <x:c r="R30" s="373"/>
      <x:c r="S30" s="373"/>
      <x:c r="T30" s="373"/>
      <x:c r="U30" s="373"/>
      <x:c r="V30" s="373"/>
      <x:c r="W30" s="373"/>
      <x:c r="X30" s="373"/>
      <x:c r="Y30" s="373"/>
      <x:c r="Z30" s="373"/>
    </x:row>
    <x:row r="31">
      <x:c r="A31" s="411" t="str">
        <x:v>Test_Executions</x:v>
      </x:c>
      <x:c r="B31" s="411" t="str">
        <x:v>Commit SHA</x:v>
      </x:c>
      <x:c r="C31" s="411" t="str">
        <x:v>commitSha</x:v>
      </x:c>
      <x:c r="D31" s="411" t="str">
        <x:v>string</x:v>
      </x:c>
      <x:c r="E31" s="472" t="b">
        <x:v>1</x:v>
      </x:c>
      <x:c r="F31" s="411" t="str">
        <x:v>Git SHA</x:v>
      </x:c>
      <x:c r="G31" s="411" t="str">
        <x:v>Code version under test.</x:v>
      </x:c>
      <x:c r="H31" s="411" t="str">
        <x:v>abc1234</x:v>
      </x:c>
      <x:c r="I31" s="411" t="str">
        <x:v>Traceability</x:v>
      </x:c>
      <x:c r="J31" s="373"/>
      <x:c r="K31" s="373"/>
      <x:c r="L31" s="373"/>
      <x:c r="M31" s="373"/>
      <x:c r="N31" s="373"/>
      <x:c r="O31" s="373"/>
      <x:c r="P31" s="373"/>
      <x:c r="Q31" s="373"/>
      <x:c r="R31" s="373"/>
      <x:c r="S31" s="373"/>
      <x:c r="T31" s="373"/>
      <x:c r="U31" s="373"/>
      <x:c r="V31" s="373"/>
      <x:c r="W31" s="373"/>
      <x:c r="X31" s="373"/>
      <x:c r="Y31" s="373"/>
      <x:c r="Z31" s="373"/>
    </x:row>
    <x:row r="32">
      <x:c r="A32" s="411" t="str">
        <x:v>Test_Executions</x:v>
      </x:c>
      <x:c r="B32" s="411" t="str">
        <x:v>Seed</x:v>
      </x:c>
      <x:c r="C32" s="411" t="str">
        <x:v>seed</x:v>
      </x:c>
      <x:c r="D32" s="411" t="str">
        <x:v>integer</x:v>
      </x:c>
      <x:c r="E32" s="472" t="b">
        <x:v>0</x:v>
      </x:c>
      <x:c r="F32" s="411" t="str"/>
      <x:c r="G32" s="411" t="str">
        <x:v>Random seed for reproducibility.</x:v>
      </x:c>
      <x:c r="H32" s="411" t="str">
        <x:v>42</x:v>
      </x:c>
      <x:c r="I32" s="411" t="str">
        <x:v>Experiment filter</x:v>
      </x:c>
      <x:c r="J32" s="373"/>
      <x:c r="K32" s="373"/>
      <x:c r="L32" s="373"/>
      <x:c r="M32" s="373"/>
      <x:c r="N32" s="373"/>
      <x:c r="O32" s="373"/>
      <x:c r="P32" s="373"/>
      <x:c r="Q32" s="373"/>
      <x:c r="R32" s="373"/>
      <x:c r="S32" s="373"/>
      <x:c r="T32" s="373"/>
      <x:c r="U32" s="373"/>
      <x:c r="V32" s="373"/>
      <x:c r="W32" s="373"/>
      <x:c r="X32" s="373"/>
      <x:c r="Y32" s="373"/>
      <x:c r="Z32" s="373"/>
    </x:row>
    <x:row r="33">
      <x:c r="A33" s="411" t="str">
        <x:v>Test_Executions</x:v>
      </x:c>
      <x:c r="B33" s="411" t="str">
        <x:v>Result</x:v>
      </x:c>
      <x:c r="C33" s="411" t="str">
        <x:v>result</x:v>
      </x:c>
      <x:c r="D33" s="411" t="str">
        <x:v>enum</x:v>
      </x:c>
      <x:c r="E33" s="472" t="b">
        <x:v>1</x:v>
      </x:c>
      <x:c r="F33" s="411" t="str">
        <x:v>Passed|Failed|Blocked|Skipped</x:v>
      </x:c>
      <x:c r="G33" s="411" t="str">
        <x:v>Execution outcome.</x:v>
      </x:c>
      <x:c r="H33" s="411" t="str">
        <x:v>Passed</x:v>
      </x:c>
      <x:c r="I33" s="411" t="str">
        <x:v>Pass-rate chart</x:v>
      </x:c>
      <x:c r="J33" s="373"/>
      <x:c r="K33" s="373"/>
      <x:c r="L33" s="373"/>
      <x:c r="M33" s="373"/>
      <x:c r="N33" s="373"/>
      <x:c r="O33" s="373"/>
      <x:c r="P33" s="373"/>
      <x:c r="Q33" s="373"/>
      <x:c r="R33" s="373"/>
      <x:c r="S33" s="373"/>
      <x:c r="T33" s="373"/>
      <x:c r="U33" s="373"/>
      <x:c r="V33" s="373"/>
      <x:c r="W33" s="373"/>
      <x:c r="X33" s="373"/>
      <x:c r="Y33" s="373"/>
      <x:c r="Z33" s="373"/>
    </x:row>
    <x:row r="34">
      <x:c r="A34" s="411" t="str">
        <x:v>Defects</x:v>
      </x:c>
      <x:c r="B34" s="411" t="str">
        <x:v>Defect ID</x:v>
      </x:c>
      <x:c r="C34" s="411" t="str">
        <x:v>defectId</x:v>
      </x:c>
      <x:c r="D34" s="411" t="str">
        <x:v>string</x:v>
      </x:c>
      <x:c r="E34" s="472" t="b">
        <x:v>1</x:v>
      </x:c>
      <x:c r="F34" s="411" t="str">
        <x:v>Unique</x:v>
      </x:c>
      <x:c r="G34" s="411" t="str">
        <x:v>Stable defect identifier.</x:v>
      </x:c>
      <x:c r="H34" s="411" t="str">
        <x:v>DEF-001</x:v>
      </x:c>
      <x:c r="I34" s="411" t="str">
        <x:v>Defect drill-down</x:v>
      </x:c>
      <x:c r="J34" s="373"/>
      <x:c r="K34" s="373"/>
      <x:c r="L34" s="373"/>
      <x:c r="M34" s="373"/>
      <x:c r="N34" s="373"/>
      <x:c r="O34" s="373"/>
      <x:c r="P34" s="373"/>
      <x:c r="Q34" s="373"/>
      <x:c r="R34" s="373"/>
      <x:c r="S34" s="373"/>
      <x:c r="T34" s="373"/>
      <x:c r="U34" s="373"/>
      <x:c r="V34" s="373"/>
      <x:c r="W34" s="373"/>
      <x:c r="X34" s="373"/>
      <x:c r="Y34" s="373"/>
      <x:c r="Z34" s="373"/>
    </x:row>
    <x:row r="35">
      <x:c r="A35" s="411" t="str">
        <x:v>Defects</x:v>
      </x:c>
      <x:c r="B35" s="411" t="str">
        <x:v>Severity</x:v>
      </x:c>
      <x:c r="C35" s="411" t="str">
        <x:v>severity</x:v>
      </x:c>
      <x:c r="D35" s="411" t="str">
        <x:v>enum</x:v>
      </x:c>
      <x:c r="E35" s="472" t="b">
        <x:v>1</x:v>
      </x:c>
      <x:c r="F35" s="411" t="str">
        <x:v>Severity</x:v>
      </x:c>
      <x:c r="G35" s="411" t="str">
        <x:v>Failure impact.</x:v>
      </x:c>
      <x:c r="H35" s="411" t="str">
        <x:v>High</x:v>
      </x:c>
      <x:c r="I35" s="411" t="str">
        <x:v>Severity chart</x:v>
      </x:c>
      <x:c r="J35" s="373"/>
      <x:c r="K35" s="373"/>
      <x:c r="L35" s="373"/>
      <x:c r="M35" s="373"/>
      <x:c r="N35" s="373"/>
      <x:c r="O35" s="373"/>
      <x:c r="P35" s="373"/>
      <x:c r="Q35" s="373"/>
      <x:c r="R35" s="373"/>
      <x:c r="S35" s="373"/>
      <x:c r="T35" s="373"/>
      <x:c r="U35" s="373"/>
      <x:c r="V35" s="373"/>
      <x:c r="W35" s="373"/>
      <x:c r="X35" s="373"/>
      <x:c r="Y35" s="373"/>
      <x:c r="Z35" s="373"/>
    </x:row>
    <x:row r="36">
      <x:c r="A36" s="411" t="str">
        <x:v>Defects</x:v>
      </x:c>
      <x:c r="B36" s="411" t="str">
        <x:v>Status</x:v>
      </x:c>
      <x:c r="C36" s="411" t="str">
        <x:v>status</x:v>
      </x:c>
      <x:c r="D36" s="411" t="str">
        <x:v>enum</x:v>
      </x:c>
      <x:c r="E36" s="472" t="b">
        <x:v>1</x:v>
      </x:c>
      <x:c r="F36" s="411" t="str">
        <x:v>Defect Status</x:v>
      </x:c>
      <x:c r="G36" s="411" t="str">
        <x:v>Defect workflow state.</x:v>
      </x:c>
      <x:c r="H36" s="411" t="str">
        <x:v>Open</x:v>
      </x:c>
      <x:c r="I36" s="411" t="str">
        <x:v>Open/closed KPI</x:v>
      </x:c>
      <x:c r="J36" s="373"/>
      <x:c r="K36" s="373"/>
      <x:c r="L36" s="373"/>
      <x:c r="M36" s="373"/>
      <x:c r="N36" s="373"/>
      <x:c r="O36" s="373"/>
      <x:c r="P36" s="373"/>
      <x:c r="Q36" s="373"/>
      <x:c r="R36" s="373"/>
      <x:c r="S36" s="373"/>
      <x:c r="T36" s="373"/>
      <x:c r="U36" s="373"/>
      <x:c r="V36" s="373"/>
      <x:c r="W36" s="373"/>
      <x:c r="X36" s="373"/>
      <x:c r="Y36" s="373"/>
      <x:c r="Z36" s="373"/>
    </x:row>
    <x:row r="37">
      <x:c r="A37" s="411" t="str">
        <x:v>Risks</x:v>
      </x:c>
      <x:c r="B37" s="411" t="str">
        <x:v>Risk ID</x:v>
      </x:c>
      <x:c r="C37" s="411" t="str">
        <x:v>riskId</x:v>
      </x:c>
      <x:c r="D37" s="411" t="str">
        <x:v>string</x:v>
      </x:c>
      <x:c r="E37" s="472" t="b">
        <x:v>1</x:v>
      </x:c>
      <x:c r="F37" s="411" t="str">
        <x:v>Unique</x:v>
      </x:c>
      <x:c r="G37" s="411" t="str">
        <x:v>Stable risk identifier.</x:v>
      </x:c>
      <x:c r="H37" s="411" t="str">
        <x:v>RSK-001</x:v>
      </x:c>
      <x:c r="I37" s="411" t="str">
        <x:v>Risk drill-down</x:v>
      </x:c>
      <x:c r="J37" s="373"/>
      <x:c r="K37" s="373"/>
      <x:c r="L37" s="373"/>
      <x:c r="M37" s="373"/>
      <x:c r="N37" s="373"/>
      <x:c r="O37" s="373"/>
      <x:c r="P37" s="373"/>
      <x:c r="Q37" s="373"/>
      <x:c r="R37" s="373"/>
      <x:c r="S37" s="373"/>
      <x:c r="T37" s="373"/>
      <x:c r="U37" s="373"/>
      <x:c r="V37" s="373"/>
      <x:c r="W37" s="373"/>
      <x:c r="X37" s="373"/>
      <x:c r="Y37" s="373"/>
      <x:c r="Z37" s="373"/>
    </x:row>
    <x:row r="38">
      <x:c r="A38" s="411" t="str">
        <x:v>Risks</x:v>
      </x:c>
      <x:c r="B38" s="411" t="str">
        <x:v>Score</x:v>
      </x:c>
      <x:c r="C38" s="411" t="str">
        <x:v>score</x:v>
      </x:c>
      <x:c r="D38" s="411" t="str">
        <x:v>integer</x:v>
      </x:c>
      <x:c r="E38" s="472" t="b">
        <x:v>1</x:v>
      </x:c>
      <x:c r="F38" s="411" t="str">
        <x:v>1..9</x:v>
      </x:c>
      <x:c r="G38" s="411" t="str">
        <x:v>Probability × impact score.</x:v>
      </x:c>
      <x:c r="H38" s="411" t="str">
        <x:v>9</x:v>
      </x:c>
      <x:c r="I38" s="411" t="str">
        <x:v>Risk heat ranking</x:v>
      </x:c>
      <x:c r="J38" s="373"/>
      <x:c r="K38" s="373"/>
      <x:c r="L38" s="373"/>
      <x:c r="M38" s="373"/>
      <x:c r="N38" s="373"/>
      <x:c r="O38" s="373"/>
      <x:c r="P38" s="373"/>
      <x:c r="Q38" s="373"/>
      <x:c r="R38" s="373"/>
      <x:c r="S38" s="373"/>
      <x:c r="T38" s="373"/>
      <x:c r="U38" s="373"/>
      <x:c r="V38" s="373"/>
      <x:c r="W38" s="373"/>
      <x:c r="X38" s="373"/>
      <x:c r="Y38" s="373"/>
      <x:c r="Z38" s="373"/>
    </x:row>
    <x:row r="39">
      <x:c r="A39" s="411" t="str">
        <x:v>Metrics</x:v>
      </x:c>
      <x:c r="B39" s="411" t="str">
        <x:v>Metric ID</x:v>
      </x:c>
      <x:c r="C39" s="411" t="str">
        <x:v>metricId</x:v>
      </x:c>
      <x:c r="D39" s="411" t="str">
        <x:v>string</x:v>
      </x:c>
      <x:c r="E39" s="472" t="b">
        <x:v>1</x:v>
      </x:c>
      <x:c r="F39" s="411" t="str">
        <x:v>Unique</x:v>
      </x:c>
      <x:c r="G39" s="411" t="str">
        <x:v>Stable metric identifier.</x:v>
      </x:c>
      <x:c r="H39" s="411" t="str">
        <x:v>MET-001</x:v>
      </x:c>
      <x:c r="I39" s="411" t="str">
        <x:v>Metric drill-down</x:v>
      </x:c>
      <x:c r="J39" s="373"/>
      <x:c r="K39" s="373"/>
      <x:c r="L39" s="373"/>
      <x:c r="M39" s="373"/>
      <x:c r="N39" s="373"/>
      <x:c r="O39" s="373"/>
      <x:c r="P39" s="373"/>
      <x:c r="Q39" s="373"/>
      <x:c r="R39" s="373"/>
      <x:c r="S39" s="373"/>
      <x:c r="T39" s="373"/>
      <x:c r="U39" s="373"/>
      <x:c r="V39" s="373"/>
      <x:c r="W39" s="373"/>
      <x:c r="X39" s="373"/>
      <x:c r="Y39" s="373"/>
      <x:c r="Z39" s="373"/>
    </x:row>
    <x:row r="40">
      <x:c r="A40" s="411" t="str">
        <x:v>Metrics</x:v>
      </x:c>
      <x:c r="B40" s="411" t="str">
        <x:v>Latest</x:v>
      </x:c>
      <x:c r="C40" s="411" t="str">
        <x:v>latest</x:v>
      </x:c>
      <x:c r="D40" s="411" t="str">
        <x:v>number</x:v>
      </x:c>
      <x:c r="E40" s="472" t="b">
        <x:v>0</x:v>
      </x:c>
      <x:c r="F40" s="411" t="str"/>
      <x:c r="G40" s="411" t="str">
        <x:v>Latest measured value.</x:v>
      </x:c>
      <x:c r="H40" s="411" t="str">
        <x:v>100</x:v>
      </x:c>
      <x:c r="I40" s="411" t="str">
        <x:v>Metric card</x:v>
      </x:c>
      <x:c r="J40" s="373"/>
      <x:c r="K40" s="373"/>
      <x:c r="L40" s="373"/>
      <x:c r="M40" s="373"/>
      <x:c r="N40" s="373"/>
      <x:c r="O40" s="373"/>
      <x:c r="P40" s="373"/>
      <x:c r="Q40" s="373"/>
      <x:c r="R40" s="373"/>
      <x:c r="S40" s="373"/>
      <x:c r="T40" s="373"/>
      <x:c r="U40" s="373"/>
      <x:c r="V40" s="373"/>
      <x:c r="W40" s="373"/>
      <x:c r="X40" s="373"/>
      <x:c r="Y40" s="373"/>
      <x:c r="Z40" s="373"/>
    </x:row>
    <x:row r="41">
      <x:c r="A41" s="411" t="str">
        <x:v>Metrics</x:v>
      </x:c>
      <x:c r="B41" s="411" t="str">
        <x:v>Target</x:v>
      </x:c>
      <x:c r="C41" s="411" t="str">
        <x:v>target</x:v>
      </x:c>
      <x:c r="D41" s="411" t="str">
        <x:v>number</x:v>
      </x:c>
      <x:c r="E41" s="472" t="b">
        <x:v>1</x:v>
      </x:c>
      <x:c r="F41" s="411" t="str"/>
      <x:c r="G41" s="411" t="str">
        <x:v>Acceptance threshold.</x:v>
      </x:c>
      <x:c r="H41" s="411" t="str">
        <x:v>100</x:v>
      </x:c>
      <x:c r="I41" s="411" t="str">
        <x:v>Target comparison</x:v>
      </x:c>
      <x:c r="J41" s="373"/>
      <x:c r="K41" s="373"/>
      <x:c r="L41" s="373"/>
      <x:c r="M41" s="373"/>
      <x:c r="N41" s="373"/>
      <x:c r="O41" s="373"/>
      <x:c r="P41" s="373"/>
      <x:c r="Q41" s="373"/>
      <x:c r="R41" s="373"/>
      <x:c r="S41" s="373"/>
      <x:c r="T41" s="373"/>
      <x:c r="U41" s="373"/>
      <x:c r="V41" s="373"/>
      <x:c r="W41" s="373"/>
      <x:c r="X41" s="373"/>
      <x:c r="Y41" s="373"/>
      <x:c r="Z41" s="373"/>
    </x:row>
    <x:row r="42">
      <x:c r="A42" s="411" t="str">
        <x:v>Metrics</x:v>
      </x:c>
      <x:c r="B42" s="411" t="str">
        <x:v>Status</x:v>
      </x:c>
      <x:c r="C42" s="411" t="str">
        <x:v>status</x:v>
      </x:c>
      <x:c r="D42" s="411" t="str">
        <x:v>enum</x:v>
      </x:c>
      <x:c r="E42" s="472" t="b">
        <x:v>1</x:v>
      </x:c>
      <x:c r="F42" s="411" t="str">
        <x:v>Passed|Failed|Not Measured|Review</x:v>
      </x:c>
      <x:c r="G42" s="411" t="str">
        <x:v>Formula-derived metric state.</x:v>
      </x:c>
      <x:c r="H42" s="411" t="str">
        <x:v>Passed</x:v>
      </x:c>
      <x:c r="I42" s="411" t="str">
        <x:v>Metric badge</x:v>
      </x:c>
      <x:c r="J42" s="373"/>
      <x:c r="K42" s="373"/>
      <x:c r="L42" s="373"/>
      <x:c r="M42" s="373"/>
      <x:c r="N42" s="373"/>
      <x:c r="O42" s="373"/>
      <x:c r="P42" s="373"/>
      <x:c r="Q42" s="373"/>
      <x:c r="R42" s="373"/>
      <x:c r="S42" s="373"/>
      <x:c r="T42" s="373"/>
      <x:c r="U42" s="373"/>
      <x:c r="V42" s="373"/>
      <x:c r="W42" s="373"/>
      <x:c r="X42" s="373"/>
      <x:c r="Y42" s="373"/>
      <x:c r="Z42" s="373"/>
    </x:row>
    <x:row r="43">
      <x:c r="A43" s="411" t="str">
        <x:v>Release_Gates</x:v>
      </x:c>
      <x:c r="B43" s="411" t="str">
        <x:v>Gate ID</x:v>
      </x:c>
      <x:c r="C43" s="411" t="str">
        <x:v>gateId</x:v>
      </x:c>
      <x:c r="D43" s="411" t="str">
        <x:v>string</x:v>
      </x:c>
      <x:c r="E43" s="472" t="b">
        <x:v>1</x:v>
      </x:c>
      <x:c r="F43" s="411" t="str">
        <x:v>Unique</x:v>
      </x:c>
      <x:c r="G43" s="411" t="str">
        <x:v>Stable gate identifier.</x:v>
      </x:c>
      <x:c r="H43" s="411" t="str">
        <x:v>GATE-001</x:v>
      </x:c>
      <x:c r="I43" s="411" t="str">
        <x:v>Gate drill-down</x:v>
      </x:c>
      <x:c r="J43" s="373"/>
      <x:c r="K43" s="373"/>
      <x:c r="L43" s="373"/>
      <x:c r="M43" s="373"/>
      <x:c r="N43" s="373"/>
      <x:c r="O43" s="373"/>
      <x:c r="P43" s="373"/>
      <x:c r="Q43" s="373"/>
      <x:c r="R43" s="373"/>
      <x:c r="S43" s="373"/>
      <x:c r="T43" s="373"/>
      <x:c r="U43" s="373"/>
      <x:c r="V43" s="373"/>
      <x:c r="W43" s="373"/>
      <x:c r="X43" s="373"/>
      <x:c r="Y43" s="373"/>
      <x:c r="Z43" s="373"/>
    </x:row>
    <x:row r="44">
      <x:c r="A44" s="411" t="str">
        <x:v>Release_Gates</x:v>
      </x:c>
      <x:c r="B44" s="411" t="str">
        <x:v>Status</x:v>
      </x:c>
      <x:c r="C44" s="411" t="str">
        <x:v>status</x:v>
      </x:c>
      <x:c r="D44" s="411" t="str">
        <x:v>enum</x:v>
      </x:c>
      <x:c r="E44" s="472" t="b">
        <x:v>1</x:v>
      </x:c>
      <x:c r="F44" s="411" t="str">
        <x:v>Gate Status</x:v>
      </x:c>
      <x:c r="G44" s="411" t="str">
        <x:v>Gate decision.</x:v>
      </x:c>
      <x:c r="H44" s="411" t="str">
        <x:v>Passed</x:v>
      </x:c>
      <x:c r="I44" s="411" t="str">
        <x:v>Readiness chart</x:v>
      </x:c>
      <x:c r="J44" s="373"/>
      <x:c r="K44" s="373"/>
      <x:c r="L44" s="373"/>
      <x:c r="M44" s="373"/>
      <x:c r="N44" s="373"/>
      <x:c r="O44" s="373"/>
      <x:c r="P44" s="373"/>
      <x:c r="Q44" s="373"/>
      <x:c r="R44" s="373"/>
      <x:c r="S44" s="373"/>
      <x:c r="T44" s="373"/>
      <x:c r="U44" s="373"/>
      <x:c r="V44" s="373"/>
      <x:c r="W44" s="373"/>
      <x:c r="X44" s="373"/>
      <x:c r="Y44" s="373"/>
      <x:c r="Z44" s="373"/>
    </x:row>
    <x:row r="45">
      <x:c r="A45" s="411" t="str">
        <x:v>Daily_Log</x:v>
      </x:c>
      <x:c r="B45" s="411" t="str">
        <x:v>Date</x:v>
      </x:c>
      <x:c r="C45" s="411" t="str">
        <x:v>date</x:v>
      </x:c>
      <x:c r="D45" s="411" t="str">
        <x:v>date</x:v>
      </x:c>
      <x:c r="E45" s="472" t="b">
        <x:v>1</x:v>
      </x:c>
      <x:c r="F45" s="411" t="str">
        <x:v>YYYY-MM-DD</x:v>
      </x:c>
      <x:c r="G45" s="411" t="str">
        <x:v>Sprint work date.</x:v>
      </x:c>
      <x:c r="H45" s="411" t="str">
        <x:v>2026-08-05</x:v>
      </x:c>
      <x:c r="I45" s="411" t="str">
        <x:v>Daily progress</x:v>
      </x:c>
      <x:c r="J45" s="373"/>
      <x:c r="K45" s="373"/>
      <x:c r="L45" s="373"/>
      <x:c r="M45" s="373"/>
      <x:c r="N45" s="373"/>
      <x:c r="O45" s="373"/>
      <x:c r="P45" s="373"/>
      <x:c r="Q45" s="373"/>
      <x:c r="R45" s="373"/>
      <x:c r="S45" s="373"/>
      <x:c r="T45" s="373"/>
      <x:c r="U45" s="373"/>
      <x:c r="V45" s="373"/>
      <x:c r="W45" s="373"/>
      <x:c r="X45" s="373"/>
      <x:c r="Y45" s="373"/>
      <x:c r="Z45" s="373"/>
    </x:row>
    <x:row r="46">
      <x:c r="A46" s="411" t="str">
        <x:v>Daily_Log</x:v>
      </x:c>
      <x:c r="B46" s="411" t="str">
        <x:v>Daily Completion %</x:v>
      </x:c>
      <x:c r="C46" s="411" t="str">
        <x:v>completion</x:v>
      </x:c>
      <x:c r="D46" s="411" t="str">
        <x:v>number</x:v>
      </x:c>
      <x:c r="E46" s="472" t="b">
        <x:v>0</x:v>
      </x:c>
      <x:c r="F46" s="411" t="str">
        <x:v>0..1</x:v>
      </x:c>
      <x:c r="G46" s="411" t="str">
        <x:v>Closure checklist completion.</x:v>
      </x:c>
      <x:c r="H46" s="411" t="str">
        <x:v>0.75</x:v>
      </x:c>
      <x:c r="I46" s="411" t="str">
        <x:v>Sprint trend</x:v>
      </x:c>
      <x:c r="J46" s="373"/>
      <x:c r="K46" s="373"/>
      <x:c r="L46" s="373"/>
      <x:c r="M46" s="373"/>
      <x:c r="N46" s="373"/>
      <x:c r="O46" s="373"/>
      <x:c r="P46" s="373"/>
      <x:c r="Q46" s="373"/>
      <x:c r="R46" s="373"/>
      <x:c r="S46" s="373"/>
      <x:c r="T46" s="373"/>
      <x:c r="U46" s="373"/>
      <x:c r="V46" s="373"/>
      <x:c r="W46" s="373"/>
      <x:c r="X46" s="373"/>
      <x:c r="Y46" s="373"/>
      <x:c r="Z46" s="373"/>
    </x:row>
    <x:row r="47">
      <x:c r="A47" s="411" t="str">
        <x:v>Evidence</x:v>
      </x:c>
      <x:c r="B47" s="411" t="str">
        <x:v>Evidence ID</x:v>
      </x:c>
      <x:c r="C47" s="411" t="str">
        <x:v>evidenceId</x:v>
      </x:c>
      <x:c r="D47" s="411" t="str">
        <x:v>string</x:v>
      </x:c>
      <x:c r="E47" s="472" t="b">
        <x:v>1</x:v>
      </x:c>
      <x:c r="F47" s="411" t="str">
        <x:v>Unique</x:v>
      </x:c>
      <x:c r="G47" s="411" t="str">
        <x:v>Stable evidence identifier.</x:v>
      </x:c>
      <x:c r="H47" s="411" t="str">
        <x:v>EVD-001</x:v>
      </x:c>
      <x:c r="I47" s="411" t="str">
        <x:v>Evidence drill-down</x:v>
      </x:c>
      <x:c r="J47" s="373"/>
      <x:c r="K47" s="373"/>
      <x:c r="L47" s="373"/>
      <x:c r="M47" s="373"/>
      <x:c r="N47" s="373"/>
      <x:c r="O47" s="373"/>
      <x:c r="P47" s="373"/>
      <x:c r="Q47" s="373"/>
      <x:c r="R47" s="373"/>
      <x:c r="S47" s="373"/>
      <x:c r="T47" s="373"/>
      <x:c r="U47" s="373"/>
      <x:c r="V47" s="373"/>
      <x:c r="W47" s="373"/>
      <x:c r="X47" s="373"/>
      <x:c r="Y47" s="373"/>
      <x:c r="Z47" s="373"/>
    </x:row>
    <x:row r="48">
      <x:c r="A48" s="412" t="str">
        <x:v>Evidence</x:v>
      </x:c>
      <x:c r="B48" s="412" t="str">
        <x:v>Path / URL</x:v>
      </x:c>
      <x:c r="C48" s="412" t="str">
        <x:v>uri</x:v>
      </x:c>
      <x:c r="D48" s="412" t="str">
        <x:v>string</x:v>
      </x:c>
      <x:c r="E48" s="473" t="b">
        <x:v>1</x:v>
      </x:c>
      <x:c r="F48" s="412" t="str">
        <x:v>Relative path or URL</x:v>
      </x:c>
      <x:c r="G48" s="412" t="str">
        <x:v>Evidence location.</x:v>
      </x:c>
      <x:c r="H48" s="412" t="str">
        <x:v>artifacts/v0.1.1/start_stop/report.html</x:v>
      </x:c>
      <x:c r="I48" s="412" t="str">
        <x:v>Open evidence</x:v>
      </x:c>
      <x:c r="J48" s="373"/>
      <x:c r="K48" s="373"/>
      <x:c r="L48" s="373"/>
      <x:c r="M48" s="373"/>
      <x:c r="N48" s="373"/>
      <x:c r="O48" s="373"/>
      <x:c r="P48" s="373"/>
      <x:c r="Q48" s="373"/>
      <x:c r="R48" s="373"/>
      <x:c r="S48" s="373"/>
      <x:c r="T48" s="373"/>
      <x:c r="U48" s="373"/>
      <x:c r="V48" s="373"/>
      <x:c r="W48" s="373"/>
      <x:c r="X48" s="373"/>
      <x:c r="Y48" s="373"/>
      <x:c r="Z48" s="373"/>
    </x:row>
    <x:row r="49">
      <x:c r="A49" s="373"/>
      <x:c r="B49" s="373"/>
      <x:c r="C49" s="373"/>
      <x:c r="D49" s="373"/>
      <x:c r="E49" s="373"/>
      <x:c r="F49" s="373"/>
      <x:c r="G49" s="373"/>
      <x:c r="H49" s="373"/>
      <x:c r="I49" s="373"/>
      <x:c r="J49" s="373"/>
      <x:c r="K49" s="373"/>
      <x:c r="L49" s="373"/>
      <x:c r="M49" s="373"/>
      <x:c r="N49" s="373"/>
      <x:c r="O49" s="373"/>
      <x:c r="P49" s="373"/>
      <x:c r="Q49" s="373"/>
      <x:c r="R49" s="373"/>
      <x:c r="S49" s="373"/>
      <x:c r="T49" s="373"/>
      <x:c r="U49" s="373"/>
      <x:c r="V49" s="373"/>
      <x:c r="W49" s="373"/>
      <x:c r="X49" s="373"/>
      <x:c r="Y49" s="373"/>
      <x:c r="Z49" s="373"/>
    </x:row>
    <x:row r="50">
      <x:c r="A50" s="373"/>
      <x:c r="B50" s="373"/>
      <x:c r="C50" s="373"/>
      <x:c r="D50" s="373"/>
      <x:c r="E50" s="373"/>
      <x:c r="F50" s="373"/>
      <x:c r="G50" s="373"/>
      <x:c r="H50" s="373"/>
      <x:c r="I50" s="373"/>
      <x:c r="J50" s="373"/>
      <x:c r="K50" s="373"/>
      <x:c r="L50" s="373"/>
      <x:c r="M50" s="373"/>
      <x:c r="N50" s="373"/>
      <x:c r="O50" s="373"/>
      <x:c r="P50" s="373"/>
      <x:c r="Q50" s="373"/>
      <x:c r="R50" s="373"/>
      <x:c r="S50" s="373"/>
      <x:c r="T50" s="373"/>
      <x:c r="U50" s="373"/>
      <x:c r="V50" s="373"/>
      <x:c r="W50" s="373"/>
      <x:c r="X50" s="373"/>
      <x:c r="Y50" s="373"/>
      <x:c r="Z50" s="373"/>
    </x:row>
    <x:row r="51">
      <x:c r="A51" s="406" t="str">
        <x:v>Recommended dashboard payload shape</x:v>
      </x:c>
      <x:c r="B51" s="406"/>
      <x:c r="C51" s="406"/>
      <x:c r="D51" s="406"/>
      <x:c r="E51" s="406"/>
      <x:c r="F51" s="406"/>
      <x:c r="G51" s="406"/>
      <x:c r="H51" s="406"/>
      <x:c r="I51" s="406"/>
      <x:c r="J51" s="373"/>
      <x:c r="K51" s="373"/>
      <x:c r="L51" s="373"/>
      <x:c r="M51" s="373"/>
      <x:c r="N51" s="373"/>
      <x:c r="O51" s="373"/>
      <x:c r="P51" s="373"/>
      <x:c r="Q51" s="373"/>
      <x:c r="R51" s="373"/>
      <x:c r="S51" s="373"/>
      <x:c r="T51" s="373"/>
      <x:c r="U51" s="373"/>
      <x:c r="V51" s="373"/>
      <x:c r="W51" s="373"/>
      <x:c r="X51" s="373"/>
      <x:c r="Y51" s="373"/>
      <x:c r="Z51" s="373"/>
    </x:row>
    <x:row r="52" ht="22" customHeight="1">
      <x:c r="A52" s="474" t="str">
        <x:v>{
  "generatedAt": "2026-08-05T15:18:00-07:00",
  "activeRelease": "v0.1.1",
  "releases": [ { "version": "v0.1.1", "readiness": 0.42 } ],
  "features": [ { "featureId": "F-RUN-004", "status": "In Progress" } ],
  "requirements": [ { "requirementId": "REQ-004", "coverage": 0.50 } ],
  "tests": [ { "testId": "TC-0004", "status": "Not Run" } ],
  "defects": [ { "defectId": "DEF-001", "severity": "High", "status": "Open" } ],
  "metrics": [ { "metricId": "MET-001", "latest": null, "target": 100 } ]
}</x:v>
      </x:c>
      <x:c r="B52" s="474"/>
      <x:c r="C52" s="474"/>
      <x:c r="D52" s="474"/>
      <x:c r="E52" s="474"/>
      <x:c r="F52" s="474"/>
      <x:c r="G52" s="474"/>
      <x:c r="H52" s="474"/>
      <x:c r="I52" s="474"/>
      <x:c r="J52" s="373"/>
      <x:c r="K52" s="373"/>
      <x:c r="L52" s="373"/>
      <x:c r="M52" s="373"/>
      <x:c r="N52" s="373"/>
      <x:c r="O52" s="373"/>
      <x:c r="P52" s="373"/>
      <x:c r="Q52" s="373"/>
      <x:c r="R52" s="373"/>
      <x:c r="S52" s="373"/>
      <x:c r="T52" s="373"/>
      <x:c r="U52" s="373"/>
      <x:c r="V52" s="373"/>
      <x:c r="W52" s="373"/>
      <x:c r="X52" s="373"/>
      <x:c r="Y52" s="373"/>
      <x:c r="Z52" s="373"/>
    </x:row>
    <x:row r="53" ht="22" customHeight="1">
      <x:c r="A53" s="474"/>
      <x:c r="B53" s="474"/>
      <x:c r="C53" s="474"/>
      <x:c r="D53" s="474"/>
      <x:c r="E53" s="474"/>
      <x:c r="F53" s="474"/>
      <x:c r="G53" s="474"/>
      <x:c r="H53" s="474"/>
      <x:c r="I53" s="474"/>
      <x:c r="J53" s="373"/>
      <x:c r="K53" s="373"/>
      <x:c r="L53" s="373"/>
      <x:c r="M53" s="373"/>
      <x:c r="N53" s="373"/>
      <x:c r="O53" s="373"/>
      <x:c r="P53" s="373"/>
      <x:c r="Q53" s="373"/>
      <x:c r="R53" s="373"/>
      <x:c r="S53" s="373"/>
      <x:c r="T53" s="373"/>
      <x:c r="U53" s="373"/>
      <x:c r="V53" s="373"/>
      <x:c r="W53" s="373"/>
      <x:c r="X53" s="373"/>
      <x:c r="Y53" s="373"/>
      <x:c r="Z53" s="373"/>
    </x:row>
    <x:row r="54" ht="22" customHeight="1">
      <x:c r="A54" s="474"/>
      <x:c r="B54" s="474"/>
      <x:c r="C54" s="474"/>
      <x:c r="D54" s="474"/>
      <x:c r="E54" s="474"/>
      <x:c r="F54" s="474"/>
      <x:c r="G54" s="474"/>
      <x:c r="H54" s="474"/>
      <x:c r="I54" s="474"/>
      <x:c r="J54" s="373"/>
      <x:c r="K54" s="373"/>
      <x:c r="L54" s="373"/>
      <x:c r="M54" s="373"/>
      <x:c r="N54" s="373"/>
      <x:c r="O54" s="373"/>
      <x:c r="P54" s="373"/>
      <x:c r="Q54" s="373"/>
      <x:c r="R54" s="373"/>
      <x:c r="S54" s="373"/>
      <x:c r="T54" s="373"/>
      <x:c r="U54" s="373"/>
      <x:c r="V54" s="373"/>
      <x:c r="W54" s="373"/>
      <x:c r="X54" s="373"/>
      <x:c r="Y54" s="373"/>
      <x:c r="Z54" s="373"/>
    </x:row>
    <x:row r="55" ht="22" customHeight="1">
      <x:c r="A55" s="474"/>
      <x:c r="B55" s="474"/>
      <x:c r="C55" s="474"/>
      <x:c r="D55" s="474"/>
      <x:c r="E55" s="474"/>
      <x:c r="F55" s="474"/>
      <x:c r="G55" s="474"/>
      <x:c r="H55" s="474"/>
      <x:c r="I55" s="474"/>
      <x:c r="J55" s="373"/>
      <x:c r="K55" s="373"/>
      <x:c r="L55" s="373"/>
      <x:c r="M55" s="373"/>
      <x:c r="N55" s="373"/>
      <x:c r="O55" s="373"/>
      <x:c r="P55" s="373"/>
      <x:c r="Q55" s="373"/>
      <x:c r="R55" s="373"/>
      <x:c r="S55" s="373"/>
      <x:c r="T55" s="373"/>
      <x:c r="U55" s="373"/>
      <x:c r="V55" s="373"/>
      <x:c r="W55" s="373"/>
      <x:c r="X55" s="373"/>
      <x:c r="Y55" s="373"/>
      <x:c r="Z55" s="373"/>
    </x:row>
    <x:row r="56" ht="22" customHeight="1">
      <x:c r="A56" s="474"/>
      <x:c r="B56" s="474"/>
      <x:c r="C56" s="474"/>
      <x:c r="D56" s="474"/>
      <x:c r="E56" s="474"/>
      <x:c r="F56" s="474"/>
      <x:c r="G56" s="474"/>
      <x:c r="H56" s="474"/>
      <x:c r="I56" s="474"/>
      <x:c r="J56" s="373"/>
      <x:c r="K56" s="373"/>
      <x:c r="L56" s="373"/>
      <x:c r="M56" s="373"/>
      <x:c r="N56" s="373"/>
      <x:c r="O56" s="373"/>
      <x:c r="P56" s="373"/>
      <x:c r="Q56" s="373"/>
      <x:c r="R56" s="373"/>
      <x:c r="S56" s="373"/>
      <x:c r="T56" s="373"/>
      <x:c r="U56" s="373"/>
      <x:c r="V56" s="373"/>
      <x:c r="W56" s="373"/>
      <x:c r="X56" s="373"/>
      <x:c r="Y56" s="373"/>
      <x:c r="Z56" s="373"/>
    </x:row>
    <x:row r="57" ht="22" customHeight="1">
      <x:c r="A57" s="474"/>
      <x:c r="B57" s="474"/>
      <x:c r="C57" s="474"/>
      <x:c r="D57" s="474"/>
      <x:c r="E57" s="474"/>
      <x:c r="F57" s="474"/>
      <x:c r="G57" s="474"/>
      <x:c r="H57" s="474"/>
      <x:c r="I57" s="474"/>
      <x:c r="J57" s="373"/>
      <x:c r="K57" s="373"/>
      <x:c r="L57" s="373"/>
      <x:c r="M57" s="373"/>
      <x:c r="N57" s="373"/>
      <x:c r="O57" s="373"/>
      <x:c r="P57" s="373"/>
      <x:c r="Q57" s="373"/>
      <x:c r="R57" s="373"/>
      <x:c r="S57" s="373"/>
      <x:c r="T57" s="373"/>
      <x:c r="U57" s="373"/>
      <x:c r="V57" s="373"/>
      <x:c r="W57" s="373"/>
      <x:c r="X57" s="373"/>
      <x:c r="Y57" s="373"/>
      <x:c r="Z57" s="373"/>
    </x:row>
    <x:row r="58" ht="22" customHeight="1">
      <x:c r="A58" s="474"/>
      <x:c r="B58" s="474"/>
      <x:c r="C58" s="474"/>
      <x:c r="D58" s="474"/>
      <x:c r="E58" s="474"/>
      <x:c r="F58" s="474"/>
      <x:c r="G58" s="474"/>
      <x:c r="H58" s="474"/>
      <x:c r="I58" s="474"/>
      <x:c r="J58" s="373"/>
      <x:c r="K58" s="373"/>
      <x:c r="L58" s="373"/>
      <x:c r="M58" s="373"/>
      <x:c r="N58" s="373"/>
      <x:c r="O58" s="373"/>
      <x:c r="P58" s="373"/>
      <x:c r="Q58" s="373"/>
      <x:c r="R58" s="373"/>
      <x:c r="S58" s="373"/>
      <x:c r="T58" s="373"/>
      <x:c r="U58" s="373"/>
      <x:c r="V58" s="373"/>
      <x:c r="W58" s="373"/>
      <x:c r="X58" s="373"/>
      <x:c r="Y58" s="373"/>
      <x:c r="Z58" s="373"/>
    </x:row>
    <x:row r="59" ht="22" customHeight="1">
      <x:c r="A59" s="474"/>
      <x:c r="B59" s="474"/>
      <x:c r="C59" s="474"/>
      <x:c r="D59" s="474"/>
      <x:c r="E59" s="474"/>
      <x:c r="F59" s="474"/>
      <x:c r="G59" s="474"/>
      <x:c r="H59" s="474"/>
      <x:c r="I59" s="474"/>
      <x:c r="J59" s="373"/>
      <x:c r="K59" s="373"/>
      <x:c r="L59" s="373"/>
      <x:c r="M59" s="373"/>
      <x:c r="N59" s="373"/>
      <x:c r="O59" s="373"/>
      <x:c r="P59" s="373"/>
      <x:c r="Q59" s="373"/>
      <x:c r="R59" s="373"/>
      <x:c r="S59" s="373"/>
      <x:c r="T59" s="373"/>
      <x:c r="U59" s="373"/>
      <x:c r="V59" s="373"/>
      <x:c r="W59" s="373"/>
      <x:c r="X59" s="373"/>
      <x:c r="Y59" s="373"/>
      <x:c r="Z59" s="373"/>
    </x:row>
    <x:row r="60" ht="22" customHeight="1">
      <x:c r="A60" s="474"/>
      <x:c r="B60" s="474"/>
      <x:c r="C60" s="474"/>
      <x:c r="D60" s="474"/>
      <x:c r="E60" s="474"/>
      <x:c r="F60" s="474"/>
      <x:c r="G60" s="474"/>
      <x:c r="H60" s="474"/>
      <x:c r="I60" s="474"/>
      <x:c r="J60" s="373"/>
      <x:c r="K60" s="373"/>
      <x:c r="L60" s="373"/>
      <x:c r="M60" s="373"/>
      <x:c r="N60" s="373"/>
      <x:c r="O60" s="373"/>
      <x:c r="P60" s="373"/>
      <x:c r="Q60" s="373"/>
      <x:c r="R60" s="373"/>
      <x:c r="S60" s="373"/>
      <x:c r="T60" s="373"/>
      <x:c r="U60" s="373"/>
      <x:c r="V60" s="373"/>
      <x:c r="W60" s="373"/>
      <x:c r="X60" s="373"/>
      <x:c r="Y60" s="373"/>
      <x:c r="Z60" s="373"/>
    </x:row>
    <x:row r="61" ht="22" customHeight="1">
      <x:c r="A61" s="474"/>
      <x:c r="B61" s="474"/>
      <x:c r="C61" s="474"/>
      <x:c r="D61" s="474"/>
      <x:c r="E61" s="474"/>
      <x:c r="F61" s="474"/>
      <x:c r="G61" s="474"/>
      <x:c r="H61" s="474"/>
      <x:c r="I61" s="474"/>
      <x:c r="J61" s="373"/>
      <x:c r="K61" s="373"/>
      <x:c r="L61" s="373"/>
      <x:c r="M61" s="373"/>
      <x:c r="N61" s="373"/>
      <x:c r="O61" s="373"/>
      <x:c r="P61" s="373"/>
      <x:c r="Q61" s="373"/>
      <x:c r="R61" s="373"/>
      <x:c r="S61" s="373"/>
      <x:c r="T61" s="373"/>
      <x:c r="U61" s="373"/>
      <x:c r="V61" s="373"/>
      <x:c r="W61" s="373"/>
      <x:c r="X61" s="373"/>
      <x:c r="Y61" s="373"/>
      <x:c r="Z61" s="373"/>
    </x:row>
    <x:row r="62">
      <x:c r="A62" s="373"/>
      <x:c r="B62" s="373"/>
      <x:c r="C62" s="373"/>
      <x:c r="D62" s="373"/>
      <x:c r="E62" s="373"/>
      <x:c r="F62" s="373"/>
      <x:c r="G62" s="373"/>
      <x:c r="H62" s="373"/>
      <x:c r="I62" s="373"/>
      <x:c r="J62" s="373"/>
      <x:c r="K62" s="373"/>
      <x:c r="L62" s="373"/>
      <x:c r="M62" s="373"/>
      <x:c r="N62" s="373"/>
      <x:c r="O62" s="373"/>
      <x:c r="P62" s="373"/>
      <x:c r="Q62" s="373"/>
      <x:c r="R62" s="373"/>
      <x:c r="S62" s="373"/>
      <x:c r="T62" s="373"/>
      <x:c r="U62" s="373"/>
      <x:c r="V62" s="373"/>
      <x:c r="W62" s="373"/>
      <x:c r="X62" s="373"/>
      <x:c r="Y62" s="373"/>
      <x:c r="Z62" s="373"/>
    </x:row>
    <x:row r="63">
      <x:c r="A63" s="373"/>
      <x:c r="B63" s="373"/>
      <x:c r="C63" s="373"/>
      <x:c r="D63" s="373"/>
      <x:c r="E63" s="373"/>
      <x:c r="F63" s="373"/>
      <x:c r="G63" s="373"/>
      <x:c r="H63" s="373"/>
      <x:c r="I63" s="373"/>
      <x:c r="J63" s="373"/>
      <x:c r="K63" s="373"/>
      <x:c r="L63" s="373"/>
      <x:c r="M63" s="373"/>
      <x:c r="N63" s="373"/>
      <x:c r="O63" s="373"/>
      <x:c r="P63" s="373"/>
      <x:c r="Q63" s="373"/>
      <x:c r="R63" s="373"/>
      <x:c r="S63" s="373"/>
      <x:c r="T63" s="373"/>
      <x:c r="U63" s="373"/>
      <x:c r="V63" s="373"/>
      <x:c r="W63" s="373"/>
      <x:c r="X63" s="373"/>
      <x:c r="Y63" s="373"/>
      <x:c r="Z63" s="373"/>
    </x:row>
    <x:row r="64">
      <x:c r="A64" s="373"/>
      <x:c r="B64" s="373"/>
      <x:c r="C64" s="373"/>
      <x:c r="D64" s="373"/>
      <x:c r="E64" s="373"/>
      <x:c r="F64" s="373"/>
      <x:c r="G64" s="373"/>
      <x:c r="H64" s="373"/>
      <x:c r="I64" s="373"/>
      <x:c r="J64" s="373"/>
      <x:c r="K64" s="373"/>
      <x:c r="L64" s="373"/>
      <x:c r="M64" s="373"/>
      <x:c r="N64" s="373"/>
      <x:c r="O64" s="373"/>
      <x:c r="P64" s="373"/>
      <x:c r="Q64" s="373"/>
      <x:c r="R64" s="373"/>
      <x:c r="S64" s="373"/>
      <x:c r="T64" s="373"/>
      <x:c r="U64" s="373"/>
      <x:c r="V64" s="373"/>
      <x:c r="W64" s="373"/>
      <x:c r="X64" s="373"/>
      <x:c r="Y64" s="373"/>
      <x:c r="Z64" s="373"/>
    </x:row>
    <x:row r="65">
      <x:c r="A65" s="373"/>
      <x:c r="B65" s="373"/>
      <x:c r="C65" s="373"/>
      <x:c r="D65" s="373"/>
      <x:c r="E65" s="373"/>
      <x:c r="F65" s="373"/>
      <x:c r="G65" s="373"/>
      <x:c r="H65" s="373"/>
      <x:c r="I65" s="373"/>
      <x:c r="J65" s="373"/>
      <x:c r="K65" s="373"/>
      <x:c r="L65" s="373"/>
      <x:c r="M65" s="373"/>
      <x:c r="N65" s="373"/>
      <x:c r="O65" s="373"/>
      <x:c r="P65" s="373"/>
      <x:c r="Q65" s="373"/>
      <x:c r="R65" s="373"/>
      <x:c r="S65" s="373"/>
      <x:c r="T65" s="373"/>
      <x:c r="U65" s="373"/>
      <x:c r="V65" s="373"/>
      <x:c r="W65" s="373"/>
      <x:c r="X65" s="373"/>
      <x:c r="Y65" s="373"/>
      <x:c r="Z65" s="373"/>
    </x:row>
    <x:row r="66">
      <x:c r="A66" s="373"/>
      <x:c r="B66" s="373"/>
      <x:c r="C66" s="373"/>
      <x:c r="D66" s="373"/>
      <x:c r="E66" s="373"/>
      <x:c r="F66" s="373"/>
      <x:c r="G66" s="373"/>
      <x:c r="H66" s="373"/>
      <x:c r="I66" s="373"/>
      <x:c r="J66" s="373"/>
      <x:c r="K66" s="373"/>
      <x:c r="L66" s="373"/>
      <x:c r="M66" s="373"/>
      <x:c r="N66" s="373"/>
      <x:c r="O66" s="373"/>
      <x:c r="P66" s="373"/>
      <x:c r="Q66" s="373"/>
      <x:c r="R66" s="373"/>
      <x:c r="S66" s="373"/>
      <x:c r="T66" s="373"/>
      <x:c r="U66" s="373"/>
      <x:c r="V66" s="373"/>
      <x:c r="W66" s="373"/>
      <x:c r="X66" s="373"/>
      <x:c r="Y66" s="373"/>
      <x:c r="Z66" s="373"/>
    </x:row>
    <x:row r="67">
      <x:c r="A67" s="373"/>
      <x:c r="B67" s="373"/>
      <x:c r="C67" s="373"/>
      <x:c r="D67" s="373"/>
      <x:c r="E67" s="373"/>
      <x:c r="F67" s="373"/>
      <x:c r="G67" s="373"/>
      <x:c r="H67" s="373"/>
      <x:c r="I67" s="373"/>
      <x:c r="J67" s="373"/>
      <x:c r="K67" s="373"/>
      <x:c r="L67" s="373"/>
      <x:c r="M67" s="373"/>
      <x:c r="N67" s="373"/>
      <x:c r="O67" s="373"/>
      <x:c r="P67" s="373"/>
      <x:c r="Q67" s="373"/>
      <x:c r="R67" s="373"/>
      <x:c r="S67" s="373"/>
      <x:c r="T67" s="373"/>
      <x:c r="U67" s="373"/>
      <x:c r="V67" s="373"/>
      <x:c r="W67" s="373"/>
      <x:c r="X67" s="373"/>
      <x:c r="Y67" s="373"/>
      <x:c r="Z67" s="373"/>
    </x:row>
    <x:row r="68">
      <x:c r="A68" s="373"/>
      <x:c r="B68" s="373"/>
      <x:c r="C68" s="373"/>
      <x:c r="D68" s="373"/>
      <x:c r="E68" s="373"/>
      <x:c r="F68" s="373"/>
      <x:c r="G68" s="373"/>
      <x:c r="H68" s="373"/>
      <x:c r="I68" s="373"/>
      <x:c r="J68" s="373"/>
      <x:c r="K68" s="373"/>
      <x:c r="L68" s="373"/>
      <x:c r="M68" s="373"/>
      <x:c r="N68" s="373"/>
      <x:c r="O68" s="373"/>
      <x:c r="P68" s="373"/>
      <x:c r="Q68" s="373"/>
      <x:c r="R68" s="373"/>
      <x:c r="S68" s="373"/>
      <x:c r="T68" s="373"/>
      <x:c r="U68" s="373"/>
      <x:c r="V68" s="373"/>
      <x:c r="W68" s="373"/>
      <x:c r="X68" s="373"/>
      <x:c r="Y68" s="373"/>
      <x:c r="Z68" s="373"/>
    </x:row>
    <x:row r="69">
      <x:c r="A69" s="373"/>
      <x:c r="B69" s="373"/>
      <x:c r="C69" s="373"/>
      <x:c r="D69" s="373"/>
      <x:c r="E69" s="373"/>
      <x:c r="F69" s="373"/>
      <x:c r="G69" s="373"/>
      <x:c r="H69" s="373"/>
      <x:c r="I69" s="373"/>
      <x:c r="J69" s="373"/>
      <x:c r="K69" s="373"/>
      <x:c r="L69" s="373"/>
      <x:c r="M69" s="373"/>
      <x:c r="N69" s="373"/>
      <x:c r="O69" s="373"/>
      <x:c r="P69" s="373"/>
      <x:c r="Q69" s="373"/>
      <x:c r="R69" s="373"/>
      <x:c r="S69" s="373"/>
      <x:c r="T69" s="373"/>
      <x:c r="U69" s="373"/>
      <x:c r="V69" s="373"/>
      <x:c r="W69" s="373"/>
      <x:c r="X69" s="373"/>
      <x:c r="Y69" s="373"/>
      <x:c r="Z69" s="373"/>
    </x:row>
    <x:row r="70">
      <x:c r="A70" s="373"/>
      <x:c r="B70" s="373"/>
      <x:c r="C70" s="373"/>
      <x:c r="D70" s="373"/>
      <x:c r="E70" s="373"/>
      <x:c r="F70" s="373"/>
      <x:c r="G70" s="373"/>
      <x:c r="H70" s="373"/>
      <x:c r="I70" s="373"/>
      <x:c r="J70" s="373"/>
      <x:c r="K70" s="373"/>
      <x:c r="L70" s="373"/>
      <x:c r="M70" s="373"/>
      <x:c r="N70" s="373"/>
      <x:c r="O70" s="373"/>
      <x:c r="P70" s="373"/>
      <x:c r="Q70" s="373"/>
      <x:c r="R70" s="373"/>
      <x:c r="S70" s="373"/>
      <x:c r="T70" s="373"/>
      <x:c r="U70" s="373"/>
      <x:c r="V70" s="373"/>
      <x:c r="W70" s="373"/>
      <x:c r="X70" s="373"/>
      <x:c r="Y70" s="373"/>
      <x:c r="Z70" s="373"/>
    </x:row>
    <x:row r="71">
      <x:c r="A71" s="373"/>
      <x:c r="B71" s="373"/>
      <x:c r="C71" s="373"/>
      <x:c r="D71" s="373"/>
      <x:c r="E71" s="373"/>
      <x:c r="F71" s="373"/>
      <x:c r="G71" s="373"/>
      <x:c r="H71" s="373"/>
      <x:c r="I71" s="373"/>
      <x:c r="J71" s="373"/>
      <x:c r="K71" s="373"/>
      <x:c r="L71" s="373"/>
      <x:c r="M71" s="373"/>
      <x:c r="N71" s="373"/>
      <x:c r="O71" s="373"/>
      <x:c r="P71" s="373"/>
      <x:c r="Q71" s="373"/>
      <x:c r="R71" s="373"/>
      <x:c r="S71" s="373"/>
      <x:c r="T71" s="373"/>
      <x:c r="U71" s="373"/>
      <x:c r="V71" s="373"/>
      <x:c r="W71" s="373"/>
      <x:c r="X71" s="373"/>
      <x:c r="Y71" s="373"/>
      <x:c r="Z71" s="373"/>
    </x:row>
    <x:row r="72">
      <x:c r="A72" s="373"/>
      <x:c r="B72" s="373"/>
      <x:c r="C72" s="373"/>
      <x:c r="D72" s="373"/>
      <x:c r="E72" s="373"/>
      <x:c r="F72" s="373"/>
      <x:c r="G72" s="373"/>
      <x:c r="H72" s="373"/>
      <x:c r="I72" s="373"/>
      <x:c r="J72" s="373"/>
      <x:c r="K72" s="373"/>
      <x:c r="L72" s="373"/>
      <x:c r="M72" s="373"/>
      <x:c r="N72" s="373"/>
      <x:c r="O72" s="373"/>
      <x:c r="P72" s="373"/>
      <x:c r="Q72" s="373"/>
      <x:c r="R72" s="373"/>
      <x:c r="S72" s="373"/>
      <x:c r="T72" s="373"/>
      <x:c r="U72" s="373"/>
      <x:c r="V72" s="373"/>
      <x:c r="W72" s="373"/>
      <x:c r="X72" s="373"/>
      <x:c r="Y72" s="373"/>
      <x:c r="Z72" s="373"/>
    </x:row>
    <x:row r="73">
      <x:c r="A73" s="373"/>
      <x:c r="B73" s="373"/>
      <x:c r="C73" s="373"/>
      <x:c r="D73" s="373"/>
      <x:c r="E73" s="373"/>
      <x:c r="F73" s="373"/>
      <x:c r="G73" s="373"/>
      <x:c r="H73" s="373"/>
      <x:c r="I73" s="373"/>
      <x:c r="J73" s="373"/>
      <x:c r="K73" s="373"/>
      <x:c r="L73" s="373"/>
      <x:c r="M73" s="373"/>
      <x:c r="N73" s="373"/>
      <x:c r="O73" s="373"/>
      <x:c r="P73" s="373"/>
      <x:c r="Q73" s="373"/>
      <x:c r="R73" s="373"/>
      <x:c r="S73" s="373"/>
      <x:c r="T73" s="373"/>
      <x:c r="U73" s="373"/>
      <x:c r="V73" s="373"/>
      <x:c r="W73" s="373"/>
      <x:c r="X73" s="373"/>
      <x:c r="Y73" s="373"/>
      <x:c r="Z73" s="373"/>
    </x:row>
    <x:row r="74">
      <x:c r="A74" s="373"/>
      <x:c r="B74" s="373"/>
      <x:c r="C74" s="373"/>
      <x:c r="D74" s="373"/>
      <x:c r="E74" s="373"/>
      <x:c r="F74" s="373"/>
      <x:c r="G74" s="373"/>
      <x:c r="H74" s="373"/>
      <x:c r="I74" s="373"/>
      <x:c r="J74" s="373"/>
      <x:c r="K74" s="373"/>
      <x:c r="L74" s="373"/>
      <x:c r="M74" s="373"/>
      <x:c r="N74" s="373"/>
      <x:c r="O74" s="373"/>
      <x:c r="P74" s="373"/>
      <x:c r="Q74" s="373"/>
      <x:c r="R74" s="373"/>
      <x:c r="S74" s="373"/>
      <x:c r="T74" s="373"/>
      <x:c r="U74" s="373"/>
      <x:c r="V74" s="373"/>
      <x:c r="W74" s="373"/>
      <x:c r="X74" s="373"/>
      <x:c r="Y74" s="373"/>
      <x:c r="Z74" s="373"/>
    </x:row>
    <x:row r="75">
      <x:c r="A75" s="373"/>
      <x:c r="B75" s="373"/>
      <x:c r="C75" s="373"/>
      <x:c r="D75" s="373"/>
      <x:c r="E75" s="373"/>
      <x:c r="F75" s="373"/>
      <x:c r="G75" s="373"/>
      <x:c r="H75" s="373"/>
      <x:c r="I75" s="373"/>
      <x:c r="J75" s="373"/>
      <x:c r="K75" s="373"/>
      <x:c r="L75" s="373"/>
      <x:c r="M75" s="373"/>
      <x:c r="N75" s="373"/>
      <x:c r="O75" s="373"/>
      <x:c r="P75" s="373"/>
      <x:c r="Q75" s="373"/>
      <x:c r="R75" s="373"/>
      <x:c r="S75" s="373"/>
      <x:c r="T75" s="373"/>
      <x:c r="U75" s="373"/>
      <x:c r="V75" s="373"/>
      <x:c r="W75" s="373"/>
      <x:c r="X75" s="373"/>
      <x:c r="Y75" s="373"/>
      <x:c r="Z75" s="373"/>
    </x:row>
    <x:row r="76">
      <x:c r="A76" s="373"/>
      <x:c r="B76" s="373"/>
      <x:c r="C76" s="373"/>
      <x:c r="D76" s="373"/>
      <x:c r="E76" s="373"/>
      <x:c r="F76" s="373"/>
      <x:c r="G76" s="373"/>
      <x:c r="H76" s="373"/>
      <x:c r="I76" s="373"/>
      <x:c r="J76" s="373"/>
      <x:c r="K76" s="373"/>
      <x:c r="L76" s="373"/>
      <x:c r="M76" s="373"/>
      <x:c r="N76" s="373"/>
      <x:c r="O76" s="373"/>
      <x:c r="P76" s="373"/>
      <x:c r="Q76" s="373"/>
      <x:c r="R76" s="373"/>
      <x:c r="S76" s="373"/>
      <x:c r="T76" s="373"/>
      <x:c r="U76" s="373"/>
      <x:c r="V76" s="373"/>
      <x:c r="W76" s="373"/>
      <x:c r="X76" s="373"/>
      <x:c r="Y76" s="373"/>
      <x:c r="Z76" s="373"/>
    </x:row>
    <x:row r="77">
      <x:c r="A77" s="373"/>
      <x:c r="B77" s="373"/>
      <x:c r="C77" s="373"/>
      <x:c r="D77" s="373"/>
      <x:c r="E77" s="373"/>
      <x:c r="F77" s="373"/>
      <x:c r="G77" s="373"/>
      <x:c r="H77" s="373"/>
      <x:c r="I77" s="373"/>
      <x:c r="J77" s="373"/>
      <x:c r="K77" s="373"/>
      <x:c r="L77" s="373"/>
      <x:c r="M77" s="373"/>
      <x:c r="N77" s="373"/>
      <x:c r="O77" s="373"/>
      <x:c r="P77" s="373"/>
      <x:c r="Q77" s="373"/>
      <x:c r="R77" s="373"/>
      <x:c r="S77" s="373"/>
      <x:c r="T77" s="373"/>
      <x:c r="U77" s="373"/>
      <x:c r="V77" s="373"/>
      <x:c r="W77" s="373"/>
      <x:c r="X77" s="373"/>
      <x:c r="Y77" s="373"/>
      <x:c r="Z77" s="373"/>
    </x:row>
    <x:row r="78">
      <x:c r="A78" s="373"/>
      <x:c r="B78" s="373"/>
      <x:c r="C78" s="373"/>
      <x:c r="D78" s="373"/>
      <x:c r="E78" s="373"/>
      <x:c r="F78" s="373"/>
      <x:c r="G78" s="373"/>
      <x:c r="H78" s="373"/>
      <x:c r="I78" s="373"/>
      <x:c r="J78" s="373"/>
      <x:c r="K78" s="373"/>
      <x:c r="L78" s="373"/>
      <x:c r="M78" s="373"/>
      <x:c r="N78" s="373"/>
      <x:c r="O78" s="373"/>
      <x:c r="P78" s="373"/>
      <x:c r="Q78" s="373"/>
      <x:c r="R78" s="373"/>
      <x:c r="S78" s="373"/>
      <x:c r="T78" s="373"/>
      <x:c r="U78" s="373"/>
      <x:c r="V78" s="373"/>
      <x:c r="W78" s="373"/>
      <x:c r="X78" s="373"/>
      <x:c r="Y78" s="373"/>
      <x:c r="Z78" s="373"/>
    </x:row>
    <x:row r="79">
      <x:c r="A79" s="373"/>
      <x:c r="B79" s="373"/>
      <x:c r="C79" s="373"/>
      <x:c r="D79" s="373"/>
      <x:c r="E79" s="373"/>
      <x:c r="F79" s="373"/>
      <x:c r="G79" s="373"/>
      <x:c r="H79" s="373"/>
      <x:c r="I79" s="373"/>
      <x:c r="J79" s="373"/>
      <x:c r="K79" s="373"/>
      <x:c r="L79" s="373"/>
      <x:c r="M79" s="373"/>
      <x:c r="N79" s="373"/>
      <x:c r="O79" s="373"/>
      <x:c r="P79" s="373"/>
      <x:c r="Q79" s="373"/>
      <x:c r="R79" s="373"/>
      <x:c r="S79" s="373"/>
      <x:c r="T79" s="373"/>
      <x:c r="U79" s="373"/>
      <x:c r="V79" s="373"/>
      <x:c r="W79" s="373"/>
      <x:c r="X79" s="373"/>
      <x:c r="Y79" s="373"/>
      <x:c r="Z79" s="373"/>
    </x:row>
    <x:row r="80">
      <x:c r="A80" s="373"/>
      <x:c r="B80" s="373"/>
      <x:c r="C80" s="373"/>
      <x:c r="D80" s="373"/>
      <x:c r="E80" s="373"/>
      <x:c r="F80" s="373"/>
      <x:c r="G80" s="373"/>
      <x:c r="H80" s="373"/>
      <x:c r="I80" s="373"/>
      <x:c r="J80" s="373"/>
      <x:c r="K80" s="373"/>
      <x:c r="L80" s="373"/>
      <x:c r="M80" s="373"/>
      <x:c r="N80" s="373"/>
      <x:c r="O80" s="373"/>
      <x:c r="P80" s="373"/>
      <x:c r="Q80" s="373"/>
      <x:c r="R80" s="373"/>
      <x:c r="S80" s="373"/>
      <x:c r="T80" s="373"/>
      <x:c r="U80" s="373"/>
      <x:c r="V80" s="373"/>
      <x:c r="W80" s="373"/>
      <x:c r="X80" s="373"/>
      <x:c r="Y80" s="373"/>
      <x:c r="Z80" s="373"/>
    </x:row>
    <x:row r="81">
      <x:c r="A81" s="373"/>
      <x:c r="B81" s="373"/>
      <x:c r="C81" s="373"/>
      <x:c r="D81" s="373"/>
      <x:c r="E81" s="373"/>
      <x:c r="F81" s="373"/>
      <x:c r="G81" s="373"/>
      <x:c r="H81" s="373"/>
      <x:c r="I81" s="373"/>
      <x:c r="J81" s="373"/>
      <x:c r="K81" s="373"/>
      <x:c r="L81" s="373"/>
      <x:c r="M81" s="373"/>
      <x:c r="N81" s="373"/>
      <x:c r="O81" s="373"/>
      <x:c r="P81" s="373"/>
      <x:c r="Q81" s="373"/>
      <x:c r="R81" s="373"/>
      <x:c r="S81" s="373"/>
      <x:c r="T81" s="373"/>
      <x:c r="U81" s="373"/>
      <x:c r="V81" s="373"/>
      <x:c r="W81" s="373"/>
      <x:c r="X81" s="373"/>
      <x:c r="Y81" s="373"/>
      <x:c r="Z81" s="373"/>
    </x:row>
    <x:row r="82">
      <x:c r="A82" s="373"/>
      <x:c r="B82" s="373"/>
      <x:c r="C82" s="373"/>
      <x:c r="D82" s="373"/>
      <x:c r="E82" s="373"/>
      <x:c r="F82" s="373"/>
      <x:c r="G82" s="373"/>
      <x:c r="H82" s="373"/>
      <x:c r="I82" s="373"/>
      <x:c r="J82" s="373"/>
      <x:c r="K82" s="373"/>
      <x:c r="L82" s="373"/>
      <x:c r="M82" s="373"/>
      <x:c r="N82" s="373"/>
      <x:c r="O82" s="373"/>
      <x:c r="P82" s="373"/>
      <x:c r="Q82" s="373"/>
      <x:c r="R82" s="373"/>
      <x:c r="S82" s="373"/>
      <x:c r="T82" s="373"/>
      <x:c r="U82" s="373"/>
      <x:c r="V82" s="373"/>
      <x:c r="W82" s="373"/>
      <x:c r="X82" s="373"/>
      <x:c r="Y82" s="373"/>
      <x:c r="Z82" s="373"/>
    </x:row>
    <x:row r="83">
      <x:c r="A83" s="373"/>
      <x:c r="B83" s="373"/>
      <x:c r="C83" s="373"/>
      <x:c r="D83" s="373"/>
      <x:c r="E83" s="373"/>
      <x:c r="F83" s="373"/>
      <x:c r="G83" s="373"/>
      <x:c r="H83" s="373"/>
      <x:c r="I83" s="373"/>
      <x:c r="J83" s="373"/>
      <x:c r="K83" s="373"/>
      <x:c r="L83" s="373"/>
      <x:c r="M83" s="373"/>
      <x:c r="N83" s="373"/>
      <x:c r="O83" s="373"/>
      <x:c r="P83" s="373"/>
      <x:c r="Q83" s="373"/>
      <x:c r="R83" s="373"/>
      <x:c r="S83" s="373"/>
      <x:c r="T83" s="373"/>
      <x:c r="U83" s="373"/>
      <x:c r="V83" s="373"/>
      <x:c r="W83" s="373"/>
      <x:c r="X83" s="373"/>
      <x:c r="Y83" s="373"/>
      <x:c r="Z83" s="373"/>
    </x:row>
    <x:row r="84">
      <x:c r="A84" s="373"/>
      <x:c r="B84" s="373"/>
      <x:c r="C84" s="373"/>
      <x:c r="D84" s="373"/>
      <x:c r="E84" s="373"/>
      <x:c r="F84" s="373"/>
      <x:c r="G84" s="373"/>
      <x:c r="H84" s="373"/>
      <x:c r="I84" s="373"/>
      <x:c r="J84" s="373"/>
      <x:c r="K84" s="373"/>
      <x:c r="L84" s="373"/>
      <x:c r="M84" s="373"/>
      <x:c r="N84" s="373"/>
      <x:c r="O84" s="373"/>
      <x:c r="P84" s="373"/>
      <x:c r="Q84" s="373"/>
      <x:c r="R84" s="373"/>
      <x:c r="S84" s="373"/>
      <x:c r="T84" s="373"/>
      <x:c r="U84" s="373"/>
      <x:c r="V84" s="373"/>
      <x:c r="W84" s="373"/>
      <x:c r="X84" s="373"/>
      <x:c r="Y84" s="373"/>
      <x:c r="Z84" s="373"/>
    </x:row>
    <x:row r="85">
      <x:c r="A85" s="373"/>
      <x:c r="B85" s="373"/>
      <x:c r="C85" s="373"/>
      <x:c r="D85" s="373"/>
      <x:c r="E85" s="373"/>
      <x:c r="F85" s="373"/>
      <x:c r="G85" s="373"/>
      <x:c r="H85" s="373"/>
      <x:c r="I85" s="373"/>
      <x:c r="J85" s="373"/>
      <x:c r="K85" s="373"/>
      <x:c r="L85" s="373"/>
      <x:c r="M85" s="373"/>
      <x:c r="N85" s="373"/>
      <x:c r="O85" s="373"/>
      <x:c r="P85" s="373"/>
      <x:c r="Q85" s="373"/>
      <x:c r="R85" s="373"/>
      <x:c r="S85" s="373"/>
      <x:c r="T85" s="373"/>
      <x:c r="U85" s="373"/>
      <x:c r="V85" s="373"/>
      <x:c r="W85" s="373"/>
      <x:c r="X85" s="373"/>
      <x:c r="Y85" s="373"/>
      <x:c r="Z85" s="373"/>
    </x:row>
    <x:row r="86">
      <x:c r="A86" s="373"/>
      <x:c r="B86" s="373"/>
      <x:c r="C86" s="373"/>
      <x:c r="D86" s="373"/>
      <x:c r="E86" s="373"/>
      <x:c r="F86" s="373"/>
      <x:c r="G86" s="373"/>
      <x:c r="H86" s="373"/>
      <x:c r="I86" s="373"/>
      <x:c r="J86" s="373"/>
      <x:c r="K86" s="373"/>
      <x:c r="L86" s="373"/>
      <x:c r="M86" s="373"/>
      <x:c r="N86" s="373"/>
      <x:c r="O86" s="373"/>
      <x:c r="P86" s="373"/>
      <x:c r="Q86" s="373"/>
      <x:c r="R86" s="373"/>
      <x:c r="S86" s="373"/>
      <x:c r="T86" s="373"/>
      <x:c r="U86" s="373"/>
      <x:c r="V86" s="373"/>
      <x:c r="W86" s="373"/>
      <x:c r="X86" s="373"/>
      <x:c r="Y86" s="373"/>
      <x:c r="Z86" s="373"/>
    </x:row>
    <x:row r="87">
      <x:c r="A87" s="373"/>
      <x:c r="B87" s="373"/>
      <x:c r="C87" s="373"/>
      <x:c r="D87" s="373"/>
      <x:c r="E87" s="373"/>
      <x:c r="F87" s="373"/>
      <x:c r="G87" s="373"/>
      <x:c r="H87" s="373"/>
      <x:c r="I87" s="373"/>
      <x:c r="J87" s="373"/>
      <x:c r="K87" s="373"/>
      <x:c r="L87" s="373"/>
      <x:c r="M87" s="373"/>
      <x:c r="N87" s="373"/>
      <x:c r="O87" s="373"/>
      <x:c r="P87" s="373"/>
      <x:c r="Q87" s="373"/>
      <x:c r="R87" s="373"/>
      <x:c r="S87" s="373"/>
      <x:c r="T87" s="373"/>
      <x:c r="U87" s="373"/>
      <x:c r="V87" s="373"/>
      <x:c r="W87" s="373"/>
      <x:c r="X87" s="373"/>
      <x:c r="Y87" s="373"/>
      <x:c r="Z87" s="373"/>
    </x:row>
    <x:row r="88">
      <x:c r="A88" s="373"/>
      <x:c r="B88" s="373"/>
      <x:c r="C88" s="373"/>
      <x:c r="D88" s="373"/>
      <x:c r="E88" s="373"/>
      <x:c r="F88" s="373"/>
      <x:c r="G88" s="373"/>
      <x:c r="H88" s="373"/>
      <x:c r="I88" s="373"/>
      <x:c r="J88" s="373"/>
      <x:c r="K88" s="373"/>
      <x:c r="L88" s="373"/>
      <x:c r="M88" s="373"/>
      <x:c r="N88" s="373"/>
      <x:c r="O88" s="373"/>
      <x:c r="P88" s="373"/>
      <x:c r="Q88" s="373"/>
      <x:c r="R88" s="373"/>
      <x:c r="S88" s="373"/>
      <x:c r="T88" s="373"/>
      <x:c r="U88" s="373"/>
      <x:c r="V88" s="373"/>
      <x:c r="W88" s="373"/>
      <x:c r="X88" s="373"/>
      <x:c r="Y88" s="373"/>
      <x:c r="Z88" s="373"/>
    </x:row>
    <x:row r="89">
      <x:c r="A89" s="373"/>
      <x:c r="B89" s="373"/>
      <x:c r="C89" s="373"/>
      <x:c r="D89" s="373"/>
      <x:c r="E89" s="373"/>
      <x:c r="F89" s="373"/>
      <x:c r="G89" s="373"/>
      <x:c r="H89" s="373"/>
      <x:c r="I89" s="373"/>
      <x:c r="J89" s="373"/>
      <x:c r="K89" s="373"/>
      <x:c r="L89" s="373"/>
      <x:c r="M89" s="373"/>
      <x:c r="N89" s="373"/>
      <x:c r="O89" s="373"/>
      <x:c r="P89" s="373"/>
      <x:c r="Q89" s="373"/>
      <x:c r="R89" s="373"/>
      <x:c r="S89" s="373"/>
      <x:c r="T89" s="373"/>
      <x:c r="U89" s="373"/>
      <x:c r="V89" s="373"/>
      <x:c r="W89" s="373"/>
      <x:c r="X89" s="373"/>
      <x:c r="Y89" s="373"/>
      <x:c r="Z89" s="373"/>
    </x:row>
    <x:row r="90">
      <x:c r="A90" s="373"/>
      <x:c r="B90" s="373"/>
      <x:c r="C90" s="373"/>
      <x:c r="D90" s="373"/>
      <x:c r="E90" s="373"/>
      <x:c r="F90" s="373"/>
      <x:c r="G90" s="373"/>
      <x:c r="H90" s="373"/>
      <x:c r="I90" s="373"/>
      <x:c r="J90" s="373"/>
      <x:c r="K90" s="373"/>
      <x:c r="L90" s="373"/>
      <x:c r="M90" s="373"/>
      <x:c r="N90" s="373"/>
      <x:c r="O90" s="373"/>
      <x:c r="P90" s="373"/>
      <x:c r="Q90" s="373"/>
      <x:c r="R90" s="373"/>
      <x:c r="S90" s="373"/>
      <x:c r="T90" s="373"/>
      <x:c r="U90" s="373"/>
      <x:c r="V90" s="373"/>
      <x:c r="W90" s="373"/>
      <x:c r="X90" s="373"/>
      <x:c r="Y90" s="373"/>
      <x:c r="Z90" s="373"/>
    </x:row>
    <x:row r="91">
      <x:c r="A91" s="373"/>
      <x:c r="B91" s="373"/>
      <x:c r="C91" s="373"/>
      <x:c r="D91" s="373"/>
      <x:c r="E91" s="373"/>
      <x:c r="F91" s="373"/>
      <x:c r="G91" s="373"/>
      <x:c r="H91" s="373"/>
      <x:c r="I91" s="373"/>
      <x:c r="J91" s="373"/>
      <x:c r="K91" s="373"/>
      <x:c r="L91" s="373"/>
      <x:c r="M91" s="373"/>
      <x:c r="N91" s="373"/>
      <x:c r="O91" s="373"/>
      <x:c r="P91" s="373"/>
      <x:c r="Q91" s="373"/>
      <x:c r="R91" s="373"/>
      <x:c r="S91" s="373"/>
      <x:c r="T91" s="373"/>
      <x:c r="U91" s="373"/>
      <x:c r="V91" s="373"/>
      <x:c r="W91" s="373"/>
      <x:c r="X91" s="373"/>
      <x:c r="Y91" s="373"/>
      <x:c r="Z91" s="373"/>
    </x:row>
    <x:row r="92">
      <x:c r="A92" s="373"/>
      <x:c r="B92" s="373"/>
      <x:c r="C92" s="373"/>
      <x:c r="D92" s="373"/>
      <x:c r="E92" s="373"/>
      <x:c r="F92" s="373"/>
      <x:c r="G92" s="373"/>
      <x:c r="H92" s="373"/>
      <x:c r="I92" s="373"/>
      <x:c r="J92" s="373"/>
      <x:c r="K92" s="373"/>
      <x:c r="L92" s="373"/>
      <x:c r="M92" s="373"/>
      <x:c r="N92" s="373"/>
      <x:c r="O92" s="373"/>
      <x:c r="P92" s="373"/>
      <x:c r="Q92" s="373"/>
      <x:c r="R92" s="373"/>
      <x:c r="S92" s="373"/>
      <x:c r="T92" s="373"/>
      <x:c r="U92" s="373"/>
      <x:c r="V92" s="373"/>
      <x:c r="W92" s="373"/>
      <x:c r="X92" s="373"/>
      <x:c r="Y92" s="373"/>
      <x:c r="Z92" s="373"/>
    </x:row>
    <x:row r="93">
      <x:c r="A93" s="373"/>
      <x:c r="B93" s="373"/>
      <x:c r="C93" s="373"/>
      <x:c r="D93" s="373"/>
      <x:c r="E93" s="373"/>
      <x:c r="F93" s="373"/>
      <x:c r="G93" s="373"/>
      <x:c r="H93" s="373"/>
      <x:c r="I93" s="373"/>
      <x:c r="J93" s="373"/>
      <x:c r="K93" s="373"/>
      <x:c r="L93" s="373"/>
      <x:c r="M93" s="373"/>
      <x:c r="N93" s="373"/>
      <x:c r="O93" s="373"/>
      <x:c r="P93" s="373"/>
      <x:c r="Q93" s="373"/>
      <x:c r="R93" s="373"/>
      <x:c r="S93" s="373"/>
      <x:c r="T93" s="373"/>
      <x:c r="U93" s="373"/>
      <x:c r="V93" s="373"/>
      <x:c r="W93" s="373"/>
      <x:c r="X93" s="373"/>
      <x:c r="Y93" s="373"/>
      <x:c r="Z93" s="373"/>
    </x:row>
    <x:row r="94">
      <x:c r="A94" s="373"/>
      <x:c r="B94" s="373"/>
      <x:c r="C94" s="373"/>
      <x:c r="D94" s="373"/>
      <x:c r="E94" s="373"/>
      <x:c r="F94" s="373"/>
      <x:c r="G94" s="373"/>
      <x:c r="H94" s="373"/>
      <x:c r="I94" s="373"/>
      <x:c r="J94" s="373"/>
      <x:c r="K94" s="373"/>
      <x:c r="L94" s="373"/>
      <x:c r="M94" s="373"/>
      <x:c r="N94" s="373"/>
      <x:c r="O94" s="373"/>
      <x:c r="P94" s="373"/>
      <x:c r="Q94" s="373"/>
      <x:c r="R94" s="373"/>
      <x:c r="S94" s="373"/>
      <x:c r="T94" s="373"/>
      <x:c r="U94" s="373"/>
      <x:c r="V94" s="373"/>
      <x:c r="W94" s="373"/>
      <x:c r="X94" s="373"/>
      <x:c r="Y94" s="373"/>
      <x:c r="Z94" s="373"/>
    </x:row>
    <x:row r="95">
      <x:c r="A95" s="373"/>
      <x:c r="B95" s="373"/>
      <x:c r="C95" s="373"/>
      <x:c r="D95" s="373"/>
      <x:c r="E95" s="373"/>
      <x:c r="F95" s="373"/>
      <x:c r="G95" s="373"/>
      <x:c r="H95" s="373"/>
      <x:c r="I95" s="373"/>
      <x:c r="J95" s="373"/>
      <x:c r="K95" s="373"/>
      <x:c r="L95" s="373"/>
      <x:c r="M95" s="373"/>
      <x:c r="N95" s="373"/>
      <x:c r="O95" s="373"/>
      <x:c r="P95" s="373"/>
      <x:c r="Q95" s="373"/>
      <x:c r="R95" s="373"/>
      <x:c r="S95" s="373"/>
      <x:c r="T95" s="373"/>
      <x:c r="U95" s="373"/>
      <x:c r="V95" s="373"/>
      <x:c r="W95" s="373"/>
      <x:c r="X95" s="373"/>
      <x:c r="Y95" s="373"/>
      <x:c r="Z95" s="373"/>
    </x:row>
    <x:row r="96">
      <x:c r="A96" s="373"/>
      <x:c r="B96" s="373"/>
      <x:c r="C96" s="373"/>
      <x:c r="D96" s="373"/>
      <x:c r="E96" s="373"/>
      <x:c r="F96" s="373"/>
      <x:c r="G96" s="373"/>
      <x:c r="H96" s="373"/>
      <x:c r="I96" s="373"/>
      <x:c r="J96" s="373"/>
      <x:c r="K96" s="373"/>
      <x:c r="L96" s="373"/>
      <x:c r="M96" s="373"/>
      <x:c r="N96" s="373"/>
      <x:c r="O96" s="373"/>
      <x:c r="P96" s="373"/>
      <x:c r="Q96" s="373"/>
      <x:c r="R96" s="373"/>
      <x:c r="S96" s="373"/>
      <x:c r="T96" s="373"/>
      <x:c r="U96" s="373"/>
      <x:c r="V96" s="373"/>
      <x:c r="W96" s="373"/>
      <x:c r="X96" s="373"/>
      <x:c r="Y96" s="373"/>
      <x:c r="Z96" s="373"/>
    </x:row>
    <x:row r="97">
      <x:c r="A97" s="373"/>
      <x:c r="B97" s="373"/>
      <x:c r="C97" s="373"/>
      <x:c r="D97" s="373"/>
      <x:c r="E97" s="373"/>
      <x:c r="F97" s="373"/>
      <x:c r="G97" s="373"/>
      <x:c r="H97" s="373"/>
      <x:c r="I97" s="373"/>
      <x:c r="J97" s="373"/>
      <x:c r="K97" s="373"/>
      <x:c r="L97" s="373"/>
      <x:c r="M97" s="373"/>
      <x:c r="N97" s="373"/>
      <x:c r="O97" s="373"/>
      <x:c r="P97" s="373"/>
      <x:c r="Q97" s="373"/>
      <x:c r="R97" s="373"/>
      <x:c r="S97" s="373"/>
      <x:c r="T97" s="373"/>
      <x:c r="U97" s="373"/>
      <x:c r="V97" s="373"/>
      <x:c r="W97" s="373"/>
      <x:c r="X97" s="373"/>
      <x:c r="Y97" s="373"/>
      <x:c r="Z97" s="373"/>
    </x:row>
    <x:row r="98">
      <x:c r="A98" s="373"/>
      <x:c r="B98" s="373"/>
      <x:c r="C98" s="373"/>
      <x:c r="D98" s="373"/>
      <x:c r="E98" s="373"/>
      <x:c r="F98" s="373"/>
      <x:c r="G98" s="373"/>
      <x:c r="H98" s="373"/>
      <x:c r="I98" s="373"/>
      <x:c r="J98" s="373"/>
      <x:c r="K98" s="373"/>
      <x:c r="L98" s="373"/>
      <x:c r="M98" s="373"/>
      <x:c r="N98" s="373"/>
      <x:c r="O98" s="373"/>
      <x:c r="P98" s="373"/>
      <x:c r="Q98" s="373"/>
      <x:c r="R98" s="373"/>
      <x:c r="S98" s="373"/>
      <x:c r="T98" s="373"/>
      <x:c r="U98" s="373"/>
      <x:c r="V98" s="373"/>
      <x:c r="W98" s="373"/>
      <x:c r="X98" s="373"/>
      <x:c r="Y98" s="373"/>
      <x:c r="Z98" s="373"/>
    </x:row>
    <x:row r="99">
      <x:c r="A99" s="373"/>
      <x:c r="B99" s="373"/>
      <x:c r="C99" s="373"/>
      <x:c r="D99" s="373"/>
      <x:c r="E99" s="373"/>
      <x:c r="F99" s="373"/>
      <x:c r="G99" s="373"/>
      <x:c r="H99" s="373"/>
      <x:c r="I99" s="373"/>
      <x:c r="J99" s="373"/>
      <x:c r="K99" s="373"/>
      <x:c r="L99" s="373"/>
      <x:c r="M99" s="373"/>
      <x:c r="N99" s="373"/>
      <x:c r="O99" s="373"/>
      <x:c r="P99" s="373"/>
      <x:c r="Q99" s="373"/>
      <x:c r="R99" s="373"/>
      <x:c r="S99" s="373"/>
      <x:c r="T99" s="373"/>
      <x:c r="U99" s="373"/>
      <x:c r="V99" s="373"/>
      <x:c r="W99" s="373"/>
      <x:c r="X99" s="373"/>
      <x:c r="Y99" s="373"/>
      <x:c r="Z99" s="373"/>
    </x:row>
    <x:row r="100">
      <x:c r="A100" s="373"/>
      <x:c r="B100" s="373"/>
      <x:c r="C100" s="373"/>
      <x:c r="D100" s="373"/>
      <x:c r="E100" s="373"/>
      <x:c r="F100" s="373"/>
      <x:c r="G100" s="373"/>
      <x:c r="H100" s="373"/>
      <x:c r="I100" s="373"/>
      <x:c r="J100" s="373"/>
      <x:c r="K100" s="373"/>
      <x:c r="L100" s="373"/>
      <x:c r="M100" s="373"/>
      <x:c r="N100" s="373"/>
      <x:c r="O100" s="373"/>
      <x:c r="P100" s="373"/>
      <x:c r="Q100" s="373"/>
      <x:c r="R100" s="373"/>
      <x:c r="S100" s="373"/>
      <x:c r="T100" s="373"/>
      <x:c r="U100" s="373"/>
      <x:c r="V100" s="373"/>
      <x:c r="W100" s="373"/>
      <x:c r="X100" s="373"/>
      <x:c r="Y100" s="373"/>
      <x:c r="Z100" s="373"/>
    </x:row>
    <x:row r="101">
      <x:c r="A101" s="373"/>
      <x:c r="B101" s="373"/>
      <x:c r="C101" s="373"/>
      <x:c r="D101" s="373"/>
      <x:c r="E101" s="373"/>
      <x:c r="F101" s="373"/>
      <x:c r="G101" s="373"/>
      <x:c r="H101" s="373"/>
      <x:c r="I101" s="373"/>
      <x:c r="J101" s="373"/>
      <x:c r="K101" s="373"/>
      <x:c r="L101" s="373"/>
      <x:c r="M101" s="373"/>
      <x:c r="N101" s="373"/>
      <x:c r="O101" s="373"/>
      <x:c r="P101" s="373"/>
      <x:c r="Q101" s="373"/>
      <x:c r="R101" s="373"/>
      <x:c r="S101" s="373"/>
      <x:c r="T101" s="373"/>
      <x:c r="U101" s="373"/>
      <x:c r="V101" s="373"/>
      <x:c r="W101" s="373"/>
      <x:c r="X101" s="373"/>
      <x:c r="Y101" s="373"/>
      <x:c r="Z101" s="373"/>
    </x:row>
    <x:row r="102">
      <x:c r="A102" s="373"/>
      <x:c r="B102" s="373"/>
      <x:c r="C102" s="373"/>
      <x:c r="D102" s="373"/>
      <x:c r="E102" s="373"/>
      <x:c r="F102" s="373"/>
      <x:c r="G102" s="373"/>
      <x:c r="H102" s="373"/>
      <x:c r="I102" s="373"/>
      <x:c r="J102" s="373"/>
      <x:c r="K102" s="373"/>
      <x:c r="L102" s="373"/>
      <x:c r="M102" s="373"/>
      <x:c r="N102" s="373"/>
      <x:c r="O102" s="373"/>
      <x:c r="P102" s="373"/>
      <x:c r="Q102" s="373"/>
      <x:c r="R102" s="373"/>
      <x:c r="S102" s="373"/>
      <x:c r="T102" s="373"/>
      <x:c r="U102" s="373"/>
      <x:c r="V102" s="373"/>
      <x:c r="W102" s="373"/>
      <x:c r="X102" s="373"/>
      <x:c r="Y102" s="373"/>
      <x:c r="Z102" s="373"/>
    </x:row>
    <x:row r="103">
      <x:c r="A103" s="373"/>
      <x:c r="B103" s="373"/>
      <x:c r="C103" s="373"/>
      <x:c r="D103" s="373"/>
      <x:c r="E103" s="373"/>
      <x:c r="F103" s="373"/>
      <x:c r="G103" s="373"/>
      <x:c r="H103" s="373"/>
      <x:c r="I103" s="373"/>
      <x:c r="J103" s="373"/>
      <x:c r="K103" s="373"/>
      <x:c r="L103" s="373"/>
      <x:c r="M103" s="373"/>
      <x:c r="N103" s="373"/>
      <x:c r="O103" s="373"/>
      <x:c r="P103" s="373"/>
      <x:c r="Q103" s="373"/>
      <x:c r="R103" s="373"/>
      <x:c r="S103" s="373"/>
      <x:c r="T103" s="373"/>
      <x:c r="U103" s="373"/>
      <x:c r="V103" s="373"/>
      <x:c r="W103" s="373"/>
      <x:c r="X103" s="373"/>
      <x:c r="Y103" s="373"/>
      <x:c r="Z103" s="373"/>
    </x:row>
    <x:row r="104">
      <x:c r="A104" s="373"/>
      <x:c r="B104" s="373"/>
      <x:c r="C104" s="373"/>
      <x:c r="D104" s="373"/>
      <x:c r="E104" s="373"/>
      <x:c r="F104" s="373"/>
      <x:c r="G104" s="373"/>
      <x:c r="H104" s="373"/>
      <x:c r="I104" s="373"/>
      <x:c r="J104" s="373"/>
      <x:c r="K104" s="373"/>
      <x:c r="L104" s="373"/>
      <x:c r="M104" s="373"/>
      <x:c r="N104" s="373"/>
      <x:c r="O104" s="373"/>
      <x:c r="P104" s="373"/>
      <x:c r="Q104" s="373"/>
      <x:c r="R104" s="373"/>
      <x:c r="S104" s="373"/>
      <x:c r="T104" s="373"/>
      <x:c r="U104" s="373"/>
      <x:c r="V104" s="373"/>
      <x:c r="W104" s="373"/>
      <x:c r="X104" s="373"/>
      <x:c r="Y104" s="373"/>
      <x:c r="Z104" s="373"/>
    </x:row>
    <x:row r="105">
      <x:c r="A105" s="373"/>
      <x:c r="B105" s="373"/>
      <x:c r="C105" s="373"/>
      <x:c r="D105" s="373"/>
      <x:c r="E105" s="373"/>
      <x:c r="F105" s="373"/>
      <x:c r="G105" s="373"/>
      <x:c r="H105" s="373"/>
      <x:c r="I105" s="373"/>
      <x:c r="J105" s="373"/>
      <x:c r="K105" s="373"/>
      <x:c r="L105" s="373"/>
      <x:c r="M105" s="373"/>
      <x:c r="N105" s="373"/>
      <x:c r="O105" s="373"/>
      <x:c r="P105" s="373"/>
      <x:c r="Q105" s="373"/>
      <x:c r="R105" s="373"/>
      <x:c r="S105" s="373"/>
      <x:c r="T105" s="373"/>
      <x:c r="U105" s="373"/>
      <x:c r="V105" s="373"/>
      <x:c r="W105" s="373"/>
      <x:c r="X105" s="373"/>
      <x:c r="Y105" s="373"/>
      <x:c r="Z105" s="373"/>
    </x:row>
    <x:row r="106">
      <x:c r="A106" s="373"/>
      <x:c r="B106" s="373"/>
      <x:c r="C106" s="373"/>
      <x:c r="D106" s="373"/>
      <x:c r="E106" s="373"/>
      <x:c r="F106" s="373"/>
      <x:c r="G106" s="373"/>
      <x:c r="H106" s="373"/>
      <x:c r="I106" s="373"/>
      <x:c r="J106" s="373"/>
      <x:c r="K106" s="373"/>
      <x:c r="L106" s="373"/>
      <x:c r="M106" s="373"/>
      <x:c r="N106" s="373"/>
      <x:c r="O106" s="373"/>
      <x:c r="P106" s="373"/>
      <x:c r="Q106" s="373"/>
      <x:c r="R106" s="373"/>
      <x:c r="S106" s="373"/>
      <x:c r="T106" s="373"/>
      <x:c r="U106" s="373"/>
      <x:c r="V106" s="373"/>
      <x:c r="W106" s="373"/>
      <x:c r="X106" s="373"/>
      <x:c r="Y106" s="373"/>
      <x:c r="Z106" s="373"/>
    </x:row>
    <x:row r="107">
      <x:c r="A107" s="373"/>
      <x:c r="B107" s="373"/>
      <x:c r="C107" s="373"/>
      <x:c r="D107" s="373"/>
      <x:c r="E107" s="373"/>
      <x:c r="F107" s="373"/>
      <x:c r="G107" s="373"/>
      <x:c r="H107" s="373"/>
      <x:c r="I107" s="373"/>
      <x:c r="J107" s="373"/>
      <x:c r="K107" s="373"/>
      <x:c r="L107" s="373"/>
      <x:c r="M107" s="373"/>
      <x:c r="N107" s="373"/>
      <x:c r="O107" s="373"/>
      <x:c r="P107" s="373"/>
      <x:c r="Q107" s="373"/>
      <x:c r="R107" s="373"/>
      <x:c r="S107" s="373"/>
      <x:c r="T107" s="373"/>
      <x:c r="U107" s="373"/>
      <x:c r="V107" s="373"/>
      <x:c r="W107" s="373"/>
      <x:c r="X107" s="373"/>
      <x:c r="Y107" s="373"/>
      <x:c r="Z107" s="373"/>
    </x:row>
    <x:row r="108">
      <x:c r="A108" s="373"/>
      <x:c r="B108" s="373"/>
      <x:c r="C108" s="373"/>
      <x:c r="D108" s="373"/>
      <x:c r="E108" s="373"/>
      <x:c r="F108" s="373"/>
      <x:c r="G108" s="373"/>
      <x:c r="H108" s="373"/>
      <x:c r="I108" s="373"/>
      <x:c r="J108" s="373"/>
      <x:c r="K108" s="373"/>
      <x:c r="L108" s="373"/>
      <x:c r="M108" s="373"/>
      <x:c r="N108" s="373"/>
      <x:c r="O108" s="373"/>
      <x:c r="P108" s="373"/>
      <x:c r="Q108" s="373"/>
      <x:c r="R108" s="373"/>
      <x:c r="S108" s="373"/>
      <x:c r="T108" s="373"/>
      <x:c r="U108" s="373"/>
      <x:c r="V108" s="373"/>
      <x:c r="W108" s="373"/>
      <x:c r="X108" s="373"/>
      <x:c r="Y108" s="373"/>
      <x:c r="Z108" s="373"/>
    </x:row>
    <x:row r="109">
      <x:c r="A109" s="373"/>
      <x:c r="B109" s="373"/>
      <x:c r="C109" s="373"/>
      <x:c r="D109" s="373"/>
      <x:c r="E109" s="373"/>
      <x:c r="F109" s="373"/>
      <x:c r="G109" s="373"/>
      <x:c r="H109" s="373"/>
      <x:c r="I109" s="373"/>
      <x:c r="J109" s="373"/>
      <x:c r="K109" s="373"/>
      <x:c r="L109" s="373"/>
      <x:c r="M109" s="373"/>
      <x:c r="N109" s="373"/>
      <x:c r="O109" s="373"/>
      <x:c r="P109" s="373"/>
      <x:c r="Q109" s="373"/>
      <x:c r="R109" s="373"/>
      <x:c r="S109" s="373"/>
      <x:c r="T109" s="373"/>
      <x:c r="U109" s="373"/>
      <x:c r="V109" s="373"/>
      <x:c r="W109" s="373"/>
      <x:c r="X109" s="373"/>
      <x:c r="Y109" s="373"/>
      <x:c r="Z109" s="373"/>
    </x:row>
    <x:row r="110">
      <x:c r="A110" s="373"/>
      <x:c r="B110" s="373"/>
      <x:c r="C110" s="373"/>
      <x:c r="D110" s="373"/>
      <x:c r="E110" s="373"/>
      <x:c r="F110" s="373"/>
      <x:c r="G110" s="373"/>
      <x:c r="H110" s="373"/>
      <x:c r="I110" s="373"/>
      <x:c r="J110" s="373"/>
      <x:c r="K110" s="373"/>
      <x:c r="L110" s="373"/>
      <x:c r="M110" s="373"/>
      <x:c r="N110" s="373"/>
      <x:c r="O110" s="373"/>
      <x:c r="P110" s="373"/>
      <x:c r="Q110" s="373"/>
      <x:c r="R110" s="373"/>
      <x:c r="S110" s="373"/>
      <x:c r="T110" s="373"/>
      <x:c r="U110" s="373"/>
      <x:c r="V110" s="373"/>
      <x:c r="W110" s="373"/>
      <x:c r="X110" s="373"/>
      <x:c r="Y110" s="373"/>
      <x:c r="Z110" s="373"/>
    </x:row>
    <x:row r="111">
      <x:c r="A111" s="373"/>
      <x:c r="B111" s="373"/>
      <x:c r="C111" s="373"/>
      <x:c r="D111" s="373"/>
      <x:c r="E111" s="373"/>
      <x:c r="F111" s="373"/>
      <x:c r="G111" s="373"/>
      <x:c r="H111" s="373"/>
      <x:c r="I111" s="373"/>
      <x:c r="J111" s="373"/>
      <x:c r="K111" s="373"/>
      <x:c r="L111" s="373"/>
      <x:c r="M111" s="373"/>
      <x:c r="N111" s="373"/>
      <x:c r="O111" s="373"/>
      <x:c r="P111" s="373"/>
      <x:c r="Q111" s="373"/>
      <x:c r="R111" s="373"/>
      <x:c r="S111" s="373"/>
      <x:c r="T111" s="373"/>
      <x:c r="U111" s="373"/>
      <x:c r="V111" s="373"/>
      <x:c r="W111" s="373"/>
      <x:c r="X111" s="373"/>
      <x:c r="Y111" s="373"/>
      <x:c r="Z111" s="373"/>
    </x:row>
    <x:row r="112">
      <x:c r="A112" s="373"/>
      <x:c r="B112" s="373"/>
      <x:c r="C112" s="373"/>
      <x:c r="D112" s="373"/>
      <x:c r="E112" s="373"/>
      <x:c r="F112" s="373"/>
      <x:c r="G112" s="373"/>
      <x:c r="H112" s="373"/>
      <x:c r="I112" s="373"/>
      <x:c r="J112" s="373"/>
      <x:c r="K112" s="373"/>
      <x:c r="L112" s="373"/>
      <x:c r="M112" s="373"/>
      <x:c r="N112" s="373"/>
      <x:c r="O112" s="373"/>
      <x:c r="P112" s="373"/>
      <x:c r="Q112" s="373"/>
      <x:c r="R112" s="373"/>
      <x:c r="S112" s="373"/>
      <x:c r="T112" s="373"/>
      <x:c r="U112" s="373"/>
      <x:c r="V112" s="373"/>
      <x:c r="W112" s="373"/>
      <x:c r="X112" s="373"/>
      <x:c r="Y112" s="373"/>
      <x:c r="Z112" s="373"/>
    </x:row>
    <x:row r="113">
      <x:c r="A113" s="373"/>
      <x:c r="B113" s="373"/>
      <x:c r="C113" s="373"/>
      <x:c r="D113" s="373"/>
      <x:c r="E113" s="373"/>
      <x:c r="F113" s="373"/>
      <x:c r="G113" s="373"/>
      <x:c r="H113" s="373"/>
      <x:c r="I113" s="373"/>
      <x:c r="J113" s="373"/>
      <x:c r="K113" s="373"/>
      <x:c r="L113" s="373"/>
      <x:c r="M113" s="373"/>
      <x:c r="N113" s="373"/>
      <x:c r="O113" s="373"/>
      <x:c r="P113" s="373"/>
      <x:c r="Q113" s="373"/>
      <x:c r="R113" s="373"/>
      <x:c r="S113" s="373"/>
      <x:c r="T113" s="373"/>
      <x:c r="U113" s="373"/>
      <x:c r="V113" s="373"/>
      <x:c r="W113" s="373"/>
      <x:c r="X113" s="373"/>
      <x:c r="Y113" s="373"/>
      <x:c r="Z113" s="373"/>
    </x:row>
    <x:row r="114">
      <x:c r="A114" s="373"/>
      <x:c r="B114" s="373"/>
      <x:c r="C114" s="373"/>
      <x:c r="D114" s="373"/>
      <x:c r="E114" s="373"/>
      <x:c r="F114" s="373"/>
      <x:c r="G114" s="373"/>
      <x:c r="H114" s="373"/>
      <x:c r="I114" s="373"/>
      <x:c r="J114" s="373"/>
      <x:c r="K114" s="373"/>
      <x:c r="L114" s="373"/>
      <x:c r="M114" s="373"/>
      <x:c r="N114" s="373"/>
      <x:c r="O114" s="373"/>
      <x:c r="P114" s="373"/>
      <x:c r="Q114" s="373"/>
      <x:c r="R114" s="373"/>
      <x:c r="S114" s="373"/>
      <x:c r="T114" s="373"/>
      <x:c r="U114" s="373"/>
      <x:c r="V114" s="373"/>
      <x:c r="W114" s="373"/>
      <x:c r="X114" s="373"/>
      <x:c r="Y114" s="373"/>
      <x:c r="Z114" s="373"/>
    </x:row>
    <x:row r="115">
      <x:c r="A115" s="373"/>
      <x:c r="B115" s="373"/>
      <x:c r="C115" s="373"/>
      <x:c r="D115" s="373"/>
      <x:c r="E115" s="373"/>
      <x:c r="F115" s="373"/>
      <x:c r="G115" s="373"/>
      <x:c r="H115" s="373"/>
      <x:c r="I115" s="373"/>
      <x:c r="J115" s="373"/>
      <x:c r="K115" s="373"/>
      <x:c r="L115" s="373"/>
      <x:c r="M115" s="373"/>
      <x:c r="N115" s="373"/>
      <x:c r="O115" s="373"/>
      <x:c r="P115" s="373"/>
      <x:c r="Q115" s="373"/>
      <x:c r="R115" s="373"/>
      <x:c r="S115" s="373"/>
      <x:c r="T115" s="373"/>
      <x:c r="U115" s="373"/>
      <x:c r="V115" s="373"/>
      <x:c r="W115" s="373"/>
      <x:c r="X115" s="373"/>
      <x:c r="Y115" s="373"/>
      <x:c r="Z115" s="373"/>
    </x:row>
    <x:row r="116">
      <x:c r="A116" s="373"/>
      <x:c r="B116" s="373"/>
      <x:c r="C116" s="373"/>
      <x:c r="D116" s="373"/>
      <x:c r="E116" s="373"/>
      <x:c r="F116" s="373"/>
      <x:c r="G116" s="373"/>
      <x:c r="H116" s="373"/>
      <x:c r="I116" s="373"/>
      <x:c r="J116" s="373"/>
      <x:c r="K116" s="373"/>
      <x:c r="L116" s="373"/>
      <x:c r="M116" s="373"/>
      <x:c r="N116" s="373"/>
      <x:c r="O116" s="373"/>
      <x:c r="P116" s="373"/>
      <x:c r="Q116" s="373"/>
      <x:c r="R116" s="373"/>
      <x:c r="S116" s="373"/>
      <x:c r="T116" s="373"/>
      <x:c r="U116" s="373"/>
      <x:c r="V116" s="373"/>
      <x:c r="W116" s="373"/>
      <x:c r="X116" s="373"/>
      <x:c r="Y116" s="373"/>
      <x:c r="Z116" s="373"/>
    </x:row>
    <x:row r="117">
      <x:c r="A117" s="373"/>
      <x:c r="B117" s="373"/>
      <x:c r="C117" s="373"/>
      <x:c r="D117" s="373"/>
      <x:c r="E117" s="373"/>
      <x:c r="F117" s="373"/>
      <x:c r="G117" s="373"/>
      <x:c r="H117" s="373"/>
      <x:c r="I117" s="373"/>
      <x:c r="J117" s="373"/>
      <x:c r="K117" s="373"/>
      <x:c r="L117" s="373"/>
      <x:c r="M117" s="373"/>
      <x:c r="N117" s="373"/>
      <x:c r="O117" s="373"/>
      <x:c r="P117" s="373"/>
      <x:c r="Q117" s="373"/>
      <x:c r="R117" s="373"/>
      <x:c r="S117" s="373"/>
      <x:c r="T117" s="373"/>
      <x:c r="U117" s="373"/>
      <x:c r="V117" s="373"/>
      <x:c r="W117" s="373"/>
      <x:c r="X117" s="373"/>
      <x:c r="Y117" s="373"/>
      <x:c r="Z117" s="373"/>
    </x:row>
    <x:row r="118">
      <x:c r="A118" s="373"/>
      <x:c r="B118" s="373"/>
      <x:c r="C118" s="373"/>
      <x:c r="D118" s="373"/>
      <x:c r="E118" s="373"/>
      <x:c r="F118" s="373"/>
      <x:c r="G118" s="373"/>
      <x:c r="H118" s="373"/>
      <x:c r="I118" s="373"/>
      <x:c r="J118" s="373"/>
      <x:c r="K118" s="373"/>
      <x:c r="L118" s="373"/>
      <x:c r="M118" s="373"/>
      <x:c r="N118" s="373"/>
      <x:c r="O118" s="373"/>
      <x:c r="P118" s="373"/>
      <x:c r="Q118" s="373"/>
      <x:c r="R118" s="373"/>
      <x:c r="S118" s="373"/>
      <x:c r="T118" s="373"/>
      <x:c r="U118" s="373"/>
      <x:c r="V118" s="373"/>
      <x:c r="W118" s="373"/>
      <x:c r="X118" s="373"/>
      <x:c r="Y118" s="373"/>
      <x:c r="Z118" s="373"/>
    </x:row>
    <x:row r="119">
      <x:c r="A119" s="373"/>
      <x:c r="B119" s="373"/>
      <x:c r="C119" s="373"/>
      <x:c r="D119" s="373"/>
      <x:c r="E119" s="373"/>
      <x:c r="F119" s="373"/>
      <x:c r="G119" s="373"/>
      <x:c r="H119" s="373"/>
      <x:c r="I119" s="373"/>
      <x:c r="J119" s="373"/>
      <x:c r="K119" s="373"/>
      <x:c r="L119" s="373"/>
      <x:c r="M119" s="373"/>
      <x:c r="N119" s="373"/>
      <x:c r="O119" s="373"/>
      <x:c r="P119" s="373"/>
      <x:c r="Q119" s="373"/>
      <x:c r="R119" s="373"/>
      <x:c r="S119" s="373"/>
      <x:c r="T119" s="373"/>
      <x:c r="U119" s="373"/>
      <x:c r="V119" s="373"/>
      <x:c r="W119" s="373"/>
      <x:c r="X119" s="373"/>
      <x:c r="Y119" s="373"/>
      <x:c r="Z119" s="373"/>
    </x:row>
    <x:row r="120">
      <x:c r="A120" s="373"/>
      <x:c r="B120" s="373"/>
      <x:c r="C120" s="373"/>
      <x:c r="D120" s="373"/>
      <x:c r="E120" s="373"/>
      <x:c r="F120" s="373"/>
      <x:c r="G120" s="373"/>
      <x:c r="H120" s="373"/>
      <x:c r="I120" s="373"/>
      <x:c r="J120" s="373"/>
      <x:c r="K120" s="373"/>
      <x:c r="L120" s="373"/>
      <x:c r="M120" s="373"/>
      <x:c r="N120" s="373"/>
      <x:c r="O120" s="373"/>
      <x:c r="P120" s="373"/>
      <x:c r="Q120" s="373"/>
      <x:c r="R120" s="373"/>
      <x:c r="S120" s="373"/>
      <x:c r="T120" s="373"/>
      <x:c r="U120" s="373"/>
      <x:c r="V120" s="373"/>
      <x:c r="W120" s="373"/>
      <x:c r="X120" s="373"/>
      <x:c r="Y120" s="373"/>
      <x:c r="Z120" s="373"/>
    </x:row>
    <x:row r="121">
      <x:c r="A121" s="373"/>
      <x:c r="B121" s="373"/>
      <x:c r="C121" s="373"/>
      <x:c r="D121" s="373"/>
      <x:c r="E121" s="373"/>
      <x:c r="F121" s="373"/>
      <x:c r="G121" s="373"/>
      <x:c r="H121" s="373"/>
      <x:c r="I121" s="373"/>
      <x:c r="J121" s="373"/>
      <x:c r="K121" s="373"/>
      <x:c r="L121" s="373"/>
      <x:c r="M121" s="373"/>
      <x:c r="N121" s="373"/>
      <x:c r="O121" s="373"/>
      <x:c r="P121" s="373"/>
      <x:c r="Q121" s="373"/>
      <x:c r="R121" s="373"/>
      <x:c r="S121" s="373"/>
      <x:c r="T121" s="373"/>
      <x:c r="U121" s="373"/>
      <x:c r="V121" s="373"/>
      <x:c r="W121" s="373"/>
      <x:c r="X121" s="373"/>
      <x:c r="Y121" s="373"/>
      <x:c r="Z121" s="373"/>
    </x:row>
    <x:row r="122">
      <x:c r="A122" s="373"/>
      <x:c r="B122" s="373"/>
      <x:c r="C122" s="373"/>
      <x:c r="D122" s="373"/>
      <x:c r="E122" s="373"/>
      <x:c r="F122" s="373"/>
      <x:c r="G122" s="373"/>
      <x:c r="H122" s="373"/>
      <x:c r="I122" s="373"/>
      <x:c r="J122" s="373"/>
      <x:c r="K122" s="373"/>
      <x:c r="L122" s="373"/>
      <x:c r="M122" s="373"/>
      <x:c r="N122" s="373"/>
      <x:c r="O122" s="373"/>
      <x:c r="P122" s="373"/>
      <x:c r="Q122" s="373"/>
      <x:c r="R122" s="373"/>
      <x:c r="S122" s="373"/>
      <x:c r="T122" s="373"/>
      <x:c r="U122" s="373"/>
      <x:c r="V122" s="373"/>
      <x:c r="W122" s="373"/>
      <x:c r="X122" s="373"/>
      <x:c r="Y122" s="373"/>
      <x:c r="Z122" s="373"/>
    </x:row>
    <x:row r="123">
      <x:c r="A123" s="373"/>
      <x:c r="B123" s="373"/>
      <x:c r="C123" s="373"/>
      <x:c r="D123" s="373"/>
      <x:c r="E123" s="373"/>
      <x:c r="F123" s="373"/>
      <x:c r="G123" s="373"/>
      <x:c r="H123" s="373"/>
      <x:c r="I123" s="373"/>
      <x:c r="J123" s="373"/>
      <x:c r="K123" s="373"/>
      <x:c r="L123" s="373"/>
      <x:c r="M123" s="373"/>
      <x:c r="N123" s="373"/>
      <x:c r="O123" s="373"/>
      <x:c r="P123" s="373"/>
      <x:c r="Q123" s="373"/>
      <x:c r="R123" s="373"/>
      <x:c r="S123" s="373"/>
      <x:c r="T123" s="373"/>
      <x:c r="U123" s="373"/>
      <x:c r="V123" s="373"/>
      <x:c r="W123" s="373"/>
      <x:c r="X123" s="373"/>
      <x:c r="Y123" s="373"/>
      <x:c r="Z123" s="373"/>
    </x:row>
    <x:row r="124">
      <x:c r="A124" s="373"/>
      <x:c r="B124" s="373"/>
      <x:c r="C124" s="373"/>
      <x:c r="D124" s="373"/>
      <x:c r="E124" s="373"/>
      <x:c r="F124" s="373"/>
      <x:c r="G124" s="373"/>
      <x:c r="H124" s="373"/>
      <x:c r="I124" s="373"/>
      <x:c r="J124" s="373"/>
      <x:c r="K124" s="373"/>
      <x:c r="L124" s="373"/>
      <x:c r="M124" s="373"/>
      <x:c r="N124" s="373"/>
      <x:c r="O124" s="373"/>
      <x:c r="P124" s="373"/>
      <x:c r="Q124" s="373"/>
      <x:c r="R124" s="373"/>
      <x:c r="S124" s="373"/>
      <x:c r="T124" s="373"/>
      <x:c r="U124" s="373"/>
      <x:c r="V124" s="373"/>
      <x:c r="W124" s="373"/>
      <x:c r="X124" s="373"/>
      <x:c r="Y124" s="373"/>
      <x:c r="Z124" s="373"/>
    </x:row>
    <x:row r="125">
      <x:c r="A125" s="373"/>
      <x:c r="B125" s="373"/>
      <x:c r="C125" s="373"/>
      <x:c r="D125" s="373"/>
      <x:c r="E125" s="373"/>
      <x:c r="F125" s="373"/>
      <x:c r="G125" s="373"/>
      <x:c r="H125" s="373"/>
      <x:c r="I125" s="373"/>
      <x:c r="J125" s="373"/>
      <x:c r="K125" s="373"/>
      <x:c r="L125" s="373"/>
      <x:c r="M125" s="373"/>
      <x:c r="N125" s="373"/>
      <x:c r="O125" s="373"/>
      <x:c r="P125" s="373"/>
      <x:c r="Q125" s="373"/>
      <x:c r="R125" s="373"/>
      <x:c r="S125" s="373"/>
      <x:c r="T125" s="373"/>
      <x:c r="U125" s="373"/>
      <x:c r="V125" s="373"/>
      <x:c r="W125" s="373"/>
      <x:c r="X125" s="373"/>
      <x:c r="Y125" s="373"/>
      <x:c r="Z125" s="373"/>
    </x:row>
    <x:row r="126">
      <x:c r="A126" s="373"/>
      <x:c r="B126" s="373"/>
      <x:c r="C126" s="373"/>
      <x:c r="D126" s="373"/>
      <x:c r="E126" s="373"/>
      <x:c r="F126" s="373"/>
      <x:c r="G126" s="373"/>
      <x:c r="H126" s="373"/>
      <x:c r="I126" s="373"/>
      <x:c r="J126" s="373"/>
      <x:c r="K126" s="373"/>
      <x:c r="L126" s="373"/>
      <x:c r="M126" s="373"/>
      <x:c r="N126" s="373"/>
      <x:c r="O126" s="373"/>
      <x:c r="P126" s="373"/>
      <x:c r="Q126" s="373"/>
      <x:c r="R126" s="373"/>
      <x:c r="S126" s="373"/>
      <x:c r="T126" s="373"/>
      <x:c r="U126" s="373"/>
      <x:c r="V126" s="373"/>
      <x:c r="W126" s="373"/>
      <x:c r="X126" s="373"/>
      <x:c r="Y126" s="373"/>
      <x:c r="Z126" s="373"/>
    </x:row>
    <x:row r="127">
      <x:c r="A127" s="373"/>
      <x:c r="B127" s="373"/>
      <x:c r="C127" s="373"/>
      <x:c r="D127" s="373"/>
      <x:c r="E127" s="373"/>
      <x:c r="F127" s="373"/>
      <x:c r="G127" s="373"/>
      <x:c r="H127" s="373"/>
      <x:c r="I127" s="373"/>
      <x:c r="J127" s="373"/>
      <x:c r="K127" s="373"/>
      <x:c r="L127" s="373"/>
      <x:c r="M127" s="373"/>
      <x:c r="N127" s="373"/>
      <x:c r="O127" s="373"/>
      <x:c r="P127" s="373"/>
      <x:c r="Q127" s="373"/>
      <x:c r="R127" s="373"/>
      <x:c r="S127" s="373"/>
      <x:c r="T127" s="373"/>
      <x:c r="U127" s="373"/>
      <x:c r="V127" s="373"/>
      <x:c r="W127" s="373"/>
      <x:c r="X127" s="373"/>
      <x:c r="Y127" s="373"/>
      <x:c r="Z127" s="373"/>
    </x:row>
    <x:row r="128">
      <x:c r="A128" s="373"/>
      <x:c r="B128" s="373"/>
      <x:c r="C128" s="373"/>
      <x:c r="D128" s="373"/>
      <x:c r="E128" s="373"/>
      <x:c r="F128" s="373"/>
      <x:c r="G128" s="373"/>
      <x:c r="H128" s="373"/>
      <x:c r="I128" s="373"/>
      <x:c r="J128" s="373"/>
      <x:c r="K128" s="373"/>
      <x:c r="L128" s="373"/>
      <x:c r="M128" s="373"/>
      <x:c r="N128" s="373"/>
      <x:c r="O128" s="373"/>
      <x:c r="P128" s="373"/>
      <x:c r="Q128" s="373"/>
      <x:c r="R128" s="373"/>
      <x:c r="S128" s="373"/>
      <x:c r="T128" s="373"/>
      <x:c r="U128" s="373"/>
      <x:c r="V128" s="373"/>
      <x:c r="W128" s="373"/>
      <x:c r="X128" s="373"/>
      <x:c r="Y128" s="373"/>
      <x:c r="Z128" s="373"/>
    </x:row>
    <x:row r="129">
      <x:c r="A129" s="373"/>
      <x:c r="B129" s="373"/>
      <x:c r="C129" s="373"/>
      <x:c r="D129" s="373"/>
      <x:c r="E129" s="373"/>
      <x:c r="F129" s="373"/>
      <x:c r="G129" s="373"/>
      <x:c r="H129" s="373"/>
      <x:c r="I129" s="373"/>
      <x:c r="J129" s="373"/>
      <x:c r="K129" s="373"/>
      <x:c r="L129" s="373"/>
      <x:c r="M129" s="373"/>
      <x:c r="N129" s="373"/>
      <x:c r="O129" s="373"/>
      <x:c r="P129" s="373"/>
      <x:c r="Q129" s="373"/>
      <x:c r="R129" s="373"/>
      <x:c r="S129" s="373"/>
      <x:c r="T129" s="373"/>
      <x:c r="U129" s="373"/>
      <x:c r="V129" s="373"/>
      <x:c r="W129" s="373"/>
      <x:c r="X129" s="373"/>
      <x:c r="Y129" s="373"/>
      <x:c r="Z129" s="373"/>
    </x:row>
    <x:row r="130">
      <x:c r="A130" s="373"/>
      <x:c r="B130" s="373"/>
      <x:c r="C130" s="373"/>
      <x:c r="D130" s="373"/>
      <x:c r="E130" s="373"/>
      <x:c r="F130" s="373"/>
      <x:c r="G130" s="373"/>
      <x:c r="H130" s="373"/>
      <x:c r="I130" s="373"/>
      <x:c r="J130" s="373"/>
      <x:c r="K130" s="373"/>
      <x:c r="L130" s="373"/>
      <x:c r="M130" s="373"/>
      <x:c r="N130" s="373"/>
      <x:c r="O130" s="373"/>
      <x:c r="P130" s="373"/>
      <x:c r="Q130" s="373"/>
      <x:c r="R130" s="373"/>
      <x:c r="S130" s="373"/>
      <x:c r="T130" s="373"/>
      <x:c r="U130" s="373"/>
      <x:c r="V130" s="373"/>
      <x:c r="W130" s="373"/>
      <x:c r="X130" s="373"/>
      <x:c r="Y130" s="373"/>
      <x:c r="Z130" s="373"/>
    </x:row>
    <x:row r="131">
      <x:c r="A131" s="373"/>
      <x:c r="B131" s="373"/>
      <x:c r="C131" s="373"/>
      <x:c r="D131" s="373"/>
      <x:c r="E131" s="373"/>
      <x:c r="F131" s="373"/>
      <x:c r="G131" s="373"/>
      <x:c r="H131" s="373"/>
      <x:c r="I131" s="373"/>
      <x:c r="J131" s="373"/>
      <x:c r="K131" s="373"/>
      <x:c r="L131" s="373"/>
      <x:c r="M131" s="373"/>
      <x:c r="N131" s="373"/>
      <x:c r="O131" s="373"/>
      <x:c r="P131" s="373"/>
      <x:c r="Q131" s="373"/>
      <x:c r="R131" s="373"/>
      <x:c r="S131" s="373"/>
      <x:c r="T131" s="373"/>
      <x:c r="U131" s="373"/>
      <x:c r="V131" s="373"/>
      <x:c r="W131" s="373"/>
      <x:c r="X131" s="373"/>
      <x:c r="Y131" s="373"/>
      <x:c r="Z131" s="373"/>
    </x:row>
    <x:row r="132">
      <x:c r="A132" s="373"/>
      <x:c r="B132" s="373"/>
      <x:c r="C132" s="373"/>
      <x:c r="D132" s="373"/>
      <x:c r="E132" s="373"/>
      <x:c r="F132" s="373"/>
      <x:c r="G132" s="373"/>
      <x:c r="H132" s="373"/>
      <x:c r="I132" s="373"/>
      <x:c r="J132" s="373"/>
      <x:c r="K132" s="373"/>
      <x:c r="L132" s="373"/>
      <x:c r="M132" s="373"/>
      <x:c r="N132" s="373"/>
      <x:c r="O132" s="373"/>
      <x:c r="P132" s="373"/>
      <x:c r="Q132" s="373"/>
      <x:c r="R132" s="373"/>
      <x:c r="S132" s="373"/>
      <x:c r="T132" s="373"/>
      <x:c r="U132" s="373"/>
      <x:c r="V132" s="373"/>
      <x:c r="W132" s="373"/>
      <x:c r="X132" s="373"/>
      <x:c r="Y132" s="373"/>
      <x:c r="Z132" s="373"/>
    </x:row>
    <x:row r="133">
      <x:c r="A133" s="373"/>
      <x:c r="B133" s="373"/>
      <x:c r="C133" s="373"/>
      <x:c r="D133" s="373"/>
      <x:c r="E133" s="373"/>
      <x:c r="F133" s="373"/>
      <x:c r="G133" s="373"/>
      <x:c r="H133" s="373"/>
      <x:c r="I133" s="373"/>
      <x:c r="J133" s="373"/>
      <x:c r="K133" s="373"/>
      <x:c r="L133" s="373"/>
      <x:c r="M133" s="373"/>
      <x:c r="N133" s="373"/>
      <x:c r="O133" s="373"/>
      <x:c r="P133" s="373"/>
      <x:c r="Q133" s="373"/>
      <x:c r="R133" s="373"/>
      <x:c r="S133" s="373"/>
      <x:c r="T133" s="373"/>
      <x:c r="U133" s="373"/>
      <x:c r="V133" s="373"/>
      <x:c r="W133" s="373"/>
      <x:c r="X133" s="373"/>
      <x:c r="Y133" s="373"/>
      <x:c r="Z133" s="373"/>
    </x:row>
    <x:row r="134">
      <x:c r="A134" s="373"/>
      <x:c r="B134" s="373"/>
      <x:c r="C134" s="373"/>
      <x:c r="D134" s="373"/>
      <x:c r="E134" s="373"/>
      <x:c r="F134" s="373"/>
      <x:c r="G134" s="373"/>
      <x:c r="H134" s="373"/>
      <x:c r="I134" s="373"/>
      <x:c r="J134" s="373"/>
      <x:c r="K134" s="373"/>
      <x:c r="L134" s="373"/>
      <x:c r="M134" s="373"/>
      <x:c r="N134" s="373"/>
      <x:c r="O134" s="373"/>
      <x:c r="P134" s="373"/>
      <x:c r="Q134" s="373"/>
      <x:c r="R134" s="373"/>
      <x:c r="S134" s="373"/>
      <x:c r="T134" s="373"/>
      <x:c r="U134" s="373"/>
      <x:c r="V134" s="373"/>
      <x:c r="W134" s="373"/>
      <x:c r="X134" s="373"/>
      <x:c r="Y134" s="373"/>
      <x:c r="Z134" s="373"/>
    </x:row>
    <x:row r="135">
      <x:c r="A135" s="373"/>
      <x:c r="B135" s="373"/>
      <x:c r="C135" s="373"/>
      <x:c r="D135" s="373"/>
      <x:c r="E135" s="373"/>
      <x:c r="F135" s="373"/>
      <x:c r="G135" s="373"/>
      <x:c r="H135" s="373"/>
      <x:c r="I135" s="373"/>
      <x:c r="J135" s="373"/>
      <x:c r="K135" s="373"/>
      <x:c r="L135" s="373"/>
      <x:c r="M135" s="373"/>
      <x:c r="N135" s="373"/>
      <x:c r="O135" s="373"/>
      <x:c r="P135" s="373"/>
      <x:c r="Q135" s="373"/>
      <x:c r="R135" s="373"/>
      <x:c r="S135" s="373"/>
      <x:c r="T135" s="373"/>
      <x:c r="U135" s="373"/>
      <x:c r="V135" s="373"/>
      <x:c r="W135" s="373"/>
      <x:c r="X135" s="373"/>
      <x:c r="Y135" s="373"/>
      <x:c r="Z135" s="373"/>
    </x:row>
    <x:row r="136">
      <x:c r="A136" s="373"/>
      <x:c r="B136" s="373"/>
      <x:c r="C136" s="373"/>
      <x:c r="D136" s="373"/>
      <x:c r="E136" s="373"/>
      <x:c r="F136" s="373"/>
      <x:c r="G136" s="373"/>
      <x:c r="H136" s="373"/>
      <x:c r="I136" s="373"/>
      <x:c r="J136" s="373"/>
      <x:c r="K136" s="373"/>
      <x:c r="L136" s="373"/>
      <x:c r="M136" s="373"/>
      <x:c r="N136" s="373"/>
      <x:c r="O136" s="373"/>
      <x:c r="P136" s="373"/>
      <x:c r="Q136" s="373"/>
      <x:c r="R136" s="373"/>
      <x:c r="S136" s="373"/>
      <x:c r="T136" s="373"/>
      <x:c r="U136" s="373"/>
      <x:c r="V136" s="373"/>
      <x:c r="W136" s="373"/>
      <x:c r="X136" s="373"/>
      <x:c r="Y136" s="373"/>
      <x:c r="Z136" s="373"/>
    </x:row>
    <x:row r="137">
      <x:c r="A137" s="373"/>
      <x:c r="B137" s="373"/>
      <x:c r="C137" s="373"/>
      <x:c r="D137" s="373"/>
      <x:c r="E137" s="373"/>
      <x:c r="F137" s="373"/>
      <x:c r="G137" s="373"/>
      <x:c r="H137" s="373"/>
      <x:c r="I137" s="373"/>
      <x:c r="J137" s="373"/>
      <x:c r="K137" s="373"/>
      <x:c r="L137" s="373"/>
      <x:c r="M137" s="373"/>
      <x:c r="N137" s="373"/>
      <x:c r="O137" s="373"/>
      <x:c r="P137" s="373"/>
      <x:c r="Q137" s="373"/>
      <x:c r="R137" s="373"/>
      <x:c r="S137" s="373"/>
      <x:c r="T137" s="373"/>
      <x:c r="U137" s="373"/>
      <x:c r="V137" s="373"/>
      <x:c r="W137" s="373"/>
      <x:c r="X137" s="373"/>
      <x:c r="Y137" s="373"/>
      <x:c r="Z137" s="373"/>
    </x:row>
    <x:row r="138">
      <x:c r="A138" s="373"/>
      <x:c r="B138" s="373"/>
      <x:c r="C138" s="373"/>
      <x:c r="D138" s="373"/>
      <x:c r="E138" s="373"/>
      <x:c r="F138" s="373"/>
      <x:c r="G138" s="373"/>
      <x:c r="H138" s="373"/>
      <x:c r="I138" s="373"/>
      <x:c r="J138" s="373"/>
      <x:c r="K138" s="373"/>
      <x:c r="L138" s="373"/>
      <x:c r="M138" s="373"/>
      <x:c r="N138" s="373"/>
      <x:c r="O138" s="373"/>
      <x:c r="P138" s="373"/>
      <x:c r="Q138" s="373"/>
      <x:c r="R138" s="373"/>
      <x:c r="S138" s="373"/>
      <x:c r="T138" s="373"/>
      <x:c r="U138" s="373"/>
      <x:c r="V138" s="373"/>
      <x:c r="W138" s="373"/>
      <x:c r="X138" s="373"/>
      <x:c r="Y138" s="373"/>
      <x:c r="Z138" s="373"/>
    </x:row>
    <x:row r="139">
      <x:c r="A139" s="373"/>
      <x:c r="B139" s="373"/>
      <x:c r="C139" s="373"/>
      <x:c r="D139" s="373"/>
      <x:c r="E139" s="373"/>
      <x:c r="F139" s="373"/>
      <x:c r="G139" s="373"/>
      <x:c r="H139" s="373"/>
      <x:c r="I139" s="373"/>
      <x:c r="J139" s="373"/>
      <x:c r="K139" s="373"/>
      <x:c r="L139" s="373"/>
      <x:c r="M139" s="373"/>
      <x:c r="N139" s="373"/>
      <x:c r="O139" s="373"/>
      <x:c r="P139" s="373"/>
      <x:c r="Q139" s="373"/>
      <x:c r="R139" s="373"/>
      <x:c r="S139" s="373"/>
      <x:c r="T139" s="373"/>
      <x:c r="U139" s="373"/>
      <x:c r="V139" s="373"/>
      <x:c r="W139" s="373"/>
      <x:c r="X139" s="373"/>
      <x:c r="Y139" s="373"/>
      <x:c r="Z139" s="373"/>
    </x:row>
    <x:row r="140">
      <x:c r="A140" s="373"/>
      <x:c r="B140" s="373"/>
      <x:c r="C140" s="373"/>
      <x:c r="D140" s="373"/>
      <x:c r="E140" s="373"/>
      <x:c r="F140" s="373"/>
      <x:c r="G140" s="373"/>
      <x:c r="H140" s="373"/>
      <x:c r="I140" s="373"/>
      <x:c r="J140" s="373"/>
      <x:c r="K140" s="373"/>
      <x:c r="L140" s="373"/>
      <x:c r="M140" s="373"/>
      <x:c r="N140" s="373"/>
      <x:c r="O140" s="373"/>
      <x:c r="P140" s="373"/>
      <x:c r="Q140" s="373"/>
      <x:c r="R140" s="373"/>
      <x:c r="S140" s="373"/>
      <x:c r="T140" s="373"/>
      <x:c r="U140" s="373"/>
      <x:c r="V140" s="373"/>
      <x:c r="W140" s="373"/>
      <x:c r="X140" s="373"/>
      <x:c r="Y140" s="373"/>
      <x:c r="Z140" s="373"/>
    </x:row>
    <x:row r="141">
      <x:c r="A141" s="373"/>
      <x:c r="B141" s="373"/>
      <x:c r="C141" s="373"/>
      <x:c r="D141" s="373"/>
      <x:c r="E141" s="373"/>
      <x:c r="F141" s="373"/>
      <x:c r="G141" s="373"/>
      <x:c r="H141" s="373"/>
      <x:c r="I141" s="373"/>
      <x:c r="J141" s="373"/>
      <x:c r="K141" s="373"/>
      <x:c r="L141" s="373"/>
      <x:c r="M141" s="373"/>
      <x:c r="N141" s="373"/>
      <x:c r="O141" s="373"/>
      <x:c r="P141" s="373"/>
      <x:c r="Q141" s="373"/>
      <x:c r="R141" s="373"/>
      <x:c r="S141" s="373"/>
      <x:c r="T141" s="373"/>
      <x:c r="U141" s="373"/>
      <x:c r="V141" s="373"/>
      <x:c r="W141" s="373"/>
      <x:c r="X141" s="373"/>
      <x:c r="Y141" s="373"/>
      <x:c r="Z141" s="373"/>
    </x:row>
    <x:row r="142">
      <x:c r="A142" s="373"/>
      <x:c r="B142" s="373"/>
      <x:c r="C142" s="373"/>
      <x:c r="D142" s="373"/>
      <x:c r="E142" s="373"/>
      <x:c r="F142" s="373"/>
      <x:c r="G142" s="373"/>
      <x:c r="H142" s="373"/>
      <x:c r="I142" s="373"/>
      <x:c r="J142" s="373"/>
      <x:c r="K142" s="373"/>
      <x:c r="L142" s="373"/>
      <x:c r="M142" s="373"/>
      <x:c r="N142" s="373"/>
      <x:c r="O142" s="373"/>
      <x:c r="P142" s="373"/>
      <x:c r="Q142" s="373"/>
      <x:c r="R142" s="373"/>
      <x:c r="S142" s="373"/>
      <x:c r="T142" s="373"/>
      <x:c r="U142" s="373"/>
      <x:c r="V142" s="373"/>
      <x:c r="W142" s="373"/>
      <x:c r="X142" s="373"/>
      <x:c r="Y142" s="373"/>
      <x:c r="Z142" s="373"/>
    </x:row>
    <x:row r="143">
      <x:c r="A143" s="373"/>
      <x:c r="B143" s="373"/>
      <x:c r="C143" s="373"/>
      <x:c r="D143" s="373"/>
      <x:c r="E143" s="373"/>
      <x:c r="F143" s="373"/>
      <x:c r="G143" s="373"/>
      <x:c r="H143" s="373"/>
      <x:c r="I143" s="373"/>
      <x:c r="J143" s="373"/>
      <x:c r="K143" s="373"/>
      <x:c r="L143" s="373"/>
      <x:c r="M143" s="373"/>
      <x:c r="N143" s="373"/>
      <x:c r="O143" s="373"/>
      <x:c r="P143" s="373"/>
      <x:c r="Q143" s="373"/>
      <x:c r="R143" s="373"/>
      <x:c r="S143" s="373"/>
      <x:c r="T143" s="373"/>
      <x:c r="U143" s="373"/>
      <x:c r="V143" s="373"/>
      <x:c r="W143" s="373"/>
      <x:c r="X143" s="373"/>
      <x:c r="Y143" s="373"/>
      <x:c r="Z143" s="373"/>
    </x:row>
    <x:row r="144">
      <x:c r="A144" s="373"/>
      <x:c r="B144" s="373"/>
      <x:c r="C144" s="373"/>
      <x:c r="D144" s="373"/>
      <x:c r="E144" s="373"/>
      <x:c r="F144" s="373"/>
      <x:c r="G144" s="373"/>
      <x:c r="H144" s="373"/>
      <x:c r="I144" s="373"/>
      <x:c r="J144" s="373"/>
      <x:c r="K144" s="373"/>
      <x:c r="L144" s="373"/>
      <x:c r="M144" s="373"/>
      <x:c r="N144" s="373"/>
      <x:c r="O144" s="373"/>
      <x:c r="P144" s="373"/>
      <x:c r="Q144" s="373"/>
      <x:c r="R144" s="373"/>
      <x:c r="S144" s="373"/>
      <x:c r="T144" s="373"/>
      <x:c r="U144" s="373"/>
      <x:c r="V144" s="373"/>
      <x:c r="W144" s="373"/>
      <x:c r="X144" s="373"/>
      <x:c r="Y144" s="373"/>
      <x:c r="Z144" s="373"/>
    </x:row>
    <x:row r="145">
      <x:c r="A145" s="373"/>
      <x:c r="B145" s="373"/>
      <x:c r="C145" s="373"/>
      <x:c r="D145" s="373"/>
      <x:c r="E145" s="373"/>
      <x:c r="F145" s="373"/>
      <x:c r="G145" s="373"/>
      <x:c r="H145" s="373"/>
      <x:c r="I145" s="373"/>
      <x:c r="J145" s="373"/>
      <x:c r="K145" s="373"/>
      <x:c r="L145" s="373"/>
      <x:c r="M145" s="373"/>
      <x:c r="N145" s="373"/>
      <x:c r="O145" s="373"/>
      <x:c r="P145" s="373"/>
      <x:c r="Q145" s="373"/>
      <x:c r="R145" s="373"/>
      <x:c r="S145" s="373"/>
      <x:c r="T145" s="373"/>
      <x:c r="U145" s="373"/>
      <x:c r="V145" s="373"/>
      <x:c r="W145" s="373"/>
      <x:c r="X145" s="373"/>
      <x:c r="Y145" s="373"/>
      <x:c r="Z145" s="373"/>
    </x:row>
    <x:row r="146">
      <x:c r="A146" s="373"/>
      <x:c r="B146" s="373"/>
      <x:c r="C146" s="373"/>
      <x:c r="D146" s="373"/>
      <x:c r="E146" s="373"/>
      <x:c r="F146" s="373"/>
      <x:c r="G146" s="373"/>
      <x:c r="H146" s="373"/>
      <x:c r="I146" s="373"/>
      <x:c r="J146" s="373"/>
      <x:c r="K146" s="373"/>
      <x:c r="L146" s="373"/>
      <x:c r="M146" s="373"/>
      <x:c r="N146" s="373"/>
      <x:c r="O146" s="373"/>
      <x:c r="P146" s="373"/>
      <x:c r="Q146" s="373"/>
      <x:c r="R146" s="373"/>
      <x:c r="S146" s="373"/>
      <x:c r="T146" s="373"/>
      <x:c r="U146" s="373"/>
      <x:c r="V146" s="373"/>
      <x:c r="W146" s="373"/>
      <x:c r="X146" s="373"/>
      <x:c r="Y146" s="373"/>
      <x:c r="Z146" s="373"/>
    </x:row>
    <x:row r="147">
      <x:c r="A147" s="373"/>
      <x:c r="B147" s="373"/>
      <x:c r="C147" s="373"/>
      <x:c r="D147" s="373"/>
      <x:c r="E147" s="373"/>
      <x:c r="F147" s="373"/>
      <x:c r="G147" s="373"/>
      <x:c r="H147" s="373"/>
      <x:c r="I147" s="373"/>
      <x:c r="J147" s="373"/>
      <x:c r="K147" s="373"/>
      <x:c r="L147" s="373"/>
      <x:c r="M147" s="373"/>
      <x:c r="N147" s="373"/>
      <x:c r="O147" s="373"/>
      <x:c r="P147" s="373"/>
      <x:c r="Q147" s="373"/>
      <x:c r="R147" s="373"/>
      <x:c r="S147" s="373"/>
      <x:c r="T147" s="373"/>
      <x:c r="U147" s="373"/>
      <x:c r="V147" s="373"/>
      <x:c r="W147" s="373"/>
      <x:c r="X147" s="373"/>
      <x:c r="Y147" s="373"/>
      <x:c r="Z147" s="373"/>
    </x:row>
    <x:row r="148">
      <x:c r="A148" s="373"/>
      <x:c r="B148" s="373"/>
      <x:c r="C148" s="373"/>
      <x:c r="D148" s="373"/>
      <x:c r="E148" s="373"/>
      <x:c r="F148" s="373"/>
      <x:c r="G148" s="373"/>
      <x:c r="H148" s="373"/>
      <x:c r="I148" s="373"/>
      <x:c r="J148" s="373"/>
      <x:c r="K148" s="373"/>
      <x:c r="L148" s="373"/>
      <x:c r="M148" s="373"/>
      <x:c r="N148" s="373"/>
      <x:c r="O148" s="373"/>
      <x:c r="P148" s="373"/>
      <x:c r="Q148" s="373"/>
      <x:c r="R148" s="373"/>
      <x:c r="S148" s="373"/>
      <x:c r="T148" s="373"/>
      <x:c r="U148" s="373"/>
      <x:c r="V148" s="373"/>
      <x:c r="W148" s="373"/>
      <x:c r="X148" s="373"/>
      <x:c r="Y148" s="373"/>
      <x:c r="Z148" s="373"/>
    </x:row>
    <x:row r="149">
      <x:c r="A149" s="373"/>
      <x:c r="B149" s="373"/>
      <x:c r="C149" s="373"/>
      <x:c r="D149" s="373"/>
      <x:c r="E149" s="373"/>
      <x:c r="F149" s="373"/>
      <x:c r="G149" s="373"/>
      <x:c r="H149" s="373"/>
      <x:c r="I149" s="373"/>
      <x:c r="J149" s="373"/>
      <x:c r="K149" s="373"/>
      <x:c r="L149" s="373"/>
      <x:c r="M149" s="373"/>
      <x:c r="N149" s="373"/>
      <x:c r="O149" s="373"/>
      <x:c r="P149" s="373"/>
      <x:c r="Q149" s="373"/>
      <x:c r="R149" s="373"/>
      <x:c r="S149" s="373"/>
      <x:c r="T149" s="373"/>
      <x:c r="U149" s="373"/>
      <x:c r="V149" s="373"/>
      <x:c r="W149" s="373"/>
      <x:c r="X149" s="373"/>
      <x:c r="Y149" s="373"/>
      <x:c r="Z149" s="373"/>
    </x:row>
    <x:row r="150">
      <x:c r="A150" s="373"/>
      <x:c r="B150" s="373"/>
      <x:c r="C150" s="373"/>
      <x:c r="D150" s="373"/>
      <x:c r="E150" s="373"/>
      <x:c r="F150" s="373"/>
      <x:c r="G150" s="373"/>
      <x:c r="H150" s="373"/>
      <x:c r="I150" s="373"/>
      <x:c r="J150" s="373"/>
      <x:c r="K150" s="373"/>
      <x:c r="L150" s="373"/>
      <x:c r="M150" s="373"/>
      <x:c r="N150" s="373"/>
      <x:c r="O150" s="373"/>
      <x:c r="P150" s="373"/>
      <x:c r="Q150" s="373"/>
      <x:c r="R150" s="373"/>
      <x:c r="S150" s="373"/>
      <x:c r="T150" s="373"/>
      <x:c r="U150" s="373"/>
      <x:c r="V150" s="373"/>
      <x:c r="W150" s="373"/>
      <x:c r="X150" s="373"/>
      <x:c r="Y150" s="373"/>
      <x:c r="Z150" s="373"/>
    </x:row>
    <x:row r="151">
      <x:c r="A151" s="373"/>
      <x:c r="B151" s="373"/>
      <x:c r="C151" s="373"/>
      <x:c r="D151" s="373"/>
      <x:c r="E151" s="373"/>
      <x:c r="F151" s="373"/>
      <x:c r="G151" s="373"/>
      <x:c r="H151" s="373"/>
      <x:c r="I151" s="373"/>
      <x:c r="J151" s="373"/>
      <x:c r="K151" s="373"/>
      <x:c r="L151" s="373"/>
      <x:c r="M151" s="373"/>
      <x:c r="N151" s="373"/>
      <x:c r="O151" s="373"/>
      <x:c r="P151" s="373"/>
      <x:c r="Q151" s="373"/>
      <x:c r="R151" s="373"/>
      <x:c r="S151" s="373"/>
      <x:c r="T151" s="373"/>
      <x:c r="U151" s="373"/>
      <x:c r="V151" s="373"/>
      <x:c r="W151" s="373"/>
      <x:c r="X151" s="373"/>
      <x:c r="Y151" s="373"/>
      <x:c r="Z151" s="373"/>
    </x:row>
    <x:row r="152">
      <x:c r="A152" s="373"/>
      <x:c r="B152" s="373"/>
      <x:c r="C152" s="373"/>
      <x:c r="D152" s="373"/>
      <x:c r="E152" s="373"/>
      <x:c r="F152" s="373"/>
      <x:c r="G152" s="373"/>
      <x:c r="H152" s="373"/>
      <x:c r="I152" s="373"/>
      <x:c r="J152" s="373"/>
      <x:c r="K152" s="373"/>
      <x:c r="L152" s="373"/>
      <x:c r="M152" s="373"/>
      <x:c r="N152" s="373"/>
      <x:c r="O152" s="373"/>
      <x:c r="P152" s="373"/>
      <x:c r="Q152" s="373"/>
      <x:c r="R152" s="373"/>
      <x:c r="S152" s="373"/>
      <x:c r="T152" s="373"/>
      <x:c r="U152" s="373"/>
      <x:c r="V152" s="373"/>
      <x:c r="W152" s="373"/>
      <x:c r="X152" s="373"/>
      <x:c r="Y152" s="373"/>
      <x:c r="Z152" s="373"/>
    </x:row>
    <x:row r="153">
      <x:c r="A153" s="373"/>
      <x:c r="B153" s="373"/>
      <x:c r="C153" s="373"/>
      <x:c r="D153" s="373"/>
      <x:c r="E153" s="373"/>
      <x:c r="F153" s="373"/>
      <x:c r="G153" s="373"/>
      <x:c r="H153" s="373"/>
      <x:c r="I153" s="373"/>
      <x:c r="J153" s="373"/>
      <x:c r="K153" s="373"/>
      <x:c r="L153" s="373"/>
      <x:c r="M153" s="373"/>
      <x:c r="N153" s="373"/>
      <x:c r="O153" s="373"/>
      <x:c r="P153" s="373"/>
      <x:c r="Q153" s="373"/>
      <x:c r="R153" s="373"/>
      <x:c r="S153" s="373"/>
      <x:c r="T153" s="373"/>
      <x:c r="U153" s="373"/>
      <x:c r="V153" s="373"/>
      <x:c r="W153" s="373"/>
      <x:c r="X153" s="373"/>
      <x:c r="Y153" s="373"/>
      <x:c r="Z153" s="373"/>
    </x:row>
    <x:row r="154">
      <x:c r="A154" s="373"/>
      <x:c r="B154" s="373"/>
      <x:c r="C154" s="373"/>
      <x:c r="D154" s="373"/>
      <x:c r="E154" s="373"/>
      <x:c r="F154" s="373"/>
      <x:c r="G154" s="373"/>
      <x:c r="H154" s="373"/>
      <x:c r="I154" s="373"/>
      <x:c r="J154" s="373"/>
      <x:c r="K154" s="373"/>
      <x:c r="L154" s="373"/>
      <x:c r="M154" s="373"/>
      <x:c r="N154" s="373"/>
      <x:c r="O154" s="373"/>
      <x:c r="P154" s="373"/>
      <x:c r="Q154" s="373"/>
      <x:c r="R154" s="373"/>
      <x:c r="S154" s="373"/>
      <x:c r="T154" s="373"/>
      <x:c r="U154" s="373"/>
      <x:c r="V154" s="373"/>
      <x:c r="W154" s="373"/>
      <x:c r="X154" s="373"/>
      <x:c r="Y154" s="373"/>
      <x:c r="Z154" s="373"/>
    </x:row>
    <x:row r="155">
      <x:c r="A155" s="373"/>
      <x:c r="B155" s="373"/>
      <x:c r="C155" s="373"/>
      <x:c r="D155" s="373"/>
      <x:c r="E155" s="373"/>
      <x:c r="F155" s="373"/>
      <x:c r="G155" s="373"/>
      <x:c r="H155" s="373"/>
      <x:c r="I155" s="373"/>
      <x:c r="J155" s="373"/>
      <x:c r="K155" s="373"/>
      <x:c r="L155" s="373"/>
      <x:c r="M155" s="373"/>
      <x:c r="N155" s="373"/>
      <x:c r="O155" s="373"/>
      <x:c r="P155" s="373"/>
      <x:c r="Q155" s="373"/>
      <x:c r="R155" s="373"/>
      <x:c r="S155" s="373"/>
      <x:c r="T155" s="373"/>
      <x:c r="U155" s="373"/>
      <x:c r="V155" s="373"/>
      <x:c r="W155" s="373"/>
      <x:c r="X155" s="373"/>
      <x:c r="Y155" s="373"/>
      <x:c r="Z155" s="373"/>
    </x:row>
    <x:row r="156">
      <x:c r="A156" s="373"/>
      <x:c r="B156" s="373"/>
      <x:c r="C156" s="373"/>
      <x:c r="D156" s="373"/>
      <x:c r="E156" s="373"/>
      <x:c r="F156" s="373"/>
      <x:c r="G156" s="373"/>
      <x:c r="H156" s="373"/>
      <x:c r="I156" s="373"/>
      <x:c r="J156" s="373"/>
      <x:c r="K156" s="373"/>
      <x:c r="L156" s="373"/>
      <x:c r="M156" s="373"/>
      <x:c r="N156" s="373"/>
      <x:c r="O156" s="373"/>
      <x:c r="P156" s="373"/>
      <x:c r="Q156" s="373"/>
      <x:c r="R156" s="373"/>
      <x:c r="S156" s="373"/>
      <x:c r="T156" s="373"/>
      <x:c r="U156" s="373"/>
      <x:c r="V156" s="373"/>
      <x:c r="W156" s="373"/>
      <x:c r="X156" s="373"/>
      <x:c r="Y156" s="373"/>
      <x:c r="Z156" s="373"/>
    </x:row>
    <x:row r="157">
      <x:c r="A157" s="373"/>
      <x:c r="B157" s="373"/>
      <x:c r="C157" s="373"/>
      <x:c r="D157" s="373"/>
      <x:c r="E157" s="373"/>
      <x:c r="F157" s="373"/>
      <x:c r="G157" s="373"/>
      <x:c r="H157" s="373"/>
      <x:c r="I157" s="373"/>
      <x:c r="J157" s="373"/>
      <x:c r="K157" s="373"/>
      <x:c r="L157" s="373"/>
      <x:c r="M157" s="373"/>
      <x:c r="N157" s="373"/>
      <x:c r="O157" s="373"/>
      <x:c r="P157" s="373"/>
      <x:c r="Q157" s="373"/>
      <x:c r="R157" s="373"/>
      <x:c r="S157" s="373"/>
      <x:c r="T157" s="373"/>
      <x:c r="U157" s="373"/>
      <x:c r="V157" s="373"/>
      <x:c r="W157" s="373"/>
      <x:c r="X157" s="373"/>
      <x:c r="Y157" s="373"/>
      <x:c r="Z157" s="373"/>
    </x:row>
    <x:row r="158">
      <x:c r="A158" s="373"/>
      <x:c r="B158" s="373"/>
      <x:c r="C158" s="373"/>
      <x:c r="D158" s="373"/>
      <x:c r="E158" s="373"/>
      <x:c r="F158" s="373"/>
      <x:c r="G158" s="373"/>
      <x:c r="H158" s="373"/>
      <x:c r="I158" s="373"/>
      <x:c r="J158" s="373"/>
      <x:c r="K158" s="373"/>
      <x:c r="L158" s="373"/>
      <x:c r="M158" s="373"/>
      <x:c r="N158" s="373"/>
      <x:c r="O158" s="373"/>
      <x:c r="P158" s="373"/>
      <x:c r="Q158" s="373"/>
      <x:c r="R158" s="373"/>
      <x:c r="S158" s="373"/>
      <x:c r="T158" s="373"/>
      <x:c r="U158" s="373"/>
      <x:c r="V158" s="373"/>
      <x:c r="W158" s="373"/>
      <x:c r="X158" s="373"/>
      <x:c r="Y158" s="373"/>
      <x:c r="Z158" s="373"/>
    </x:row>
    <x:row r="159">
      <x:c r="A159" s="373"/>
      <x:c r="B159" s="373"/>
      <x:c r="C159" s="373"/>
      <x:c r="D159" s="373"/>
      <x:c r="E159" s="373"/>
      <x:c r="F159" s="373"/>
      <x:c r="G159" s="373"/>
      <x:c r="H159" s="373"/>
      <x:c r="I159" s="373"/>
      <x:c r="J159" s="373"/>
      <x:c r="K159" s="373"/>
      <x:c r="L159" s="373"/>
      <x:c r="M159" s="373"/>
      <x:c r="N159" s="373"/>
      <x:c r="O159" s="373"/>
      <x:c r="P159" s="373"/>
      <x:c r="Q159" s="373"/>
      <x:c r="R159" s="373"/>
      <x:c r="S159" s="373"/>
      <x:c r="T159" s="373"/>
      <x:c r="U159" s="373"/>
      <x:c r="V159" s="373"/>
      <x:c r="W159" s="373"/>
      <x:c r="X159" s="373"/>
      <x:c r="Y159" s="373"/>
      <x:c r="Z159" s="373"/>
    </x:row>
    <x:row r="160">
      <x:c r="A160" s="373"/>
      <x:c r="B160" s="373"/>
      <x:c r="C160" s="373"/>
      <x:c r="D160" s="373"/>
      <x:c r="E160" s="373"/>
      <x:c r="F160" s="373"/>
      <x:c r="G160" s="373"/>
      <x:c r="H160" s="373"/>
      <x:c r="I160" s="373"/>
      <x:c r="J160" s="373"/>
      <x:c r="K160" s="373"/>
      <x:c r="L160" s="373"/>
      <x:c r="M160" s="373"/>
      <x:c r="N160" s="373"/>
      <x:c r="O160" s="373"/>
      <x:c r="P160" s="373"/>
      <x:c r="Q160" s="373"/>
      <x:c r="R160" s="373"/>
      <x:c r="S160" s="373"/>
      <x:c r="T160" s="373"/>
      <x:c r="U160" s="373"/>
      <x:c r="V160" s="373"/>
      <x:c r="W160" s="373"/>
      <x:c r="X160" s="373"/>
      <x:c r="Y160" s="373"/>
      <x:c r="Z160" s="373"/>
    </x:row>
    <x:row r="161">
      <x:c r="A161" s="373"/>
      <x:c r="B161" s="373"/>
      <x:c r="C161" s="373"/>
      <x:c r="D161" s="373"/>
      <x:c r="E161" s="373"/>
      <x:c r="F161" s="373"/>
      <x:c r="G161" s="373"/>
      <x:c r="H161" s="373"/>
      <x:c r="I161" s="373"/>
      <x:c r="J161" s="373"/>
      <x:c r="K161" s="373"/>
      <x:c r="L161" s="373"/>
      <x:c r="M161" s="373"/>
      <x:c r="N161" s="373"/>
      <x:c r="O161" s="373"/>
      <x:c r="P161" s="373"/>
      <x:c r="Q161" s="373"/>
      <x:c r="R161" s="373"/>
      <x:c r="S161" s="373"/>
      <x:c r="T161" s="373"/>
      <x:c r="U161" s="373"/>
      <x:c r="V161" s="373"/>
      <x:c r="W161" s="373"/>
      <x:c r="X161" s="373"/>
      <x:c r="Y161" s="373"/>
      <x:c r="Z161" s="373"/>
    </x:row>
    <x:row r="162">
      <x:c r="A162" s="373"/>
      <x:c r="B162" s="373"/>
      <x:c r="C162" s="373"/>
      <x:c r="D162" s="373"/>
      <x:c r="E162" s="373"/>
      <x:c r="F162" s="373"/>
      <x:c r="G162" s="373"/>
      <x:c r="H162" s="373"/>
      <x:c r="I162" s="373"/>
      <x:c r="J162" s="373"/>
      <x:c r="K162" s="373"/>
      <x:c r="L162" s="373"/>
      <x:c r="M162" s="373"/>
      <x:c r="N162" s="373"/>
      <x:c r="O162" s="373"/>
      <x:c r="P162" s="373"/>
      <x:c r="Q162" s="373"/>
      <x:c r="R162" s="373"/>
      <x:c r="S162" s="373"/>
      <x:c r="T162" s="373"/>
      <x:c r="U162" s="373"/>
      <x:c r="V162" s="373"/>
      <x:c r="W162" s="373"/>
      <x:c r="X162" s="373"/>
      <x:c r="Y162" s="373"/>
      <x:c r="Z162" s="373"/>
    </x:row>
    <x:row r="163">
      <x:c r="A163" s="373"/>
      <x:c r="B163" s="373"/>
      <x:c r="C163" s="373"/>
      <x:c r="D163" s="373"/>
      <x:c r="E163" s="373"/>
      <x:c r="F163" s="373"/>
      <x:c r="G163" s="373"/>
      <x:c r="H163" s="373"/>
      <x:c r="I163" s="373"/>
      <x:c r="J163" s="373"/>
      <x:c r="K163" s="373"/>
      <x:c r="L163" s="373"/>
      <x:c r="M163" s="373"/>
      <x:c r="N163" s="373"/>
      <x:c r="O163" s="373"/>
      <x:c r="P163" s="373"/>
      <x:c r="Q163" s="373"/>
      <x:c r="R163" s="373"/>
      <x:c r="S163" s="373"/>
      <x:c r="T163" s="373"/>
      <x:c r="U163" s="373"/>
      <x:c r="V163" s="373"/>
      <x:c r="W163" s="373"/>
      <x:c r="X163" s="373"/>
      <x:c r="Y163" s="373"/>
      <x:c r="Z163" s="373"/>
    </x:row>
    <x:row r="164">
      <x:c r="A164" s="373"/>
      <x:c r="B164" s="373"/>
      <x:c r="C164" s="373"/>
      <x:c r="D164" s="373"/>
      <x:c r="E164" s="373"/>
      <x:c r="F164" s="373"/>
      <x:c r="G164" s="373"/>
      <x:c r="H164" s="373"/>
      <x:c r="I164" s="373"/>
      <x:c r="J164" s="373"/>
      <x:c r="K164" s="373"/>
      <x:c r="L164" s="373"/>
      <x:c r="M164" s="373"/>
      <x:c r="N164" s="373"/>
      <x:c r="O164" s="373"/>
      <x:c r="P164" s="373"/>
      <x:c r="Q164" s="373"/>
      <x:c r="R164" s="373"/>
      <x:c r="S164" s="373"/>
      <x:c r="T164" s="373"/>
      <x:c r="U164" s="373"/>
      <x:c r="V164" s="373"/>
      <x:c r="W164" s="373"/>
      <x:c r="X164" s="373"/>
      <x:c r="Y164" s="373"/>
      <x:c r="Z164" s="373"/>
    </x:row>
    <x:row r="165">
      <x:c r="A165" s="373"/>
      <x:c r="B165" s="373"/>
      <x:c r="C165" s="373"/>
      <x:c r="D165" s="373"/>
      <x:c r="E165" s="373"/>
      <x:c r="F165" s="373"/>
      <x:c r="G165" s="373"/>
      <x:c r="H165" s="373"/>
      <x:c r="I165" s="373"/>
      <x:c r="J165" s="373"/>
      <x:c r="K165" s="373"/>
      <x:c r="L165" s="373"/>
      <x:c r="M165" s="373"/>
      <x:c r="N165" s="373"/>
      <x:c r="O165" s="373"/>
      <x:c r="P165" s="373"/>
      <x:c r="Q165" s="373"/>
      <x:c r="R165" s="373"/>
      <x:c r="S165" s="373"/>
      <x:c r="T165" s="373"/>
      <x:c r="U165" s="373"/>
      <x:c r="V165" s="373"/>
      <x:c r="W165" s="373"/>
      <x:c r="X165" s="373"/>
      <x:c r="Y165" s="373"/>
      <x:c r="Z165" s="373"/>
    </x:row>
    <x:row r="166">
      <x:c r="A166" s="373"/>
      <x:c r="B166" s="373"/>
      <x:c r="C166" s="373"/>
      <x:c r="D166" s="373"/>
      <x:c r="E166" s="373"/>
      <x:c r="F166" s="373"/>
      <x:c r="G166" s="373"/>
      <x:c r="H166" s="373"/>
      <x:c r="I166" s="373"/>
      <x:c r="J166" s="373"/>
      <x:c r="K166" s="373"/>
      <x:c r="L166" s="373"/>
      <x:c r="M166" s="373"/>
      <x:c r="N166" s="373"/>
      <x:c r="O166" s="373"/>
      <x:c r="P166" s="373"/>
      <x:c r="Q166" s="373"/>
      <x:c r="R166" s="373"/>
      <x:c r="S166" s="373"/>
      <x:c r="T166" s="373"/>
      <x:c r="U166" s="373"/>
      <x:c r="V166" s="373"/>
      <x:c r="W166" s="373"/>
      <x:c r="X166" s="373"/>
      <x:c r="Y166" s="373"/>
      <x:c r="Z166" s="373"/>
    </x:row>
    <x:row r="167">
      <x:c r="A167" s="373"/>
      <x:c r="B167" s="373"/>
      <x:c r="C167" s="373"/>
      <x:c r="D167" s="373"/>
      <x:c r="E167" s="373"/>
      <x:c r="F167" s="373"/>
      <x:c r="G167" s="373"/>
      <x:c r="H167" s="373"/>
      <x:c r="I167" s="373"/>
      <x:c r="J167" s="373"/>
      <x:c r="K167" s="373"/>
      <x:c r="L167" s="373"/>
      <x:c r="M167" s="373"/>
      <x:c r="N167" s="373"/>
      <x:c r="O167" s="373"/>
      <x:c r="P167" s="373"/>
      <x:c r="Q167" s="373"/>
      <x:c r="R167" s="373"/>
      <x:c r="S167" s="373"/>
      <x:c r="T167" s="373"/>
      <x:c r="U167" s="373"/>
      <x:c r="V167" s="373"/>
      <x:c r="W167" s="373"/>
      <x:c r="X167" s="373"/>
      <x:c r="Y167" s="373"/>
      <x:c r="Z167" s="373"/>
    </x:row>
    <x:row r="168">
      <x:c r="A168" s="373"/>
      <x:c r="B168" s="373"/>
      <x:c r="C168" s="373"/>
      <x:c r="D168" s="373"/>
      <x:c r="E168" s="373"/>
      <x:c r="F168" s="373"/>
      <x:c r="G168" s="373"/>
      <x:c r="H168" s="373"/>
      <x:c r="I168" s="373"/>
      <x:c r="J168" s="373"/>
      <x:c r="K168" s="373"/>
      <x:c r="L168" s="373"/>
      <x:c r="M168" s="373"/>
      <x:c r="N168" s="373"/>
      <x:c r="O168" s="373"/>
      <x:c r="P168" s="373"/>
      <x:c r="Q168" s="373"/>
      <x:c r="R168" s="373"/>
      <x:c r="S168" s="373"/>
      <x:c r="T168" s="373"/>
      <x:c r="U168" s="373"/>
      <x:c r="V168" s="373"/>
      <x:c r="W168" s="373"/>
      <x:c r="X168" s="373"/>
      <x:c r="Y168" s="373"/>
      <x:c r="Z168" s="373"/>
    </x:row>
    <x:row r="169">
      <x:c r="A169" s="373"/>
      <x:c r="B169" s="373"/>
      <x:c r="C169" s="373"/>
      <x:c r="D169" s="373"/>
      <x:c r="E169" s="373"/>
      <x:c r="F169" s="373"/>
      <x:c r="G169" s="373"/>
      <x:c r="H169" s="373"/>
      <x:c r="I169" s="373"/>
      <x:c r="J169" s="373"/>
      <x:c r="K169" s="373"/>
      <x:c r="L169" s="373"/>
      <x:c r="M169" s="373"/>
      <x:c r="N169" s="373"/>
      <x:c r="O169" s="373"/>
      <x:c r="P169" s="373"/>
      <x:c r="Q169" s="373"/>
      <x:c r="R169" s="373"/>
      <x:c r="S169" s="373"/>
      <x:c r="T169" s="373"/>
      <x:c r="U169" s="373"/>
      <x:c r="V169" s="373"/>
      <x:c r="W169" s="373"/>
      <x:c r="X169" s="373"/>
      <x:c r="Y169" s="373"/>
      <x:c r="Z169" s="373"/>
    </x:row>
    <x:row r="170">
      <x:c r="A170" s="373"/>
      <x:c r="B170" s="373"/>
      <x:c r="C170" s="373"/>
      <x:c r="D170" s="373"/>
      <x:c r="E170" s="373"/>
      <x:c r="F170" s="373"/>
      <x:c r="G170" s="373"/>
      <x:c r="H170" s="373"/>
      <x:c r="I170" s="373"/>
      <x:c r="J170" s="373"/>
      <x:c r="K170" s="373"/>
      <x:c r="L170" s="373"/>
      <x:c r="M170" s="373"/>
      <x:c r="N170" s="373"/>
      <x:c r="O170" s="373"/>
      <x:c r="P170" s="373"/>
      <x:c r="Q170" s="373"/>
      <x:c r="R170" s="373"/>
      <x:c r="S170" s="373"/>
      <x:c r="T170" s="373"/>
      <x:c r="U170" s="373"/>
      <x:c r="V170" s="373"/>
      <x:c r="W170" s="373"/>
      <x:c r="X170" s="373"/>
      <x:c r="Y170" s="373"/>
      <x:c r="Z170" s="373"/>
    </x:row>
    <x:row r="171">
      <x:c r="A171" s="373"/>
      <x:c r="B171" s="373"/>
      <x:c r="C171" s="373"/>
      <x:c r="D171" s="373"/>
      <x:c r="E171" s="373"/>
      <x:c r="F171" s="373"/>
      <x:c r="G171" s="373"/>
      <x:c r="H171" s="373"/>
      <x:c r="I171" s="373"/>
      <x:c r="J171" s="373"/>
      <x:c r="K171" s="373"/>
      <x:c r="L171" s="373"/>
      <x:c r="M171" s="373"/>
      <x:c r="N171" s="373"/>
      <x:c r="O171" s="373"/>
      <x:c r="P171" s="373"/>
      <x:c r="Q171" s="373"/>
      <x:c r="R171" s="373"/>
      <x:c r="S171" s="373"/>
      <x:c r="T171" s="373"/>
      <x:c r="U171" s="373"/>
      <x:c r="V171" s="373"/>
      <x:c r="W171" s="373"/>
      <x:c r="X171" s="373"/>
      <x:c r="Y171" s="373"/>
      <x:c r="Z171" s="373"/>
    </x:row>
    <x:row r="172">
      <x:c r="A172" s="373"/>
      <x:c r="B172" s="373"/>
      <x:c r="C172" s="373"/>
      <x:c r="D172" s="373"/>
      <x:c r="E172" s="373"/>
      <x:c r="F172" s="373"/>
      <x:c r="G172" s="373"/>
      <x:c r="H172" s="373"/>
      <x:c r="I172" s="373"/>
      <x:c r="J172" s="373"/>
      <x:c r="K172" s="373"/>
      <x:c r="L172" s="373"/>
      <x:c r="M172" s="373"/>
      <x:c r="N172" s="373"/>
      <x:c r="O172" s="373"/>
      <x:c r="P172" s="373"/>
      <x:c r="Q172" s="373"/>
      <x:c r="R172" s="373"/>
      <x:c r="S172" s="373"/>
      <x:c r="T172" s="373"/>
      <x:c r="U172" s="373"/>
      <x:c r="V172" s="373"/>
      <x:c r="W172" s="373"/>
      <x:c r="X172" s="373"/>
      <x:c r="Y172" s="373"/>
      <x:c r="Z172" s="373"/>
    </x:row>
    <x:row r="173">
      <x:c r="A173" s="373"/>
      <x:c r="B173" s="373"/>
      <x:c r="C173" s="373"/>
      <x:c r="D173" s="373"/>
      <x:c r="E173" s="373"/>
      <x:c r="F173" s="373"/>
      <x:c r="G173" s="373"/>
      <x:c r="H173" s="373"/>
      <x:c r="I173" s="373"/>
      <x:c r="J173" s="373"/>
      <x:c r="K173" s="373"/>
      <x:c r="L173" s="373"/>
      <x:c r="M173" s="373"/>
      <x:c r="N173" s="373"/>
      <x:c r="O173" s="373"/>
      <x:c r="P173" s="373"/>
      <x:c r="Q173" s="373"/>
      <x:c r="R173" s="373"/>
      <x:c r="S173" s="373"/>
      <x:c r="T173" s="373"/>
      <x:c r="U173" s="373"/>
      <x:c r="V173" s="373"/>
      <x:c r="W173" s="373"/>
      <x:c r="X173" s="373"/>
      <x:c r="Y173" s="373"/>
      <x:c r="Z173" s="373"/>
    </x:row>
    <x:row r="174">
      <x:c r="A174" s="373"/>
      <x:c r="B174" s="373"/>
      <x:c r="C174" s="373"/>
      <x:c r="D174" s="373"/>
      <x:c r="E174" s="373"/>
      <x:c r="F174" s="373"/>
      <x:c r="G174" s="373"/>
      <x:c r="H174" s="373"/>
      <x:c r="I174" s="373"/>
      <x:c r="J174" s="373"/>
      <x:c r="K174" s="373"/>
      <x:c r="L174" s="373"/>
      <x:c r="M174" s="373"/>
      <x:c r="N174" s="373"/>
      <x:c r="O174" s="373"/>
      <x:c r="P174" s="373"/>
      <x:c r="Q174" s="373"/>
      <x:c r="R174" s="373"/>
      <x:c r="S174" s="373"/>
      <x:c r="T174" s="373"/>
      <x:c r="U174" s="373"/>
      <x:c r="V174" s="373"/>
      <x:c r="W174" s="373"/>
      <x:c r="X174" s="373"/>
      <x:c r="Y174" s="373"/>
      <x:c r="Z174" s="373"/>
    </x:row>
    <x:row r="175">
      <x:c r="A175" s="373"/>
      <x:c r="B175" s="373"/>
      <x:c r="C175" s="373"/>
      <x:c r="D175" s="373"/>
      <x:c r="E175" s="373"/>
      <x:c r="F175" s="373"/>
      <x:c r="G175" s="373"/>
      <x:c r="H175" s="373"/>
      <x:c r="I175" s="373"/>
      <x:c r="J175" s="373"/>
      <x:c r="K175" s="373"/>
      <x:c r="L175" s="373"/>
      <x:c r="M175" s="373"/>
      <x:c r="N175" s="373"/>
      <x:c r="O175" s="373"/>
      <x:c r="P175" s="373"/>
      <x:c r="Q175" s="373"/>
      <x:c r="R175" s="373"/>
      <x:c r="S175" s="373"/>
      <x:c r="T175" s="373"/>
      <x:c r="U175" s="373"/>
      <x:c r="V175" s="373"/>
      <x:c r="W175" s="373"/>
      <x:c r="X175" s="373"/>
      <x:c r="Y175" s="373"/>
      <x:c r="Z175" s="373"/>
    </x:row>
    <x:row r="176">
      <x:c r="A176" s="373"/>
      <x:c r="B176" s="373"/>
      <x:c r="C176" s="373"/>
      <x:c r="D176" s="373"/>
      <x:c r="E176" s="373"/>
      <x:c r="F176" s="373"/>
      <x:c r="G176" s="373"/>
      <x:c r="H176" s="373"/>
      <x:c r="I176" s="373"/>
      <x:c r="J176" s="373"/>
      <x:c r="K176" s="373"/>
      <x:c r="L176" s="373"/>
      <x:c r="M176" s="373"/>
      <x:c r="N176" s="373"/>
      <x:c r="O176" s="373"/>
      <x:c r="P176" s="373"/>
      <x:c r="Q176" s="373"/>
      <x:c r="R176" s="373"/>
      <x:c r="S176" s="373"/>
      <x:c r="T176" s="373"/>
      <x:c r="U176" s="373"/>
      <x:c r="V176" s="373"/>
      <x:c r="W176" s="373"/>
      <x:c r="X176" s="373"/>
      <x:c r="Y176" s="373"/>
      <x:c r="Z176" s="373"/>
    </x:row>
    <x:row r="177">
      <x:c r="A177" s="373"/>
      <x:c r="B177" s="373"/>
      <x:c r="C177" s="373"/>
      <x:c r="D177" s="373"/>
      <x:c r="E177" s="373"/>
      <x:c r="F177" s="373"/>
      <x:c r="G177" s="373"/>
      <x:c r="H177" s="373"/>
      <x:c r="I177" s="373"/>
      <x:c r="J177" s="373"/>
      <x:c r="K177" s="373"/>
      <x:c r="L177" s="373"/>
      <x:c r="M177" s="373"/>
      <x:c r="N177" s="373"/>
      <x:c r="O177" s="373"/>
      <x:c r="P177" s="373"/>
      <x:c r="Q177" s="373"/>
      <x:c r="R177" s="373"/>
      <x:c r="S177" s="373"/>
      <x:c r="T177" s="373"/>
      <x:c r="U177" s="373"/>
      <x:c r="V177" s="373"/>
      <x:c r="W177" s="373"/>
      <x:c r="X177" s="373"/>
      <x:c r="Y177" s="373"/>
      <x:c r="Z177" s="373"/>
    </x:row>
    <x:row r="178">
      <x:c r="A178" s="373"/>
      <x:c r="B178" s="373"/>
      <x:c r="C178" s="373"/>
      <x:c r="D178" s="373"/>
      <x:c r="E178" s="373"/>
      <x:c r="F178" s="373"/>
      <x:c r="G178" s="373"/>
      <x:c r="H178" s="373"/>
      <x:c r="I178" s="373"/>
      <x:c r="J178" s="373"/>
      <x:c r="K178" s="373"/>
      <x:c r="L178" s="373"/>
      <x:c r="M178" s="373"/>
      <x:c r="N178" s="373"/>
      <x:c r="O178" s="373"/>
      <x:c r="P178" s="373"/>
      <x:c r="Q178" s="373"/>
      <x:c r="R178" s="373"/>
      <x:c r="S178" s="373"/>
      <x:c r="T178" s="373"/>
      <x:c r="U178" s="373"/>
      <x:c r="V178" s="373"/>
      <x:c r="W178" s="373"/>
      <x:c r="X178" s="373"/>
      <x:c r="Y178" s="373"/>
      <x:c r="Z178" s="373"/>
    </x:row>
    <x:row r="179">
      <x:c r="A179" s="373"/>
      <x:c r="B179" s="373"/>
      <x:c r="C179" s="373"/>
      <x:c r="D179" s="373"/>
      <x:c r="E179" s="373"/>
      <x:c r="F179" s="373"/>
      <x:c r="G179" s="373"/>
      <x:c r="H179" s="373"/>
      <x:c r="I179" s="373"/>
      <x:c r="J179" s="373"/>
      <x:c r="K179" s="373"/>
      <x:c r="L179" s="373"/>
      <x:c r="M179" s="373"/>
      <x:c r="N179" s="373"/>
      <x:c r="O179" s="373"/>
      <x:c r="P179" s="373"/>
      <x:c r="Q179" s="373"/>
      <x:c r="R179" s="373"/>
      <x:c r="S179" s="373"/>
      <x:c r="T179" s="373"/>
      <x:c r="U179" s="373"/>
      <x:c r="V179" s="373"/>
      <x:c r="W179" s="373"/>
      <x:c r="X179" s="373"/>
      <x:c r="Y179" s="373"/>
      <x:c r="Z179" s="373"/>
    </x:row>
    <x:row r="180">
      <x:c r="A180" s="373"/>
      <x:c r="B180" s="373"/>
      <x:c r="C180" s="373"/>
      <x:c r="D180" s="373"/>
      <x:c r="E180" s="373"/>
      <x:c r="F180" s="373"/>
      <x:c r="G180" s="373"/>
      <x:c r="H180" s="373"/>
      <x:c r="I180" s="373"/>
      <x:c r="J180" s="373"/>
      <x:c r="K180" s="373"/>
      <x:c r="L180" s="373"/>
      <x:c r="M180" s="373"/>
      <x:c r="N180" s="373"/>
      <x:c r="O180" s="373"/>
      <x:c r="P180" s="373"/>
      <x:c r="Q180" s="373"/>
      <x:c r="R180" s="373"/>
      <x:c r="S180" s="373"/>
      <x:c r="T180" s="373"/>
      <x:c r="U180" s="373"/>
      <x:c r="V180" s="373"/>
      <x:c r="W180" s="373"/>
      <x:c r="X180" s="373"/>
      <x:c r="Y180" s="373"/>
      <x:c r="Z180" s="373"/>
    </x:row>
    <x:row r="181">
      <x:c r="A181" s="373"/>
      <x:c r="B181" s="373"/>
      <x:c r="C181" s="373"/>
      <x:c r="D181" s="373"/>
      <x:c r="E181" s="373"/>
      <x:c r="F181" s="373"/>
      <x:c r="G181" s="373"/>
      <x:c r="H181" s="373"/>
      <x:c r="I181" s="373"/>
      <x:c r="J181" s="373"/>
      <x:c r="K181" s="373"/>
      <x:c r="L181" s="373"/>
      <x:c r="M181" s="373"/>
      <x:c r="N181" s="373"/>
      <x:c r="O181" s="373"/>
      <x:c r="P181" s="373"/>
      <x:c r="Q181" s="373"/>
      <x:c r="R181" s="373"/>
      <x:c r="S181" s="373"/>
      <x:c r="T181" s="373"/>
      <x:c r="U181" s="373"/>
      <x:c r="V181" s="373"/>
      <x:c r="W181" s="373"/>
      <x:c r="X181" s="373"/>
      <x:c r="Y181" s="373"/>
      <x:c r="Z181" s="373"/>
    </x:row>
    <x:row r="182">
      <x:c r="A182" s="373"/>
      <x:c r="B182" s="373"/>
      <x:c r="C182" s="373"/>
      <x:c r="D182" s="373"/>
      <x:c r="E182" s="373"/>
      <x:c r="F182" s="373"/>
      <x:c r="G182" s="373"/>
      <x:c r="H182" s="373"/>
      <x:c r="I182" s="373"/>
      <x:c r="J182" s="373"/>
      <x:c r="K182" s="373"/>
      <x:c r="L182" s="373"/>
      <x:c r="M182" s="373"/>
      <x:c r="N182" s="373"/>
      <x:c r="O182" s="373"/>
      <x:c r="P182" s="373"/>
      <x:c r="Q182" s="373"/>
      <x:c r="R182" s="373"/>
      <x:c r="S182" s="373"/>
      <x:c r="T182" s="373"/>
      <x:c r="U182" s="373"/>
      <x:c r="V182" s="373"/>
      <x:c r="W182" s="373"/>
      <x:c r="X182" s="373"/>
      <x:c r="Y182" s="373"/>
      <x:c r="Z182" s="373"/>
    </x:row>
    <x:row r="183">
      <x:c r="A183" s="373"/>
      <x:c r="B183" s="373"/>
      <x:c r="C183" s="373"/>
      <x:c r="D183" s="373"/>
      <x:c r="E183" s="373"/>
      <x:c r="F183" s="373"/>
      <x:c r="G183" s="373"/>
      <x:c r="H183" s="373"/>
      <x:c r="I183" s="373"/>
      <x:c r="J183" s="373"/>
      <x:c r="K183" s="373"/>
      <x:c r="L183" s="373"/>
      <x:c r="M183" s="373"/>
      <x:c r="N183" s="373"/>
      <x:c r="O183" s="373"/>
      <x:c r="P183" s="373"/>
      <x:c r="Q183" s="373"/>
      <x:c r="R183" s="373"/>
      <x:c r="S183" s="373"/>
      <x:c r="T183" s="373"/>
      <x:c r="U183" s="373"/>
      <x:c r="V183" s="373"/>
      <x:c r="W183" s="373"/>
      <x:c r="X183" s="373"/>
      <x:c r="Y183" s="373"/>
      <x:c r="Z183" s="373"/>
    </x:row>
    <x:row r="184">
      <x:c r="A184" s="373"/>
      <x:c r="B184" s="373"/>
      <x:c r="C184" s="373"/>
      <x:c r="D184" s="373"/>
      <x:c r="E184" s="373"/>
      <x:c r="F184" s="373"/>
      <x:c r="G184" s="373"/>
      <x:c r="H184" s="373"/>
      <x:c r="I184" s="373"/>
      <x:c r="J184" s="373"/>
      <x:c r="K184" s="373"/>
      <x:c r="L184" s="373"/>
      <x:c r="M184" s="373"/>
      <x:c r="N184" s="373"/>
      <x:c r="O184" s="373"/>
      <x:c r="P184" s="373"/>
      <x:c r="Q184" s="373"/>
      <x:c r="R184" s="373"/>
      <x:c r="S184" s="373"/>
      <x:c r="T184" s="373"/>
      <x:c r="U184" s="373"/>
      <x:c r="V184" s="373"/>
      <x:c r="W184" s="373"/>
      <x:c r="X184" s="373"/>
      <x:c r="Y184" s="373"/>
      <x:c r="Z184" s="373"/>
    </x:row>
    <x:row r="185">
      <x:c r="A185" s="373"/>
      <x:c r="B185" s="373"/>
      <x:c r="C185" s="373"/>
      <x:c r="D185" s="373"/>
      <x:c r="E185" s="373"/>
      <x:c r="F185" s="373"/>
      <x:c r="G185" s="373"/>
      <x:c r="H185" s="373"/>
      <x:c r="I185" s="373"/>
      <x:c r="J185" s="373"/>
      <x:c r="K185" s="373"/>
      <x:c r="L185" s="373"/>
      <x:c r="M185" s="373"/>
      <x:c r="N185" s="373"/>
      <x:c r="O185" s="373"/>
      <x:c r="P185" s="373"/>
      <x:c r="Q185" s="373"/>
      <x:c r="R185" s="373"/>
      <x:c r="S185" s="373"/>
      <x:c r="T185" s="373"/>
      <x:c r="U185" s="373"/>
      <x:c r="V185" s="373"/>
      <x:c r="W185" s="373"/>
      <x:c r="X185" s="373"/>
      <x:c r="Y185" s="373"/>
      <x:c r="Z185" s="373"/>
    </x:row>
    <x:row r="186">
      <x:c r="A186" s="373"/>
      <x:c r="B186" s="373"/>
      <x:c r="C186" s="373"/>
      <x:c r="D186" s="373"/>
      <x:c r="E186" s="373"/>
      <x:c r="F186" s="373"/>
      <x:c r="G186" s="373"/>
      <x:c r="H186" s="373"/>
      <x:c r="I186" s="373"/>
      <x:c r="J186" s="373"/>
      <x:c r="K186" s="373"/>
      <x:c r="L186" s="373"/>
      <x:c r="M186" s="373"/>
      <x:c r="N186" s="373"/>
      <x:c r="O186" s="373"/>
      <x:c r="P186" s="373"/>
      <x:c r="Q186" s="373"/>
      <x:c r="R186" s="373"/>
      <x:c r="S186" s="373"/>
      <x:c r="T186" s="373"/>
      <x:c r="U186" s="373"/>
      <x:c r="V186" s="373"/>
      <x:c r="W186" s="373"/>
      <x:c r="X186" s="373"/>
      <x:c r="Y186" s="373"/>
      <x:c r="Z186" s="373"/>
    </x:row>
    <x:row r="187">
      <x:c r="A187" s="373"/>
      <x:c r="B187" s="373"/>
      <x:c r="C187" s="373"/>
      <x:c r="D187" s="373"/>
      <x:c r="E187" s="373"/>
      <x:c r="F187" s="373"/>
      <x:c r="G187" s="373"/>
      <x:c r="H187" s="373"/>
      <x:c r="I187" s="373"/>
      <x:c r="J187" s="373"/>
      <x:c r="K187" s="373"/>
      <x:c r="L187" s="373"/>
      <x:c r="M187" s="373"/>
      <x:c r="N187" s="373"/>
      <x:c r="O187" s="373"/>
      <x:c r="P187" s="373"/>
      <x:c r="Q187" s="373"/>
      <x:c r="R187" s="373"/>
      <x:c r="S187" s="373"/>
      <x:c r="T187" s="373"/>
      <x:c r="U187" s="373"/>
      <x:c r="V187" s="373"/>
      <x:c r="W187" s="373"/>
      <x:c r="X187" s="373"/>
      <x:c r="Y187" s="373"/>
      <x:c r="Z187" s="373"/>
    </x:row>
    <x:row r="188">
      <x:c r="A188" s="373"/>
      <x:c r="B188" s="373"/>
      <x:c r="C188" s="373"/>
      <x:c r="D188" s="373"/>
      <x:c r="E188" s="373"/>
      <x:c r="F188" s="373"/>
      <x:c r="G188" s="373"/>
      <x:c r="H188" s="373"/>
      <x:c r="I188" s="373"/>
      <x:c r="J188" s="373"/>
      <x:c r="K188" s="373"/>
      <x:c r="L188" s="373"/>
      <x:c r="M188" s="373"/>
      <x:c r="N188" s="373"/>
      <x:c r="O188" s="373"/>
      <x:c r="P188" s="373"/>
      <x:c r="Q188" s="373"/>
      <x:c r="R188" s="373"/>
      <x:c r="S188" s="373"/>
      <x:c r="T188" s="373"/>
      <x:c r="U188" s="373"/>
      <x:c r="V188" s="373"/>
      <x:c r="W188" s="373"/>
      <x:c r="X188" s="373"/>
      <x:c r="Y188" s="373"/>
      <x:c r="Z188" s="373"/>
    </x:row>
    <x:row r="189">
      <x:c r="A189" s="373"/>
      <x:c r="B189" s="373"/>
      <x:c r="C189" s="373"/>
      <x:c r="D189" s="373"/>
      <x:c r="E189" s="373"/>
      <x:c r="F189" s="373"/>
      <x:c r="G189" s="373"/>
      <x:c r="H189" s="373"/>
      <x:c r="I189" s="373"/>
      <x:c r="J189" s="373"/>
      <x:c r="K189" s="373"/>
      <x:c r="L189" s="373"/>
      <x:c r="M189" s="373"/>
      <x:c r="N189" s="373"/>
      <x:c r="O189" s="373"/>
      <x:c r="P189" s="373"/>
      <x:c r="Q189" s="373"/>
      <x:c r="R189" s="373"/>
      <x:c r="S189" s="373"/>
      <x:c r="T189" s="373"/>
      <x:c r="U189" s="373"/>
      <x:c r="V189" s="373"/>
      <x:c r="W189" s="373"/>
      <x:c r="X189" s="373"/>
      <x:c r="Y189" s="373"/>
      <x:c r="Z189" s="373"/>
    </x:row>
    <x:row r="190">
      <x:c r="A190" s="373"/>
      <x:c r="B190" s="373"/>
      <x:c r="C190" s="373"/>
      <x:c r="D190" s="373"/>
      <x:c r="E190" s="373"/>
      <x:c r="F190" s="373"/>
      <x:c r="G190" s="373"/>
      <x:c r="H190" s="373"/>
      <x:c r="I190" s="373"/>
      <x:c r="J190" s="373"/>
      <x:c r="K190" s="373"/>
      <x:c r="L190" s="373"/>
      <x:c r="M190" s="373"/>
      <x:c r="N190" s="373"/>
      <x:c r="O190" s="373"/>
      <x:c r="P190" s="373"/>
      <x:c r="Q190" s="373"/>
      <x:c r="R190" s="373"/>
      <x:c r="S190" s="373"/>
      <x:c r="T190" s="373"/>
      <x:c r="U190" s="373"/>
      <x:c r="V190" s="373"/>
      <x:c r="W190" s="373"/>
      <x:c r="X190" s="373"/>
      <x:c r="Y190" s="373"/>
      <x:c r="Z190" s="373"/>
    </x:row>
    <x:row r="191">
      <x:c r="A191" s="373"/>
      <x:c r="B191" s="373"/>
      <x:c r="C191" s="373"/>
      <x:c r="D191" s="373"/>
      <x:c r="E191" s="373"/>
      <x:c r="F191" s="373"/>
      <x:c r="G191" s="373"/>
      <x:c r="H191" s="373"/>
      <x:c r="I191" s="373"/>
      <x:c r="J191" s="373"/>
      <x:c r="K191" s="373"/>
      <x:c r="L191" s="373"/>
      <x:c r="M191" s="373"/>
      <x:c r="N191" s="373"/>
      <x:c r="O191" s="373"/>
      <x:c r="P191" s="373"/>
      <x:c r="Q191" s="373"/>
      <x:c r="R191" s="373"/>
      <x:c r="S191" s="373"/>
      <x:c r="T191" s="373"/>
      <x:c r="U191" s="373"/>
      <x:c r="V191" s="373"/>
      <x:c r="W191" s="373"/>
      <x:c r="X191" s="373"/>
      <x:c r="Y191" s="373"/>
      <x:c r="Z191" s="373"/>
    </x:row>
    <x:row r="192">
      <x:c r="A192" s="373"/>
      <x:c r="B192" s="373"/>
      <x:c r="C192" s="373"/>
      <x:c r="D192" s="373"/>
      <x:c r="E192" s="373"/>
      <x:c r="F192" s="373"/>
      <x:c r="G192" s="373"/>
      <x:c r="H192" s="373"/>
      <x:c r="I192" s="373"/>
      <x:c r="J192" s="373"/>
      <x:c r="K192" s="373"/>
      <x:c r="L192" s="373"/>
      <x:c r="M192" s="373"/>
      <x:c r="N192" s="373"/>
      <x:c r="O192" s="373"/>
      <x:c r="P192" s="373"/>
      <x:c r="Q192" s="373"/>
      <x:c r="R192" s="373"/>
      <x:c r="S192" s="373"/>
      <x:c r="T192" s="373"/>
      <x:c r="U192" s="373"/>
      <x:c r="V192" s="373"/>
      <x:c r="W192" s="373"/>
      <x:c r="X192" s="373"/>
      <x:c r="Y192" s="373"/>
      <x:c r="Z192" s="373"/>
    </x:row>
    <x:row r="193">
      <x:c r="A193" s="373"/>
      <x:c r="B193" s="373"/>
      <x:c r="C193" s="373"/>
      <x:c r="D193" s="373"/>
      <x:c r="E193" s="373"/>
      <x:c r="F193" s="373"/>
      <x:c r="G193" s="373"/>
      <x:c r="H193" s="373"/>
      <x:c r="I193" s="373"/>
      <x:c r="J193" s="373"/>
      <x:c r="K193" s="373"/>
      <x:c r="L193" s="373"/>
      <x:c r="M193" s="373"/>
      <x:c r="N193" s="373"/>
      <x:c r="O193" s="373"/>
      <x:c r="P193" s="373"/>
      <x:c r="Q193" s="373"/>
      <x:c r="R193" s="373"/>
      <x:c r="S193" s="373"/>
      <x:c r="T193" s="373"/>
      <x:c r="U193" s="373"/>
      <x:c r="V193" s="373"/>
      <x:c r="W193" s="373"/>
      <x:c r="X193" s="373"/>
      <x:c r="Y193" s="373"/>
      <x:c r="Z193" s="373"/>
    </x:row>
    <x:row r="194">
      <x:c r="A194" s="373"/>
      <x:c r="B194" s="373"/>
      <x:c r="C194" s="373"/>
      <x:c r="D194" s="373"/>
      <x:c r="E194" s="373"/>
      <x:c r="F194" s="373"/>
      <x:c r="G194" s="373"/>
      <x:c r="H194" s="373"/>
      <x:c r="I194" s="373"/>
      <x:c r="J194" s="373"/>
      <x:c r="K194" s="373"/>
      <x:c r="L194" s="373"/>
      <x:c r="M194" s="373"/>
      <x:c r="N194" s="373"/>
      <x:c r="O194" s="373"/>
      <x:c r="P194" s="373"/>
      <x:c r="Q194" s="373"/>
      <x:c r="R194" s="373"/>
      <x:c r="S194" s="373"/>
      <x:c r="T194" s="373"/>
      <x:c r="U194" s="373"/>
      <x:c r="V194" s="373"/>
      <x:c r="W194" s="373"/>
      <x:c r="X194" s="373"/>
      <x:c r="Y194" s="373"/>
      <x:c r="Z194" s="373"/>
    </x:row>
    <x:row r="195">
      <x:c r="A195" s="373"/>
      <x:c r="B195" s="373"/>
      <x:c r="C195" s="373"/>
      <x:c r="D195" s="373"/>
      <x:c r="E195" s="373"/>
      <x:c r="F195" s="373"/>
      <x:c r="G195" s="373"/>
      <x:c r="H195" s="373"/>
      <x:c r="I195" s="373"/>
      <x:c r="J195" s="373"/>
      <x:c r="K195" s="373"/>
      <x:c r="L195" s="373"/>
      <x:c r="M195" s="373"/>
      <x:c r="N195" s="373"/>
      <x:c r="O195" s="373"/>
      <x:c r="P195" s="373"/>
      <x:c r="Q195" s="373"/>
      <x:c r="R195" s="373"/>
      <x:c r="S195" s="373"/>
      <x:c r="T195" s="373"/>
      <x:c r="U195" s="373"/>
      <x:c r="V195" s="373"/>
      <x:c r="W195" s="373"/>
      <x:c r="X195" s="373"/>
      <x:c r="Y195" s="373"/>
      <x:c r="Z195" s="373"/>
    </x:row>
    <x:row r="196">
      <x:c r="A196" s="373"/>
      <x:c r="B196" s="373"/>
      <x:c r="C196" s="373"/>
      <x:c r="D196" s="373"/>
      <x:c r="E196" s="373"/>
      <x:c r="F196" s="373"/>
      <x:c r="G196" s="373"/>
      <x:c r="H196" s="373"/>
      <x:c r="I196" s="373"/>
      <x:c r="J196" s="373"/>
      <x:c r="K196" s="373"/>
      <x:c r="L196" s="373"/>
      <x:c r="M196" s="373"/>
      <x:c r="N196" s="373"/>
      <x:c r="O196" s="373"/>
      <x:c r="P196" s="373"/>
      <x:c r="Q196" s="373"/>
      <x:c r="R196" s="373"/>
      <x:c r="S196" s="373"/>
      <x:c r="T196" s="373"/>
      <x:c r="U196" s="373"/>
      <x:c r="V196" s="373"/>
      <x:c r="W196" s="373"/>
      <x:c r="X196" s="373"/>
      <x:c r="Y196" s="373"/>
      <x:c r="Z196" s="373"/>
    </x:row>
    <x:row r="197">
      <x:c r="A197" s="373"/>
      <x:c r="B197" s="373"/>
      <x:c r="C197" s="373"/>
      <x:c r="D197" s="373"/>
      <x:c r="E197" s="373"/>
      <x:c r="F197" s="373"/>
      <x:c r="G197" s="373"/>
      <x:c r="H197" s="373"/>
      <x:c r="I197" s="373"/>
      <x:c r="J197" s="373"/>
      <x:c r="K197" s="373"/>
      <x:c r="L197" s="373"/>
      <x:c r="M197" s="373"/>
      <x:c r="N197" s="373"/>
      <x:c r="O197" s="373"/>
      <x:c r="P197" s="373"/>
      <x:c r="Q197" s="373"/>
      <x:c r="R197" s="373"/>
      <x:c r="S197" s="373"/>
      <x:c r="T197" s="373"/>
      <x:c r="U197" s="373"/>
      <x:c r="V197" s="373"/>
      <x:c r="W197" s="373"/>
      <x:c r="X197" s="373"/>
      <x:c r="Y197" s="373"/>
      <x:c r="Z197" s="373"/>
    </x:row>
    <x:row r="198">
      <x:c r="A198" s="373"/>
      <x:c r="B198" s="373"/>
      <x:c r="C198" s="373"/>
      <x:c r="D198" s="373"/>
      <x:c r="E198" s="373"/>
      <x:c r="F198" s="373"/>
      <x:c r="G198" s="373"/>
      <x:c r="H198" s="373"/>
      <x:c r="I198" s="373"/>
      <x:c r="J198" s="373"/>
      <x:c r="K198" s="373"/>
      <x:c r="L198" s="373"/>
      <x:c r="M198" s="373"/>
      <x:c r="N198" s="373"/>
      <x:c r="O198" s="373"/>
      <x:c r="P198" s="373"/>
      <x:c r="Q198" s="373"/>
      <x:c r="R198" s="373"/>
      <x:c r="S198" s="373"/>
      <x:c r="T198" s="373"/>
      <x:c r="U198" s="373"/>
      <x:c r="V198" s="373"/>
      <x:c r="W198" s="373"/>
      <x:c r="X198" s="373"/>
      <x:c r="Y198" s="373"/>
      <x:c r="Z198" s="373"/>
    </x:row>
    <x:row r="199">
      <x:c r="A199" s="373"/>
      <x:c r="B199" s="373"/>
      <x:c r="C199" s="373"/>
      <x:c r="D199" s="373"/>
      <x:c r="E199" s="373"/>
      <x:c r="F199" s="373"/>
      <x:c r="G199" s="373"/>
      <x:c r="H199" s="373"/>
      <x:c r="I199" s="373"/>
      <x:c r="J199" s="373"/>
      <x:c r="K199" s="373"/>
      <x:c r="L199" s="373"/>
      <x:c r="M199" s="373"/>
      <x:c r="N199" s="373"/>
      <x:c r="O199" s="373"/>
      <x:c r="P199" s="373"/>
      <x:c r="Q199" s="373"/>
      <x:c r="R199" s="373"/>
      <x:c r="S199" s="373"/>
      <x:c r="T199" s="373"/>
      <x:c r="U199" s="373"/>
      <x:c r="V199" s="373"/>
      <x:c r="W199" s="373"/>
      <x:c r="X199" s="373"/>
      <x:c r="Y199" s="373"/>
      <x:c r="Z199" s="373"/>
    </x:row>
    <x:row r="200">
      <x:c r="A200" s="373"/>
      <x:c r="B200" s="373"/>
      <x:c r="C200" s="373"/>
      <x:c r="D200" s="373"/>
      <x:c r="E200" s="373"/>
      <x:c r="F200" s="373"/>
      <x:c r="G200" s="373"/>
      <x:c r="H200" s="373"/>
      <x:c r="I200" s="373"/>
      <x:c r="J200" s="373"/>
      <x:c r="K200" s="373"/>
      <x:c r="L200" s="373"/>
      <x:c r="M200" s="373"/>
      <x:c r="N200" s="373"/>
      <x:c r="O200" s="373"/>
      <x:c r="P200" s="373"/>
      <x:c r="Q200" s="373"/>
      <x:c r="R200" s="373"/>
      <x:c r="S200" s="373"/>
      <x:c r="T200" s="373"/>
      <x:c r="U200" s="373"/>
      <x:c r="V200" s="373"/>
      <x:c r="W200" s="373"/>
      <x:c r="X200" s="373"/>
      <x:c r="Y200" s="373"/>
      <x:c r="Z200" s="373"/>
    </x:row>
    <x:row r="201">
      <x:c r="A201" s="373"/>
      <x:c r="B201" s="373"/>
      <x:c r="C201" s="373"/>
      <x:c r="D201" s="373"/>
      <x:c r="E201" s="373"/>
      <x:c r="F201" s="373"/>
      <x:c r="G201" s="373"/>
      <x:c r="H201" s="373"/>
      <x:c r="I201" s="373"/>
      <x:c r="J201" s="373"/>
      <x:c r="K201" s="373"/>
      <x:c r="L201" s="373"/>
      <x:c r="M201" s="373"/>
      <x:c r="N201" s="373"/>
      <x:c r="O201" s="373"/>
      <x:c r="P201" s="373"/>
      <x:c r="Q201" s="373"/>
      <x:c r="R201" s="373"/>
      <x:c r="S201" s="373"/>
      <x:c r="T201" s="373"/>
      <x:c r="U201" s="373"/>
      <x:c r="V201" s="373"/>
      <x:c r="W201" s="373"/>
      <x:c r="X201" s="373"/>
      <x:c r="Y201" s="373"/>
      <x:c r="Z201" s="373"/>
    </x:row>
    <x:row r="202">
      <x:c r="A202" s="373"/>
      <x:c r="B202" s="373"/>
      <x:c r="C202" s="373"/>
      <x:c r="D202" s="373"/>
      <x:c r="E202" s="373"/>
      <x:c r="F202" s="373"/>
      <x:c r="G202" s="373"/>
      <x:c r="H202" s="373"/>
      <x:c r="I202" s="373"/>
      <x:c r="J202" s="373"/>
      <x:c r="K202" s="373"/>
      <x:c r="L202" s="373"/>
      <x:c r="M202" s="373"/>
      <x:c r="N202" s="373"/>
      <x:c r="O202" s="373"/>
      <x:c r="P202" s="373"/>
      <x:c r="Q202" s="373"/>
      <x:c r="R202" s="373"/>
      <x:c r="S202" s="373"/>
      <x:c r="T202" s="373"/>
      <x:c r="U202" s="373"/>
      <x:c r="V202" s="373"/>
      <x:c r="W202" s="373"/>
      <x:c r="X202" s="373"/>
      <x:c r="Y202" s="373"/>
      <x:c r="Z202" s="373"/>
    </x:row>
    <x:row r="203">
      <x:c r="A203" s="373"/>
      <x:c r="B203" s="373"/>
      <x:c r="C203" s="373"/>
      <x:c r="D203" s="373"/>
      <x:c r="E203" s="373"/>
      <x:c r="F203" s="373"/>
      <x:c r="G203" s="373"/>
      <x:c r="H203" s="373"/>
      <x:c r="I203" s="373"/>
      <x:c r="J203" s="373"/>
      <x:c r="K203" s="373"/>
      <x:c r="L203" s="373"/>
      <x:c r="M203" s="373"/>
      <x:c r="N203" s="373"/>
      <x:c r="O203" s="373"/>
      <x:c r="P203" s="373"/>
      <x:c r="Q203" s="373"/>
      <x:c r="R203" s="373"/>
      <x:c r="S203" s="373"/>
      <x:c r="T203" s="373"/>
      <x:c r="U203" s="373"/>
      <x:c r="V203" s="373"/>
      <x:c r="W203" s="373"/>
      <x:c r="X203" s="373"/>
      <x:c r="Y203" s="373"/>
      <x:c r="Z203" s="373"/>
    </x:row>
    <x:row r="204">
      <x:c r="A204" s="373"/>
      <x:c r="B204" s="373"/>
      <x:c r="C204" s="373"/>
      <x:c r="D204" s="373"/>
      <x:c r="E204" s="373"/>
      <x:c r="F204" s="373"/>
      <x:c r="G204" s="373"/>
      <x:c r="H204" s="373"/>
      <x:c r="I204" s="373"/>
      <x:c r="J204" s="373"/>
      <x:c r="K204" s="373"/>
      <x:c r="L204" s="373"/>
      <x:c r="M204" s="373"/>
      <x:c r="N204" s="373"/>
      <x:c r="O204" s="373"/>
      <x:c r="P204" s="373"/>
      <x:c r="Q204" s="373"/>
      <x:c r="R204" s="373"/>
      <x:c r="S204" s="373"/>
      <x:c r="T204" s="373"/>
      <x:c r="U204" s="373"/>
      <x:c r="V204" s="373"/>
      <x:c r="W204" s="373"/>
      <x:c r="X204" s="373"/>
      <x:c r="Y204" s="373"/>
      <x:c r="Z204" s="373"/>
    </x:row>
    <x:row r="205">
      <x:c r="A205" s="373"/>
      <x:c r="B205" s="373"/>
      <x:c r="C205" s="373"/>
      <x:c r="D205" s="373"/>
      <x:c r="E205" s="373"/>
      <x:c r="F205" s="373"/>
      <x:c r="G205" s="373"/>
      <x:c r="H205" s="373"/>
      <x:c r="I205" s="373"/>
      <x:c r="J205" s="373"/>
      <x:c r="K205" s="373"/>
      <x:c r="L205" s="373"/>
      <x:c r="M205" s="373"/>
      <x:c r="N205" s="373"/>
      <x:c r="O205" s="373"/>
      <x:c r="P205" s="373"/>
      <x:c r="Q205" s="373"/>
      <x:c r="R205" s="373"/>
      <x:c r="S205" s="373"/>
      <x:c r="T205" s="373"/>
      <x:c r="U205" s="373"/>
      <x:c r="V205" s="373"/>
      <x:c r="W205" s="373"/>
      <x:c r="X205" s="373"/>
      <x:c r="Y205" s="373"/>
      <x:c r="Z205" s="373"/>
    </x:row>
    <x:row r="206">
      <x:c r="A206" s="373"/>
      <x:c r="B206" s="373"/>
      <x:c r="C206" s="373"/>
      <x:c r="D206" s="373"/>
      <x:c r="E206" s="373"/>
      <x:c r="F206" s="373"/>
      <x:c r="G206" s="373"/>
      <x:c r="H206" s="373"/>
      <x:c r="I206" s="373"/>
      <x:c r="J206" s="373"/>
      <x:c r="K206" s="373"/>
      <x:c r="L206" s="373"/>
      <x:c r="M206" s="373"/>
      <x:c r="N206" s="373"/>
      <x:c r="O206" s="373"/>
      <x:c r="P206" s="373"/>
      <x:c r="Q206" s="373"/>
      <x:c r="R206" s="373"/>
      <x:c r="S206" s="373"/>
      <x:c r="T206" s="373"/>
      <x:c r="U206" s="373"/>
      <x:c r="V206" s="373"/>
      <x:c r="W206" s="373"/>
      <x:c r="X206" s="373"/>
      <x:c r="Y206" s="373"/>
      <x:c r="Z206" s="373"/>
    </x:row>
    <x:row r="207">
      <x:c r="A207" s="373"/>
      <x:c r="B207" s="373"/>
      <x:c r="C207" s="373"/>
      <x:c r="D207" s="373"/>
      <x:c r="E207" s="373"/>
      <x:c r="F207" s="373"/>
      <x:c r="G207" s="373"/>
      <x:c r="H207" s="373"/>
      <x:c r="I207" s="373"/>
      <x:c r="J207" s="373"/>
      <x:c r="K207" s="373"/>
      <x:c r="L207" s="373"/>
      <x:c r="M207" s="373"/>
      <x:c r="N207" s="373"/>
      <x:c r="O207" s="373"/>
      <x:c r="P207" s="373"/>
      <x:c r="Q207" s="373"/>
      <x:c r="R207" s="373"/>
      <x:c r="S207" s="373"/>
      <x:c r="T207" s="373"/>
      <x:c r="U207" s="373"/>
      <x:c r="V207" s="373"/>
      <x:c r="W207" s="373"/>
      <x:c r="X207" s="373"/>
      <x:c r="Y207" s="373"/>
      <x:c r="Z207" s="373"/>
    </x:row>
    <x:row r="208">
      <x:c r="A208" s="373"/>
      <x:c r="B208" s="373"/>
      <x:c r="C208" s="373"/>
      <x:c r="D208" s="373"/>
      <x:c r="E208" s="373"/>
      <x:c r="F208" s="373"/>
      <x:c r="G208" s="373"/>
      <x:c r="H208" s="373"/>
      <x:c r="I208" s="373"/>
      <x:c r="J208" s="373"/>
      <x:c r="K208" s="373"/>
      <x:c r="L208" s="373"/>
      <x:c r="M208" s="373"/>
      <x:c r="N208" s="373"/>
      <x:c r="O208" s="373"/>
      <x:c r="P208" s="373"/>
      <x:c r="Q208" s="373"/>
      <x:c r="R208" s="373"/>
      <x:c r="S208" s="373"/>
      <x:c r="T208" s="373"/>
      <x:c r="U208" s="373"/>
      <x:c r="V208" s="373"/>
      <x:c r="W208" s="373"/>
      <x:c r="X208" s="373"/>
      <x:c r="Y208" s="373"/>
      <x:c r="Z208" s="373"/>
    </x:row>
    <x:row r="209">
      <x:c r="A209" s="373"/>
      <x:c r="B209" s="373"/>
      <x:c r="C209" s="373"/>
      <x:c r="D209" s="373"/>
      <x:c r="E209" s="373"/>
      <x:c r="F209" s="373"/>
      <x:c r="G209" s="373"/>
      <x:c r="H209" s="373"/>
      <x:c r="I209" s="373"/>
      <x:c r="J209" s="373"/>
      <x:c r="K209" s="373"/>
      <x:c r="L209" s="373"/>
      <x:c r="M209" s="373"/>
      <x:c r="N209" s="373"/>
      <x:c r="O209" s="373"/>
      <x:c r="P209" s="373"/>
      <x:c r="Q209" s="373"/>
      <x:c r="R209" s="373"/>
      <x:c r="S209" s="373"/>
      <x:c r="T209" s="373"/>
      <x:c r="U209" s="373"/>
      <x:c r="V209" s="373"/>
      <x:c r="W209" s="373"/>
      <x:c r="X209" s="373"/>
      <x:c r="Y209" s="373"/>
      <x:c r="Z209" s="373"/>
    </x:row>
    <x:row r="210">
      <x:c r="A210" s="373"/>
      <x:c r="B210" s="373"/>
      <x:c r="C210" s="373"/>
      <x:c r="D210" s="373"/>
      <x:c r="E210" s="373"/>
      <x:c r="F210" s="373"/>
      <x:c r="G210" s="373"/>
      <x:c r="H210" s="373"/>
      <x:c r="I210" s="373"/>
      <x:c r="J210" s="373"/>
      <x:c r="K210" s="373"/>
      <x:c r="L210" s="373"/>
      <x:c r="M210" s="373"/>
      <x:c r="N210" s="373"/>
      <x:c r="O210" s="373"/>
      <x:c r="P210" s="373"/>
      <x:c r="Q210" s="373"/>
      <x:c r="R210" s="373"/>
      <x:c r="S210" s="373"/>
      <x:c r="T210" s="373"/>
      <x:c r="U210" s="373"/>
      <x:c r="V210" s="373"/>
      <x:c r="W210" s="373"/>
      <x:c r="X210" s="373"/>
      <x:c r="Y210" s="373"/>
      <x:c r="Z210" s="373"/>
    </x:row>
    <x:row r="211">
      <x:c r="A211" s="373"/>
      <x:c r="B211" s="373"/>
      <x:c r="C211" s="373"/>
      <x:c r="D211" s="373"/>
      <x:c r="E211" s="373"/>
      <x:c r="F211" s="373"/>
      <x:c r="G211" s="373"/>
      <x:c r="H211" s="373"/>
      <x:c r="I211" s="373"/>
      <x:c r="J211" s="373"/>
      <x:c r="K211" s="373"/>
      <x:c r="L211" s="373"/>
      <x:c r="M211" s="373"/>
      <x:c r="N211" s="373"/>
      <x:c r="O211" s="373"/>
      <x:c r="P211" s="373"/>
      <x:c r="Q211" s="373"/>
      <x:c r="R211" s="373"/>
      <x:c r="S211" s="373"/>
      <x:c r="T211" s="373"/>
      <x:c r="U211" s="373"/>
      <x:c r="V211" s="373"/>
      <x:c r="W211" s="373"/>
      <x:c r="X211" s="373"/>
      <x:c r="Y211" s="373"/>
      <x:c r="Z211" s="373"/>
    </x:row>
    <x:row r="212">
      <x:c r="A212" s="373"/>
      <x:c r="B212" s="373"/>
      <x:c r="C212" s="373"/>
      <x:c r="D212" s="373"/>
      <x:c r="E212" s="373"/>
      <x:c r="F212" s="373"/>
      <x:c r="G212" s="373"/>
      <x:c r="H212" s="373"/>
      <x:c r="I212" s="373"/>
      <x:c r="J212" s="373"/>
      <x:c r="K212" s="373"/>
      <x:c r="L212" s="373"/>
      <x:c r="M212" s="373"/>
      <x:c r="N212" s="373"/>
      <x:c r="O212" s="373"/>
      <x:c r="P212" s="373"/>
      <x:c r="Q212" s="373"/>
      <x:c r="R212" s="373"/>
      <x:c r="S212" s="373"/>
      <x:c r="T212" s="373"/>
      <x:c r="U212" s="373"/>
      <x:c r="V212" s="373"/>
      <x:c r="W212" s="373"/>
      <x:c r="X212" s="373"/>
      <x:c r="Y212" s="373"/>
      <x:c r="Z212" s="373"/>
    </x:row>
    <x:row r="213">
      <x:c r="A213" s="373"/>
      <x:c r="B213" s="373"/>
      <x:c r="C213" s="373"/>
      <x:c r="D213" s="373"/>
      <x:c r="E213" s="373"/>
      <x:c r="F213" s="373"/>
      <x:c r="G213" s="373"/>
      <x:c r="H213" s="373"/>
      <x:c r="I213" s="373"/>
      <x:c r="J213" s="373"/>
      <x:c r="K213" s="373"/>
      <x:c r="L213" s="373"/>
      <x:c r="M213" s="373"/>
      <x:c r="N213" s="373"/>
      <x:c r="O213" s="373"/>
      <x:c r="P213" s="373"/>
      <x:c r="Q213" s="373"/>
      <x:c r="R213" s="373"/>
      <x:c r="S213" s="373"/>
      <x:c r="T213" s="373"/>
      <x:c r="U213" s="373"/>
      <x:c r="V213" s="373"/>
      <x:c r="W213" s="373"/>
      <x:c r="X213" s="373"/>
      <x:c r="Y213" s="373"/>
      <x:c r="Z213" s="373"/>
    </x:row>
    <x:row r="214">
      <x:c r="A214" s="373"/>
      <x:c r="B214" s="373"/>
      <x:c r="C214" s="373"/>
      <x:c r="D214" s="373"/>
      <x:c r="E214" s="373"/>
      <x:c r="F214" s="373"/>
      <x:c r="G214" s="373"/>
      <x:c r="H214" s="373"/>
      <x:c r="I214" s="373"/>
      <x:c r="J214" s="373"/>
      <x:c r="K214" s="373"/>
      <x:c r="L214" s="373"/>
      <x:c r="M214" s="373"/>
      <x:c r="N214" s="373"/>
      <x:c r="O214" s="373"/>
      <x:c r="P214" s="373"/>
      <x:c r="Q214" s="373"/>
      <x:c r="R214" s="373"/>
      <x:c r="S214" s="373"/>
      <x:c r="T214" s="373"/>
      <x:c r="U214" s="373"/>
      <x:c r="V214" s="373"/>
      <x:c r="W214" s="373"/>
      <x:c r="X214" s="373"/>
      <x:c r="Y214" s="373"/>
      <x:c r="Z214" s="373"/>
    </x:row>
    <x:row r="215">
      <x:c r="A215" s="373"/>
      <x:c r="B215" s="373"/>
      <x:c r="C215" s="373"/>
      <x:c r="D215" s="373"/>
      <x:c r="E215" s="373"/>
      <x:c r="F215" s="373"/>
      <x:c r="G215" s="373"/>
      <x:c r="H215" s="373"/>
      <x:c r="I215" s="373"/>
      <x:c r="J215" s="373"/>
      <x:c r="K215" s="373"/>
      <x:c r="L215" s="373"/>
      <x:c r="M215" s="373"/>
      <x:c r="N215" s="373"/>
      <x:c r="O215" s="373"/>
      <x:c r="P215" s="373"/>
      <x:c r="Q215" s="373"/>
      <x:c r="R215" s="373"/>
      <x:c r="S215" s="373"/>
      <x:c r="T215" s="373"/>
      <x:c r="U215" s="373"/>
      <x:c r="V215" s="373"/>
      <x:c r="W215" s="373"/>
      <x:c r="X215" s="373"/>
      <x:c r="Y215" s="373"/>
      <x:c r="Z215" s="373"/>
    </x:row>
    <x:row r="216">
      <x:c r="A216" s="373"/>
      <x:c r="B216" s="373"/>
      <x:c r="C216" s="373"/>
      <x:c r="D216" s="373"/>
      <x:c r="E216" s="373"/>
      <x:c r="F216" s="373"/>
      <x:c r="G216" s="373"/>
      <x:c r="H216" s="373"/>
      <x:c r="I216" s="373"/>
      <x:c r="J216" s="373"/>
      <x:c r="K216" s="373"/>
      <x:c r="L216" s="373"/>
      <x:c r="M216" s="373"/>
      <x:c r="N216" s="373"/>
      <x:c r="O216" s="373"/>
      <x:c r="P216" s="373"/>
      <x:c r="Q216" s="373"/>
      <x:c r="R216" s="373"/>
      <x:c r="S216" s="373"/>
      <x:c r="T216" s="373"/>
      <x:c r="U216" s="373"/>
      <x:c r="V216" s="373"/>
      <x:c r="W216" s="373"/>
      <x:c r="X216" s="373"/>
      <x:c r="Y216" s="373"/>
      <x:c r="Z216" s="373"/>
    </x:row>
    <x:row r="217">
      <x:c r="A217" s="373"/>
      <x:c r="B217" s="373"/>
      <x:c r="C217" s="373"/>
      <x:c r="D217" s="373"/>
      <x:c r="E217" s="373"/>
      <x:c r="F217" s="373"/>
      <x:c r="G217" s="373"/>
      <x:c r="H217" s="373"/>
      <x:c r="I217" s="373"/>
      <x:c r="J217" s="373"/>
      <x:c r="K217" s="373"/>
      <x:c r="L217" s="373"/>
      <x:c r="M217" s="373"/>
      <x:c r="N217" s="373"/>
      <x:c r="O217" s="373"/>
      <x:c r="P217" s="373"/>
      <x:c r="Q217" s="373"/>
      <x:c r="R217" s="373"/>
      <x:c r="S217" s="373"/>
      <x:c r="T217" s="373"/>
      <x:c r="U217" s="373"/>
      <x:c r="V217" s="373"/>
      <x:c r="W217" s="373"/>
      <x:c r="X217" s="373"/>
      <x:c r="Y217" s="373"/>
      <x:c r="Z217" s="373"/>
    </x:row>
    <x:row r="218">
      <x:c r="A218" s="373"/>
      <x:c r="B218" s="373"/>
      <x:c r="C218" s="373"/>
      <x:c r="D218" s="373"/>
      <x:c r="E218" s="373"/>
      <x:c r="F218" s="373"/>
      <x:c r="G218" s="373"/>
      <x:c r="H218" s="373"/>
      <x:c r="I218" s="373"/>
      <x:c r="J218" s="373"/>
      <x:c r="K218" s="373"/>
      <x:c r="L218" s="373"/>
      <x:c r="M218" s="373"/>
      <x:c r="N218" s="373"/>
      <x:c r="O218" s="373"/>
      <x:c r="P218" s="373"/>
      <x:c r="Q218" s="373"/>
      <x:c r="R218" s="373"/>
      <x:c r="S218" s="373"/>
      <x:c r="T218" s="373"/>
      <x:c r="U218" s="373"/>
      <x:c r="V218" s="373"/>
      <x:c r="W218" s="373"/>
      <x:c r="X218" s="373"/>
      <x:c r="Y218" s="373"/>
      <x:c r="Z218" s="373"/>
    </x:row>
    <x:row r="219">
      <x:c r="A219" s="373"/>
      <x:c r="B219" s="373"/>
      <x:c r="C219" s="373"/>
      <x:c r="D219" s="373"/>
      <x:c r="E219" s="373"/>
      <x:c r="F219" s="373"/>
      <x:c r="G219" s="373"/>
      <x:c r="H219" s="373"/>
      <x:c r="I219" s="373"/>
      <x:c r="J219" s="373"/>
      <x:c r="K219" s="373"/>
      <x:c r="L219" s="373"/>
      <x:c r="M219" s="373"/>
      <x:c r="N219" s="373"/>
      <x:c r="O219" s="373"/>
      <x:c r="P219" s="373"/>
      <x:c r="Q219" s="373"/>
      <x:c r="R219" s="373"/>
      <x:c r="S219" s="373"/>
      <x:c r="T219" s="373"/>
      <x:c r="U219" s="373"/>
      <x:c r="V219" s="373"/>
      <x:c r="W219" s="373"/>
      <x:c r="X219" s="373"/>
      <x:c r="Y219" s="373"/>
      <x:c r="Z219" s="373"/>
    </x:row>
    <x:row r="220">
      <x:c r="A220" s="373"/>
      <x:c r="B220" s="373"/>
      <x:c r="C220" s="373"/>
      <x:c r="D220" s="373"/>
      <x:c r="E220" s="373"/>
      <x:c r="F220" s="373"/>
      <x:c r="G220" s="373"/>
      <x:c r="H220" s="373"/>
      <x:c r="I220" s="373"/>
      <x:c r="J220" s="373"/>
      <x:c r="K220" s="373"/>
      <x:c r="L220" s="373"/>
      <x:c r="M220" s="373"/>
      <x:c r="N220" s="373"/>
      <x:c r="O220" s="373"/>
      <x:c r="P220" s="373"/>
      <x:c r="Q220" s="373"/>
      <x:c r="R220" s="373"/>
      <x:c r="S220" s="373"/>
      <x:c r="T220" s="373"/>
      <x:c r="U220" s="373"/>
      <x:c r="V220" s="373"/>
      <x:c r="W220" s="373"/>
      <x:c r="X220" s="373"/>
      <x:c r="Y220" s="373"/>
      <x:c r="Z220" s="373"/>
    </x:row>
    <x:row r="221">
      <x:c r="A221" s="373"/>
      <x:c r="B221" s="373"/>
      <x:c r="C221" s="373"/>
      <x:c r="D221" s="373"/>
      <x:c r="E221" s="373"/>
      <x:c r="F221" s="373"/>
      <x:c r="G221" s="373"/>
      <x:c r="H221" s="373"/>
      <x:c r="I221" s="373"/>
      <x:c r="J221" s="373"/>
      <x:c r="K221" s="373"/>
      <x:c r="L221" s="373"/>
      <x:c r="M221" s="373"/>
      <x:c r="N221" s="373"/>
      <x:c r="O221" s="373"/>
      <x:c r="P221" s="373"/>
      <x:c r="Q221" s="373"/>
      <x:c r="R221" s="373"/>
      <x:c r="S221" s="373"/>
      <x:c r="T221" s="373"/>
      <x:c r="U221" s="373"/>
      <x:c r="V221" s="373"/>
      <x:c r="W221" s="373"/>
      <x:c r="X221" s="373"/>
      <x:c r="Y221" s="373"/>
      <x:c r="Z221" s="373"/>
    </x:row>
    <x:row r="222">
      <x:c r="A222" s="373"/>
      <x:c r="B222" s="373"/>
      <x:c r="C222" s="373"/>
      <x:c r="D222" s="373"/>
      <x:c r="E222" s="373"/>
      <x:c r="F222" s="373"/>
      <x:c r="G222" s="373"/>
      <x:c r="H222" s="373"/>
      <x:c r="I222" s="373"/>
      <x:c r="J222" s="373"/>
      <x:c r="K222" s="373"/>
      <x:c r="L222" s="373"/>
      <x:c r="M222" s="373"/>
      <x:c r="N222" s="373"/>
      <x:c r="O222" s="373"/>
      <x:c r="P222" s="373"/>
      <x:c r="Q222" s="373"/>
      <x:c r="R222" s="373"/>
      <x:c r="S222" s="373"/>
      <x:c r="T222" s="373"/>
      <x:c r="U222" s="373"/>
      <x:c r="V222" s="373"/>
      <x:c r="W222" s="373"/>
      <x:c r="X222" s="373"/>
      <x:c r="Y222" s="373"/>
      <x:c r="Z222" s="373"/>
    </x:row>
    <x:row r="223">
      <x:c r="A223" s="373"/>
      <x:c r="B223" s="373"/>
      <x:c r="C223" s="373"/>
      <x:c r="D223" s="373"/>
      <x:c r="E223" s="373"/>
      <x:c r="F223" s="373"/>
      <x:c r="G223" s="373"/>
      <x:c r="H223" s="373"/>
      <x:c r="I223" s="373"/>
      <x:c r="J223" s="373"/>
      <x:c r="K223" s="373"/>
      <x:c r="L223" s="373"/>
      <x:c r="M223" s="373"/>
      <x:c r="N223" s="373"/>
      <x:c r="O223" s="373"/>
      <x:c r="P223" s="373"/>
      <x:c r="Q223" s="373"/>
      <x:c r="R223" s="373"/>
      <x:c r="S223" s="373"/>
      <x:c r="T223" s="373"/>
      <x:c r="U223" s="373"/>
      <x:c r="V223" s="373"/>
      <x:c r="W223" s="373"/>
      <x:c r="X223" s="373"/>
      <x:c r="Y223" s="373"/>
      <x:c r="Z223" s="373"/>
    </x:row>
    <x:row r="224">
      <x:c r="A224" s="373"/>
      <x:c r="B224" s="373"/>
      <x:c r="C224" s="373"/>
      <x:c r="D224" s="373"/>
      <x:c r="E224" s="373"/>
      <x:c r="F224" s="373"/>
      <x:c r="G224" s="373"/>
      <x:c r="H224" s="373"/>
      <x:c r="I224" s="373"/>
      <x:c r="J224" s="373"/>
      <x:c r="K224" s="373"/>
      <x:c r="L224" s="373"/>
      <x:c r="M224" s="373"/>
      <x:c r="N224" s="373"/>
      <x:c r="O224" s="373"/>
      <x:c r="P224" s="373"/>
      <x:c r="Q224" s="373"/>
      <x:c r="R224" s="373"/>
      <x:c r="S224" s="373"/>
      <x:c r="T224" s="373"/>
      <x:c r="U224" s="373"/>
      <x:c r="V224" s="373"/>
      <x:c r="W224" s="373"/>
      <x:c r="X224" s="373"/>
      <x:c r="Y224" s="373"/>
      <x:c r="Z224" s="373"/>
    </x:row>
    <x:row r="225">
      <x:c r="A225" s="373"/>
      <x:c r="B225" s="373"/>
      <x:c r="C225" s="373"/>
      <x:c r="D225" s="373"/>
      <x:c r="E225" s="373"/>
      <x:c r="F225" s="373"/>
      <x:c r="G225" s="373"/>
      <x:c r="H225" s="373"/>
      <x:c r="I225" s="373"/>
      <x:c r="J225" s="373"/>
      <x:c r="K225" s="373"/>
      <x:c r="L225" s="373"/>
      <x:c r="M225" s="373"/>
      <x:c r="N225" s="373"/>
      <x:c r="O225" s="373"/>
      <x:c r="P225" s="373"/>
      <x:c r="Q225" s="373"/>
      <x:c r="R225" s="373"/>
      <x:c r="S225" s="373"/>
      <x:c r="T225" s="373"/>
      <x:c r="U225" s="373"/>
      <x:c r="V225" s="373"/>
      <x:c r="W225" s="373"/>
      <x:c r="X225" s="373"/>
      <x:c r="Y225" s="373"/>
      <x:c r="Z225" s="373"/>
    </x:row>
    <x:row r="226">
      <x:c r="A226" s="373"/>
      <x:c r="B226" s="373"/>
      <x:c r="C226" s="373"/>
      <x:c r="D226" s="373"/>
      <x:c r="E226" s="373"/>
      <x:c r="F226" s="373"/>
      <x:c r="G226" s="373"/>
      <x:c r="H226" s="373"/>
      <x:c r="I226" s="373"/>
      <x:c r="J226" s="373"/>
      <x:c r="K226" s="373"/>
      <x:c r="L226" s="373"/>
      <x:c r="M226" s="373"/>
      <x:c r="N226" s="373"/>
      <x:c r="O226" s="373"/>
      <x:c r="P226" s="373"/>
      <x:c r="Q226" s="373"/>
      <x:c r="R226" s="373"/>
      <x:c r="S226" s="373"/>
      <x:c r="T226" s="373"/>
      <x:c r="U226" s="373"/>
      <x:c r="V226" s="373"/>
      <x:c r="W226" s="373"/>
      <x:c r="X226" s="373"/>
      <x:c r="Y226" s="373"/>
      <x:c r="Z226" s="373"/>
    </x:row>
    <x:row r="227">
      <x:c r="A227" s="373"/>
      <x:c r="B227" s="373"/>
      <x:c r="C227" s="373"/>
      <x:c r="D227" s="373"/>
      <x:c r="E227" s="373"/>
      <x:c r="F227" s="373"/>
      <x:c r="G227" s="373"/>
      <x:c r="H227" s="373"/>
      <x:c r="I227" s="373"/>
      <x:c r="J227" s="373"/>
      <x:c r="K227" s="373"/>
      <x:c r="L227" s="373"/>
      <x:c r="M227" s="373"/>
      <x:c r="N227" s="373"/>
      <x:c r="O227" s="373"/>
      <x:c r="P227" s="373"/>
      <x:c r="Q227" s="373"/>
      <x:c r="R227" s="373"/>
      <x:c r="S227" s="373"/>
      <x:c r="T227" s="373"/>
      <x:c r="U227" s="373"/>
      <x:c r="V227" s="373"/>
      <x:c r="W227" s="373"/>
      <x:c r="X227" s="373"/>
      <x:c r="Y227" s="373"/>
      <x:c r="Z227" s="373"/>
    </x:row>
    <x:row r="228">
      <x:c r="A228" s="373"/>
      <x:c r="B228" s="373"/>
      <x:c r="C228" s="373"/>
      <x:c r="D228" s="373"/>
      <x:c r="E228" s="373"/>
      <x:c r="F228" s="373"/>
      <x:c r="G228" s="373"/>
      <x:c r="H228" s="373"/>
      <x:c r="I228" s="373"/>
      <x:c r="J228" s="373"/>
      <x:c r="K228" s="373"/>
      <x:c r="L228" s="373"/>
      <x:c r="M228" s="373"/>
      <x:c r="N228" s="373"/>
      <x:c r="O228" s="373"/>
      <x:c r="P228" s="373"/>
      <x:c r="Q228" s="373"/>
      <x:c r="R228" s="373"/>
      <x:c r="S228" s="373"/>
      <x:c r="T228" s="373"/>
      <x:c r="U228" s="373"/>
      <x:c r="V228" s="373"/>
      <x:c r="W228" s="373"/>
      <x:c r="X228" s="373"/>
      <x:c r="Y228" s="373"/>
      <x:c r="Z228" s="373"/>
    </x:row>
    <x:row r="229">
      <x:c r="A229" s="373"/>
      <x:c r="B229" s="373"/>
      <x:c r="C229" s="373"/>
      <x:c r="D229" s="373"/>
      <x:c r="E229" s="373"/>
      <x:c r="F229" s="373"/>
      <x:c r="G229" s="373"/>
      <x:c r="H229" s="373"/>
      <x:c r="I229" s="373"/>
      <x:c r="J229" s="373"/>
      <x:c r="K229" s="373"/>
      <x:c r="L229" s="373"/>
      <x:c r="M229" s="373"/>
      <x:c r="N229" s="373"/>
      <x:c r="O229" s="373"/>
      <x:c r="P229" s="373"/>
      <x:c r="Q229" s="373"/>
      <x:c r="R229" s="373"/>
      <x:c r="S229" s="373"/>
      <x:c r="T229" s="373"/>
      <x:c r="U229" s="373"/>
      <x:c r="V229" s="373"/>
      <x:c r="W229" s="373"/>
      <x:c r="X229" s="373"/>
      <x:c r="Y229" s="373"/>
      <x:c r="Z229" s="373"/>
    </x:row>
    <x:row r="230">
      <x:c r="A230" s="373"/>
      <x:c r="B230" s="373"/>
      <x:c r="C230" s="373"/>
      <x:c r="D230" s="373"/>
      <x:c r="E230" s="373"/>
      <x:c r="F230" s="373"/>
      <x:c r="G230" s="373"/>
      <x:c r="H230" s="373"/>
      <x:c r="I230" s="373"/>
      <x:c r="J230" s="373"/>
      <x:c r="K230" s="373"/>
      <x:c r="L230" s="373"/>
      <x:c r="M230" s="373"/>
      <x:c r="N230" s="373"/>
      <x:c r="O230" s="373"/>
      <x:c r="P230" s="373"/>
      <x:c r="Q230" s="373"/>
      <x:c r="R230" s="373"/>
      <x:c r="S230" s="373"/>
      <x:c r="T230" s="373"/>
      <x:c r="U230" s="373"/>
      <x:c r="V230" s="373"/>
      <x:c r="W230" s="373"/>
      <x:c r="X230" s="373"/>
      <x:c r="Y230" s="373"/>
      <x:c r="Z230" s="373"/>
    </x:row>
    <x:row r="231">
      <x:c r="A231" s="373"/>
      <x:c r="B231" s="373"/>
      <x:c r="C231" s="373"/>
      <x:c r="D231" s="373"/>
      <x:c r="E231" s="373"/>
      <x:c r="F231" s="373"/>
      <x:c r="G231" s="373"/>
      <x:c r="H231" s="373"/>
      <x:c r="I231" s="373"/>
      <x:c r="J231" s="373"/>
      <x:c r="K231" s="373"/>
      <x:c r="L231" s="373"/>
      <x:c r="M231" s="373"/>
      <x:c r="N231" s="373"/>
      <x:c r="O231" s="373"/>
      <x:c r="P231" s="373"/>
      <x:c r="Q231" s="373"/>
      <x:c r="R231" s="373"/>
      <x:c r="S231" s="373"/>
      <x:c r="T231" s="373"/>
      <x:c r="U231" s="373"/>
      <x:c r="V231" s="373"/>
      <x:c r="W231" s="373"/>
      <x:c r="X231" s="373"/>
      <x:c r="Y231" s="373"/>
      <x:c r="Z231" s="373"/>
    </x:row>
    <x:row r="232">
      <x:c r="A232" s="373"/>
      <x:c r="B232" s="373"/>
      <x:c r="C232" s="373"/>
      <x:c r="D232" s="373"/>
      <x:c r="E232" s="373"/>
      <x:c r="F232" s="373"/>
      <x:c r="G232" s="373"/>
      <x:c r="H232" s="373"/>
      <x:c r="I232" s="373"/>
      <x:c r="J232" s="373"/>
      <x:c r="K232" s="373"/>
      <x:c r="L232" s="373"/>
      <x:c r="M232" s="373"/>
      <x:c r="N232" s="373"/>
      <x:c r="O232" s="373"/>
      <x:c r="P232" s="373"/>
      <x:c r="Q232" s="373"/>
      <x:c r="R232" s="373"/>
      <x:c r="S232" s="373"/>
      <x:c r="T232" s="373"/>
      <x:c r="U232" s="373"/>
      <x:c r="V232" s="373"/>
      <x:c r="W232" s="373"/>
      <x:c r="X232" s="373"/>
      <x:c r="Y232" s="373"/>
      <x:c r="Z232" s="373"/>
    </x:row>
    <x:row r="233">
      <x:c r="A233" s="373"/>
      <x:c r="B233" s="373"/>
      <x:c r="C233" s="373"/>
      <x:c r="D233" s="373"/>
      <x:c r="E233" s="373"/>
      <x:c r="F233" s="373"/>
      <x:c r="G233" s="373"/>
      <x:c r="H233" s="373"/>
      <x:c r="I233" s="373"/>
      <x:c r="J233" s="373"/>
      <x:c r="K233" s="373"/>
      <x:c r="L233" s="373"/>
      <x:c r="M233" s="373"/>
      <x:c r="N233" s="373"/>
      <x:c r="O233" s="373"/>
      <x:c r="P233" s="373"/>
      <x:c r="Q233" s="373"/>
      <x:c r="R233" s="373"/>
      <x:c r="S233" s="373"/>
      <x:c r="T233" s="373"/>
      <x:c r="U233" s="373"/>
      <x:c r="V233" s="373"/>
      <x:c r="W233" s="373"/>
      <x:c r="X233" s="373"/>
      <x:c r="Y233" s="373"/>
      <x:c r="Z233" s="373"/>
    </x:row>
    <x:row r="234">
      <x:c r="A234" s="373"/>
      <x:c r="B234" s="373"/>
      <x:c r="C234" s="373"/>
      <x:c r="D234" s="373"/>
      <x:c r="E234" s="373"/>
      <x:c r="F234" s="373"/>
      <x:c r="G234" s="373"/>
      <x:c r="H234" s="373"/>
      <x:c r="I234" s="373"/>
      <x:c r="J234" s="373"/>
      <x:c r="K234" s="373"/>
      <x:c r="L234" s="373"/>
      <x:c r="M234" s="373"/>
      <x:c r="N234" s="373"/>
      <x:c r="O234" s="373"/>
      <x:c r="P234" s="373"/>
      <x:c r="Q234" s="373"/>
      <x:c r="R234" s="373"/>
      <x:c r="S234" s="373"/>
      <x:c r="T234" s="373"/>
      <x:c r="U234" s="373"/>
      <x:c r="V234" s="373"/>
      <x:c r="W234" s="373"/>
      <x:c r="X234" s="373"/>
      <x:c r="Y234" s="373"/>
      <x:c r="Z234" s="373"/>
    </x:row>
    <x:row r="235">
      <x:c r="A235" s="373"/>
      <x:c r="B235" s="373"/>
      <x:c r="C235" s="373"/>
      <x:c r="D235" s="373"/>
      <x:c r="E235" s="373"/>
      <x:c r="F235" s="373"/>
      <x:c r="G235" s="373"/>
      <x:c r="H235" s="373"/>
      <x:c r="I235" s="373"/>
      <x:c r="J235" s="373"/>
      <x:c r="K235" s="373"/>
      <x:c r="L235" s="373"/>
      <x:c r="M235" s="373"/>
      <x:c r="N235" s="373"/>
      <x:c r="O235" s="373"/>
      <x:c r="P235" s="373"/>
      <x:c r="Q235" s="373"/>
      <x:c r="R235" s="373"/>
      <x:c r="S235" s="373"/>
      <x:c r="T235" s="373"/>
      <x:c r="U235" s="373"/>
      <x:c r="V235" s="373"/>
      <x:c r="W235" s="373"/>
      <x:c r="X235" s="373"/>
      <x:c r="Y235" s="373"/>
      <x:c r="Z235" s="373"/>
    </x:row>
    <x:row r="236">
      <x:c r="A236" s="373"/>
      <x:c r="B236" s="373"/>
      <x:c r="C236" s="373"/>
      <x:c r="D236" s="373"/>
      <x:c r="E236" s="373"/>
      <x:c r="F236" s="373"/>
      <x:c r="G236" s="373"/>
      <x:c r="H236" s="373"/>
      <x:c r="I236" s="373"/>
      <x:c r="J236" s="373"/>
      <x:c r="K236" s="373"/>
      <x:c r="L236" s="373"/>
      <x:c r="M236" s="373"/>
      <x:c r="N236" s="373"/>
      <x:c r="O236" s="373"/>
      <x:c r="P236" s="373"/>
      <x:c r="Q236" s="373"/>
      <x:c r="R236" s="373"/>
      <x:c r="S236" s="373"/>
      <x:c r="T236" s="373"/>
      <x:c r="U236" s="373"/>
      <x:c r="V236" s="373"/>
      <x:c r="W236" s="373"/>
      <x:c r="X236" s="373"/>
      <x:c r="Y236" s="373"/>
      <x:c r="Z236" s="373"/>
    </x:row>
    <x:row r="237">
      <x:c r="A237" s="373"/>
      <x:c r="B237" s="373"/>
      <x:c r="C237" s="373"/>
      <x:c r="D237" s="373"/>
      <x:c r="E237" s="373"/>
      <x:c r="F237" s="373"/>
      <x:c r="G237" s="373"/>
      <x:c r="H237" s="373"/>
      <x:c r="I237" s="373"/>
      <x:c r="J237" s="373"/>
      <x:c r="K237" s="373"/>
      <x:c r="L237" s="373"/>
      <x:c r="M237" s="373"/>
      <x:c r="N237" s="373"/>
      <x:c r="O237" s="373"/>
      <x:c r="P237" s="373"/>
      <x:c r="Q237" s="373"/>
      <x:c r="R237" s="373"/>
      <x:c r="S237" s="373"/>
      <x:c r="T237" s="373"/>
      <x:c r="U237" s="373"/>
      <x:c r="V237" s="373"/>
      <x:c r="W237" s="373"/>
      <x:c r="X237" s="373"/>
      <x:c r="Y237" s="373"/>
      <x:c r="Z237" s="373"/>
    </x:row>
    <x:row r="238">
      <x:c r="A238" s="373"/>
      <x:c r="B238" s="373"/>
      <x:c r="C238" s="373"/>
      <x:c r="D238" s="373"/>
      <x:c r="E238" s="373"/>
      <x:c r="F238" s="373"/>
      <x:c r="G238" s="373"/>
      <x:c r="H238" s="373"/>
      <x:c r="I238" s="373"/>
      <x:c r="J238" s="373"/>
      <x:c r="K238" s="373"/>
      <x:c r="L238" s="373"/>
      <x:c r="M238" s="373"/>
      <x:c r="N238" s="373"/>
      <x:c r="O238" s="373"/>
      <x:c r="P238" s="373"/>
      <x:c r="Q238" s="373"/>
      <x:c r="R238" s="373"/>
      <x:c r="S238" s="373"/>
      <x:c r="T238" s="373"/>
      <x:c r="U238" s="373"/>
      <x:c r="V238" s="373"/>
      <x:c r="W238" s="373"/>
      <x:c r="X238" s="373"/>
      <x:c r="Y238" s="373"/>
      <x:c r="Z238" s="373"/>
    </x:row>
    <x:row r="239">
      <x:c r="A239" s="373"/>
      <x:c r="B239" s="373"/>
      <x:c r="C239" s="373"/>
      <x:c r="D239" s="373"/>
      <x:c r="E239" s="373"/>
      <x:c r="F239" s="373"/>
      <x:c r="G239" s="373"/>
      <x:c r="H239" s="373"/>
      <x:c r="I239" s="373"/>
      <x:c r="J239" s="373"/>
      <x:c r="K239" s="373"/>
      <x:c r="L239" s="373"/>
      <x:c r="M239" s="373"/>
      <x:c r="N239" s="373"/>
      <x:c r="O239" s="373"/>
      <x:c r="P239" s="373"/>
      <x:c r="Q239" s="373"/>
      <x:c r="R239" s="373"/>
      <x:c r="S239" s="373"/>
      <x:c r="T239" s="373"/>
      <x:c r="U239" s="373"/>
      <x:c r="V239" s="373"/>
      <x:c r="W239" s="373"/>
      <x:c r="X239" s="373"/>
      <x:c r="Y239" s="373"/>
      <x:c r="Z239" s="373"/>
    </x:row>
    <x:row r="240">
      <x:c r="A240" s="373"/>
      <x:c r="B240" s="373"/>
      <x:c r="C240" s="373"/>
      <x:c r="D240" s="373"/>
      <x:c r="E240" s="373"/>
      <x:c r="F240" s="373"/>
      <x:c r="G240" s="373"/>
      <x:c r="H240" s="373"/>
      <x:c r="I240" s="373"/>
      <x:c r="J240" s="373"/>
      <x:c r="K240" s="373"/>
      <x:c r="L240" s="373"/>
      <x:c r="M240" s="373"/>
      <x:c r="N240" s="373"/>
      <x:c r="O240" s="373"/>
      <x:c r="P240" s="373"/>
      <x:c r="Q240" s="373"/>
      <x:c r="R240" s="373"/>
      <x:c r="S240" s="373"/>
      <x:c r="T240" s="373"/>
      <x:c r="U240" s="373"/>
      <x:c r="V240" s="373"/>
      <x:c r="W240" s="373"/>
      <x:c r="X240" s="373"/>
      <x:c r="Y240" s="373"/>
      <x:c r="Z240" s="373"/>
    </x:row>
    <x:row r="241">
      <x:c r="A241" s="373"/>
      <x:c r="B241" s="373"/>
      <x:c r="C241" s="373"/>
      <x:c r="D241" s="373"/>
      <x:c r="E241" s="373"/>
      <x:c r="F241" s="373"/>
      <x:c r="G241" s="373"/>
      <x:c r="H241" s="373"/>
      <x:c r="I241" s="373"/>
      <x:c r="J241" s="373"/>
      <x:c r="K241" s="373"/>
      <x:c r="L241" s="373"/>
      <x:c r="M241" s="373"/>
      <x:c r="N241" s="373"/>
      <x:c r="O241" s="373"/>
      <x:c r="P241" s="373"/>
      <x:c r="Q241" s="373"/>
      <x:c r="R241" s="373"/>
      <x:c r="S241" s="373"/>
      <x:c r="T241" s="373"/>
      <x:c r="U241" s="373"/>
      <x:c r="V241" s="373"/>
      <x:c r="W241" s="373"/>
      <x:c r="X241" s="373"/>
      <x:c r="Y241" s="373"/>
      <x:c r="Z241" s="373"/>
    </x:row>
    <x:row r="242">
      <x:c r="A242" s="373"/>
      <x:c r="B242" s="373"/>
      <x:c r="C242" s="373"/>
      <x:c r="D242" s="373"/>
      <x:c r="E242" s="373"/>
      <x:c r="F242" s="373"/>
      <x:c r="G242" s="373"/>
      <x:c r="H242" s="373"/>
      <x:c r="I242" s="373"/>
      <x:c r="J242" s="373"/>
      <x:c r="K242" s="373"/>
      <x:c r="L242" s="373"/>
      <x:c r="M242" s="373"/>
      <x:c r="N242" s="373"/>
      <x:c r="O242" s="373"/>
      <x:c r="P242" s="373"/>
      <x:c r="Q242" s="373"/>
      <x:c r="R242" s="373"/>
      <x:c r="S242" s="373"/>
      <x:c r="T242" s="373"/>
      <x:c r="U242" s="373"/>
      <x:c r="V242" s="373"/>
      <x:c r="W242" s="373"/>
      <x:c r="X242" s="373"/>
      <x:c r="Y242" s="373"/>
      <x:c r="Z242" s="373"/>
    </x:row>
    <x:row r="243">
      <x:c r="A243" s="373"/>
      <x:c r="B243" s="373"/>
      <x:c r="C243" s="373"/>
      <x:c r="D243" s="373"/>
      <x:c r="E243" s="373"/>
      <x:c r="F243" s="373"/>
      <x:c r="G243" s="373"/>
      <x:c r="H243" s="373"/>
      <x:c r="I243" s="373"/>
      <x:c r="J243" s="373"/>
      <x:c r="K243" s="373"/>
      <x:c r="L243" s="373"/>
      <x:c r="M243" s="373"/>
      <x:c r="N243" s="373"/>
      <x:c r="O243" s="373"/>
      <x:c r="P243" s="373"/>
      <x:c r="Q243" s="373"/>
      <x:c r="R243" s="373"/>
      <x:c r="S243" s="373"/>
      <x:c r="T243" s="373"/>
      <x:c r="U243" s="373"/>
      <x:c r="V243" s="373"/>
      <x:c r="W243" s="373"/>
      <x:c r="X243" s="373"/>
      <x:c r="Y243" s="373"/>
      <x:c r="Z243" s="373"/>
    </x:row>
    <x:row r="244">
      <x:c r="A244" s="373"/>
      <x:c r="B244" s="373"/>
      <x:c r="C244" s="373"/>
      <x:c r="D244" s="373"/>
      <x:c r="E244" s="373"/>
      <x:c r="F244" s="373"/>
      <x:c r="G244" s="373"/>
      <x:c r="H244" s="373"/>
      <x:c r="I244" s="373"/>
      <x:c r="J244" s="373"/>
      <x:c r="K244" s="373"/>
      <x:c r="L244" s="373"/>
      <x:c r="M244" s="373"/>
      <x:c r="N244" s="373"/>
      <x:c r="O244" s="373"/>
      <x:c r="P244" s="373"/>
      <x:c r="Q244" s="373"/>
      <x:c r="R244" s="373"/>
      <x:c r="S244" s="373"/>
      <x:c r="T244" s="373"/>
      <x:c r="U244" s="373"/>
      <x:c r="V244" s="373"/>
      <x:c r="W244" s="373"/>
      <x:c r="X244" s="373"/>
      <x:c r="Y244" s="373"/>
      <x:c r="Z244" s="373"/>
    </x:row>
    <x:row r="245">
      <x:c r="A245" s="373"/>
      <x:c r="B245" s="373"/>
      <x:c r="C245" s="373"/>
      <x:c r="D245" s="373"/>
      <x:c r="E245" s="373"/>
      <x:c r="F245" s="373"/>
      <x:c r="G245" s="373"/>
      <x:c r="H245" s="373"/>
      <x:c r="I245" s="373"/>
      <x:c r="J245" s="373"/>
      <x:c r="K245" s="373"/>
      <x:c r="L245" s="373"/>
      <x:c r="M245" s="373"/>
      <x:c r="N245" s="373"/>
      <x:c r="O245" s="373"/>
      <x:c r="P245" s="373"/>
      <x:c r="Q245" s="373"/>
      <x:c r="R245" s="373"/>
      <x:c r="S245" s="373"/>
      <x:c r="T245" s="373"/>
      <x:c r="U245" s="373"/>
      <x:c r="V245" s="373"/>
      <x:c r="W245" s="373"/>
      <x:c r="X245" s="373"/>
      <x:c r="Y245" s="373"/>
      <x:c r="Z245" s="373"/>
    </x:row>
    <x:row r="246">
      <x:c r="A246" s="373"/>
      <x:c r="B246" s="373"/>
      <x:c r="C246" s="373"/>
      <x:c r="D246" s="373"/>
      <x:c r="E246" s="373"/>
      <x:c r="F246" s="373"/>
      <x:c r="G246" s="373"/>
      <x:c r="H246" s="373"/>
      <x:c r="I246" s="373"/>
      <x:c r="J246" s="373"/>
      <x:c r="K246" s="373"/>
      <x:c r="L246" s="373"/>
      <x:c r="M246" s="373"/>
      <x:c r="N246" s="373"/>
      <x:c r="O246" s="373"/>
      <x:c r="P246" s="373"/>
      <x:c r="Q246" s="373"/>
      <x:c r="R246" s="373"/>
      <x:c r="S246" s="373"/>
      <x:c r="T246" s="373"/>
      <x:c r="U246" s="373"/>
      <x:c r="V246" s="373"/>
      <x:c r="W246" s="373"/>
      <x:c r="X246" s="373"/>
      <x:c r="Y246" s="373"/>
      <x:c r="Z246" s="373"/>
    </x:row>
    <x:row r="247">
      <x:c r="A247" s="373"/>
      <x:c r="B247" s="373"/>
      <x:c r="C247" s="373"/>
      <x:c r="D247" s="373"/>
      <x:c r="E247" s="373"/>
      <x:c r="F247" s="373"/>
      <x:c r="G247" s="373"/>
      <x:c r="H247" s="373"/>
      <x:c r="I247" s="373"/>
      <x:c r="J247" s="373"/>
      <x:c r="K247" s="373"/>
      <x:c r="L247" s="373"/>
      <x:c r="M247" s="373"/>
      <x:c r="N247" s="373"/>
      <x:c r="O247" s="373"/>
      <x:c r="P247" s="373"/>
      <x:c r="Q247" s="373"/>
      <x:c r="R247" s="373"/>
      <x:c r="S247" s="373"/>
      <x:c r="T247" s="373"/>
      <x:c r="U247" s="373"/>
      <x:c r="V247" s="373"/>
      <x:c r="W247" s="373"/>
      <x:c r="X247" s="373"/>
      <x:c r="Y247" s="373"/>
      <x:c r="Z247" s="373"/>
    </x:row>
    <x:row r="248">
      <x:c r="A248" s="373"/>
      <x:c r="B248" s="373"/>
      <x:c r="C248" s="373"/>
      <x:c r="D248" s="373"/>
      <x:c r="E248" s="373"/>
      <x:c r="F248" s="373"/>
      <x:c r="G248" s="373"/>
      <x:c r="H248" s="373"/>
      <x:c r="I248" s="373"/>
      <x:c r="J248" s="373"/>
      <x:c r="K248" s="373"/>
      <x:c r="L248" s="373"/>
      <x:c r="M248" s="373"/>
      <x:c r="N248" s="373"/>
      <x:c r="O248" s="373"/>
      <x:c r="P248" s="373"/>
      <x:c r="Q248" s="373"/>
      <x:c r="R248" s="373"/>
      <x:c r="S248" s="373"/>
      <x:c r="T248" s="373"/>
      <x:c r="U248" s="373"/>
      <x:c r="V248" s="373"/>
      <x:c r="W248" s="373"/>
      <x:c r="X248" s="373"/>
      <x:c r="Y248" s="373"/>
      <x:c r="Z248" s="373"/>
    </x:row>
    <x:row r="249">
      <x:c r="A249" s="373"/>
      <x:c r="B249" s="373"/>
      <x:c r="C249" s="373"/>
      <x:c r="D249" s="373"/>
      <x:c r="E249" s="373"/>
      <x:c r="F249" s="373"/>
      <x:c r="G249" s="373"/>
      <x:c r="H249" s="373"/>
      <x:c r="I249" s="373"/>
      <x:c r="J249" s="373"/>
      <x:c r="K249" s="373"/>
      <x:c r="L249" s="373"/>
      <x:c r="M249" s="373"/>
      <x:c r="N249" s="373"/>
      <x:c r="O249" s="373"/>
      <x:c r="P249" s="373"/>
      <x:c r="Q249" s="373"/>
      <x:c r="R249" s="373"/>
      <x:c r="S249" s="373"/>
      <x:c r="T249" s="373"/>
      <x:c r="U249" s="373"/>
      <x:c r="V249" s="373"/>
      <x:c r="W249" s="373"/>
      <x:c r="X249" s="373"/>
      <x:c r="Y249" s="373"/>
      <x:c r="Z249" s="373"/>
    </x:row>
    <x:row r="250">
      <x:c r="A250" s="373"/>
      <x:c r="B250" s="373"/>
      <x:c r="C250" s="373"/>
      <x:c r="D250" s="373"/>
      <x:c r="E250" s="373"/>
      <x:c r="F250" s="373"/>
      <x:c r="G250" s="373"/>
      <x:c r="H250" s="373"/>
      <x:c r="I250" s="373"/>
      <x:c r="J250" s="373"/>
      <x:c r="K250" s="373"/>
      <x:c r="L250" s="373"/>
      <x:c r="M250" s="373"/>
      <x:c r="N250" s="373"/>
      <x:c r="O250" s="373"/>
      <x:c r="P250" s="373"/>
      <x:c r="Q250" s="373"/>
      <x:c r="R250" s="373"/>
      <x:c r="S250" s="373"/>
      <x:c r="T250" s="373"/>
      <x:c r="U250" s="373"/>
      <x:c r="V250" s="373"/>
      <x:c r="W250" s="373"/>
      <x:c r="X250" s="373"/>
      <x:c r="Y250" s="373"/>
      <x:c r="Z250" s="373"/>
    </x:row>
    <x:row r="251">
      <x:c r="A251" s="373"/>
      <x:c r="B251" s="373"/>
      <x:c r="C251" s="373"/>
      <x:c r="D251" s="373"/>
      <x:c r="E251" s="373"/>
      <x:c r="F251" s="373"/>
      <x:c r="G251" s="373"/>
      <x:c r="H251" s="373"/>
      <x:c r="I251" s="373"/>
      <x:c r="J251" s="373"/>
      <x:c r="K251" s="373"/>
      <x:c r="L251" s="373"/>
      <x:c r="M251" s="373"/>
      <x:c r="N251" s="373"/>
      <x:c r="O251" s="373"/>
      <x:c r="P251" s="373"/>
      <x:c r="Q251" s="373"/>
      <x:c r="R251" s="373"/>
      <x:c r="S251" s="373"/>
      <x:c r="T251" s="373"/>
      <x:c r="U251" s="373"/>
      <x:c r="V251" s="373"/>
      <x:c r="W251" s="373"/>
      <x:c r="X251" s="373"/>
      <x:c r="Y251" s="373"/>
      <x:c r="Z251" s="373"/>
    </x:row>
    <x:row r="252">
      <x:c r="A252" s="373"/>
      <x:c r="B252" s="373"/>
      <x:c r="C252" s="373"/>
      <x:c r="D252" s="373"/>
      <x:c r="E252" s="373"/>
      <x:c r="F252" s="373"/>
      <x:c r="G252" s="373"/>
      <x:c r="H252" s="373"/>
      <x:c r="I252" s="373"/>
      <x:c r="J252" s="373"/>
      <x:c r="K252" s="373"/>
      <x:c r="L252" s="373"/>
      <x:c r="M252" s="373"/>
      <x:c r="N252" s="373"/>
      <x:c r="O252" s="373"/>
      <x:c r="P252" s="373"/>
      <x:c r="Q252" s="373"/>
      <x:c r="R252" s="373"/>
      <x:c r="S252" s="373"/>
      <x:c r="T252" s="373"/>
      <x:c r="U252" s="373"/>
      <x:c r="V252" s="373"/>
      <x:c r="W252" s="373"/>
      <x:c r="X252" s="373"/>
      <x:c r="Y252" s="373"/>
      <x:c r="Z252" s="373"/>
    </x:row>
    <x:row r="253">
      <x:c r="A253" s="373"/>
      <x:c r="B253" s="373"/>
      <x:c r="C253" s="373"/>
      <x:c r="D253" s="373"/>
      <x:c r="E253" s="373"/>
      <x:c r="F253" s="373"/>
      <x:c r="G253" s="373"/>
      <x:c r="H253" s="373"/>
      <x:c r="I253" s="373"/>
      <x:c r="J253" s="373"/>
      <x:c r="K253" s="373"/>
      <x:c r="L253" s="373"/>
      <x:c r="M253" s="373"/>
      <x:c r="N253" s="373"/>
      <x:c r="O253" s="373"/>
      <x:c r="P253" s="373"/>
      <x:c r="Q253" s="373"/>
      <x:c r="R253" s="373"/>
      <x:c r="S253" s="373"/>
      <x:c r="T253" s="373"/>
      <x:c r="U253" s="373"/>
      <x:c r="V253" s="373"/>
      <x:c r="W253" s="373"/>
      <x:c r="X253" s="373"/>
      <x:c r="Y253" s="373"/>
      <x:c r="Z253" s="373"/>
    </x:row>
    <x:row r="254">
      <x:c r="A254" s="373"/>
      <x:c r="B254" s="373"/>
      <x:c r="C254" s="373"/>
      <x:c r="D254" s="373"/>
      <x:c r="E254" s="373"/>
      <x:c r="F254" s="373"/>
      <x:c r="G254" s="373"/>
      <x:c r="H254" s="373"/>
      <x:c r="I254" s="373"/>
      <x:c r="J254" s="373"/>
      <x:c r="K254" s="373"/>
      <x:c r="L254" s="373"/>
      <x:c r="M254" s="373"/>
      <x:c r="N254" s="373"/>
      <x:c r="O254" s="373"/>
      <x:c r="P254" s="373"/>
      <x:c r="Q254" s="373"/>
      <x:c r="R254" s="373"/>
      <x:c r="S254" s="373"/>
      <x:c r="T254" s="373"/>
      <x:c r="U254" s="373"/>
      <x:c r="V254" s="373"/>
      <x:c r="W254" s="373"/>
      <x:c r="X254" s="373"/>
      <x:c r="Y254" s="373"/>
      <x:c r="Z254" s="373"/>
    </x:row>
    <x:row r="255">
      <x:c r="A255" s="373"/>
      <x:c r="B255" s="373"/>
      <x:c r="C255" s="373"/>
      <x:c r="D255" s="373"/>
      <x:c r="E255" s="373"/>
      <x:c r="F255" s="373"/>
      <x:c r="G255" s="373"/>
      <x:c r="H255" s="373"/>
      <x:c r="I255" s="373"/>
      <x:c r="J255" s="373"/>
      <x:c r="K255" s="373"/>
      <x:c r="L255" s="373"/>
      <x:c r="M255" s="373"/>
      <x:c r="N255" s="373"/>
      <x:c r="O255" s="373"/>
      <x:c r="P255" s="373"/>
      <x:c r="Q255" s="373"/>
      <x:c r="R255" s="373"/>
      <x:c r="S255" s="373"/>
      <x:c r="T255" s="373"/>
      <x:c r="U255" s="373"/>
      <x:c r="V255" s="373"/>
      <x:c r="W255" s="373"/>
      <x:c r="X255" s="373"/>
      <x:c r="Y255" s="373"/>
      <x:c r="Z255" s="373"/>
    </x:row>
    <x:row r="256">
      <x:c r="A256" s="373"/>
      <x:c r="B256" s="373"/>
      <x:c r="C256" s="373"/>
      <x:c r="D256" s="373"/>
      <x:c r="E256" s="373"/>
      <x:c r="F256" s="373"/>
      <x:c r="G256" s="373"/>
      <x:c r="H256" s="373"/>
      <x:c r="I256" s="373"/>
      <x:c r="J256" s="373"/>
      <x:c r="K256" s="373"/>
      <x:c r="L256" s="373"/>
      <x:c r="M256" s="373"/>
      <x:c r="N256" s="373"/>
      <x:c r="O256" s="373"/>
      <x:c r="P256" s="373"/>
      <x:c r="Q256" s="373"/>
      <x:c r="R256" s="373"/>
      <x:c r="S256" s="373"/>
      <x:c r="T256" s="373"/>
      <x:c r="U256" s="373"/>
      <x:c r="V256" s="373"/>
      <x:c r="W256" s="373"/>
      <x:c r="X256" s="373"/>
      <x:c r="Y256" s="373"/>
      <x:c r="Z256" s="373"/>
    </x:row>
    <x:row r="257">
      <x:c r="A257" s="373"/>
      <x:c r="B257" s="373"/>
      <x:c r="C257" s="373"/>
      <x:c r="D257" s="373"/>
      <x:c r="E257" s="373"/>
      <x:c r="F257" s="373"/>
      <x:c r="G257" s="373"/>
      <x:c r="H257" s="373"/>
      <x:c r="I257" s="373"/>
      <x:c r="J257" s="373"/>
      <x:c r="K257" s="373"/>
      <x:c r="L257" s="373"/>
      <x:c r="M257" s="373"/>
      <x:c r="N257" s="373"/>
      <x:c r="O257" s="373"/>
      <x:c r="P257" s="373"/>
      <x:c r="Q257" s="373"/>
      <x:c r="R257" s="373"/>
      <x:c r="S257" s="373"/>
      <x:c r="T257" s="373"/>
      <x:c r="U257" s="373"/>
      <x:c r="V257" s="373"/>
      <x:c r="W257" s="373"/>
      <x:c r="X257" s="373"/>
      <x:c r="Y257" s="373"/>
      <x:c r="Z257" s="373"/>
    </x:row>
    <x:row r="258">
      <x:c r="A258" s="373"/>
      <x:c r="B258" s="373"/>
      <x:c r="C258" s="373"/>
      <x:c r="D258" s="373"/>
      <x:c r="E258" s="373"/>
      <x:c r="F258" s="373"/>
      <x:c r="G258" s="373"/>
      <x:c r="H258" s="373"/>
      <x:c r="I258" s="373"/>
      <x:c r="J258" s="373"/>
      <x:c r="K258" s="373"/>
      <x:c r="L258" s="373"/>
      <x:c r="M258" s="373"/>
      <x:c r="N258" s="373"/>
      <x:c r="O258" s="373"/>
      <x:c r="P258" s="373"/>
      <x:c r="Q258" s="373"/>
      <x:c r="R258" s="373"/>
      <x:c r="S258" s="373"/>
      <x:c r="T258" s="373"/>
      <x:c r="U258" s="373"/>
      <x:c r="V258" s="373"/>
      <x:c r="W258" s="373"/>
      <x:c r="X258" s="373"/>
      <x:c r="Y258" s="373"/>
      <x:c r="Z258" s="373"/>
    </x:row>
    <x:row r="259">
      <x:c r="A259" s="373"/>
      <x:c r="B259" s="373"/>
      <x:c r="C259" s="373"/>
      <x:c r="D259" s="373"/>
      <x:c r="E259" s="373"/>
      <x:c r="F259" s="373"/>
      <x:c r="G259" s="373"/>
      <x:c r="H259" s="373"/>
      <x:c r="I259" s="373"/>
      <x:c r="J259" s="373"/>
      <x:c r="K259" s="373"/>
      <x:c r="L259" s="373"/>
      <x:c r="M259" s="373"/>
      <x:c r="N259" s="373"/>
      <x:c r="O259" s="373"/>
      <x:c r="P259" s="373"/>
      <x:c r="Q259" s="373"/>
      <x:c r="R259" s="373"/>
      <x:c r="S259" s="373"/>
      <x:c r="T259" s="373"/>
      <x:c r="U259" s="373"/>
      <x:c r="V259" s="373"/>
      <x:c r="W259" s="373"/>
      <x:c r="X259" s="373"/>
      <x:c r="Y259" s="373"/>
      <x:c r="Z259" s="373"/>
    </x:row>
    <x:row r="260">
      <x:c r="A260" s="373"/>
      <x:c r="B260" s="373"/>
      <x:c r="C260" s="373"/>
      <x:c r="D260" s="373"/>
      <x:c r="E260" s="373"/>
      <x:c r="F260" s="373"/>
      <x:c r="G260" s="373"/>
      <x:c r="H260" s="373"/>
      <x:c r="I260" s="373"/>
      <x:c r="J260" s="373"/>
      <x:c r="K260" s="373"/>
      <x:c r="L260" s="373"/>
      <x:c r="M260" s="373"/>
      <x:c r="N260" s="373"/>
      <x:c r="O260" s="373"/>
      <x:c r="P260" s="373"/>
      <x:c r="Q260" s="373"/>
      <x:c r="R260" s="373"/>
      <x:c r="S260" s="373"/>
      <x:c r="T260" s="373"/>
      <x:c r="U260" s="373"/>
      <x:c r="V260" s="373"/>
      <x:c r="W260" s="373"/>
      <x:c r="X260" s="373"/>
      <x:c r="Y260" s="373"/>
      <x:c r="Z260" s="373"/>
    </x:row>
    <x:row r="261">
      <x:c r="A261" s="373"/>
      <x:c r="B261" s="373"/>
      <x:c r="C261" s="373"/>
      <x:c r="D261" s="373"/>
      <x:c r="E261" s="373"/>
      <x:c r="F261" s="373"/>
      <x:c r="G261" s="373"/>
      <x:c r="H261" s="373"/>
      <x:c r="I261" s="373"/>
      <x:c r="J261" s="373"/>
      <x:c r="K261" s="373"/>
      <x:c r="L261" s="373"/>
      <x:c r="M261" s="373"/>
      <x:c r="N261" s="373"/>
      <x:c r="O261" s="373"/>
      <x:c r="P261" s="373"/>
      <x:c r="Q261" s="373"/>
      <x:c r="R261" s="373"/>
      <x:c r="S261" s="373"/>
      <x:c r="T261" s="373"/>
      <x:c r="U261" s="373"/>
      <x:c r="V261" s="373"/>
      <x:c r="W261" s="373"/>
      <x:c r="X261" s="373"/>
      <x:c r="Y261" s="373"/>
      <x:c r="Z261" s="373"/>
    </x:row>
    <x:row r="262">
      <x:c r="A262" s="373"/>
      <x:c r="B262" s="373"/>
      <x:c r="C262" s="373"/>
      <x:c r="D262" s="373"/>
      <x:c r="E262" s="373"/>
      <x:c r="F262" s="373"/>
      <x:c r="G262" s="373"/>
      <x:c r="H262" s="373"/>
      <x:c r="I262" s="373"/>
      <x:c r="J262" s="373"/>
      <x:c r="K262" s="373"/>
      <x:c r="L262" s="373"/>
      <x:c r="M262" s="373"/>
      <x:c r="N262" s="373"/>
      <x:c r="O262" s="373"/>
      <x:c r="P262" s="373"/>
      <x:c r="Q262" s="373"/>
      <x:c r="R262" s="373"/>
      <x:c r="S262" s="373"/>
      <x:c r="T262" s="373"/>
      <x:c r="U262" s="373"/>
      <x:c r="V262" s="373"/>
      <x:c r="W262" s="373"/>
      <x:c r="X262" s="373"/>
      <x:c r="Y262" s="373"/>
      <x:c r="Z262" s="373"/>
    </x:row>
    <x:row r="263">
      <x:c r="A263" s="373"/>
      <x:c r="B263" s="373"/>
      <x:c r="C263" s="373"/>
      <x:c r="D263" s="373"/>
      <x:c r="E263" s="373"/>
      <x:c r="F263" s="373"/>
      <x:c r="G263" s="373"/>
      <x:c r="H263" s="373"/>
      <x:c r="I263" s="373"/>
      <x:c r="J263" s="373"/>
      <x:c r="K263" s="373"/>
      <x:c r="L263" s="373"/>
      <x:c r="M263" s="373"/>
      <x:c r="N263" s="373"/>
      <x:c r="O263" s="373"/>
      <x:c r="P263" s="373"/>
      <x:c r="Q263" s="373"/>
      <x:c r="R263" s="373"/>
      <x:c r="S263" s="373"/>
      <x:c r="T263" s="373"/>
      <x:c r="U263" s="373"/>
      <x:c r="V263" s="373"/>
      <x:c r="W263" s="373"/>
      <x:c r="X263" s="373"/>
      <x:c r="Y263" s="373"/>
      <x:c r="Z263" s="373"/>
    </x:row>
    <x:row r="264">
      <x:c r="A264" s="373"/>
      <x:c r="B264" s="373"/>
      <x:c r="C264" s="373"/>
      <x:c r="D264" s="373"/>
      <x:c r="E264" s="373"/>
      <x:c r="F264" s="373"/>
      <x:c r="G264" s="373"/>
      <x:c r="H264" s="373"/>
      <x:c r="I264" s="373"/>
      <x:c r="J264" s="373"/>
      <x:c r="K264" s="373"/>
      <x:c r="L264" s="373"/>
      <x:c r="M264" s="373"/>
      <x:c r="N264" s="373"/>
      <x:c r="O264" s="373"/>
      <x:c r="P264" s="373"/>
      <x:c r="Q264" s="373"/>
      <x:c r="R264" s="373"/>
      <x:c r="S264" s="373"/>
      <x:c r="T264" s="373"/>
      <x:c r="U264" s="373"/>
      <x:c r="V264" s="373"/>
      <x:c r="W264" s="373"/>
      <x:c r="X264" s="373"/>
      <x:c r="Y264" s="373"/>
      <x:c r="Z264" s="373"/>
    </x:row>
    <x:row r="265">
      <x:c r="A265" s="373"/>
      <x:c r="B265" s="373"/>
      <x:c r="C265" s="373"/>
      <x:c r="D265" s="373"/>
      <x:c r="E265" s="373"/>
      <x:c r="F265" s="373"/>
      <x:c r="G265" s="373"/>
      <x:c r="H265" s="373"/>
      <x:c r="I265" s="373"/>
      <x:c r="J265" s="373"/>
      <x:c r="K265" s="373"/>
      <x:c r="L265" s="373"/>
      <x:c r="M265" s="373"/>
      <x:c r="N265" s="373"/>
      <x:c r="O265" s="373"/>
      <x:c r="P265" s="373"/>
      <x:c r="Q265" s="373"/>
      <x:c r="R265" s="373"/>
      <x:c r="S265" s="373"/>
      <x:c r="T265" s="373"/>
      <x:c r="U265" s="373"/>
      <x:c r="V265" s="373"/>
      <x:c r="W265" s="373"/>
      <x:c r="X265" s="373"/>
      <x:c r="Y265" s="373"/>
      <x:c r="Z265" s="373"/>
    </x:row>
    <x:row r="266">
      <x:c r="A266" s="373"/>
      <x:c r="B266" s="373"/>
      <x:c r="C266" s="373"/>
      <x:c r="D266" s="373"/>
      <x:c r="E266" s="373"/>
      <x:c r="F266" s="373"/>
      <x:c r="G266" s="373"/>
      <x:c r="H266" s="373"/>
      <x:c r="I266" s="373"/>
      <x:c r="J266" s="373"/>
      <x:c r="K266" s="373"/>
      <x:c r="L266" s="373"/>
      <x:c r="M266" s="373"/>
      <x:c r="N266" s="373"/>
      <x:c r="O266" s="373"/>
      <x:c r="P266" s="373"/>
      <x:c r="Q266" s="373"/>
      <x:c r="R266" s="373"/>
      <x:c r="S266" s="373"/>
      <x:c r="T266" s="373"/>
      <x:c r="U266" s="373"/>
      <x:c r="V266" s="373"/>
      <x:c r="W266" s="373"/>
      <x:c r="X266" s="373"/>
      <x:c r="Y266" s="373"/>
      <x:c r="Z266" s="373"/>
    </x:row>
    <x:row r="267">
      <x:c r="A267" s="373"/>
      <x:c r="B267" s="373"/>
      <x:c r="C267" s="373"/>
      <x:c r="D267" s="373"/>
      <x:c r="E267" s="373"/>
      <x:c r="F267" s="373"/>
      <x:c r="G267" s="373"/>
      <x:c r="H267" s="373"/>
      <x:c r="I267" s="373"/>
      <x:c r="J267" s="373"/>
      <x:c r="K267" s="373"/>
      <x:c r="L267" s="373"/>
      <x:c r="M267" s="373"/>
      <x:c r="N267" s="373"/>
      <x:c r="O267" s="373"/>
      <x:c r="P267" s="373"/>
      <x:c r="Q267" s="373"/>
      <x:c r="R267" s="373"/>
      <x:c r="S267" s="373"/>
      <x:c r="T267" s="373"/>
      <x:c r="U267" s="373"/>
      <x:c r="V267" s="373"/>
      <x:c r="W267" s="373"/>
      <x:c r="X267" s="373"/>
      <x:c r="Y267" s="373"/>
      <x:c r="Z267" s="373"/>
    </x:row>
    <x:row r="268">
      <x:c r="A268" s="373"/>
      <x:c r="B268" s="373"/>
      <x:c r="C268" s="373"/>
      <x:c r="D268" s="373"/>
      <x:c r="E268" s="373"/>
      <x:c r="F268" s="373"/>
      <x:c r="G268" s="373"/>
      <x:c r="H268" s="373"/>
      <x:c r="I268" s="373"/>
      <x:c r="J268" s="373"/>
      <x:c r="K268" s="373"/>
      <x:c r="L268" s="373"/>
      <x:c r="M268" s="373"/>
      <x:c r="N268" s="373"/>
      <x:c r="O268" s="373"/>
      <x:c r="P268" s="373"/>
      <x:c r="Q268" s="373"/>
      <x:c r="R268" s="373"/>
      <x:c r="S268" s="373"/>
      <x:c r="T268" s="373"/>
      <x:c r="U268" s="373"/>
      <x:c r="V268" s="373"/>
      <x:c r="W268" s="373"/>
      <x:c r="X268" s="373"/>
      <x:c r="Y268" s="373"/>
      <x:c r="Z268" s="373"/>
    </x:row>
    <x:row r="269">
      <x:c r="A269" s="373"/>
      <x:c r="B269" s="373"/>
      <x:c r="C269" s="373"/>
      <x:c r="D269" s="373"/>
      <x:c r="E269" s="373"/>
      <x:c r="F269" s="373"/>
      <x:c r="G269" s="373"/>
      <x:c r="H269" s="373"/>
      <x:c r="I269" s="373"/>
      <x:c r="J269" s="373"/>
      <x:c r="K269" s="373"/>
      <x:c r="L269" s="373"/>
      <x:c r="M269" s="373"/>
      <x:c r="N269" s="373"/>
      <x:c r="O269" s="373"/>
      <x:c r="P269" s="373"/>
      <x:c r="Q269" s="373"/>
      <x:c r="R269" s="373"/>
      <x:c r="S269" s="373"/>
      <x:c r="T269" s="373"/>
      <x:c r="U269" s="373"/>
      <x:c r="V269" s="373"/>
      <x:c r="W269" s="373"/>
      <x:c r="X269" s="373"/>
      <x:c r="Y269" s="373"/>
      <x:c r="Z269" s="373"/>
    </x:row>
    <x:row r="270">
      <x:c r="A270" s="373"/>
      <x:c r="B270" s="373"/>
      <x:c r="C270" s="373"/>
      <x:c r="D270" s="373"/>
      <x:c r="E270" s="373"/>
      <x:c r="F270" s="373"/>
      <x:c r="G270" s="373"/>
      <x:c r="H270" s="373"/>
      <x:c r="I270" s="373"/>
      <x:c r="J270" s="373"/>
      <x:c r="K270" s="373"/>
      <x:c r="L270" s="373"/>
      <x:c r="M270" s="373"/>
      <x:c r="N270" s="373"/>
      <x:c r="O270" s="373"/>
      <x:c r="P270" s="373"/>
      <x:c r="Q270" s="373"/>
      <x:c r="R270" s="373"/>
      <x:c r="S270" s="373"/>
      <x:c r="T270" s="373"/>
      <x:c r="U270" s="373"/>
      <x:c r="V270" s="373"/>
      <x:c r="W270" s="373"/>
      <x:c r="X270" s="373"/>
      <x:c r="Y270" s="373"/>
      <x:c r="Z270" s="373"/>
    </x:row>
    <x:row r="271">
      <x:c r="A271" s="373"/>
      <x:c r="B271" s="373"/>
      <x:c r="C271" s="373"/>
      <x:c r="D271" s="373"/>
      <x:c r="E271" s="373"/>
      <x:c r="F271" s="373"/>
      <x:c r="G271" s="373"/>
      <x:c r="H271" s="373"/>
      <x:c r="I271" s="373"/>
      <x:c r="J271" s="373"/>
      <x:c r="K271" s="373"/>
      <x:c r="L271" s="373"/>
      <x:c r="M271" s="373"/>
      <x:c r="N271" s="373"/>
      <x:c r="O271" s="373"/>
      <x:c r="P271" s="373"/>
      <x:c r="Q271" s="373"/>
      <x:c r="R271" s="373"/>
      <x:c r="S271" s="373"/>
      <x:c r="T271" s="373"/>
      <x:c r="U271" s="373"/>
      <x:c r="V271" s="373"/>
      <x:c r="W271" s="373"/>
      <x:c r="X271" s="373"/>
      <x:c r="Y271" s="373"/>
      <x:c r="Z271" s="373"/>
    </x:row>
    <x:row r="272">
      <x:c r="A272" s="373"/>
      <x:c r="B272" s="373"/>
      <x:c r="C272" s="373"/>
      <x:c r="D272" s="373"/>
      <x:c r="E272" s="373"/>
      <x:c r="F272" s="373"/>
      <x:c r="G272" s="373"/>
      <x:c r="H272" s="373"/>
      <x:c r="I272" s="373"/>
      <x:c r="J272" s="373"/>
      <x:c r="K272" s="373"/>
      <x:c r="L272" s="373"/>
      <x:c r="M272" s="373"/>
      <x:c r="N272" s="373"/>
      <x:c r="O272" s="373"/>
      <x:c r="P272" s="373"/>
      <x:c r="Q272" s="373"/>
      <x:c r="R272" s="373"/>
      <x:c r="S272" s="373"/>
      <x:c r="T272" s="373"/>
      <x:c r="U272" s="373"/>
      <x:c r="V272" s="373"/>
      <x:c r="W272" s="373"/>
      <x:c r="X272" s="373"/>
      <x:c r="Y272" s="373"/>
      <x:c r="Z272" s="373"/>
    </x:row>
    <x:row r="273">
      <x:c r="A273" s="373"/>
      <x:c r="B273" s="373"/>
      <x:c r="C273" s="373"/>
      <x:c r="D273" s="373"/>
      <x:c r="E273" s="373"/>
      <x:c r="F273" s="373"/>
      <x:c r="G273" s="373"/>
      <x:c r="H273" s="373"/>
      <x:c r="I273" s="373"/>
      <x:c r="J273" s="373"/>
      <x:c r="K273" s="373"/>
      <x:c r="L273" s="373"/>
      <x:c r="M273" s="373"/>
      <x:c r="N273" s="373"/>
      <x:c r="O273" s="373"/>
      <x:c r="P273" s="373"/>
      <x:c r="Q273" s="373"/>
      <x:c r="R273" s="373"/>
      <x:c r="S273" s="373"/>
      <x:c r="T273" s="373"/>
      <x:c r="U273" s="373"/>
      <x:c r="V273" s="373"/>
      <x:c r="W273" s="373"/>
      <x:c r="X273" s="373"/>
      <x:c r="Y273" s="373"/>
      <x:c r="Z273" s="373"/>
    </x:row>
    <x:row r="274">
      <x:c r="A274" s="373"/>
      <x:c r="B274" s="373"/>
      <x:c r="C274" s="373"/>
      <x:c r="D274" s="373"/>
      <x:c r="E274" s="373"/>
      <x:c r="F274" s="373"/>
      <x:c r="G274" s="373"/>
      <x:c r="H274" s="373"/>
      <x:c r="I274" s="373"/>
      <x:c r="J274" s="373"/>
      <x:c r="K274" s="373"/>
      <x:c r="L274" s="373"/>
      <x:c r="M274" s="373"/>
      <x:c r="N274" s="373"/>
      <x:c r="O274" s="373"/>
      <x:c r="P274" s="373"/>
      <x:c r="Q274" s="373"/>
      <x:c r="R274" s="373"/>
      <x:c r="S274" s="373"/>
      <x:c r="T274" s="373"/>
      <x:c r="U274" s="373"/>
      <x:c r="V274" s="373"/>
      <x:c r="W274" s="373"/>
      <x:c r="X274" s="373"/>
      <x:c r="Y274" s="373"/>
      <x:c r="Z274" s="373"/>
    </x:row>
    <x:row r="275">
      <x:c r="A275" s="373"/>
      <x:c r="B275" s="373"/>
      <x:c r="C275" s="373"/>
      <x:c r="D275" s="373"/>
      <x:c r="E275" s="373"/>
      <x:c r="F275" s="373"/>
      <x:c r="G275" s="373"/>
      <x:c r="H275" s="373"/>
      <x:c r="I275" s="373"/>
      <x:c r="J275" s="373"/>
      <x:c r="K275" s="373"/>
      <x:c r="L275" s="373"/>
      <x:c r="M275" s="373"/>
      <x:c r="N275" s="373"/>
      <x:c r="O275" s="373"/>
      <x:c r="P275" s="373"/>
      <x:c r="Q275" s="373"/>
      <x:c r="R275" s="373"/>
      <x:c r="S275" s="373"/>
      <x:c r="T275" s="373"/>
      <x:c r="U275" s="373"/>
      <x:c r="V275" s="373"/>
      <x:c r="W275" s="373"/>
      <x:c r="X275" s="373"/>
      <x:c r="Y275" s="373"/>
      <x:c r="Z275" s="373"/>
    </x:row>
    <x:row r="276">
      <x:c r="A276" s="373"/>
      <x:c r="B276" s="373"/>
      <x:c r="C276" s="373"/>
      <x:c r="D276" s="373"/>
      <x:c r="E276" s="373"/>
      <x:c r="F276" s="373"/>
      <x:c r="G276" s="373"/>
      <x:c r="H276" s="373"/>
      <x:c r="I276" s="373"/>
      <x:c r="J276" s="373"/>
      <x:c r="K276" s="373"/>
      <x:c r="L276" s="373"/>
      <x:c r="M276" s="373"/>
      <x:c r="N276" s="373"/>
      <x:c r="O276" s="373"/>
      <x:c r="P276" s="373"/>
      <x:c r="Q276" s="373"/>
      <x:c r="R276" s="373"/>
      <x:c r="S276" s="373"/>
      <x:c r="T276" s="373"/>
      <x:c r="U276" s="373"/>
      <x:c r="V276" s="373"/>
      <x:c r="W276" s="373"/>
      <x:c r="X276" s="373"/>
      <x:c r="Y276" s="373"/>
      <x:c r="Z276" s="373"/>
    </x:row>
    <x:row r="277">
      <x:c r="A277" s="373"/>
      <x:c r="B277" s="373"/>
      <x:c r="C277" s="373"/>
      <x:c r="D277" s="373"/>
      <x:c r="E277" s="373"/>
      <x:c r="F277" s="373"/>
      <x:c r="G277" s="373"/>
      <x:c r="H277" s="373"/>
      <x:c r="I277" s="373"/>
      <x:c r="J277" s="373"/>
      <x:c r="K277" s="373"/>
      <x:c r="L277" s="373"/>
      <x:c r="M277" s="373"/>
      <x:c r="N277" s="373"/>
      <x:c r="O277" s="373"/>
      <x:c r="P277" s="373"/>
      <x:c r="Q277" s="373"/>
      <x:c r="R277" s="373"/>
      <x:c r="S277" s="373"/>
      <x:c r="T277" s="373"/>
      <x:c r="U277" s="373"/>
      <x:c r="V277" s="373"/>
      <x:c r="W277" s="373"/>
      <x:c r="X277" s="373"/>
      <x:c r="Y277" s="373"/>
      <x:c r="Z277" s="373"/>
    </x:row>
    <x:row r="278">
      <x:c r="A278" s="373"/>
      <x:c r="B278" s="373"/>
      <x:c r="C278" s="373"/>
      <x:c r="D278" s="373"/>
      <x:c r="E278" s="373"/>
      <x:c r="F278" s="373"/>
      <x:c r="G278" s="373"/>
      <x:c r="H278" s="373"/>
      <x:c r="I278" s="373"/>
      <x:c r="J278" s="373"/>
      <x:c r="K278" s="373"/>
      <x:c r="L278" s="373"/>
      <x:c r="M278" s="373"/>
      <x:c r="N278" s="373"/>
      <x:c r="O278" s="373"/>
      <x:c r="P278" s="373"/>
      <x:c r="Q278" s="373"/>
      <x:c r="R278" s="373"/>
      <x:c r="S278" s="373"/>
      <x:c r="T278" s="373"/>
      <x:c r="U278" s="373"/>
      <x:c r="V278" s="373"/>
      <x:c r="W278" s="373"/>
      <x:c r="X278" s="373"/>
      <x:c r="Y278" s="373"/>
      <x:c r="Z278" s="373"/>
    </x:row>
    <x:row r="279">
      <x:c r="A279" s="373"/>
      <x:c r="B279" s="373"/>
      <x:c r="C279" s="373"/>
      <x:c r="D279" s="373"/>
      <x:c r="E279" s="373"/>
      <x:c r="F279" s="373"/>
      <x:c r="G279" s="373"/>
      <x:c r="H279" s="373"/>
      <x:c r="I279" s="373"/>
      <x:c r="J279" s="373"/>
      <x:c r="K279" s="373"/>
      <x:c r="L279" s="373"/>
      <x:c r="M279" s="373"/>
      <x:c r="N279" s="373"/>
      <x:c r="O279" s="373"/>
      <x:c r="P279" s="373"/>
      <x:c r="Q279" s="373"/>
      <x:c r="R279" s="373"/>
      <x:c r="S279" s="373"/>
      <x:c r="T279" s="373"/>
      <x:c r="U279" s="373"/>
      <x:c r="V279" s="373"/>
      <x:c r="W279" s="373"/>
      <x:c r="X279" s="373"/>
      <x:c r="Y279" s="373"/>
      <x:c r="Z279" s="373"/>
    </x:row>
    <x:row r="280">
      <x:c r="A280" s="373"/>
      <x:c r="B280" s="373"/>
      <x:c r="C280" s="373"/>
      <x:c r="D280" s="373"/>
      <x:c r="E280" s="373"/>
      <x:c r="F280" s="373"/>
      <x:c r="G280" s="373"/>
      <x:c r="H280" s="373"/>
      <x:c r="I280" s="373"/>
      <x:c r="J280" s="373"/>
      <x:c r="K280" s="373"/>
      <x:c r="L280" s="373"/>
      <x:c r="M280" s="373"/>
      <x:c r="N280" s="373"/>
      <x:c r="O280" s="373"/>
      <x:c r="P280" s="373"/>
      <x:c r="Q280" s="373"/>
      <x:c r="R280" s="373"/>
      <x:c r="S280" s="373"/>
      <x:c r="T280" s="373"/>
      <x:c r="U280" s="373"/>
      <x:c r="V280" s="373"/>
      <x:c r="W280" s="373"/>
      <x:c r="X280" s="373"/>
      <x:c r="Y280" s="373"/>
      <x:c r="Z280" s="373"/>
    </x:row>
    <x:row r="281">
      <x:c r="A281" s="373"/>
      <x:c r="B281" s="373"/>
      <x:c r="C281" s="373"/>
      <x:c r="D281" s="373"/>
      <x:c r="E281" s="373"/>
      <x:c r="F281" s="373"/>
      <x:c r="G281" s="373"/>
      <x:c r="H281" s="373"/>
      <x:c r="I281" s="373"/>
      <x:c r="J281" s="373"/>
      <x:c r="K281" s="373"/>
      <x:c r="L281" s="373"/>
      <x:c r="M281" s="373"/>
      <x:c r="N281" s="373"/>
      <x:c r="O281" s="373"/>
      <x:c r="P281" s="373"/>
      <x:c r="Q281" s="373"/>
      <x:c r="R281" s="373"/>
      <x:c r="S281" s="373"/>
      <x:c r="T281" s="373"/>
      <x:c r="U281" s="373"/>
      <x:c r="V281" s="373"/>
      <x:c r="W281" s="373"/>
      <x:c r="X281" s="373"/>
      <x:c r="Y281" s="373"/>
      <x:c r="Z281" s="373"/>
    </x:row>
    <x:row r="282">
      <x:c r="A282" s="373"/>
      <x:c r="B282" s="373"/>
      <x:c r="C282" s="373"/>
      <x:c r="D282" s="373"/>
      <x:c r="E282" s="373"/>
      <x:c r="F282" s="373"/>
      <x:c r="G282" s="373"/>
      <x:c r="H282" s="373"/>
      <x:c r="I282" s="373"/>
      <x:c r="J282" s="373"/>
      <x:c r="K282" s="373"/>
      <x:c r="L282" s="373"/>
      <x:c r="M282" s="373"/>
      <x:c r="N282" s="373"/>
      <x:c r="O282" s="373"/>
      <x:c r="P282" s="373"/>
      <x:c r="Q282" s="373"/>
      <x:c r="R282" s="373"/>
      <x:c r="S282" s="373"/>
      <x:c r="T282" s="373"/>
      <x:c r="U282" s="373"/>
      <x:c r="V282" s="373"/>
      <x:c r="W282" s="373"/>
      <x:c r="X282" s="373"/>
      <x:c r="Y282" s="373"/>
      <x:c r="Z282" s="373"/>
    </x:row>
    <x:row r="283">
      <x:c r="A283" s="373"/>
      <x:c r="B283" s="373"/>
      <x:c r="C283" s="373"/>
      <x:c r="D283" s="373"/>
      <x:c r="E283" s="373"/>
      <x:c r="F283" s="373"/>
      <x:c r="G283" s="373"/>
      <x:c r="H283" s="373"/>
      <x:c r="I283" s="373"/>
      <x:c r="J283" s="373"/>
      <x:c r="K283" s="373"/>
      <x:c r="L283" s="373"/>
      <x:c r="M283" s="373"/>
      <x:c r="N283" s="373"/>
      <x:c r="O283" s="373"/>
      <x:c r="P283" s="373"/>
      <x:c r="Q283" s="373"/>
      <x:c r="R283" s="373"/>
      <x:c r="S283" s="373"/>
      <x:c r="T283" s="373"/>
      <x:c r="U283" s="373"/>
      <x:c r="V283" s="373"/>
      <x:c r="W283" s="373"/>
      <x:c r="X283" s="373"/>
      <x:c r="Y283" s="373"/>
      <x:c r="Z283" s="373"/>
    </x:row>
    <x:row r="284">
      <x:c r="A284" s="373"/>
      <x:c r="B284" s="373"/>
      <x:c r="C284" s="373"/>
      <x:c r="D284" s="373"/>
      <x:c r="E284" s="373"/>
      <x:c r="F284" s="373"/>
      <x:c r="G284" s="373"/>
      <x:c r="H284" s="373"/>
      <x:c r="I284" s="373"/>
      <x:c r="J284" s="373"/>
      <x:c r="K284" s="373"/>
      <x:c r="L284" s="373"/>
      <x:c r="M284" s="373"/>
      <x:c r="N284" s="373"/>
      <x:c r="O284" s="373"/>
      <x:c r="P284" s="373"/>
      <x:c r="Q284" s="373"/>
      <x:c r="R284" s="373"/>
      <x:c r="S284" s="373"/>
      <x:c r="T284" s="373"/>
      <x:c r="U284" s="373"/>
      <x:c r="V284" s="373"/>
      <x:c r="W284" s="373"/>
      <x:c r="X284" s="373"/>
      <x:c r="Y284" s="373"/>
      <x:c r="Z284" s="373"/>
    </x:row>
    <x:row r="285">
      <x:c r="A285" s="373"/>
      <x:c r="B285" s="373"/>
      <x:c r="C285" s="373"/>
      <x:c r="D285" s="373"/>
      <x:c r="E285" s="373"/>
      <x:c r="F285" s="373"/>
      <x:c r="G285" s="373"/>
      <x:c r="H285" s="373"/>
      <x:c r="I285" s="373"/>
      <x:c r="J285" s="373"/>
      <x:c r="K285" s="373"/>
      <x:c r="L285" s="373"/>
      <x:c r="M285" s="373"/>
      <x:c r="N285" s="373"/>
      <x:c r="O285" s="373"/>
      <x:c r="P285" s="373"/>
      <x:c r="Q285" s="373"/>
      <x:c r="R285" s="373"/>
      <x:c r="S285" s="373"/>
      <x:c r="T285" s="373"/>
      <x:c r="U285" s="373"/>
      <x:c r="V285" s="373"/>
      <x:c r="W285" s="373"/>
      <x:c r="X285" s="373"/>
      <x:c r="Y285" s="373"/>
      <x:c r="Z285" s="373"/>
    </x:row>
    <x:row r="286">
      <x:c r="A286" s="373"/>
      <x:c r="B286" s="373"/>
      <x:c r="C286" s="373"/>
      <x:c r="D286" s="373"/>
      <x:c r="E286" s="373"/>
      <x:c r="F286" s="373"/>
      <x:c r="G286" s="373"/>
      <x:c r="H286" s="373"/>
      <x:c r="I286" s="373"/>
      <x:c r="J286" s="373"/>
      <x:c r="K286" s="373"/>
      <x:c r="L286" s="373"/>
      <x:c r="M286" s="373"/>
      <x:c r="N286" s="373"/>
      <x:c r="O286" s="373"/>
      <x:c r="P286" s="373"/>
      <x:c r="Q286" s="373"/>
      <x:c r="R286" s="373"/>
      <x:c r="S286" s="373"/>
      <x:c r="T286" s="373"/>
      <x:c r="U286" s="373"/>
      <x:c r="V286" s="373"/>
      <x:c r="W286" s="373"/>
      <x:c r="X286" s="373"/>
      <x:c r="Y286" s="373"/>
      <x:c r="Z286" s="373"/>
    </x:row>
    <x:row r="287">
      <x:c r="A287" s="373"/>
      <x:c r="B287" s="373"/>
      <x:c r="C287" s="373"/>
      <x:c r="D287" s="373"/>
      <x:c r="E287" s="373"/>
      <x:c r="F287" s="373"/>
      <x:c r="G287" s="373"/>
      <x:c r="H287" s="373"/>
      <x:c r="I287" s="373"/>
      <x:c r="J287" s="373"/>
      <x:c r="K287" s="373"/>
      <x:c r="L287" s="373"/>
      <x:c r="M287" s="373"/>
      <x:c r="N287" s="373"/>
      <x:c r="O287" s="373"/>
      <x:c r="P287" s="373"/>
      <x:c r="Q287" s="373"/>
      <x:c r="R287" s="373"/>
      <x:c r="S287" s="373"/>
      <x:c r="T287" s="373"/>
      <x:c r="U287" s="373"/>
      <x:c r="V287" s="373"/>
      <x:c r="W287" s="373"/>
      <x:c r="X287" s="373"/>
      <x:c r="Y287" s="373"/>
      <x:c r="Z287" s="373"/>
    </x:row>
    <x:row r="288">
      <x:c r="A288" s="373"/>
      <x:c r="B288" s="373"/>
      <x:c r="C288" s="373"/>
      <x:c r="D288" s="373"/>
      <x:c r="E288" s="373"/>
      <x:c r="F288" s="373"/>
      <x:c r="G288" s="373"/>
      <x:c r="H288" s="373"/>
      <x:c r="I288" s="373"/>
      <x:c r="J288" s="373"/>
      <x:c r="K288" s="373"/>
      <x:c r="L288" s="373"/>
      <x:c r="M288" s="373"/>
      <x:c r="N288" s="373"/>
      <x:c r="O288" s="373"/>
      <x:c r="P288" s="373"/>
      <x:c r="Q288" s="373"/>
      <x:c r="R288" s="373"/>
      <x:c r="S288" s="373"/>
      <x:c r="T288" s="373"/>
      <x:c r="U288" s="373"/>
      <x:c r="V288" s="373"/>
      <x:c r="W288" s="373"/>
      <x:c r="X288" s="373"/>
      <x:c r="Y288" s="373"/>
      <x:c r="Z288" s="373"/>
    </x:row>
    <x:row r="289">
      <x:c r="A289" s="373"/>
      <x:c r="B289" s="373"/>
      <x:c r="C289" s="373"/>
      <x:c r="D289" s="373"/>
      <x:c r="E289" s="373"/>
      <x:c r="F289" s="373"/>
      <x:c r="G289" s="373"/>
      <x:c r="H289" s="373"/>
      <x:c r="I289" s="373"/>
      <x:c r="J289" s="373"/>
      <x:c r="K289" s="373"/>
      <x:c r="L289" s="373"/>
      <x:c r="M289" s="373"/>
      <x:c r="N289" s="373"/>
      <x:c r="O289" s="373"/>
      <x:c r="P289" s="373"/>
      <x:c r="Q289" s="373"/>
      <x:c r="R289" s="373"/>
      <x:c r="S289" s="373"/>
      <x:c r="T289" s="373"/>
      <x:c r="U289" s="373"/>
      <x:c r="V289" s="373"/>
      <x:c r="W289" s="373"/>
      <x:c r="X289" s="373"/>
      <x:c r="Y289" s="373"/>
      <x:c r="Z289" s="373"/>
    </x:row>
    <x:row r="290">
      <x:c r="A290" s="373"/>
      <x:c r="B290" s="373"/>
      <x:c r="C290" s="373"/>
      <x:c r="D290" s="373"/>
      <x:c r="E290" s="373"/>
      <x:c r="F290" s="373"/>
      <x:c r="G290" s="373"/>
      <x:c r="H290" s="373"/>
      <x:c r="I290" s="373"/>
      <x:c r="J290" s="373"/>
      <x:c r="K290" s="373"/>
      <x:c r="L290" s="373"/>
      <x:c r="M290" s="373"/>
      <x:c r="N290" s="373"/>
      <x:c r="O290" s="373"/>
      <x:c r="P290" s="373"/>
      <x:c r="Q290" s="373"/>
      <x:c r="R290" s="373"/>
      <x:c r="S290" s="373"/>
      <x:c r="T290" s="373"/>
      <x:c r="U290" s="373"/>
      <x:c r="V290" s="373"/>
      <x:c r="W290" s="373"/>
      <x:c r="X290" s="373"/>
      <x:c r="Y290" s="373"/>
      <x:c r="Z290" s="373"/>
    </x:row>
    <x:row r="291">
      <x:c r="A291" s="373"/>
      <x:c r="B291" s="373"/>
      <x:c r="C291" s="373"/>
      <x:c r="D291" s="373"/>
      <x:c r="E291" s="373"/>
      <x:c r="F291" s="373"/>
      <x:c r="G291" s="373"/>
      <x:c r="H291" s="373"/>
      <x:c r="I291" s="373"/>
      <x:c r="J291" s="373"/>
      <x:c r="K291" s="373"/>
      <x:c r="L291" s="373"/>
      <x:c r="M291" s="373"/>
      <x:c r="N291" s="373"/>
      <x:c r="O291" s="373"/>
      <x:c r="P291" s="373"/>
      <x:c r="Q291" s="373"/>
      <x:c r="R291" s="373"/>
      <x:c r="S291" s="373"/>
      <x:c r="T291" s="373"/>
      <x:c r="U291" s="373"/>
      <x:c r="V291" s="373"/>
      <x:c r="W291" s="373"/>
      <x:c r="X291" s="373"/>
      <x:c r="Y291" s="373"/>
      <x:c r="Z291" s="373"/>
    </x:row>
    <x:row r="292">
      <x:c r="A292" s="373"/>
      <x:c r="B292" s="373"/>
      <x:c r="C292" s="373"/>
      <x:c r="D292" s="373"/>
      <x:c r="E292" s="373"/>
      <x:c r="F292" s="373"/>
      <x:c r="G292" s="373"/>
      <x:c r="H292" s="373"/>
      <x:c r="I292" s="373"/>
      <x:c r="J292" s="373"/>
      <x:c r="K292" s="373"/>
      <x:c r="L292" s="373"/>
      <x:c r="M292" s="373"/>
      <x:c r="N292" s="373"/>
      <x:c r="O292" s="373"/>
      <x:c r="P292" s="373"/>
      <x:c r="Q292" s="373"/>
      <x:c r="R292" s="373"/>
      <x:c r="S292" s="373"/>
      <x:c r="T292" s="373"/>
      <x:c r="U292" s="373"/>
      <x:c r="V292" s="373"/>
      <x:c r="W292" s="373"/>
      <x:c r="X292" s="373"/>
      <x:c r="Y292" s="373"/>
      <x:c r="Z292" s="373"/>
    </x:row>
    <x:row r="293">
      <x:c r="A293" s="373"/>
      <x:c r="B293" s="373"/>
      <x:c r="C293" s="373"/>
      <x:c r="D293" s="373"/>
      <x:c r="E293" s="373"/>
      <x:c r="F293" s="373"/>
      <x:c r="G293" s="373"/>
      <x:c r="H293" s="373"/>
      <x:c r="I293" s="373"/>
      <x:c r="J293" s="373"/>
      <x:c r="K293" s="373"/>
      <x:c r="L293" s="373"/>
      <x:c r="M293" s="373"/>
      <x:c r="N293" s="373"/>
      <x:c r="O293" s="373"/>
      <x:c r="P293" s="373"/>
      <x:c r="Q293" s="373"/>
      <x:c r="R293" s="373"/>
      <x:c r="S293" s="373"/>
      <x:c r="T293" s="373"/>
      <x:c r="U293" s="373"/>
      <x:c r="V293" s="373"/>
      <x:c r="W293" s="373"/>
      <x:c r="X293" s="373"/>
      <x:c r="Y293" s="373"/>
      <x:c r="Z293" s="373"/>
    </x:row>
    <x:row r="294">
      <x:c r="A294" s="373"/>
      <x:c r="B294" s="373"/>
      <x:c r="C294" s="373"/>
      <x:c r="D294" s="373"/>
      <x:c r="E294" s="373"/>
      <x:c r="F294" s="373"/>
      <x:c r="G294" s="373"/>
      <x:c r="H294" s="373"/>
      <x:c r="I294" s="373"/>
      <x:c r="J294" s="373"/>
      <x:c r="K294" s="373"/>
      <x:c r="L294" s="373"/>
      <x:c r="M294" s="373"/>
      <x:c r="N294" s="373"/>
      <x:c r="O294" s="373"/>
      <x:c r="P294" s="373"/>
      <x:c r="Q294" s="373"/>
      <x:c r="R294" s="373"/>
      <x:c r="S294" s="373"/>
      <x:c r="T294" s="373"/>
      <x:c r="U294" s="373"/>
      <x:c r="V294" s="373"/>
      <x:c r="W294" s="373"/>
      <x:c r="X294" s="373"/>
      <x:c r="Y294" s="373"/>
      <x:c r="Z294" s="373"/>
    </x:row>
    <x:row r="295">
      <x:c r="A295" s="373"/>
      <x:c r="B295" s="373"/>
      <x:c r="C295" s="373"/>
      <x:c r="D295" s="373"/>
      <x:c r="E295" s="373"/>
      <x:c r="F295" s="373"/>
      <x:c r="G295" s="373"/>
      <x:c r="H295" s="373"/>
      <x:c r="I295" s="373"/>
      <x:c r="J295" s="373"/>
      <x:c r="K295" s="373"/>
      <x:c r="L295" s="373"/>
      <x:c r="M295" s="373"/>
      <x:c r="N295" s="373"/>
      <x:c r="O295" s="373"/>
      <x:c r="P295" s="373"/>
      <x:c r="Q295" s="373"/>
      <x:c r="R295" s="373"/>
      <x:c r="S295" s="373"/>
      <x:c r="T295" s="373"/>
      <x:c r="U295" s="373"/>
      <x:c r="V295" s="373"/>
      <x:c r="W295" s="373"/>
      <x:c r="X295" s="373"/>
      <x:c r="Y295" s="373"/>
      <x:c r="Z295" s="373"/>
    </x:row>
    <x:row r="296">
      <x:c r="A296" s="373"/>
      <x:c r="B296" s="373"/>
      <x:c r="C296" s="373"/>
      <x:c r="D296" s="373"/>
      <x:c r="E296" s="373"/>
      <x:c r="F296" s="373"/>
      <x:c r="G296" s="373"/>
      <x:c r="H296" s="373"/>
      <x:c r="I296" s="373"/>
      <x:c r="J296" s="373"/>
      <x:c r="K296" s="373"/>
      <x:c r="L296" s="373"/>
      <x:c r="M296" s="373"/>
      <x:c r="N296" s="373"/>
      <x:c r="O296" s="373"/>
      <x:c r="P296" s="373"/>
      <x:c r="Q296" s="373"/>
      <x:c r="R296" s="373"/>
      <x:c r="S296" s="373"/>
      <x:c r="T296" s="373"/>
      <x:c r="U296" s="373"/>
      <x:c r="V296" s="373"/>
      <x:c r="W296" s="373"/>
      <x:c r="X296" s="373"/>
      <x:c r="Y296" s="373"/>
      <x:c r="Z296" s="373"/>
    </x:row>
    <x:row r="297">
      <x:c r="A297" s="373"/>
      <x:c r="B297" s="373"/>
      <x:c r="C297" s="373"/>
      <x:c r="D297" s="373"/>
      <x:c r="E297" s="373"/>
      <x:c r="F297" s="373"/>
      <x:c r="G297" s="373"/>
      <x:c r="H297" s="373"/>
      <x:c r="I297" s="373"/>
      <x:c r="J297" s="373"/>
      <x:c r="K297" s="373"/>
      <x:c r="L297" s="373"/>
      <x:c r="M297" s="373"/>
      <x:c r="N297" s="373"/>
      <x:c r="O297" s="373"/>
      <x:c r="P297" s="373"/>
      <x:c r="Q297" s="373"/>
      <x:c r="R297" s="373"/>
      <x:c r="S297" s="373"/>
      <x:c r="T297" s="373"/>
      <x:c r="U297" s="373"/>
      <x:c r="V297" s="373"/>
      <x:c r="W297" s="373"/>
      <x:c r="X297" s="373"/>
      <x:c r="Y297" s="373"/>
      <x:c r="Z297" s="373"/>
    </x:row>
    <x:row r="298">
      <x:c r="A298" s="373"/>
      <x:c r="B298" s="373"/>
      <x:c r="C298" s="373"/>
      <x:c r="D298" s="373"/>
      <x:c r="E298" s="373"/>
      <x:c r="F298" s="373"/>
      <x:c r="G298" s="373"/>
      <x:c r="H298" s="373"/>
      <x:c r="I298" s="373"/>
      <x:c r="J298" s="373"/>
      <x:c r="K298" s="373"/>
      <x:c r="L298" s="373"/>
      <x:c r="M298" s="373"/>
      <x:c r="N298" s="373"/>
      <x:c r="O298" s="373"/>
      <x:c r="P298" s="373"/>
      <x:c r="Q298" s="373"/>
      <x:c r="R298" s="373"/>
      <x:c r="S298" s="373"/>
      <x:c r="T298" s="373"/>
      <x:c r="U298" s="373"/>
      <x:c r="V298" s="373"/>
      <x:c r="W298" s="373"/>
      <x:c r="X298" s="373"/>
      <x:c r="Y298" s="373"/>
      <x:c r="Z298" s="373"/>
    </x:row>
    <x:row r="299">
      <x:c r="A299" s="373"/>
      <x:c r="B299" s="373"/>
      <x:c r="C299" s="373"/>
      <x:c r="D299" s="373"/>
      <x:c r="E299" s="373"/>
      <x:c r="F299" s="373"/>
      <x:c r="G299" s="373"/>
      <x:c r="H299" s="373"/>
      <x:c r="I299" s="373"/>
      <x:c r="J299" s="373"/>
      <x:c r="K299" s="373"/>
      <x:c r="L299" s="373"/>
      <x:c r="M299" s="373"/>
      <x:c r="N299" s="373"/>
      <x:c r="O299" s="373"/>
      <x:c r="P299" s="373"/>
      <x:c r="Q299" s="373"/>
      <x:c r="R299" s="373"/>
      <x:c r="S299" s="373"/>
      <x:c r="T299" s="373"/>
      <x:c r="U299" s="373"/>
      <x:c r="V299" s="373"/>
      <x:c r="W299" s="373"/>
      <x:c r="X299" s="373"/>
      <x:c r="Y299" s="373"/>
      <x:c r="Z299" s="373"/>
    </x:row>
    <x:row r="300">
      <x:c r="A300" s="373"/>
      <x:c r="B300" s="373"/>
      <x:c r="C300" s="373"/>
      <x:c r="D300" s="373"/>
      <x:c r="E300" s="373"/>
      <x:c r="F300" s="373"/>
      <x:c r="G300" s="373"/>
      <x:c r="H300" s="373"/>
      <x:c r="I300" s="373"/>
      <x:c r="J300" s="373"/>
      <x:c r="K300" s="373"/>
      <x:c r="L300" s="373"/>
      <x:c r="M300" s="373"/>
      <x:c r="N300" s="373"/>
      <x:c r="O300" s="373"/>
      <x:c r="P300" s="373"/>
      <x:c r="Q300" s="373"/>
      <x:c r="R300" s="373"/>
      <x:c r="S300" s="373"/>
      <x:c r="T300" s="373"/>
      <x:c r="U300" s="373"/>
      <x:c r="V300" s="373"/>
      <x:c r="W300" s="373"/>
      <x:c r="X300" s="373"/>
      <x:c r="Y300" s="373"/>
      <x:c r="Z300" s="373"/>
    </x:row>
    <x:row r="301">
      <x:c r="A301" s="373"/>
      <x:c r="B301" s="373"/>
      <x:c r="C301" s="373"/>
      <x:c r="D301" s="373"/>
      <x:c r="E301" s="373"/>
      <x:c r="F301" s="373"/>
      <x:c r="G301" s="373"/>
      <x:c r="H301" s="373"/>
      <x:c r="I301" s="373"/>
      <x:c r="J301" s="373"/>
      <x:c r="K301" s="373"/>
      <x:c r="L301" s="373"/>
      <x:c r="M301" s="373"/>
      <x:c r="N301" s="373"/>
      <x:c r="O301" s="373"/>
      <x:c r="P301" s="373"/>
      <x:c r="Q301" s="373"/>
      <x:c r="R301" s="373"/>
      <x:c r="S301" s="373"/>
      <x:c r="T301" s="373"/>
      <x:c r="U301" s="373"/>
      <x:c r="V301" s="373"/>
      <x:c r="W301" s="373"/>
      <x:c r="X301" s="373"/>
      <x:c r="Y301" s="373"/>
      <x:c r="Z301" s="373"/>
    </x:row>
    <x:row r="302">
      <x:c r="A302" s="373"/>
      <x:c r="B302" s="373"/>
      <x:c r="C302" s="373"/>
      <x:c r="D302" s="373"/>
      <x:c r="E302" s="373"/>
      <x:c r="F302" s="373"/>
      <x:c r="G302" s="373"/>
      <x:c r="H302" s="373"/>
      <x:c r="I302" s="373"/>
      <x:c r="J302" s="373"/>
      <x:c r="K302" s="373"/>
      <x:c r="L302" s="373"/>
      <x:c r="M302" s="373"/>
      <x:c r="N302" s="373"/>
      <x:c r="O302" s="373"/>
      <x:c r="P302" s="373"/>
      <x:c r="Q302" s="373"/>
      <x:c r="R302" s="373"/>
      <x:c r="S302" s="373"/>
      <x:c r="T302" s="373"/>
      <x:c r="U302" s="373"/>
      <x:c r="V302" s="373"/>
      <x:c r="W302" s="373"/>
      <x:c r="X302" s="373"/>
      <x:c r="Y302" s="373"/>
      <x:c r="Z302" s="373"/>
    </x:row>
    <x:row r="303">
      <x:c r="A303" s="373"/>
      <x:c r="B303" s="373"/>
      <x:c r="C303" s="373"/>
      <x:c r="D303" s="373"/>
      <x:c r="E303" s="373"/>
      <x:c r="F303" s="373"/>
      <x:c r="G303" s="373"/>
      <x:c r="H303" s="373"/>
      <x:c r="I303" s="373"/>
      <x:c r="J303" s="373"/>
      <x:c r="K303" s="373"/>
      <x:c r="L303" s="373"/>
      <x:c r="M303" s="373"/>
      <x:c r="N303" s="373"/>
      <x:c r="O303" s="373"/>
      <x:c r="P303" s="373"/>
      <x:c r="Q303" s="373"/>
      <x:c r="R303" s="373"/>
      <x:c r="S303" s="373"/>
      <x:c r="T303" s="373"/>
      <x:c r="U303" s="373"/>
      <x:c r="V303" s="373"/>
      <x:c r="W303" s="373"/>
      <x:c r="X303" s="373"/>
      <x:c r="Y303" s="373"/>
      <x:c r="Z303" s="373"/>
    </x:row>
    <x:row r="304">
      <x:c r="A304" s="373"/>
      <x:c r="B304" s="373"/>
      <x:c r="C304" s="373"/>
      <x:c r="D304" s="373"/>
      <x:c r="E304" s="373"/>
      <x:c r="F304" s="373"/>
      <x:c r="G304" s="373"/>
      <x:c r="H304" s="373"/>
      <x:c r="I304" s="373"/>
      <x:c r="J304" s="373"/>
      <x:c r="K304" s="373"/>
      <x:c r="L304" s="373"/>
      <x:c r="M304" s="373"/>
      <x:c r="N304" s="373"/>
      <x:c r="O304" s="373"/>
      <x:c r="P304" s="373"/>
      <x:c r="Q304" s="373"/>
      <x:c r="R304" s="373"/>
      <x:c r="S304" s="373"/>
      <x:c r="T304" s="373"/>
      <x:c r="U304" s="373"/>
      <x:c r="V304" s="373"/>
      <x:c r="W304" s="373"/>
      <x:c r="X304" s="373"/>
      <x:c r="Y304" s="373"/>
      <x:c r="Z304" s="373"/>
    </x:row>
    <x:row r="305">
      <x:c r="A305" s="373"/>
      <x:c r="B305" s="373"/>
      <x:c r="C305" s="373"/>
      <x:c r="D305" s="373"/>
      <x:c r="E305" s="373"/>
      <x:c r="F305" s="373"/>
      <x:c r="G305" s="373"/>
      <x:c r="H305" s="373"/>
      <x:c r="I305" s="373"/>
      <x:c r="J305" s="373"/>
      <x:c r="K305" s="373"/>
      <x:c r="L305" s="373"/>
      <x:c r="M305" s="373"/>
      <x:c r="N305" s="373"/>
      <x:c r="O305" s="373"/>
      <x:c r="P305" s="373"/>
      <x:c r="Q305" s="373"/>
      <x:c r="R305" s="373"/>
      <x:c r="S305" s="373"/>
      <x:c r="T305" s="373"/>
      <x:c r="U305" s="373"/>
      <x:c r="V305" s="373"/>
      <x:c r="W305" s="373"/>
      <x:c r="X305" s="373"/>
      <x:c r="Y305" s="373"/>
      <x:c r="Z305" s="373"/>
    </x:row>
    <x:row r="306">
      <x:c r="A306" s="373"/>
      <x:c r="B306" s="373"/>
      <x:c r="C306" s="373"/>
      <x:c r="D306" s="373"/>
      <x:c r="E306" s="373"/>
      <x:c r="F306" s="373"/>
      <x:c r="G306" s="373"/>
      <x:c r="H306" s="373"/>
      <x:c r="I306" s="373"/>
      <x:c r="J306" s="373"/>
      <x:c r="K306" s="373"/>
      <x:c r="L306" s="373"/>
      <x:c r="M306" s="373"/>
      <x:c r="N306" s="373"/>
      <x:c r="O306" s="373"/>
      <x:c r="P306" s="373"/>
      <x:c r="Q306" s="373"/>
      <x:c r="R306" s="373"/>
      <x:c r="S306" s="373"/>
      <x:c r="T306" s="373"/>
      <x:c r="U306" s="373"/>
      <x:c r="V306" s="373"/>
      <x:c r="W306" s="373"/>
      <x:c r="X306" s="373"/>
      <x:c r="Y306" s="373"/>
      <x:c r="Z306" s="373"/>
    </x:row>
    <x:row r="307">
      <x:c r="A307" s="373"/>
      <x:c r="B307" s="373"/>
      <x:c r="C307" s="373"/>
      <x:c r="D307" s="373"/>
      <x:c r="E307" s="373"/>
      <x:c r="F307" s="373"/>
      <x:c r="G307" s="373"/>
      <x:c r="H307" s="373"/>
      <x:c r="I307" s="373"/>
      <x:c r="J307" s="373"/>
      <x:c r="K307" s="373"/>
      <x:c r="L307" s="373"/>
      <x:c r="M307" s="373"/>
      <x:c r="N307" s="373"/>
      <x:c r="O307" s="373"/>
      <x:c r="P307" s="373"/>
      <x:c r="Q307" s="373"/>
      <x:c r="R307" s="373"/>
      <x:c r="S307" s="373"/>
      <x:c r="T307" s="373"/>
      <x:c r="U307" s="373"/>
      <x:c r="V307" s="373"/>
      <x:c r="W307" s="373"/>
      <x:c r="X307" s="373"/>
      <x:c r="Y307" s="373"/>
      <x:c r="Z307" s="373"/>
    </x:row>
    <x:row r="308">
      <x:c r="A308" s="373"/>
      <x:c r="B308" s="373"/>
      <x:c r="C308" s="373"/>
      <x:c r="D308" s="373"/>
      <x:c r="E308" s="373"/>
      <x:c r="F308" s="373"/>
      <x:c r="G308" s="373"/>
      <x:c r="H308" s="373"/>
      <x:c r="I308" s="373"/>
      <x:c r="J308" s="373"/>
      <x:c r="K308" s="373"/>
      <x:c r="L308" s="373"/>
      <x:c r="M308" s="373"/>
      <x:c r="N308" s="373"/>
      <x:c r="O308" s="373"/>
      <x:c r="P308" s="373"/>
      <x:c r="Q308" s="373"/>
      <x:c r="R308" s="373"/>
      <x:c r="S308" s="373"/>
      <x:c r="T308" s="373"/>
      <x:c r="U308" s="373"/>
      <x:c r="V308" s="373"/>
      <x:c r="W308" s="373"/>
      <x:c r="X308" s="373"/>
      <x:c r="Y308" s="373"/>
      <x:c r="Z308" s="373"/>
    </x:row>
    <x:row r="309">
      <x:c r="A309" s="373"/>
      <x:c r="B309" s="373"/>
      <x:c r="C309" s="373"/>
      <x:c r="D309" s="373"/>
      <x:c r="E309" s="373"/>
      <x:c r="F309" s="373"/>
      <x:c r="G309" s="373"/>
      <x:c r="H309" s="373"/>
      <x:c r="I309" s="373"/>
      <x:c r="J309" s="373"/>
      <x:c r="K309" s="373"/>
      <x:c r="L309" s="373"/>
      <x:c r="M309" s="373"/>
      <x:c r="N309" s="373"/>
      <x:c r="O309" s="373"/>
      <x:c r="P309" s="373"/>
      <x:c r="Q309" s="373"/>
      <x:c r="R309" s="373"/>
      <x:c r="S309" s="373"/>
      <x:c r="T309" s="373"/>
      <x:c r="U309" s="373"/>
      <x:c r="V309" s="373"/>
      <x:c r="W309" s="373"/>
      <x:c r="X309" s="373"/>
      <x:c r="Y309" s="373"/>
      <x:c r="Z309" s="373"/>
    </x:row>
    <x:row r="310">
      <x:c r="A310" s="373"/>
      <x:c r="B310" s="373"/>
      <x:c r="C310" s="373"/>
      <x:c r="D310" s="373"/>
      <x:c r="E310" s="373"/>
      <x:c r="F310" s="373"/>
      <x:c r="G310" s="373"/>
      <x:c r="H310" s="373"/>
      <x:c r="I310" s="373"/>
      <x:c r="J310" s="373"/>
      <x:c r="K310" s="373"/>
      <x:c r="L310" s="373"/>
      <x:c r="M310" s="373"/>
      <x:c r="N310" s="373"/>
      <x:c r="O310" s="373"/>
      <x:c r="P310" s="373"/>
      <x:c r="Q310" s="373"/>
      <x:c r="R310" s="373"/>
      <x:c r="S310" s="373"/>
      <x:c r="T310" s="373"/>
      <x:c r="U310" s="373"/>
      <x:c r="V310" s="373"/>
      <x:c r="W310" s="373"/>
      <x:c r="X310" s="373"/>
      <x:c r="Y310" s="373"/>
      <x:c r="Z310" s="373"/>
    </x:row>
    <x:row r="311">
      <x:c r="A311" s="373"/>
      <x:c r="B311" s="373"/>
      <x:c r="C311" s="373"/>
      <x:c r="D311" s="373"/>
      <x:c r="E311" s="373"/>
      <x:c r="F311" s="373"/>
      <x:c r="G311" s="373"/>
      <x:c r="H311" s="373"/>
      <x:c r="I311" s="373"/>
      <x:c r="J311" s="373"/>
      <x:c r="K311" s="373"/>
      <x:c r="L311" s="373"/>
      <x:c r="M311" s="373"/>
      <x:c r="N311" s="373"/>
      <x:c r="O311" s="373"/>
      <x:c r="P311" s="373"/>
      <x:c r="Q311" s="373"/>
      <x:c r="R311" s="373"/>
      <x:c r="S311" s="373"/>
      <x:c r="T311" s="373"/>
      <x:c r="U311" s="373"/>
      <x:c r="V311" s="373"/>
      <x:c r="W311" s="373"/>
      <x:c r="X311" s="373"/>
      <x:c r="Y311" s="373"/>
      <x:c r="Z311" s="373"/>
    </x:row>
    <x:row r="312">
      <x:c r="A312" s="373"/>
      <x:c r="B312" s="373"/>
      <x:c r="C312" s="373"/>
      <x:c r="D312" s="373"/>
      <x:c r="E312" s="373"/>
      <x:c r="F312" s="373"/>
      <x:c r="G312" s="373"/>
      <x:c r="H312" s="373"/>
      <x:c r="I312" s="373"/>
      <x:c r="J312" s="373"/>
      <x:c r="K312" s="373"/>
      <x:c r="L312" s="373"/>
      <x:c r="M312" s="373"/>
      <x:c r="N312" s="373"/>
      <x:c r="O312" s="373"/>
      <x:c r="P312" s="373"/>
      <x:c r="Q312" s="373"/>
      <x:c r="R312" s="373"/>
      <x:c r="S312" s="373"/>
      <x:c r="T312" s="373"/>
      <x:c r="U312" s="373"/>
      <x:c r="V312" s="373"/>
      <x:c r="W312" s="373"/>
      <x:c r="X312" s="373"/>
      <x:c r="Y312" s="373"/>
      <x:c r="Z312" s="373"/>
    </x:row>
    <x:row r="313">
      <x:c r="A313" s="373"/>
      <x:c r="B313" s="373"/>
      <x:c r="C313" s="373"/>
      <x:c r="D313" s="373"/>
      <x:c r="E313" s="373"/>
      <x:c r="F313" s="373"/>
      <x:c r="G313" s="373"/>
      <x:c r="H313" s="373"/>
      <x:c r="I313" s="373"/>
      <x:c r="J313" s="373"/>
      <x:c r="K313" s="373"/>
      <x:c r="L313" s="373"/>
      <x:c r="M313" s="373"/>
      <x:c r="N313" s="373"/>
      <x:c r="O313" s="373"/>
      <x:c r="P313" s="373"/>
      <x:c r="Q313" s="373"/>
      <x:c r="R313" s="373"/>
      <x:c r="S313" s="373"/>
      <x:c r="T313" s="373"/>
      <x:c r="U313" s="373"/>
      <x:c r="V313" s="373"/>
      <x:c r="W313" s="373"/>
      <x:c r="X313" s="373"/>
      <x:c r="Y313" s="373"/>
      <x:c r="Z313" s="373"/>
    </x:row>
    <x:row r="314">
      <x:c r="A314" s="373"/>
      <x:c r="B314" s="373"/>
      <x:c r="C314" s="373"/>
      <x:c r="D314" s="373"/>
      <x:c r="E314" s="373"/>
      <x:c r="F314" s="373"/>
      <x:c r="G314" s="373"/>
      <x:c r="H314" s="373"/>
      <x:c r="I314" s="373"/>
      <x:c r="J314" s="373"/>
      <x:c r="K314" s="373"/>
      <x:c r="L314" s="373"/>
      <x:c r="M314" s="373"/>
      <x:c r="N314" s="373"/>
      <x:c r="O314" s="373"/>
      <x:c r="P314" s="373"/>
      <x:c r="Q314" s="373"/>
      <x:c r="R314" s="373"/>
      <x:c r="S314" s="373"/>
      <x:c r="T314" s="373"/>
      <x:c r="U314" s="373"/>
      <x:c r="V314" s="373"/>
      <x:c r="W314" s="373"/>
      <x:c r="X314" s="373"/>
      <x:c r="Y314" s="373"/>
      <x:c r="Z314" s="373"/>
    </x:row>
    <x:row r="315">
      <x:c r="A315" s="373"/>
      <x:c r="B315" s="373"/>
      <x:c r="C315" s="373"/>
      <x:c r="D315" s="373"/>
      <x:c r="E315" s="373"/>
      <x:c r="F315" s="373"/>
      <x:c r="G315" s="373"/>
      <x:c r="H315" s="373"/>
      <x:c r="I315" s="373"/>
      <x:c r="J315" s="373"/>
      <x:c r="K315" s="373"/>
      <x:c r="L315" s="373"/>
      <x:c r="M315" s="373"/>
      <x:c r="N315" s="373"/>
      <x:c r="O315" s="373"/>
      <x:c r="P315" s="373"/>
      <x:c r="Q315" s="373"/>
      <x:c r="R315" s="373"/>
      <x:c r="S315" s="373"/>
      <x:c r="T315" s="373"/>
      <x:c r="U315" s="373"/>
      <x:c r="V315" s="373"/>
      <x:c r="W315" s="373"/>
      <x:c r="X315" s="373"/>
      <x:c r="Y315" s="373"/>
      <x:c r="Z315" s="373"/>
    </x:row>
    <x:row r="316">
      <x:c r="A316" s="373"/>
      <x:c r="B316" s="373"/>
      <x:c r="C316" s="373"/>
      <x:c r="D316" s="373"/>
      <x:c r="E316" s="373"/>
      <x:c r="F316" s="373"/>
      <x:c r="G316" s="373"/>
      <x:c r="H316" s="373"/>
      <x:c r="I316" s="373"/>
      <x:c r="J316" s="373"/>
      <x:c r="K316" s="373"/>
      <x:c r="L316" s="373"/>
      <x:c r="M316" s="373"/>
      <x:c r="N316" s="373"/>
      <x:c r="O316" s="373"/>
      <x:c r="P316" s="373"/>
      <x:c r="Q316" s="373"/>
      <x:c r="R316" s="373"/>
      <x:c r="S316" s="373"/>
      <x:c r="T316" s="373"/>
      <x:c r="U316" s="373"/>
      <x:c r="V316" s="373"/>
      <x:c r="W316" s="373"/>
      <x:c r="X316" s="373"/>
      <x:c r="Y316" s="373"/>
      <x:c r="Z316" s="373"/>
    </x:row>
    <x:row r="317">
      <x:c r="A317" s="373"/>
      <x:c r="B317" s="373"/>
      <x:c r="C317" s="373"/>
      <x:c r="D317" s="373"/>
      <x:c r="E317" s="373"/>
      <x:c r="F317" s="373"/>
      <x:c r="G317" s="373"/>
      <x:c r="H317" s="373"/>
      <x:c r="I317" s="373"/>
      <x:c r="J317" s="373"/>
      <x:c r="K317" s="373"/>
      <x:c r="L317" s="373"/>
      <x:c r="M317" s="373"/>
      <x:c r="N317" s="373"/>
      <x:c r="O317" s="373"/>
      <x:c r="P317" s="373"/>
      <x:c r="Q317" s="373"/>
      <x:c r="R317" s="373"/>
      <x:c r="S317" s="373"/>
      <x:c r="T317" s="373"/>
      <x:c r="U317" s="373"/>
      <x:c r="V317" s="373"/>
      <x:c r="W317" s="373"/>
      <x:c r="X317" s="373"/>
      <x:c r="Y317" s="373"/>
      <x:c r="Z317" s="373"/>
    </x:row>
    <x:row r="318">
      <x:c r="A318" s="373"/>
      <x:c r="B318" s="373"/>
      <x:c r="C318" s="373"/>
      <x:c r="D318" s="373"/>
      <x:c r="E318" s="373"/>
      <x:c r="F318" s="373"/>
      <x:c r="G318" s="373"/>
      <x:c r="H318" s="373"/>
      <x:c r="I318" s="373"/>
      <x:c r="J318" s="373"/>
      <x:c r="K318" s="373"/>
      <x:c r="L318" s="373"/>
      <x:c r="M318" s="373"/>
      <x:c r="N318" s="373"/>
      <x:c r="O318" s="373"/>
      <x:c r="P318" s="373"/>
      <x:c r="Q318" s="373"/>
      <x:c r="R318" s="373"/>
      <x:c r="S318" s="373"/>
      <x:c r="T318" s="373"/>
      <x:c r="U318" s="373"/>
      <x:c r="V318" s="373"/>
      <x:c r="W318" s="373"/>
      <x:c r="X318" s="373"/>
      <x:c r="Y318" s="373"/>
      <x:c r="Z318" s="373"/>
    </x:row>
    <x:row r="319">
      <x:c r="A319" s="373"/>
      <x:c r="B319" s="373"/>
      <x:c r="C319" s="373"/>
      <x:c r="D319" s="373"/>
      <x:c r="E319" s="373"/>
      <x:c r="F319" s="373"/>
      <x:c r="G319" s="373"/>
      <x:c r="H319" s="373"/>
      <x:c r="I319" s="373"/>
      <x:c r="J319" s="373"/>
      <x:c r="K319" s="373"/>
      <x:c r="L319" s="373"/>
      <x:c r="M319" s="373"/>
      <x:c r="N319" s="373"/>
      <x:c r="O319" s="373"/>
      <x:c r="P319" s="373"/>
      <x:c r="Q319" s="373"/>
      <x:c r="R319" s="373"/>
      <x:c r="S319" s="373"/>
      <x:c r="T319" s="373"/>
      <x:c r="U319" s="373"/>
      <x:c r="V319" s="373"/>
      <x:c r="W319" s="373"/>
      <x:c r="X319" s="373"/>
      <x:c r="Y319" s="373"/>
      <x:c r="Z319" s="373"/>
    </x:row>
    <x:row r="320">
      <x:c r="A320" s="373"/>
      <x:c r="B320" s="373"/>
      <x:c r="C320" s="373"/>
      <x:c r="D320" s="373"/>
      <x:c r="E320" s="373"/>
      <x:c r="F320" s="373"/>
      <x:c r="G320" s="373"/>
      <x:c r="H320" s="373"/>
      <x:c r="I320" s="373"/>
      <x:c r="J320" s="373"/>
      <x:c r="K320" s="373"/>
      <x:c r="L320" s="373"/>
      <x:c r="M320" s="373"/>
      <x:c r="N320" s="373"/>
      <x:c r="O320" s="373"/>
      <x:c r="P320" s="373"/>
      <x:c r="Q320" s="373"/>
      <x:c r="R320" s="373"/>
      <x:c r="S320" s="373"/>
      <x:c r="T320" s="373"/>
      <x:c r="U320" s="373"/>
      <x:c r="V320" s="373"/>
      <x:c r="W320" s="373"/>
      <x:c r="X320" s="373"/>
      <x:c r="Y320" s="373"/>
      <x:c r="Z320" s="373"/>
    </x:row>
    <x:row r="321">
      <x:c r="A321" s="373"/>
      <x:c r="B321" s="373"/>
      <x:c r="C321" s="373"/>
      <x:c r="D321" s="373"/>
      <x:c r="E321" s="373"/>
      <x:c r="F321" s="373"/>
      <x:c r="G321" s="373"/>
      <x:c r="H321" s="373"/>
      <x:c r="I321" s="373"/>
      <x:c r="J321" s="373"/>
      <x:c r="K321" s="373"/>
      <x:c r="L321" s="373"/>
      <x:c r="M321" s="373"/>
      <x:c r="N321" s="373"/>
      <x:c r="O321" s="373"/>
      <x:c r="P321" s="373"/>
      <x:c r="Q321" s="373"/>
      <x:c r="R321" s="373"/>
      <x:c r="S321" s="373"/>
      <x:c r="T321" s="373"/>
      <x:c r="U321" s="373"/>
      <x:c r="V321" s="373"/>
      <x:c r="W321" s="373"/>
      <x:c r="X321" s="373"/>
      <x:c r="Y321" s="373"/>
      <x:c r="Z321" s="373"/>
    </x:row>
    <x:row r="322">
      <x:c r="A322" s="373"/>
      <x:c r="B322" s="373"/>
      <x:c r="C322" s="373"/>
      <x:c r="D322" s="373"/>
      <x:c r="E322" s="373"/>
      <x:c r="F322" s="373"/>
      <x:c r="G322" s="373"/>
      <x:c r="H322" s="373"/>
      <x:c r="I322" s="373"/>
      <x:c r="J322" s="373"/>
      <x:c r="K322" s="373"/>
      <x:c r="L322" s="373"/>
      <x:c r="M322" s="373"/>
      <x:c r="N322" s="373"/>
      <x:c r="O322" s="373"/>
      <x:c r="P322" s="373"/>
      <x:c r="Q322" s="373"/>
      <x:c r="R322" s="373"/>
      <x:c r="S322" s="373"/>
      <x:c r="T322" s="373"/>
      <x:c r="U322" s="373"/>
      <x:c r="V322" s="373"/>
      <x:c r="W322" s="373"/>
      <x:c r="X322" s="373"/>
      <x:c r="Y322" s="373"/>
      <x:c r="Z322" s="373"/>
    </x:row>
    <x:row r="323">
      <x:c r="A323" s="373"/>
      <x:c r="B323" s="373"/>
      <x:c r="C323" s="373"/>
      <x:c r="D323" s="373"/>
      <x:c r="E323" s="373"/>
      <x:c r="F323" s="373"/>
      <x:c r="G323" s="373"/>
      <x:c r="H323" s="373"/>
      <x:c r="I323" s="373"/>
      <x:c r="J323" s="373"/>
      <x:c r="K323" s="373"/>
      <x:c r="L323" s="373"/>
      <x:c r="M323" s="373"/>
      <x:c r="N323" s="373"/>
      <x:c r="O323" s="373"/>
      <x:c r="P323" s="373"/>
      <x:c r="Q323" s="373"/>
      <x:c r="R323" s="373"/>
      <x:c r="S323" s="373"/>
      <x:c r="T323" s="373"/>
      <x:c r="U323" s="373"/>
      <x:c r="V323" s="373"/>
      <x:c r="W323" s="373"/>
      <x:c r="X323" s="373"/>
      <x:c r="Y323" s="373"/>
      <x:c r="Z323" s="373"/>
    </x:row>
    <x:row r="324">
      <x:c r="A324" s="373"/>
      <x:c r="B324" s="373"/>
      <x:c r="C324" s="373"/>
      <x:c r="D324" s="373"/>
      <x:c r="E324" s="373"/>
      <x:c r="F324" s="373"/>
      <x:c r="G324" s="373"/>
      <x:c r="H324" s="373"/>
      <x:c r="I324" s="373"/>
      <x:c r="J324" s="373"/>
      <x:c r="K324" s="373"/>
      <x:c r="L324" s="373"/>
      <x:c r="M324" s="373"/>
      <x:c r="N324" s="373"/>
      <x:c r="O324" s="373"/>
      <x:c r="P324" s="373"/>
      <x:c r="Q324" s="373"/>
      <x:c r="R324" s="373"/>
      <x:c r="S324" s="373"/>
      <x:c r="T324" s="373"/>
      <x:c r="U324" s="373"/>
      <x:c r="V324" s="373"/>
      <x:c r="W324" s="373"/>
      <x:c r="X324" s="373"/>
      <x:c r="Y324" s="373"/>
      <x:c r="Z324" s="373"/>
    </x:row>
    <x:row r="325">
      <x:c r="A325" s="373"/>
      <x:c r="B325" s="373"/>
      <x:c r="C325" s="373"/>
      <x:c r="D325" s="373"/>
      <x:c r="E325" s="373"/>
      <x:c r="F325" s="373"/>
      <x:c r="G325" s="373"/>
      <x:c r="H325" s="373"/>
      <x:c r="I325" s="373"/>
      <x:c r="J325" s="373"/>
      <x:c r="K325" s="373"/>
      <x:c r="L325" s="373"/>
      <x:c r="M325" s="373"/>
      <x:c r="N325" s="373"/>
      <x:c r="O325" s="373"/>
      <x:c r="P325" s="373"/>
      <x:c r="Q325" s="373"/>
      <x:c r="R325" s="373"/>
      <x:c r="S325" s="373"/>
      <x:c r="T325" s="373"/>
      <x:c r="U325" s="373"/>
      <x:c r="V325" s="373"/>
      <x:c r="W325" s="373"/>
      <x:c r="X325" s="373"/>
      <x:c r="Y325" s="373"/>
      <x:c r="Z325" s="373"/>
    </x:row>
    <x:row r="326">
      <x:c r="A326" s="373"/>
      <x:c r="B326" s="373"/>
      <x:c r="C326" s="373"/>
      <x:c r="D326" s="373"/>
      <x:c r="E326" s="373"/>
      <x:c r="F326" s="373"/>
      <x:c r="G326" s="373"/>
      <x:c r="H326" s="373"/>
      <x:c r="I326" s="373"/>
      <x:c r="J326" s="373"/>
      <x:c r="K326" s="373"/>
      <x:c r="L326" s="373"/>
      <x:c r="M326" s="373"/>
      <x:c r="N326" s="373"/>
      <x:c r="O326" s="373"/>
      <x:c r="P326" s="373"/>
      <x:c r="Q326" s="373"/>
      <x:c r="R326" s="373"/>
      <x:c r="S326" s="373"/>
      <x:c r="T326" s="373"/>
      <x:c r="U326" s="373"/>
      <x:c r="V326" s="373"/>
      <x:c r="W326" s="373"/>
      <x:c r="X326" s="373"/>
      <x:c r="Y326" s="373"/>
      <x:c r="Z326" s="373"/>
    </x:row>
    <x:row r="327">
      <x:c r="A327" s="373"/>
      <x:c r="B327" s="373"/>
      <x:c r="C327" s="373"/>
      <x:c r="D327" s="373"/>
      <x:c r="E327" s="373"/>
      <x:c r="F327" s="373"/>
      <x:c r="G327" s="373"/>
      <x:c r="H327" s="373"/>
      <x:c r="I327" s="373"/>
      <x:c r="J327" s="373"/>
      <x:c r="K327" s="373"/>
      <x:c r="L327" s="373"/>
      <x:c r="M327" s="373"/>
      <x:c r="N327" s="373"/>
      <x:c r="O327" s="373"/>
      <x:c r="P327" s="373"/>
      <x:c r="Q327" s="373"/>
      <x:c r="R327" s="373"/>
      <x:c r="S327" s="373"/>
      <x:c r="T327" s="373"/>
      <x:c r="U327" s="373"/>
      <x:c r="V327" s="373"/>
      <x:c r="W327" s="373"/>
      <x:c r="X327" s="373"/>
      <x:c r="Y327" s="373"/>
      <x:c r="Z327" s="373"/>
    </x:row>
    <x:row r="328">
      <x:c r="A328" s="373"/>
      <x:c r="B328" s="373"/>
      <x:c r="C328" s="373"/>
      <x:c r="D328" s="373"/>
      <x:c r="E328" s="373"/>
      <x:c r="F328" s="373"/>
      <x:c r="G328" s="373"/>
      <x:c r="H328" s="373"/>
      <x:c r="I328" s="373"/>
      <x:c r="J328" s="373"/>
      <x:c r="K328" s="373"/>
      <x:c r="L328" s="373"/>
      <x:c r="M328" s="373"/>
      <x:c r="N328" s="373"/>
      <x:c r="O328" s="373"/>
      <x:c r="P328" s="373"/>
      <x:c r="Q328" s="373"/>
      <x:c r="R328" s="373"/>
      <x:c r="S328" s="373"/>
      <x:c r="T328" s="373"/>
      <x:c r="U328" s="373"/>
      <x:c r="V328" s="373"/>
      <x:c r="W328" s="373"/>
      <x:c r="X328" s="373"/>
      <x:c r="Y328" s="373"/>
      <x:c r="Z328" s="373"/>
    </x:row>
    <x:row r="329">
      <x:c r="A329" s="373"/>
      <x:c r="B329" s="373"/>
      <x:c r="C329" s="373"/>
      <x:c r="D329" s="373"/>
      <x:c r="E329" s="373"/>
      <x:c r="F329" s="373"/>
      <x:c r="G329" s="373"/>
      <x:c r="H329" s="373"/>
      <x:c r="I329" s="373"/>
      <x:c r="J329" s="373"/>
      <x:c r="K329" s="373"/>
      <x:c r="L329" s="373"/>
      <x:c r="M329" s="373"/>
      <x:c r="N329" s="373"/>
      <x:c r="O329" s="373"/>
      <x:c r="P329" s="373"/>
      <x:c r="Q329" s="373"/>
      <x:c r="R329" s="373"/>
      <x:c r="S329" s="373"/>
      <x:c r="T329" s="373"/>
      <x:c r="U329" s="373"/>
      <x:c r="V329" s="373"/>
      <x:c r="W329" s="373"/>
      <x:c r="X329" s="373"/>
      <x:c r="Y329" s="373"/>
      <x:c r="Z329" s="373"/>
    </x:row>
    <x:row r="330">
      <x:c r="A330" s="373"/>
      <x:c r="B330" s="373"/>
      <x:c r="C330" s="373"/>
      <x:c r="D330" s="373"/>
      <x:c r="E330" s="373"/>
      <x:c r="F330" s="373"/>
      <x:c r="G330" s="373"/>
      <x:c r="H330" s="373"/>
      <x:c r="I330" s="373"/>
      <x:c r="J330" s="373"/>
      <x:c r="K330" s="373"/>
      <x:c r="L330" s="373"/>
      <x:c r="M330" s="373"/>
      <x:c r="N330" s="373"/>
      <x:c r="O330" s="373"/>
      <x:c r="P330" s="373"/>
      <x:c r="Q330" s="373"/>
      <x:c r="R330" s="373"/>
      <x:c r="S330" s="373"/>
      <x:c r="T330" s="373"/>
      <x:c r="U330" s="373"/>
      <x:c r="V330" s="373"/>
      <x:c r="W330" s="373"/>
      <x:c r="X330" s="373"/>
      <x:c r="Y330" s="373"/>
      <x:c r="Z330" s="373"/>
    </x:row>
    <x:row r="331">
      <x:c r="A331" s="373"/>
      <x:c r="B331" s="373"/>
      <x:c r="C331" s="373"/>
      <x:c r="D331" s="373"/>
      <x:c r="E331" s="373"/>
      <x:c r="F331" s="373"/>
      <x:c r="G331" s="373"/>
      <x:c r="H331" s="373"/>
      <x:c r="I331" s="373"/>
      <x:c r="J331" s="373"/>
      <x:c r="K331" s="373"/>
      <x:c r="L331" s="373"/>
      <x:c r="M331" s="373"/>
      <x:c r="N331" s="373"/>
      <x:c r="O331" s="373"/>
      <x:c r="P331" s="373"/>
      <x:c r="Q331" s="373"/>
      <x:c r="R331" s="373"/>
      <x:c r="S331" s="373"/>
      <x:c r="T331" s="373"/>
      <x:c r="U331" s="373"/>
      <x:c r="V331" s="373"/>
      <x:c r="W331" s="373"/>
      <x:c r="X331" s="373"/>
      <x:c r="Y331" s="373"/>
      <x:c r="Z331" s="373"/>
    </x:row>
    <x:row r="332">
      <x:c r="A332" s="373"/>
      <x:c r="B332" s="373"/>
      <x:c r="C332" s="373"/>
      <x:c r="D332" s="373"/>
      <x:c r="E332" s="373"/>
      <x:c r="F332" s="373"/>
      <x:c r="G332" s="373"/>
      <x:c r="H332" s="373"/>
      <x:c r="I332" s="373"/>
      <x:c r="J332" s="373"/>
      <x:c r="K332" s="373"/>
      <x:c r="L332" s="373"/>
      <x:c r="M332" s="373"/>
      <x:c r="N332" s="373"/>
      <x:c r="O332" s="373"/>
      <x:c r="P332" s="373"/>
      <x:c r="Q332" s="373"/>
      <x:c r="R332" s="373"/>
      <x:c r="S332" s="373"/>
      <x:c r="T332" s="373"/>
      <x:c r="U332" s="373"/>
      <x:c r="V332" s="373"/>
      <x:c r="W332" s="373"/>
      <x:c r="X332" s="373"/>
      <x:c r="Y332" s="373"/>
      <x:c r="Z332" s="373"/>
    </x:row>
    <x:row r="333">
      <x:c r="A333" s="373"/>
      <x:c r="B333" s="373"/>
      <x:c r="C333" s="373"/>
      <x:c r="D333" s="373"/>
      <x:c r="E333" s="373"/>
      <x:c r="F333" s="373"/>
      <x:c r="G333" s="373"/>
      <x:c r="H333" s="373"/>
      <x:c r="I333" s="373"/>
      <x:c r="J333" s="373"/>
      <x:c r="K333" s="373"/>
      <x:c r="L333" s="373"/>
      <x:c r="M333" s="373"/>
      <x:c r="N333" s="373"/>
      <x:c r="O333" s="373"/>
      <x:c r="P333" s="373"/>
      <x:c r="Q333" s="373"/>
      <x:c r="R333" s="373"/>
      <x:c r="S333" s="373"/>
      <x:c r="T333" s="373"/>
      <x:c r="U333" s="373"/>
      <x:c r="V333" s="373"/>
      <x:c r="W333" s="373"/>
      <x:c r="X333" s="373"/>
      <x:c r="Y333" s="373"/>
      <x:c r="Z333" s="373"/>
    </x:row>
    <x:row r="334">
      <x:c r="A334" s="373"/>
      <x:c r="B334" s="373"/>
      <x:c r="C334" s="373"/>
      <x:c r="D334" s="373"/>
      <x:c r="E334" s="373"/>
      <x:c r="F334" s="373"/>
      <x:c r="G334" s="373"/>
      <x:c r="H334" s="373"/>
      <x:c r="I334" s="373"/>
      <x:c r="J334" s="373"/>
      <x:c r="K334" s="373"/>
      <x:c r="L334" s="373"/>
      <x:c r="M334" s="373"/>
      <x:c r="N334" s="373"/>
      <x:c r="O334" s="373"/>
      <x:c r="P334" s="373"/>
      <x:c r="Q334" s="373"/>
      <x:c r="R334" s="373"/>
      <x:c r="S334" s="373"/>
      <x:c r="T334" s="373"/>
      <x:c r="U334" s="373"/>
      <x:c r="V334" s="373"/>
      <x:c r="W334" s="373"/>
      <x:c r="X334" s="373"/>
      <x:c r="Y334" s="373"/>
      <x:c r="Z334" s="373"/>
    </x:row>
    <x:row r="335">
      <x:c r="A335" s="373"/>
      <x:c r="B335" s="373"/>
      <x:c r="C335" s="373"/>
      <x:c r="D335" s="373"/>
      <x:c r="E335" s="373"/>
      <x:c r="F335" s="373"/>
      <x:c r="G335" s="373"/>
      <x:c r="H335" s="373"/>
      <x:c r="I335" s="373"/>
      <x:c r="J335" s="373"/>
      <x:c r="K335" s="373"/>
      <x:c r="L335" s="373"/>
      <x:c r="M335" s="373"/>
      <x:c r="N335" s="373"/>
      <x:c r="O335" s="373"/>
      <x:c r="P335" s="373"/>
      <x:c r="Q335" s="373"/>
      <x:c r="R335" s="373"/>
      <x:c r="S335" s="373"/>
      <x:c r="T335" s="373"/>
      <x:c r="U335" s="373"/>
      <x:c r="V335" s="373"/>
      <x:c r="W335" s="373"/>
      <x:c r="X335" s="373"/>
      <x:c r="Y335" s="373"/>
      <x:c r="Z335" s="373"/>
    </x:row>
    <x:row r="336">
      <x:c r="A336" s="373"/>
      <x:c r="B336" s="373"/>
      <x:c r="C336" s="373"/>
      <x:c r="D336" s="373"/>
      <x:c r="E336" s="373"/>
      <x:c r="F336" s="373"/>
      <x:c r="G336" s="373"/>
      <x:c r="H336" s="373"/>
      <x:c r="I336" s="373"/>
      <x:c r="J336" s="373"/>
      <x:c r="K336" s="373"/>
      <x:c r="L336" s="373"/>
      <x:c r="M336" s="373"/>
      <x:c r="N336" s="373"/>
      <x:c r="O336" s="373"/>
      <x:c r="P336" s="373"/>
      <x:c r="Q336" s="373"/>
      <x:c r="R336" s="373"/>
      <x:c r="S336" s="373"/>
      <x:c r="T336" s="373"/>
      <x:c r="U336" s="373"/>
      <x:c r="V336" s="373"/>
      <x:c r="W336" s="373"/>
      <x:c r="X336" s="373"/>
      <x:c r="Y336" s="373"/>
      <x:c r="Z336" s="373"/>
    </x:row>
    <x:row r="337">
      <x:c r="A337" s="373"/>
      <x:c r="B337" s="373"/>
      <x:c r="C337" s="373"/>
      <x:c r="D337" s="373"/>
      <x:c r="E337" s="373"/>
      <x:c r="F337" s="373"/>
      <x:c r="G337" s="373"/>
      <x:c r="H337" s="373"/>
      <x:c r="I337" s="373"/>
      <x:c r="J337" s="373"/>
      <x:c r="K337" s="373"/>
      <x:c r="L337" s="373"/>
      <x:c r="M337" s="373"/>
      <x:c r="N337" s="373"/>
      <x:c r="O337" s="373"/>
      <x:c r="P337" s="373"/>
      <x:c r="Q337" s="373"/>
      <x:c r="R337" s="373"/>
      <x:c r="S337" s="373"/>
      <x:c r="T337" s="373"/>
      <x:c r="U337" s="373"/>
      <x:c r="V337" s="373"/>
      <x:c r="W337" s="373"/>
      <x:c r="X337" s="373"/>
      <x:c r="Y337" s="373"/>
      <x:c r="Z337" s="373"/>
    </x:row>
    <x:row r="338">
      <x:c r="A338" s="373"/>
      <x:c r="B338" s="373"/>
      <x:c r="C338" s="373"/>
      <x:c r="D338" s="373"/>
      <x:c r="E338" s="373"/>
      <x:c r="F338" s="373"/>
      <x:c r="G338" s="373"/>
      <x:c r="H338" s="373"/>
      <x:c r="I338" s="373"/>
      <x:c r="J338" s="373"/>
      <x:c r="K338" s="373"/>
      <x:c r="L338" s="373"/>
      <x:c r="M338" s="373"/>
      <x:c r="N338" s="373"/>
      <x:c r="O338" s="373"/>
      <x:c r="P338" s="373"/>
      <x:c r="Q338" s="373"/>
      <x:c r="R338" s="373"/>
      <x:c r="S338" s="373"/>
      <x:c r="T338" s="373"/>
      <x:c r="U338" s="373"/>
      <x:c r="V338" s="373"/>
      <x:c r="W338" s="373"/>
      <x:c r="X338" s="373"/>
      <x:c r="Y338" s="373"/>
      <x:c r="Z338" s="373"/>
    </x:row>
    <x:row r="339">
      <x:c r="A339" s="373"/>
      <x:c r="B339" s="373"/>
      <x:c r="C339" s="373"/>
      <x:c r="D339" s="373"/>
      <x:c r="E339" s="373"/>
      <x:c r="F339" s="373"/>
      <x:c r="G339" s="373"/>
      <x:c r="H339" s="373"/>
      <x:c r="I339" s="373"/>
      <x:c r="J339" s="373"/>
      <x:c r="K339" s="373"/>
      <x:c r="L339" s="373"/>
      <x:c r="M339" s="373"/>
      <x:c r="N339" s="373"/>
      <x:c r="O339" s="373"/>
      <x:c r="P339" s="373"/>
      <x:c r="Q339" s="373"/>
      <x:c r="R339" s="373"/>
      <x:c r="S339" s="373"/>
      <x:c r="T339" s="373"/>
      <x:c r="U339" s="373"/>
      <x:c r="V339" s="373"/>
      <x:c r="W339" s="373"/>
      <x:c r="X339" s="373"/>
      <x:c r="Y339" s="373"/>
      <x:c r="Z339" s="373"/>
    </x:row>
    <x:row r="340">
      <x:c r="A340" s="373"/>
      <x:c r="B340" s="373"/>
      <x:c r="C340" s="373"/>
      <x:c r="D340" s="373"/>
      <x:c r="E340" s="373"/>
      <x:c r="F340" s="373"/>
      <x:c r="G340" s="373"/>
      <x:c r="H340" s="373"/>
      <x:c r="I340" s="373"/>
      <x:c r="J340" s="373"/>
      <x:c r="K340" s="373"/>
      <x:c r="L340" s="373"/>
      <x:c r="M340" s="373"/>
      <x:c r="N340" s="373"/>
      <x:c r="O340" s="373"/>
      <x:c r="P340" s="373"/>
      <x:c r="Q340" s="373"/>
      <x:c r="R340" s="373"/>
      <x:c r="S340" s="373"/>
      <x:c r="T340" s="373"/>
      <x:c r="U340" s="373"/>
      <x:c r="V340" s="373"/>
      <x:c r="W340" s="373"/>
      <x:c r="X340" s="373"/>
      <x:c r="Y340" s="373"/>
      <x:c r="Z340" s="373"/>
    </x:row>
    <x:row r="341">
      <x:c r="A341" s="373"/>
      <x:c r="B341" s="373"/>
      <x:c r="C341" s="373"/>
      <x:c r="D341" s="373"/>
      <x:c r="E341" s="373"/>
      <x:c r="F341" s="373"/>
      <x:c r="G341" s="373"/>
      <x:c r="H341" s="373"/>
      <x:c r="I341" s="373"/>
      <x:c r="J341" s="373"/>
      <x:c r="K341" s="373"/>
      <x:c r="L341" s="373"/>
      <x:c r="M341" s="373"/>
      <x:c r="N341" s="373"/>
      <x:c r="O341" s="373"/>
      <x:c r="P341" s="373"/>
      <x:c r="Q341" s="373"/>
      <x:c r="R341" s="373"/>
      <x:c r="S341" s="373"/>
      <x:c r="T341" s="373"/>
      <x:c r="U341" s="373"/>
      <x:c r="V341" s="373"/>
      <x:c r="W341" s="373"/>
      <x:c r="X341" s="373"/>
      <x:c r="Y341" s="373"/>
      <x:c r="Z341" s="373"/>
    </x:row>
    <x:row r="342">
      <x:c r="A342" s="373"/>
      <x:c r="B342" s="373"/>
      <x:c r="C342" s="373"/>
      <x:c r="D342" s="373"/>
      <x:c r="E342" s="373"/>
      <x:c r="F342" s="373"/>
      <x:c r="G342" s="373"/>
      <x:c r="H342" s="373"/>
      <x:c r="I342" s="373"/>
      <x:c r="J342" s="373"/>
      <x:c r="K342" s="373"/>
      <x:c r="L342" s="373"/>
      <x:c r="M342" s="373"/>
      <x:c r="N342" s="373"/>
      <x:c r="O342" s="373"/>
      <x:c r="P342" s="373"/>
      <x:c r="Q342" s="373"/>
      <x:c r="R342" s="373"/>
      <x:c r="S342" s="373"/>
      <x:c r="T342" s="373"/>
      <x:c r="U342" s="373"/>
      <x:c r="V342" s="373"/>
      <x:c r="W342" s="373"/>
      <x:c r="X342" s="373"/>
      <x:c r="Y342" s="373"/>
      <x:c r="Z342" s="373"/>
    </x:row>
    <x:row r="343">
      <x:c r="A343" s="373"/>
      <x:c r="B343" s="373"/>
      <x:c r="C343" s="373"/>
      <x:c r="D343" s="373"/>
      <x:c r="E343" s="373"/>
      <x:c r="F343" s="373"/>
      <x:c r="G343" s="373"/>
      <x:c r="H343" s="373"/>
      <x:c r="I343" s="373"/>
      <x:c r="J343" s="373"/>
      <x:c r="K343" s="373"/>
      <x:c r="L343" s="373"/>
      <x:c r="M343" s="373"/>
      <x:c r="N343" s="373"/>
      <x:c r="O343" s="373"/>
      <x:c r="P343" s="373"/>
      <x:c r="Q343" s="373"/>
      <x:c r="R343" s="373"/>
      <x:c r="S343" s="373"/>
      <x:c r="T343" s="373"/>
      <x:c r="U343" s="373"/>
      <x:c r="V343" s="373"/>
      <x:c r="W343" s="373"/>
      <x:c r="X343" s="373"/>
      <x:c r="Y343" s="373"/>
      <x:c r="Z343" s="373"/>
    </x:row>
    <x:row r="344">
      <x:c r="A344" s="373"/>
      <x:c r="B344" s="373"/>
      <x:c r="C344" s="373"/>
      <x:c r="D344" s="373"/>
      <x:c r="E344" s="373"/>
      <x:c r="F344" s="373"/>
      <x:c r="G344" s="373"/>
      <x:c r="H344" s="373"/>
      <x:c r="I344" s="373"/>
      <x:c r="J344" s="373"/>
      <x:c r="K344" s="373"/>
      <x:c r="L344" s="373"/>
      <x:c r="M344" s="373"/>
      <x:c r="N344" s="373"/>
      <x:c r="O344" s="373"/>
      <x:c r="P344" s="373"/>
      <x:c r="Q344" s="373"/>
      <x:c r="R344" s="373"/>
      <x:c r="S344" s="373"/>
      <x:c r="T344" s="373"/>
      <x:c r="U344" s="373"/>
      <x:c r="V344" s="373"/>
      <x:c r="W344" s="373"/>
      <x:c r="X344" s="373"/>
      <x:c r="Y344" s="373"/>
      <x:c r="Z344" s="373"/>
    </x:row>
    <x:row r="345">
      <x:c r="A345" s="373"/>
      <x:c r="B345" s="373"/>
      <x:c r="C345" s="373"/>
      <x:c r="D345" s="373"/>
      <x:c r="E345" s="373"/>
      <x:c r="F345" s="373"/>
      <x:c r="G345" s="373"/>
      <x:c r="H345" s="373"/>
      <x:c r="I345" s="373"/>
      <x:c r="J345" s="373"/>
      <x:c r="K345" s="373"/>
      <x:c r="L345" s="373"/>
      <x:c r="M345" s="373"/>
      <x:c r="N345" s="373"/>
      <x:c r="O345" s="373"/>
      <x:c r="P345" s="373"/>
      <x:c r="Q345" s="373"/>
      <x:c r="R345" s="373"/>
      <x:c r="S345" s="373"/>
      <x:c r="T345" s="373"/>
      <x:c r="U345" s="373"/>
      <x:c r="V345" s="373"/>
      <x:c r="W345" s="373"/>
      <x:c r="X345" s="373"/>
      <x:c r="Y345" s="373"/>
      <x:c r="Z345" s="373"/>
    </x:row>
    <x:row r="346">
      <x:c r="A346" s="373"/>
      <x:c r="B346" s="373"/>
      <x:c r="C346" s="373"/>
      <x:c r="D346" s="373"/>
      <x:c r="E346" s="373"/>
      <x:c r="F346" s="373"/>
      <x:c r="G346" s="373"/>
      <x:c r="H346" s="373"/>
      <x:c r="I346" s="373"/>
      <x:c r="J346" s="373"/>
      <x:c r="K346" s="373"/>
      <x:c r="L346" s="373"/>
      <x:c r="M346" s="373"/>
      <x:c r="N346" s="373"/>
      <x:c r="O346" s="373"/>
      <x:c r="P346" s="373"/>
      <x:c r="Q346" s="373"/>
      <x:c r="R346" s="373"/>
      <x:c r="S346" s="373"/>
      <x:c r="T346" s="373"/>
      <x:c r="U346" s="373"/>
      <x:c r="V346" s="373"/>
      <x:c r="W346" s="373"/>
      <x:c r="X346" s="373"/>
      <x:c r="Y346" s="373"/>
      <x:c r="Z346" s="373"/>
    </x:row>
    <x:row r="347">
      <x:c r="A347" s="373"/>
      <x:c r="B347" s="373"/>
      <x:c r="C347" s="373"/>
      <x:c r="D347" s="373"/>
      <x:c r="E347" s="373"/>
      <x:c r="F347" s="373"/>
      <x:c r="G347" s="373"/>
      <x:c r="H347" s="373"/>
      <x:c r="I347" s="373"/>
      <x:c r="J347" s="373"/>
      <x:c r="K347" s="373"/>
      <x:c r="L347" s="373"/>
      <x:c r="M347" s="373"/>
      <x:c r="N347" s="373"/>
      <x:c r="O347" s="373"/>
      <x:c r="P347" s="373"/>
      <x:c r="Q347" s="373"/>
      <x:c r="R347" s="373"/>
      <x:c r="S347" s="373"/>
      <x:c r="T347" s="373"/>
      <x:c r="U347" s="373"/>
      <x:c r="V347" s="373"/>
      <x:c r="W347" s="373"/>
      <x:c r="X347" s="373"/>
      <x:c r="Y347" s="373"/>
      <x:c r="Z347" s="373"/>
    </x:row>
    <x:row r="348">
      <x:c r="A348" s="373"/>
      <x:c r="B348" s="373"/>
      <x:c r="C348" s="373"/>
      <x:c r="D348" s="373"/>
      <x:c r="E348" s="373"/>
      <x:c r="F348" s="373"/>
      <x:c r="G348" s="373"/>
      <x:c r="H348" s="373"/>
      <x:c r="I348" s="373"/>
      <x:c r="J348" s="373"/>
      <x:c r="K348" s="373"/>
      <x:c r="L348" s="373"/>
      <x:c r="M348" s="373"/>
      <x:c r="N348" s="373"/>
      <x:c r="O348" s="373"/>
      <x:c r="P348" s="373"/>
      <x:c r="Q348" s="373"/>
      <x:c r="R348" s="373"/>
      <x:c r="S348" s="373"/>
      <x:c r="T348" s="373"/>
      <x:c r="U348" s="373"/>
      <x:c r="V348" s="373"/>
      <x:c r="W348" s="373"/>
      <x:c r="X348" s="373"/>
      <x:c r="Y348" s="373"/>
      <x:c r="Z348" s="373"/>
    </x:row>
    <x:row r="349">
      <x:c r="A349" s="373"/>
      <x:c r="B349" s="373"/>
      <x:c r="C349" s="373"/>
      <x:c r="D349" s="373"/>
      <x:c r="E349" s="373"/>
      <x:c r="F349" s="373"/>
      <x:c r="G349" s="373"/>
      <x:c r="H349" s="373"/>
      <x:c r="I349" s="373"/>
      <x:c r="J349" s="373"/>
      <x:c r="K349" s="373"/>
      <x:c r="L349" s="373"/>
      <x:c r="M349" s="373"/>
      <x:c r="N349" s="373"/>
      <x:c r="O349" s="373"/>
      <x:c r="P349" s="373"/>
      <x:c r="Q349" s="373"/>
      <x:c r="R349" s="373"/>
      <x:c r="S349" s="373"/>
      <x:c r="T349" s="373"/>
      <x:c r="U349" s="373"/>
      <x:c r="V349" s="373"/>
      <x:c r="W349" s="373"/>
      <x:c r="X349" s="373"/>
      <x:c r="Y349" s="373"/>
      <x:c r="Z349" s="373"/>
    </x:row>
    <x:row r="350">
      <x:c r="A350" s="373"/>
      <x:c r="B350" s="373"/>
      <x:c r="C350" s="373"/>
      <x:c r="D350" s="373"/>
      <x:c r="E350" s="373"/>
      <x:c r="F350" s="373"/>
      <x:c r="G350" s="373"/>
      <x:c r="H350" s="373"/>
      <x:c r="I350" s="373"/>
      <x:c r="J350" s="373"/>
      <x:c r="K350" s="373"/>
      <x:c r="L350" s="373"/>
      <x:c r="M350" s="373"/>
      <x:c r="N350" s="373"/>
      <x:c r="O350" s="373"/>
      <x:c r="P350" s="373"/>
      <x:c r="Q350" s="373"/>
      <x:c r="R350" s="373"/>
      <x:c r="S350" s="373"/>
      <x:c r="T350" s="373"/>
      <x:c r="U350" s="373"/>
      <x:c r="V350" s="373"/>
      <x:c r="W350" s="373"/>
      <x:c r="X350" s="373"/>
      <x:c r="Y350" s="373"/>
      <x:c r="Z350" s="373"/>
    </x:row>
    <x:row r="351">
      <x:c r="A351" s="373"/>
      <x:c r="B351" s="373"/>
      <x:c r="C351" s="373"/>
      <x:c r="D351" s="373"/>
      <x:c r="E351" s="373"/>
      <x:c r="F351" s="373"/>
      <x:c r="G351" s="373"/>
      <x:c r="H351" s="373"/>
      <x:c r="I351" s="373"/>
      <x:c r="J351" s="373"/>
      <x:c r="K351" s="373"/>
      <x:c r="L351" s="373"/>
      <x:c r="M351" s="373"/>
      <x:c r="N351" s="373"/>
      <x:c r="O351" s="373"/>
      <x:c r="P351" s="373"/>
      <x:c r="Q351" s="373"/>
      <x:c r="R351" s="373"/>
      <x:c r="S351" s="373"/>
      <x:c r="T351" s="373"/>
      <x:c r="U351" s="373"/>
      <x:c r="V351" s="373"/>
      <x:c r="W351" s="373"/>
      <x:c r="X351" s="373"/>
      <x:c r="Y351" s="373"/>
      <x:c r="Z351" s="373"/>
    </x:row>
    <x:row r="352">
      <x:c r="A352" s="373"/>
      <x:c r="B352" s="373"/>
      <x:c r="C352" s="373"/>
      <x:c r="D352" s="373"/>
      <x:c r="E352" s="373"/>
      <x:c r="F352" s="373"/>
      <x:c r="G352" s="373"/>
      <x:c r="H352" s="373"/>
      <x:c r="I352" s="373"/>
      <x:c r="J352" s="373"/>
      <x:c r="K352" s="373"/>
      <x:c r="L352" s="373"/>
      <x:c r="M352" s="373"/>
      <x:c r="N352" s="373"/>
      <x:c r="O352" s="373"/>
      <x:c r="P352" s="373"/>
      <x:c r="Q352" s="373"/>
      <x:c r="R352" s="373"/>
      <x:c r="S352" s="373"/>
      <x:c r="T352" s="373"/>
      <x:c r="U352" s="373"/>
      <x:c r="V352" s="373"/>
      <x:c r="W352" s="373"/>
      <x:c r="X352" s="373"/>
      <x:c r="Y352" s="373"/>
      <x:c r="Z352" s="373"/>
    </x:row>
    <x:row r="353">
      <x:c r="A353" s="373"/>
      <x:c r="B353" s="373"/>
      <x:c r="C353" s="373"/>
      <x:c r="D353" s="373"/>
      <x:c r="E353" s="373"/>
      <x:c r="F353" s="373"/>
      <x:c r="G353" s="373"/>
      <x:c r="H353" s="373"/>
      <x:c r="I353" s="373"/>
      <x:c r="J353" s="373"/>
      <x:c r="K353" s="373"/>
      <x:c r="L353" s="373"/>
      <x:c r="M353" s="373"/>
      <x:c r="N353" s="373"/>
      <x:c r="O353" s="373"/>
      <x:c r="P353" s="373"/>
      <x:c r="Q353" s="373"/>
      <x:c r="R353" s="373"/>
      <x:c r="S353" s="373"/>
      <x:c r="T353" s="373"/>
      <x:c r="U353" s="373"/>
      <x:c r="V353" s="373"/>
      <x:c r="W353" s="373"/>
      <x:c r="X353" s="373"/>
      <x:c r="Y353" s="373"/>
      <x:c r="Z353" s="373"/>
    </x:row>
    <x:row r="354">
      <x:c r="A354" s="373"/>
      <x:c r="B354" s="373"/>
      <x:c r="C354" s="373"/>
      <x:c r="D354" s="373"/>
      <x:c r="E354" s="373"/>
      <x:c r="F354" s="373"/>
      <x:c r="G354" s="373"/>
      <x:c r="H354" s="373"/>
      <x:c r="I354" s="373"/>
      <x:c r="J354" s="373"/>
      <x:c r="K354" s="373"/>
      <x:c r="L354" s="373"/>
      <x:c r="M354" s="373"/>
      <x:c r="N354" s="373"/>
      <x:c r="O354" s="373"/>
      <x:c r="P354" s="373"/>
      <x:c r="Q354" s="373"/>
      <x:c r="R354" s="373"/>
      <x:c r="S354" s="373"/>
      <x:c r="T354" s="373"/>
      <x:c r="U354" s="373"/>
      <x:c r="V354" s="373"/>
      <x:c r="W354" s="373"/>
      <x:c r="X354" s="373"/>
      <x:c r="Y354" s="373"/>
      <x:c r="Z354" s="373"/>
    </x:row>
    <x:row r="355">
      <x:c r="A355" s="373"/>
      <x:c r="B355" s="373"/>
      <x:c r="C355" s="373"/>
      <x:c r="D355" s="373"/>
      <x:c r="E355" s="373"/>
      <x:c r="F355" s="373"/>
      <x:c r="G355" s="373"/>
      <x:c r="H355" s="373"/>
      <x:c r="I355" s="373"/>
      <x:c r="J355" s="373"/>
      <x:c r="K355" s="373"/>
      <x:c r="L355" s="373"/>
      <x:c r="M355" s="373"/>
      <x:c r="N355" s="373"/>
      <x:c r="O355" s="373"/>
      <x:c r="P355" s="373"/>
      <x:c r="Q355" s="373"/>
      <x:c r="R355" s="373"/>
      <x:c r="S355" s="373"/>
      <x:c r="T355" s="373"/>
      <x:c r="U355" s="373"/>
      <x:c r="V355" s="373"/>
      <x:c r="W355" s="373"/>
      <x:c r="X355" s="373"/>
      <x:c r="Y355" s="373"/>
      <x:c r="Z355" s="373"/>
    </x:row>
    <x:row r="356">
      <x:c r="A356" s="373"/>
      <x:c r="B356" s="373"/>
      <x:c r="C356" s="373"/>
      <x:c r="D356" s="373"/>
      <x:c r="E356" s="373"/>
      <x:c r="F356" s="373"/>
      <x:c r="G356" s="373"/>
      <x:c r="H356" s="373"/>
      <x:c r="I356" s="373"/>
      <x:c r="J356" s="373"/>
      <x:c r="K356" s="373"/>
      <x:c r="L356" s="373"/>
      <x:c r="M356" s="373"/>
      <x:c r="N356" s="373"/>
      <x:c r="O356" s="373"/>
      <x:c r="P356" s="373"/>
      <x:c r="Q356" s="373"/>
      <x:c r="R356" s="373"/>
      <x:c r="S356" s="373"/>
      <x:c r="T356" s="373"/>
      <x:c r="U356" s="373"/>
      <x:c r="V356" s="373"/>
      <x:c r="W356" s="373"/>
      <x:c r="X356" s="373"/>
      <x:c r="Y356" s="373"/>
      <x:c r="Z356" s="373"/>
    </x:row>
    <x:row r="357">
      <x:c r="A357" s="373"/>
      <x:c r="B357" s="373"/>
      <x:c r="C357" s="373"/>
      <x:c r="D357" s="373"/>
      <x:c r="E357" s="373"/>
      <x:c r="F357" s="373"/>
      <x:c r="G357" s="373"/>
      <x:c r="H357" s="373"/>
      <x:c r="I357" s="373"/>
      <x:c r="J357" s="373"/>
      <x:c r="K357" s="373"/>
      <x:c r="L357" s="373"/>
      <x:c r="M357" s="373"/>
      <x:c r="N357" s="373"/>
      <x:c r="O357" s="373"/>
      <x:c r="P357" s="373"/>
      <x:c r="Q357" s="373"/>
      <x:c r="R357" s="373"/>
      <x:c r="S357" s="373"/>
      <x:c r="T357" s="373"/>
      <x:c r="U357" s="373"/>
      <x:c r="V357" s="373"/>
      <x:c r="W357" s="373"/>
      <x:c r="X357" s="373"/>
      <x:c r="Y357" s="373"/>
      <x:c r="Z357" s="373"/>
    </x:row>
    <x:row r="358">
      <x:c r="A358" s="373"/>
      <x:c r="B358" s="373"/>
      <x:c r="C358" s="373"/>
      <x:c r="D358" s="373"/>
      <x:c r="E358" s="373"/>
      <x:c r="F358" s="373"/>
      <x:c r="G358" s="373"/>
      <x:c r="H358" s="373"/>
      <x:c r="I358" s="373"/>
      <x:c r="J358" s="373"/>
      <x:c r="K358" s="373"/>
      <x:c r="L358" s="373"/>
      <x:c r="M358" s="373"/>
      <x:c r="N358" s="373"/>
      <x:c r="O358" s="373"/>
      <x:c r="P358" s="373"/>
      <x:c r="Q358" s="373"/>
      <x:c r="R358" s="373"/>
      <x:c r="S358" s="373"/>
      <x:c r="T358" s="373"/>
      <x:c r="U358" s="373"/>
      <x:c r="V358" s="373"/>
      <x:c r="W358" s="373"/>
      <x:c r="X358" s="373"/>
      <x:c r="Y358" s="373"/>
      <x:c r="Z358" s="373"/>
    </x:row>
    <x:row r="359">
      <x:c r="A359" s="373"/>
      <x:c r="B359" s="373"/>
      <x:c r="C359" s="373"/>
      <x:c r="D359" s="373"/>
      <x:c r="E359" s="373"/>
      <x:c r="F359" s="373"/>
      <x:c r="G359" s="373"/>
      <x:c r="H359" s="373"/>
      <x:c r="I359" s="373"/>
      <x:c r="J359" s="373"/>
      <x:c r="K359" s="373"/>
      <x:c r="L359" s="373"/>
      <x:c r="M359" s="373"/>
      <x:c r="N359" s="373"/>
      <x:c r="O359" s="373"/>
      <x:c r="P359" s="373"/>
      <x:c r="Q359" s="373"/>
      <x:c r="R359" s="373"/>
      <x:c r="S359" s="373"/>
      <x:c r="T359" s="373"/>
      <x:c r="U359" s="373"/>
      <x:c r="V359" s="373"/>
      <x:c r="W359" s="373"/>
      <x:c r="X359" s="373"/>
      <x:c r="Y359" s="373"/>
      <x:c r="Z359" s="373"/>
    </x:row>
    <x:row r="360">
      <x:c r="A360" s="373"/>
      <x:c r="B360" s="373"/>
      <x:c r="C360" s="373"/>
      <x:c r="D360" s="373"/>
      <x:c r="E360" s="373"/>
      <x:c r="F360" s="373"/>
      <x:c r="G360" s="373"/>
      <x:c r="H360" s="373"/>
      <x:c r="I360" s="373"/>
      <x:c r="J360" s="373"/>
      <x:c r="K360" s="373"/>
      <x:c r="L360" s="373"/>
      <x:c r="M360" s="373"/>
      <x:c r="N360" s="373"/>
      <x:c r="O360" s="373"/>
      <x:c r="P360" s="373"/>
      <x:c r="Q360" s="373"/>
      <x:c r="R360" s="373"/>
      <x:c r="S360" s="373"/>
      <x:c r="T360" s="373"/>
      <x:c r="U360" s="373"/>
      <x:c r="V360" s="373"/>
      <x:c r="W360" s="373"/>
      <x:c r="X360" s="373"/>
      <x:c r="Y360" s="373"/>
      <x:c r="Z360" s="373"/>
    </x:row>
    <x:row r="361">
      <x:c r="A361" s="373"/>
      <x:c r="B361" s="373"/>
      <x:c r="C361" s="373"/>
      <x:c r="D361" s="373"/>
      <x:c r="E361" s="373"/>
      <x:c r="F361" s="373"/>
      <x:c r="G361" s="373"/>
      <x:c r="H361" s="373"/>
      <x:c r="I361" s="373"/>
      <x:c r="J361" s="373"/>
      <x:c r="K361" s="373"/>
      <x:c r="L361" s="373"/>
      <x:c r="M361" s="373"/>
      <x:c r="N361" s="373"/>
      <x:c r="O361" s="373"/>
      <x:c r="P361" s="373"/>
      <x:c r="Q361" s="373"/>
      <x:c r="R361" s="373"/>
      <x:c r="S361" s="373"/>
      <x:c r="T361" s="373"/>
      <x:c r="U361" s="373"/>
      <x:c r="V361" s="373"/>
      <x:c r="W361" s="373"/>
      <x:c r="X361" s="373"/>
      <x:c r="Y361" s="373"/>
      <x:c r="Z361" s="373"/>
    </x:row>
    <x:row r="362">
      <x:c r="A362" s="373"/>
      <x:c r="B362" s="373"/>
      <x:c r="C362" s="373"/>
      <x:c r="D362" s="373"/>
      <x:c r="E362" s="373"/>
      <x:c r="F362" s="373"/>
      <x:c r="G362" s="373"/>
      <x:c r="H362" s="373"/>
      <x:c r="I362" s="373"/>
      <x:c r="J362" s="373"/>
      <x:c r="K362" s="373"/>
      <x:c r="L362" s="373"/>
      <x:c r="M362" s="373"/>
      <x:c r="N362" s="373"/>
      <x:c r="O362" s="373"/>
      <x:c r="P362" s="373"/>
      <x:c r="Q362" s="373"/>
      <x:c r="R362" s="373"/>
      <x:c r="S362" s="373"/>
      <x:c r="T362" s="373"/>
      <x:c r="U362" s="373"/>
      <x:c r="V362" s="373"/>
      <x:c r="W362" s="373"/>
      <x:c r="X362" s="373"/>
      <x:c r="Y362" s="373"/>
      <x:c r="Z362" s="373"/>
    </x:row>
    <x:row r="363">
      <x:c r="A363" s="373"/>
      <x:c r="B363" s="373"/>
      <x:c r="C363" s="373"/>
      <x:c r="D363" s="373"/>
      <x:c r="E363" s="373"/>
      <x:c r="F363" s="373"/>
      <x:c r="G363" s="373"/>
      <x:c r="H363" s="373"/>
      <x:c r="I363" s="373"/>
      <x:c r="J363" s="373"/>
      <x:c r="K363" s="373"/>
      <x:c r="L363" s="373"/>
      <x:c r="M363" s="373"/>
      <x:c r="N363" s="373"/>
      <x:c r="O363" s="373"/>
      <x:c r="P363" s="373"/>
      <x:c r="Q363" s="373"/>
      <x:c r="R363" s="373"/>
      <x:c r="S363" s="373"/>
      <x:c r="T363" s="373"/>
      <x:c r="U363" s="373"/>
      <x:c r="V363" s="373"/>
      <x:c r="W363" s="373"/>
      <x:c r="X363" s="373"/>
      <x:c r="Y363" s="373"/>
      <x:c r="Z363" s="373"/>
    </x:row>
    <x:row r="364">
      <x:c r="A364" s="373"/>
      <x:c r="B364" s="373"/>
      <x:c r="C364" s="373"/>
      <x:c r="D364" s="373"/>
      <x:c r="E364" s="373"/>
      <x:c r="F364" s="373"/>
      <x:c r="G364" s="373"/>
      <x:c r="H364" s="373"/>
      <x:c r="I364" s="373"/>
      <x:c r="J364" s="373"/>
      <x:c r="K364" s="373"/>
      <x:c r="L364" s="373"/>
      <x:c r="M364" s="373"/>
      <x:c r="N364" s="373"/>
      <x:c r="O364" s="373"/>
      <x:c r="P364" s="373"/>
      <x:c r="Q364" s="373"/>
      <x:c r="R364" s="373"/>
      <x:c r="S364" s="373"/>
      <x:c r="T364" s="373"/>
      <x:c r="U364" s="373"/>
      <x:c r="V364" s="373"/>
      <x:c r="W364" s="373"/>
      <x:c r="X364" s="373"/>
      <x:c r="Y364" s="373"/>
      <x:c r="Z364" s="373"/>
    </x:row>
    <x:row r="365">
      <x:c r="A365" s="373"/>
      <x:c r="B365" s="373"/>
      <x:c r="C365" s="373"/>
      <x:c r="D365" s="373"/>
      <x:c r="E365" s="373"/>
      <x:c r="F365" s="373"/>
      <x:c r="G365" s="373"/>
      <x:c r="H365" s="373"/>
      <x:c r="I365" s="373"/>
      <x:c r="J365" s="373"/>
      <x:c r="K365" s="373"/>
      <x:c r="L365" s="373"/>
      <x:c r="M365" s="373"/>
      <x:c r="N365" s="373"/>
      <x:c r="O365" s="373"/>
      <x:c r="P365" s="373"/>
      <x:c r="Q365" s="373"/>
      <x:c r="R365" s="373"/>
      <x:c r="S365" s="373"/>
      <x:c r="T365" s="373"/>
      <x:c r="U365" s="373"/>
      <x:c r="V365" s="373"/>
      <x:c r="W365" s="373"/>
      <x:c r="X365" s="373"/>
      <x:c r="Y365" s="373"/>
      <x:c r="Z365" s="373"/>
    </x:row>
    <x:row r="366">
      <x:c r="A366" s="373"/>
      <x:c r="B366" s="373"/>
      <x:c r="C366" s="373"/>
      <x:c r="D366" s="373"/>
      <x:c r="E366" s="373"/>
      <x:c r="F366" s="373"/>
      <x:c r="G366" s="373"/>
      <x:c r="H366" s="373"/>
      <x:c r="I366" s="373"/>
      <x:c r="J366" s="373"/>
      <x:c r="K366" s="373"/>
      <x:c r="L366" s="373"/>
      <x:c r="M366" s="373"/>
      <x:c r="N366" s="373"/>
      <x:c r="O366" s="373"/>
      <x:c r="P366" s="373"/>
      <x:c r="Q366" s="373"/>
      <x:c r="R366" s="373"/>
      <x:c r="S366" s="373"/>
      <x:c r="T366" s="373"/>
      <x:c r="U366" s="373"/>
      <x:c r="V366" s="373"/>
      <x:c r="W366" s="373"/>
      <x:c r="X366" s="373"/>
      <x:c r="Y366" s="373"/>
      <x:c r="Z366" s="373"/>
    </x:row>
    <x:row r="367">
      <x:c r="A367" s="373"/>
      <x:c r="B367" s="373"/>
      <x:c r="C367" s="373"/>
      <x:c r="D367" s="373"/>
      <x:c r="E367" s="373"/>
      <x:c r="F367" s="373"/>
      <x:c r="G367" s="373"/>
      <x:c r="H367" s="373"/>
      <x:c r="I367" s="373"/>
      <x:c r="J367" s="373"/>
      <x:c r="K367" s="373"/>
      <x:c r="L367" s="373"/>
      <x:c r="M367" s="373"/>
      <x:c r="N367" s="373"/>
      <x:c r="O367" s="373"/>
      <x:c r="P367" s="373"/>
      <x:c r="Q367" s="373"/>
      <x:c r="R367" s="373"/>
      <x:c r="S367" s="373"/>
      <x:c r="T367" s="373"/>
      <x:c r="U367" s="373"/>
      <x:c r="V367" s="373"/>
      <x:c r="W367" s="373"/>
      <x:c r="X367" s="373"/>
      <x:c r="Y367" s="373"/>
      <x:c r="Z367" s="373"/>
    </x:row>
    <x:row r="368">
      <x:c r="A368" s="373"/>
      <x:c r="B368" s="373"/>
      <x:c r="C368" s="373"/>
      <x:c r="D368" s="373"/>
      <x:c r="E368" s="373"/>
      <x:c r="F368" s="373"/>
      <x:c r="G368" s="373"/>
      <x:c r="H368" s="373"/>
      <x:c r="I368" s="373"/>
      <x:c r="J368" s="373"/>
      <x:c r="K368" s="373"/>
      <x:c r="L368" s="373"/>
      <x:c r="M368" s="373"/>
      <x:c r="N368" s="373"/>
      <x:c r="O368" s="373"/>
      <x:c r="P368" s="373"/>
      <x:c r="Q368" s="373"/>
      <x:c r="R368" s="373"/>
      <x:c r="S368" s="373"/>
      <x:c r="T368" s="373"/>
      <x:c r="U368" s="373"/>
      <x:c r="V368" s="373"/>
      <x:c r="W368" s="373"/>
      <x:c r="X368" s="373"/>
      <x:c r="Y368" s="373"/>
      <x:c r="Z368" s="373"/>
    </x:row>
    <x:row r="369">
      <x:c r="A369" s="373"/>
      <x:c r="B369" s="373"/>
      <x:c r="C369" s="373"/>
      <x:c r="D369" s="373"/>
      <x:c r="E369" s="373"/>
      <x:c r="F369" s="373"/>
      <x:c r="G369" s="373"/>
      <x:c r="H369" s="373"/>
      <x:c r="I369" s="373"/>
      <x:c r="J369" s="373"/>
      <x:c r="K369" s="373"/>
      <x:c r="L369" s="373"/>
      <x:c r="M369" s="373"/>
      <x:c r="N369" s="373"/>
      <x:c r="O369" s="373"/>
      <x:c r="P369" s="373"/>
      <x:c r="Q369" s="373"/>
      <x:c r="R369" s="373"/>
      <x:c r="S369" s="373"/>
      <x:c r="T369" s="373"/>
      <x:c r="U369" s="373"/>
      <x:c r="V369" s="373"/>
      <x:c r="W369" s="373"/>
      <x:c r="X369" s="373"/>
      <x:c r="Y369" s="373"/>
      <x:c r="Z369" s="373"/>
    </x:row>
    <x:row r="370">
      <x:c r="A370" s="373"/>
      <x:c r="B370" s="373"/>
      <x:c r="C370" s="373"/>
      <x:c r="D370" s="373"/>
      <x:c r="E370" s="373"/>
      <x:c r="F370" s="373"/>
      <x:c r="G370" s="373"/>
      <x:c r="H370" s="373"/>
      <x:c r="I370" s="373"/>
      <x:c r="J370" s="373"/>
      <x:c r="K370" s="373"/>
      <x:c r="L370" s="373"/>
      <x:c r="M370" s="373"/>
      <x:c r="N370" s="373"/>
      <x:c r="O370" s="373"/>
      <x:c r="P370" s="373"/>
      <x:c r="Q370" s="373"/>
      <x:c r="R370" s="373"/>
      <x:c r="S370" s="373"/>
      <x:c r="T370" s="373"/>
      <x:c r="U370" s="373"/>
      <x:c r="V370" s="373"/>
      <x:c r="W370" s="373"/>
      <x:c r="X370" s="373"/>
      <x:c r="Y370" s="373"/>
      <x:c r="Z370" s="373"/>
    </x:row>
    <x:row r="371">
      <x:c r="A371" s="373"/>
      <x:c r="B371" s="373"/>
      <x:c r="C371" s="373"/>
      <x:c r="D371" s="373"/>
      <x:c r="E371" s="373"/>
      <x:c r="F371" s="373"/>
      <x:c r="G371" s="373"/>
      <x:c r="H371" s="373"/>
      <x:c r="I371" s="373"/>
      <x:c r="J371" s="373"/>
      <x:c r="K371" s="373"/>
      <x:c r="L371" s="373"/>
      <x:c r="M371" s="373"/>
      <x:c r="N371" s="373"/>
      <x:c r="O371" s="373"/>
      <x:c r="P371" s="373"/>
      <x:c r="Q371" s="373"/>
      <x:c r="R371" s="373"/>
      <x:c r="S371" s="373"/>
      <x:c r="T371" s="373"/>
      <x:c r="U371" s="373"/>
      <x:c r="V371" s="373"/>
      <x:c r="W371" s="373"/>
      <x:c r="X371" s="373"/>
      <x:c r="Y371" s="373"/>
      <x:c r="Z371" s="373"/>
    </x:row>
    <x:row r="372">
      <x:c r="A372" s="373"/>
      <x:c r="B372" s="373"/>
      <x:c r="C372" s="373"/>
      <x:c r="D372" s="373"/>
      <x:c r="E372" s="373"/>
      <x:c r="F372" s="373"/>
      <x:c r="G372" s="373"/>
      <x:c r="H372" s="373"/>
      <x:c r="I372" s="373"/>
      <x:c r="J372" s="373"/>
      <x:c r="K372" s="373"/>
      <x:c r="L372" s="373"/>
      <x:c r="M372" s="373"/>
      <x:c r="N372" s="373"/>
      <x:c r="O372" s="373"/>
      <x:c r="P372" s="373"/>
      <x:c r="Q372" s="373"/>
      <x:c r="R372" s="373"/>
      <x:c r="S372" s="373"/>
      <x:c r="T372" s="373"/>
      <x:c r="U372" s="373"/>
      <x:c r="V372" s="373"/>
      <x:c r="W372" s="373"/>
      <x:c r="X372" s="373"/>
      <x:c r="Y372" s="373"/>
      <x:c r="Z372" s="373"/>
    </x:row>
    <x:row r="373">
      <x:c r="A373" s="373"/>
      <x:c r="B373" s="373"/>
      <x:c r="C373" s="373"/>
      <x:c r="D373" s="373"/>
      <x:c r="E373" s="373"/>
      <x:c r="F373" s="373"/>
      <x:c r="G373" s="373"/>
      <x:c r="H373" s="373"/>
      <x:c r="I373" s="373"/>
      <x:c r="J373" s="373"/>
      <x:c r="K373" s="373"/>
      <x:c r="L373" s="373"/>
      <x:c r="M373" s="373"/>
      <x:c r="N373" s="373"/>
      <x:c r="O373" s="373"/>
      <x:c r="P373" s="373"/>
      <x:c r="Q373" s="373"/>
      <x:c r="R373" s="373"/>
      <x:c r="S373" s="373"/>
      <x:c r="T373" s="373"/>
      <x:c r="U373" s="373"/>
      <x:c r="V373" s="373"/>
      <x:c r="W373" s="373"/>
      <x:c r="X373" s="373"/>
      <x:c r="Y373" s="373"/>
      <x:c r="Z373" s="373"/>
    </x:row>
    <x:row r="374">
      <x:c r="A374" s="373"/>
      <x:c r="B374" s="373"/>
      <x:c r="C374" s="373"/>
      <x:c r="D374" s="373"/>
      <x:c r="E374" s="373"/>
      <x:c r="F374" s="373"/>
      <x:c r="G374" s="373"/>
      <x:c r="H374" s="373"/>
      <x:c r="I374" s="373"/>
      <x:c r="J374" s="373"/>
      <x:c r="K374" s="373"/>
      <x:c r="L374" s="373"/>
      <x:c r="M374" s="373"/>
      <x:c r="N374" s="373"/>
      <x:c r="O374" s="373"/>
      <x:c r="P374" s="373"/>
      <x:c r="Q374" s="373"/>
      <x:c r="R374" s="373"/>
      <x:c r="S374" s="373"/>
      <x:c r="T374" s="373"/>
      <x:c r="U374" s="373"/>
      <x:c r="V374" s="373"/>
      <x:c r="W374" s="373"/>
      <x:c r="X374" s="373"/>
      <x:c r="Y374" s="373"/>
      <x:c r="Z374" s="373"/>
    </x:row>
    <x:row r="375">
      <x:c r="A375" s="373"/>
      <x:c r="B375" s="373"/>
      <x:c r="C375" s="373"/>
      <x:c r="D375" s="373"/>
      <x:c r="E375" s="373"/>
      <x:c r="F375" s="373"/>
      <x:c r="G375" s="373"/>
      <x:c r="H375" s="373"/>
      <x:c r="I375" s="373"/>
      <x:c r="J375" s="373"/>
      <x:c r="K375" s="373"/>
      <x:c r="L375" s="373"/>
      <x:c r="M375" s="373"/>
      <x:c r="N375" s="373"/>
      <x:c r="O375" s="373"/>
      <x:c r="P375" s="373"/>
      <x:c r="Q375" s="373"/>
      <x:c r="R375" s="373"/>
      <x:c r="S375" s="373"/>
      <x:c r="T375" s="373"/>
      <x:c r="U375" s="373"/>
      <x:c r="V375" s="373"/>
      <x:c r="W375" s="373"/>
      <x:c r="X375" s="373"/>
      <x:c r="Y375" s="373"/>
      <x:c r="Z375" s="373"/>
    </x:row>
    <x:row r="376">
      <x:c r="A376" s="373"/>
      <x:c r="B376" s="373"/>
      <x:c r="C376" s="373"/>
      <x:c r="D376" s="373"/>
      <x:c r="E376" s="373"/>
      <x:c r="F376" s="373"/>
      <x:c r="G376" s="373"/>
      <x:c r="H376" s="373"/>
      <x:c r="I376" s="373"/>
      <x:c r="J376" s="373"/>
      <x:c r="K376" s="373"/>
      <x:c r="L376" s="373"/>
      <x:c r="M376" s="373"/>
      <x:c r="N376" s="373"/>
      <x:c r="O376" s="373"/>
      <x:c r="P376" s="373"/>
      <x:c r="Q376" s="373"/>
      <x:c r="R376" s="373"/>
      <x:c r="S376" s="373"/>
      <x:c r="T376" s="373"/>
      <x:c r="U376" s="373"/>
      <x:c r="V376" s="373"/>
      <x:c r="W376" s="373"/>
      <x:c r="X376" s="373"/>
      <x:c r="Y376" s="373"/>
      <x:c r="Z376" s="373"/>
    </x:row>
    <x:row r="377">
      <x:c r="A377" s="373"/>
      <x:c r="B377" s="373"/>
      <x:c r="C377" s="373"/>
      <x:c r="D377" s="373"/>
      <x:c r="E377" s="373"/>
      <x:c r="F377" s="373"/>
      <x:c r="G377" s="373"/>
      <x:c r="H377" s="373"/>
      <x:c r="I377" s="373"/>
      <x:c r="J377" s="373"/>
      <x:c r="K377" s="373"/>
      <x:c r="L377" s="373"/>
      <x:c r="M377" s="373"/>
      <x:c r="N377" s="373"/>
      <x:c r="O377" s="373"/>
      <x:c r="P377" s="373"/>
      <x:c r="Q377" s="373"/>
      <x:c r="R377" s="373"/>
      <x:c r="S377" s="373"/>
      <x:c r="T377" s="373"/>
      <x:c r="U377" s="373"/>
      <x:c r="V377" s="373"/>
      <x:c r="W377" s="373"/>
      <x:c r="X377" s="373"/>
      <x:c r="Y377" s="373"/>
      <x:c r="Z377" s="373"/>
    </x:row>
    <x:row r="378">
      <x:c r="A378" s="373"/>
      <x:c r="B378" s="373"/>
      <x:c r="C378" s="373"/>
      <x:c r="D378" s="373"/>
      <x:c r="E378" s="373"/>
      <x:c r="F378" s="373"/>
      <x:c r="G378" s="373"/>
      <x:c r="H378" s="373"/>
      <x:c r="I378" s="373"/>
      <x:c r="J378" s="373"/>
      <x:c r="K378" s="373"/>
      <x:c r="L378" s="373"/>
      <x:c r="M378" s="373"/>
      <x:c r="N378" s="373"/>
      <x:c r="O378" s="373"/>
      <x:c r="P378" s="373"/>
      <x:c r="Q378" s="373"/>
      <x:c r="R378" s="373"/>
      <x:c r="S378" s="373"/>
      <x:c r="T378" s="373"/>
      <x:c r="U378" s="373"/>
      <x:c r="V378" s="373"/>
      <x:c r="W378" s="373"/>
      <x:c r="X378" s="373"/>
      <x:c r="Y378" s="373"/>
      <x:c r="Z378" s="373"/>
    </x:row>
    <x:row r="379">
      <x:c r="A379" s="373"/>
      <x:c r="B379" s="373"/>
      <x:c r="C379" s="373"/>
      <x:c r="D379" s="373"/>
      <x:c r="E379" s="373"/>
      <x:c r="F379" s="373"/>
      <x:c r="G379" s="373"/>
      <x:c r="H379" s="373"/>
      <x:c r="I379" s="373"/>
      <x:c r="J379" s="373"/>
      <x:c r="K379" s="373"/>
      <x:c r="L379" s="373"/>
      <x:c r="M379" s="373"/>
      <x:c r="N379" s="373"/>
      <x:c r="O379" s="373"/>
      <x:c r="P379" s="373"/>
      <x:c r="Q379" s="373"/>
      <x:c r="R379" s="373"/>
      <x:c r="S379" s="373"/>
      <x:c r="T379" s="373"/>
      <x:c r="U379" s="373"/>
      <x:c r="V379" s="373"/>
      <x:c r="W379" s="373"/>
      <x:c r="X379" s="373"/>
      <x:c r="Y379" s="373"/>
      <x:c r="Z379" s="373"/>
    </x:row>
    <x:row r="380">
      <x:c r="A380" s="373"/>
      <x:c r="B380" s="373"/>
      <x:c r="C380" s="373"/>
      <x:c r="D380" s="373"/>
      <x:c r="E380" s="373"/>
      <x:c r="F380" s="373"/>
      <x:c r="G380" s="373"/>
      <x:c r="H380" s="373"/>
      <x:c r="I380" s="373"/>
      <x:c r="J380" s="373"/>
      <x:c r="K380" s="373"/>
      <x:c r="L380" s="373"/>
      <x:c r="M380" s="373"/>
      <x:c r="N380" s="373"/>
      <x:c r="O380" s="373"/>
      <x:c r="P380" s="373"/>
      <x:c r="Q380" s="373"/>
      <x:c r="R380" s="373"/>
      <x:c r="S380" s="373"/>
      <x:c r="T380" s="373"/>
      <x:c r="U380" s="373"/>
      <x:c r="V380" s="373"/>
      <x:c r="W380" s="373"/>
      <x:c r="X380" s="373"/>
      <x:c r="Y380" s="373"/>
      <x:c r="Z380" s="373"/>
    </x:row>
    <x:row r="381">
      <x:c r="A381" s="373"/>
      <x:c r="B381" s="373"/>
      <x:c r="C381" s="373"/>
      <x:c r="D381" s="373"/>
      <x:c r="E381" s="373"/>
      <x:c r="F381" s="373"/>
      <x:c r="G381" s="373"/>
      <x:c r="H381" s="373"/>
      <x:c r="I381" s="373"/>
      <x:c r="J381" s="373"/>
      <x:c r="K381" s="373"/>
      <x:c r="L381" s="373"/>
      <x:c r="M381" s="373"/>
      <x:c r="N381" s="373"/>
      <x:c r="O381" s="373"/>
      <x:c r="P381" s="373"/>
      <x:c r="Q381" s="373"/>
      <x:c r="R381" s="373"/>
      <x:c r="S381" s="373"/>
      <x:c r="T381" s="373"/>
      <x:c r="U381" s="373"/>
      <x:c r="V381" s="373"/>
      <x:c r="W381" s="373"/>
      <x:c r="X381" s="373"/>
      <x:c r="Y381" s="373"/>
      <x:c r="Z381" s="373"/>
    </x:row>
    <x:row r="382">
      <x:c r="A382" s="373"/>
      <x:c r="B382" s="373"/>
      <x:c r="C382" s="373"/>
      <x:c r="D382" s="373"/>
      <x:c r="E382" s="373"/>
      <x:c r="F382" s="373"/>
      <x:c r="G382" s="373"/>
      <x:c r="H382" s="373"/>
      <x:c r="I382" s="373"/>
      <x:c r="J382" s="373"/>
      <x:c r="K382" s="373"/>
      <x:c r="L382" s="373"/>
      <x:c r="M382" s="373"/>
      <x:c r="N382" s="373"/>
      <x:c r="O382" s="373"/>
      <x:c r="P382" s="373"/>
      <x:c r="Q382" s="373"/>
      <x:c r="R382" s="373"/>
      <x:c r="S382" s="373"/>
      <x:c r="T382" s="373"/>
      <x:c r="U382" s="373"/>
      <x:c r="V382" s="373"/>
      <x:c r="W382" s="373"/>
      <x:c r="X382" s="373"/>
      <x:c r="Y382" s="373"/>
      <x:c r="Z382" s="373"/>
    </x:row>
    <x:row r="383">
      <x:c r="A383" s="373"/>
      <x:c r="B383" s="373"/>
      <x:c r="C383" s="373"/>
      <x:c r="D383" s="373"/>
      <x:c r="E383" s="373"/>
      <x:c r="F383" s="373"/>
      <x:c r="G383" s="373"/>
      <x:c r="H383" s="373"/>
      <x:c r="I383" s="373"/>
      <x:c r="J383" s="373"/>
      <x:c r="K383" s="373"/>
      <x:c r="L383" s="373"/>
      <x:c r="M383" s="373"/>
      <x:c r="N383" s="373"/>
      <x:c r="O383" s="373"/>
      <x:c r="P383" s="373"/>
      <x:c r="Q383" s="373"/>
      <x:c r="R383" s="373"/>
      <x:c r="S383" s="373"/>
      <x:c r="T383" s="373"/>
      <x:c r="U383" s="373"/>
      <x:c r="V383" s="373"/>
      <x:c r="W383" s="373"/>
      <x:c r="X383" s="373"/>
      <x:c r="Y383" s="373"/>
      <x:c r="Z383" s="373"/>
    </x:row>
    <x:row r="384">
      <x:c r="A384" s="373"/>
      <x:c r="B384" s="373"/>
      <x:c r="C384" s="373"/>
      <x:c r="D384" s="373"/>
      <x:c r="E384" s="373"/>
      <x:c r="F384" s="373"/>
      <x:c r="G384" s="373"/>
      <x:c r="H384" s="373"/>
      <x:c r="I384" s="373"/>
      <x:c r="J384" s="373"/>
      <x:c r="K384" s="373"/>
      <x:c r="L384" s="373"/>
      <x:c r="M384" s="373"/>
      <x:c r="N384" s="373"/>
      <x:c r="O384" s="373"/>
      <x:c r="P384" s="373"/>
      <x:c r="Q384" s="373"/>
      <x:c r="R384" s="373"/>
      <x:c r="S384" s="373"/>
      <x:c r="T384" s="373"/>
      <x:c r="U384" s="373"/>
      <x:c r="V384" s="373"/>
      <x:c r="W384" s="373"/>
      <x:c r="X384" s="373"/>
      <x:c r="Y384" s="373"/>
      <x:c r="Z384" s="373"/>
    </x:row>
    <x:row r="385">
      <x:c r="A385" s="373"/>
      <x:c r="B385" s="373"/>
      <x:c r="C385" s="373"/>
      <x:c r="D385" s="373"/>
      <x:c r="E385" s="373"/>
      <x:c r="F385" s="373"/>
      <x:c r="G385" s="373"/>
      <x:c r="H385" s="373"/>
      <x:c r="I385" s="373"/>
      <x:c r="J385" s="373"/>
      <x:c r="K385" s="373"/>
      <x:c r="L385" s="373"/>
      <x:c r="M385" s="373"/>
      <x:c r="N385" s="373"/>
      <x:c r="O385" s="373"/>
      <x:c r="P385" s="373"/>
      <x:c r="Q385" s="373"/>
      <x:c r="R385" s="373"/>
      <x:c r="S385" s="373"/>
      <x:c r="T385" s="373"/>
      <x:c r="U385" s="373"/>
      <x:c r="V385" s="373"/>
      <x:c r="W385" s="373"/>
      <x:c r="X385" s="373"/>
      <x:c r="Y385" s="373"/>
      <x:c r="Z385" s="373"/>
    </x:row>
    <x:row r="386">
      <x:c r="A386" s="373"/>
      <x:c r="B386" s="373"/>
      <x:c r="C386" s="373"/>
      <x:c r="D386" s="373"/>
      <x:c r="E386" s="373"/>
      <x:c r="F386" s="373"/>
      <x:c r="G386" s="373"/>
      <x:c r="H386" s="373"/>
      <x:c r="I386" s="373"/>
      <x:c r="J386" s="373"/>
      <x:c r="K386" s="373"/>
      <x:c r="L386" s="373"/>
      <x:c r="M386" s="373"/>
      <x:c r="N386" s="373"/>
      <x:c r="O386" s="373"/>
      <x:c r="P386" s="373"/>
      <x:c r="Q386" s="373"/>
      <x:c r="R386" s="373"/>
      <x:c r="S386" s="373"/>
      <x:c r="T386" s="373"/>
      <x:c r="U386" s="373"/>
      <x:c r="V386" s="373"/>
      <x:c r="W386" s="373"/>
      <x:c r="X386" s="373"/>
      <x:c r="Y386" s="373"/>
      <x:c r="Z386" s="373"/>
    </x:row>
    <x:row r="387">
      <x:c r="A387" s="373"/>
      <x:c r="B387" s="373"/>
      <x:c r="C387" s="373"/>
      <x:c r="D387" s="373"/>
      <x:c r="E387" s="373"/>
      <x:c r="F387" s="373"/>
      <x:c r="G387" s="373"/>
      <x:c r="H387" s="373"/>
      <x:c r="I387" s="373"/>
      <x:c r="J387" s="373"/>
      <x:c r="K387" s="373"/>
      <x:c r="L387" s="373"/>
      <x:c r="M387" s="373"/>
      <x:c r="N387" s="373"/>
      <x:c r="O387" s="373"/>
      <x:c r="P387" s="373"/>
      <x:c r="Q387" s="373"/>
      <x:c r="R387" s="373"/>
      <x:c r="S387" s="373"/>
      <x:c r="T387" s="373"/>
      <x:c r="U387" s="373"/>
      <x:c r="V387" s="373"/>
      <x:c r="W387" s="373"/>
      <x:c r="X387" s="373"/>
      <x:c r="Y387" s="373"/>
      <x:c r="Z387" s="373"/>
    </x:row>
    <x:row r="388">
      <x:c r="A388" s="373"/>
      <x:c r="B388" s="373"/>
      <x:c r="C388" s="373"/>
      <x:c r="D388" s="373"/>
      <x:c r="E388" s="373"/>
      <x:c r="F388" s="373"/>
      <x:c r="G388" s="373"/>
      <x:c r="H388" s="373"/>
      <x:c r="I388" s="373"/>
      <x:c r="J388" s="373"/>
      <x:c r="K388" s="373"/>
      <x:c r="L388" s="373"/>
      <x:c r="M388" s="373"/>
      <x:c r="N388" s="373"/>
      <x:c r="O388" s="373"/>
      <x:c r="P388" s="373"/>
      <x:c r="Q388" s="373"/>
      <x:c r="R388" s="373"/>
      <x:c r="S388" s="373"/>
      <x:c r="T388" s="373"/>
      <x:c r="U388" s="373"/>
      <x:c r="V388" s="373"/>
      <x:c r="W388" s="373"/>
      <x:c r="X388" s="373"/>
      <x:c r="Y388" s="373"/>
      <x:c r="Z388" s="373"/>
    </x:row>
    <x:row r="389">
      <x:c r="A389" s="373"/>
      <x:c r="B389" s="373"/>
      <x:c r="C389" s="373"/>
      <x:c r="D389" s="373"/>
      <x:c r="E389" s="373"/>
      <x:c r="F389" s="373"/>
      <x:c r="G389" s="373"/>
      <x:c r="H389" s="373"/>
      <x:c r="I389" s="373"/>
      <x:c r="J389" s="373"/>
      <x:c r="K389" s="373"/>
      <x:c r="L389" s="373"/>
      <x:c r="M389" s="373"/>
      <x:c r="N389" s="373"/>
      <x:c r="O389" s="373"/>
      <x:c r="P389" s="373"/>
      <x:c r="Q389" s="373"/>
      <x:c r="R389" s="373"/>
      <x:c r="S389" s="373"/>
      <x:c r="T389" s="373"/>
      <x:c r="U389" s="373"/>
      <x:c r="V389" s="373"/>
      <x:c r="W389" s="373"/>
      <x:c r="X389" s="373"/>
      <x:c r="Y389" s="373"/>
      <x:c r="Z389" s="373"/>
    </x:row>
    <x:row r="390">
      <x:c r="A390" s="373"/>
      <x:c r="B390" s="373"/>
      <x:c r="C390" s="373"/>
      <x:c r="D390" s="373"/>
      <x:c r="E390" s="373"/>
      <x:c r="F390" s="373"/>
      <x:c r="G390" s="373"/>
      <x:c r="H390" s="373"/>
      <x:c r="I390" s="373"/>
      <x:c r="J390" s="373"/>
      <x:c r="K390" s="373"/>
      <x:c r="L390" s="373"/>
      <x:c r="M390" s="373"/>
      <x:c r="N390" s="373"/>
      <x:c r="O390" s="373"/>
      <x:c r="P390" s="373"/>
      <x:c r="Q390" s="373"/>
      <x:c r="R390" s="373"/>
      <x:c r="S390" s="373"/>
      <x:c r="T390" s="373"/>
      <x:c r="U390" s="373"/>
      <x:c r="V390" s="373"/>
      <x:c r="W390" s="373"/>
      <x:c r="X390" s="373"/>
      <x:c r="Y390" s="373"/>
      <x:c r="Z390" s="373"/>
    </x:row>
    <x:row r="391">
      <x:c r="A391" s="373"/>
      <x:c r="B391" s="373"/>
      <x:c r="C391" s="373"/>
      <x:c r="D391" s="373"/>
      <x:c r="E391" s="373"/>
      <x:c r="F391" s="373"/>
      <x:c r="G391" s="373"/>
      <x:c r="H391" s="373"/>
      <x:c r="I391" s="373"/>
      <x:c r="J391" s="373"/>
      <x:c r="K391" s="373"/>
      <x:c r="L391" s="373"/>
      <x:c r="M391" s="373"/>
      <x:c r="N391" s="373"/>
      <x:c r="O391" s="373"/>
      <x:c r="P391" s="373"/>
      <x:c r="Q391" s="373"/>
      <x:c r="R391" s="373"/>
      <x:c r="S391" s="373"/>
      <x:c r="T391" s="373"/>
      <x:c r="U391" s="373"/>
      <x:c r="V391" s="373"/>
      <x:c r="W391" s="373"/>
      <x:c r="X391" s="373"/>
      <x:c r="Y391" s="373"/>
      <x:c r="Z391" s="373"/>
    </x:row>
    <x:row r="392">
      <x:c r="A392" s="373"/>
      <x:c r="B392" s="373"/>
      <x:c r="C392" s="373"/>
      <x:c r="D392" s="373"/>
      <x:c r="E392" s="373"/>
      <x:c r="F392" s="373"/>
      <x:c r="G392" s="373"/>
      <x:c r="H392" s="373"/>
      <x:c r="I392" s="373"/>
      <x:c r="J392" s="373"/>
      <x:c r="K392" s="373"/>
      <x:c r="L392" s="373"/>
      <x:c r="M392" s="373"/>
      <x:c r="N392" s="373"/>
      <x:c r="O392" s="373"/>
      <x:c r="P392" s="373"/>
      <x:c r="Q392" s="373"/>
      <x:c r="R392" s="373"/>
      <x:c r="S392" s="373"/>
      <x:c r="T392" s="373"/>
      <x:c r="U392" s="373"/>
      <x:c r="V392" s="373"/>
      <x:c r="W392" s="373"/>
      <x:c r="X392" s="373"/>
      <x:c r="Y392" s="373"/>
      <x:c r="Z392" s="373"/>
    </x:row>
    <x:row r="393">
      <x:c r="A393" s="373"/>
      <x:c r="B393" s="373"/>
      <x:c r="C393" s="373"/>
      <x:c r="D393" s="373"/>
      <x:c r="E393" s="373"/>
      <x:c r="F393" s="373"/>
      <x:c r="G393" s="373"/>
      <x:c r="H393" s="373"/>
      <x:c r="I393" s="373"/>
      <x:c r="J393" s="373"/>
      <x:c r="K393" s="373"/>
      <x:c r="L393" s="373"/>
      <x:c r="M393" s="373"/>
      <x:c r="N393" s="373"/>
      <x:c r="O393" s="373"/>
      <x:c r="P393" s="373"/>
      <x:c r="Q393" s="373"/>
      <x:c r="R393" s="373"/>
      <x:c r="S393" s="373"/>
      <x:c r="T393" s="373"/>
      <x:c r="U393" s="373"/>
      <x:c r="V393" s="373"/>
      <x:c r="W393" s="373"/>
      <x:c r="X393" s="373"/>
      <x:c r="Y393" s="373"/>
      <x:c r="Z393" s="373"/>
    </x:row>
    <x:row r="394">
      <x:c r="A394" s="373"/>
      <x:c r="B394" s="373"/>
      <x:c r="C394" s="373"/>
      <x:c r="D394" s="373"/>
      <x:c r="E394" s="373"/>
      <x:c r="F394" s="373"/>
      <x:c r="G394" s="373"/>
      <x:c r="H394" s="373"/>
      <x:c r="I394" s="373"/>
      <x:c r="J394" s="373"/>
      <x:c r="K394" s="373"/>
      <x:c r="L394" s="373"/>
      <x:c r="M394" s="373"/>
      <x:c r="N394" s="373"/>
      <x:c r="O394" s="373"/>
      <x:c r="P394" s="373"/>
      <x:c r="Q394" s="373"/>
      <x:c r="R394" s="373"/>
      <x:c r="S394" s="373"/>
      <x:c r="T394" s="373"/>
      <x:c r="U394" s="373"/>
      <x:c r="V394" s="373"/>
      <x:c r="W394" s="373"/>
      <x:c r="X394" s="373"/>
      <x:c r="Y394" s="373"/>
      <x:c r="Z394" s="373"/>
    </x:row>
    <x:row r="395">
      <x:c r="A395" s="373"/>
      <x:c r="B395" s="373"/>
      <x:c r="C395" s="373"/>
      <x:c r="D395" s="373"/>
      <x:c r="E395" s="373"/>
      <x:c r="F395" s="373"/>
      <x:c r="G395" s="373"/>
      <x:c r="H395" s="373"/>
      <x:c r="I395" s="373"/>
      <x:c r="J395" s="373"/>
      <x:c r="K395" s="373"/>
      <x:c r="L395" s="373"/>
      <x:c r="M395" s="373"/>
      <x:c r="N395" s="373"/>
      <x:c r="O395" s="373"/>
      <x:c r="P395" s="373"/>
      <x:c r="Q395" s="373"/>
      <x:c r="R395" s="373"/>
      <x:c r="S395" s="373"/>
      <x:c r="T395" s="373"/>
      <x:c r="U395" s="373"/>
      <x:c r="V395" s="373"/>
      <x:c r="W395" s="373"/>
      <x:c r="X395" s="373"/>
      <x:c r="Y395" s="373"/>
      <x:c r="Z395" s="373"/>
    </x:row>
    <x:row r="396">
      <x:c r="A396" s="373"/>
      <x:c r="B396" s="373"/>
      <x:c r="C396" s="373"/>
      <x:c r="D396" s="373"/>
      <x:c r="E396" s="373"/>
      <x:c r="F396" s="373"/>
      <x:c r="G396" s="373"/>
      <x:c r="H396" s="373"/>
      <x:c r="I396" s="373"/>
      <x:c r="J396" s="373"/>
      <x:c r="K396" s="373"/>
      <x:c r="L396" s="373"/>
      <x:c r="M396" s="373"/>
      <x:c r="N396" s="373"/>
      <x:c r="O396" s="373"/>
      <x:c r="P396" s="373"/>
      <x:c r="Q396" s="373"/>
      <x:c r="R396" s="373"/>
      <x:c r="S396" s="373"/>
      <x:c r="T396" s="373"/>
      <x:c r="U396" s="373"/>
      <x:c r="V396" s="373"/>
      <x:c r="W396" s="373"/>
      <x:c r="X396" s="373"/>
      <x:c r="Y396" s="373"/>
      <x:c r="Z396" s="373"/>
    </x:row>
    <x:row r="397">
      <x:c r="A397" s="373"/>
      <x:c r="B397" s="373"/>
      <x:c r="C397" s="373"/>
      <x:c r="D397" s="373"/>
      <x:c r="E397" s="373"/>
      <x:c r="F397" s="373"/>
      <x:c r="G397" s="373"/>
      <x:c r="H397" s="373"/>
      <x:c r="I397" s="373"/>
      <x:c r="J397" s="373"/>
      <x:c r="K397" s="373"/>
      <x:c r="L397" s="373"/>
      <x:c r="M397" s="373"/>
      <x:c r="N397" s="373"/>
      <x:c r="O397" s="373"/>
      <x:c r="P397" s="373"/>
      <x:c r="Q397" s="373"/>
      <x:c r="R397" s="373"/>
      <x:c r="S397" s="373"/>
      <x:c r="T397" s="373"/>
      <x:c r="U397" s="373"/>
      <x:c r="V397" s="373"/>
      <x:c r="W397" s="373"/>
      <x:c r="X397" s="373"/>
      <x:c r="Y397" s="373"/>
      <x:c r="Z397" s="373"/>
    </x:row>
    <x:row r="398">
      <x:c r="A398" s="373"/>
      <x:c r="B398" s="373"/>
      <x:c r="C398" s="373"/>
      <x:c r="D398" s="373"/>
      <x:c r="E398" s="373"/>
      <x:c r="F398" s="373"/>
      <x:c r="G398" s="373"/>
      <x:c r="H398" s="373"/>
      <x:c r="I398" s="373"/>
      <x:c r="J398" s="373"/>
      <x:c r="K398" s="373"/>
      <x:c r="L398" s="373"/>
      <x:c r="M398" s="373"/>
      <x:c r="N398" s="373"/>
      <x:c r="O398" s="373"/>
      <x:c r="P398" s="373"/>
      <x:c r="Q398" s="373"/>
      <x:c r="R398" s="373"/>
      <x:c r="S398" s="373"/>
      <x:c r="T398" s="373"/>
      <x:c r="U398" s="373"/>
      <x:c r="V398" s="373"/>
      <x:c r="W398" s="373"/>
      <x:c r="X398" s="373"/>
      <x:c r="Y398" s="373"/>
      <x:c r="Z398" s="373"/>
    </x:row>
    <x:row r="399">
      <x:c r="A399" s="373"/>
      <x:c r="B399" s="373"/>
      <x:c r="C399" s="373"/>
      <x:c r="D399" s="373"/>
      <x:c r="E399" s="373"/>
      <x:c r="F399" s="373"/>
      <x:c r="G399" s="373"/>
      <x:c r="H399" s="373"/>
      <x:c r="I399" s="373"/>
      <x:c r="J399" s="373"/>
      <x:c r="K399" s="373"/>
      <x:c r="L399" s="373"/>
      <x:c r="M399" s="373"/>
      <x:c r="N399" s="373"/>
      <x:c r="O399" s="373"/>
      <x:c r="P399" s="373"/>
      <x:c r="Q399" s="373"/>
      <x:c r="R399" s="373"/>
      <x:c r="S399" s="373"/>
      <x:c r="T399" s="373"/>
      <x:c r="U399" s="373"/>
      <x:c r="V399" s="373"/>
      <x:c r="W399" s="373"/>
      <x:c r="X399" s="373"/>
      <x:c r="Y399" s="373"/>
      <x:c r="Z399" s="373"/>
    </x:row>
    <x:row r="400">
      <x:c r="A400" s="373"/>
      <x:c r="B400" s="373"/>
      <x:c r="C400" s="373"/>
      <x:c r="D400" s="373"/>
      <x:c r="E400" s="373"/>
      <x:c r="F400" s="373"/>
      <x:c r="G400" s="373"/>
      <x:c r="H400" s="373"/>
      <x:c r="I400" s="373"/>
      <x:c r="J400" s="373"/>
      <x:c r="K400" s="373"/>
      <x:c r="L400" s="373"/>
      <x:c r="M400" s="373"/>
      <x:c r="N400" s="373"/>
      <x:c r="O400" s="373"/>
      <x:c r="P400" s="373"/>
      <x:c r="Q400" s="373"/>
      <x:c r="R400" s="373"/>
      <x:c r="S400" s="373"/>
      <x:c r="T400" s="373"/>
      <x:c r="U400" s="373"/>
      <x:c r="V400" s="373"/>
      <x:c r="W400" s="373"/>
      <x:c r="X400" s="373"/>
      <x:c r="Y400" s="373"/>
      <x:c r="Z400" s="373"/>
    </x:row>
    <x:row r="401">
      <x:c r="A401" s="373"/>
      <x:c r="B401" s="373"/>
      <x:c r="C401" s="373"/>
      <x:c r="D401" s="373"/>
      <x:c r="E401" s="373"/>
      <x:c r="F401" s="373"/>
      <x:c r="G401" s="373"/>
      <x:c r="H401" s="373"/>
      <x:c r="I401" s="373"/>
      <x:c r="J401" s="373"/>
      <x:c r="K401" s="373"/>
      <x:c r="L401" s="373"/>
      <x:c r="M401" s="373"/>
      <x:c r="N401" s="373"/>
      <x:c r="O401" s="373"/>
      <x:c r="P401" s="373"/>
      <x:c r="Q401" s="373"/>
      <x:c r="R401" s="373"/>
      <x:c r="S401" s="373"/>
      <x:c r="T401" s="373"/>
      <x:c r="U401" s="373"/>
      <x:c r="V401" s="373"/>
      <x:c r="W401" s="373"/>
      <x:c r="X401" s="373"/>
      <x:c r="Y401" s="373"/>
      <x:c r="Z401" s="373"/>
    </x:row>
    <x:row r="402">
      <x:c r="A402" s="373"/>
      <x:c r="B402" s="373"/>
      <x:c r="C402" s="373"/>
      <x:c r="D402" s="373"/>
      <x:c r="E402" s="373"/>
      <x:c r="F402" s="373"/>
      <x:c r="G402" s="373"/>
      <x:c r="H402" s="373"/>
      <x:c r="I402" s="373"/>
      <x:c r="J402" s="373"/>
      <x:c r="K402" s="373"/>
      <x:c r="L402" s="373"/>
      <x:c r="M402" s="373"/>
      <x:c r="N402" s="373"/>
      <x:c r="O402" s="373"/>
      <x:c r="P402" s="373"/>
      <x:c r="Q402" s="373"/>
      <x:c r="R402" s="373"/>
      <x:c r="S402" s="373"/>
      <x:c r="T402" s="373"/>
      <x:c r="U402" s="373"/>
      <x:c r="V402" s="373"/>
      <x:c r="W402" s="373"/>
      <x:c r="X402" s="373"/>
      <x:c r="Y402" s="373"/>
      <x:c r="Z402" s="373"/>
    </x:row>
    <x:row r="403">
      <x:c r="A403" s="373"/>
      <x:c r="B403" s="373"/>
      <x:c r="C403" s="373"/>
      <x:c r="D403" s="373"/>
      <x:c r="E403" s="373"/>
      <x:c r="F403" s="373"/>
      <x:c r="G403" s="373"/>
      <x:c r="H403" s="373"/>
      <x:c r="I403" s="373"/>
      <x:c r="J403" s="373"/>
      <x:c r="K403" s="373"/>
      <x:c r="L403" s="373"/>
      <x:c r="M403" s="373"/>
      <x:c r="N403" s="373"/>
      <x:c r="O403" s="373"/>
      <x:c r="P403" s="373"/>
      <x:c r="Q403" s="373"/>
      <x:c r="R403" s="373"/>
      <x:c r="S403" s="373"/>
      <x:c r="T403" s="373"/>
      <x:c r="U403" s="373"/>
      <x:c r="V403" s="373"/>
      <x:c r="W403" s="373"/>
      <x:c r="X403" s="373"/>
      <x:c r="Y403" s="373"/>
      <x:c r="Z403" s="373"/>
    </x:row>
    <x:row r="404">
      <x:c r="A404" s="373"/>
      <x:c r="B404" s="373"/>
      <x:c r="C404" s="373"/>
      <x:c r="D404" s="373"/>
      <x:c r="E404" s="373"/>
      <x:c r="F404" s="373"/>
      <x:c r="G404" s="373"/>
      <x:c r="H404" s="373"/>
      <x:c r="I404" s="373"/>
      <x:c r="J404" s="373"/>
      <x:c r="K404" s="373"/>
      <x:c r="L404" s="373"/>
      <x:c r="M404" s="373"/>
      <x:c r="N404" s="373"/>
      <x:c r="O404" s="373"/>
      <x:c r="P404" s="373"/>
      <x:c r="Q404" s="373"/>
      <x:c r="R404" s="373"/>
      <x:c r="S404" s="373"/>
      <x:c r="T404" s="373"/>
      <x:c r="U404" s="373"/>
      <x:c r="V404" s="373"/>
      <x:c r="W404" s="373"/>
      <x:c r="X404" s="373"/>
      <x:c r="Y404" s="373"/>
      <x:c r="Z404" s="373"/>
    </x:row>
    <x:row r="405">
      <x:c r="A405" s="373"/>
      <x:c r="B405" s="373"/>
      <x:c r="C405" s="373"/>
      <x:c r="D405" s="373"/>
      <x:c r="E405" s="373"/>
      <x:c r="F405" s="373"/>
      <x:c r="G405" s="373"/>
      <x:c r="H405" s="373"/>
      <x:c r="I405" s="373"/>
      <x:c r="J405" s="373"/>
      <x:c r="K405" s="373"/>
      <x:c r="L405" s="373"/>
      <x:c r="M405" s="373"/>
      <x:c r="N405" s="373"/>
      <x:c r="O405" s="373"/>
      <x:c r="P405" s="373"/>
      <x:c r="Q405" s="373"/>
      <x:c r="R405" s="373"/>
      <x:c r="S405" s="373"/>
      <x:c r="T405" s="373"/>
      <x:c r="U405" s="373"/>
      <x:c r="V405" s="373"/>
      <x:c r="W405" s="373"/>
      <x:c r="X405" s="373"/>
      <x:c r="Y405" s="373"/>
      <x:c r="Z405" s="373"/>
    </x:row>
    <x:row r="406">
      <x:c r="A406" s="373"/>
      <x:c r="B406" s="373"/>
      <x:c r="C406" s="373"/>
      <x:c r="D406" s="373"/>
      <x:c r="E406" s="373"/>
      <x:c r="F406" s="373"/>
      <x:c r="G406" s="373"/>
      <x:c r="H406" s="373"/>
      <x:c r="I406" s="373"/>
      <x:c r="J406" s="373"/>
      <x:c r="K406" s="373"/>
      <x:c r="L406" s="373"/>
      <x:c r="M406" s="373"/>
      <x:c r="N406" s="373"/>
      <x:c r="O406" s="373"/>
      <x:c r="P406" s="373"/>
      <x:c r="Q406" s="373"/>
      <x:c r="R406" s="373"/>
      <x:c r="S406" s="373"/>
      <x:c r="T406" s="373"/>
      <x:c r="U406" s="373"/>
      <x:c r="V406" s="373"/>
      <x:c r="W406" s="373"/>
      <x:c r="X406" s="373"/>
      <x:c r="Y406" s="373"/>
      <x:c r="Z406" s="373"/>
    </x:row>
    <x:row r="407">
      <x:c r="A407" s="373"/>
      <x:c r="B407" s="373"/>
      <x:c r="C407" s="373"/>
      <x:c r="D407" s="373"/>
      <x:c r="E407" s="373"/>
      <x:c r="F407" s="373"/>
      <x:c r="G407" s="373"/>
      <x:c r="H407" s="373"/>
      <x:c r="I407" s="373"/>
      <x:c r="J407" s="373"/>
      <x:c r="K407" s="373"/>
      <x:c r="L407" s="373"/>
      <x:c r="M407" s="373"/>
      <x:c r="N407" s="373"/>
      <x:c r="O407" s="373"/>
      <x:c r="P407" s="373"/>
      <x:c r="Q407" s="373"/>
      <x:c r="R407" s="373"/>
      <x:c r="S407" s="373"/>
      <x:c r="T407" s="373"/>
      <x:c r="U407" s="373"/>
      <x:c r="V407" s="373"/>
      <x:c r="W407" s="373"/>
      <x:c r="X407" s="373"/>
      <x:c r="Y407" s="373"/>
      <x:c r="Z407" s="373"/>
    </x:row>
    <x:row r="408">
      <x:c r="A408" s="373"/>
      <x:c r="B408" s="373"/>
      <x:c r="C408" s="373"/>
      <x:c r="D408" s="373"/>
      <x:c r="E408" s="373"/>
      <x:c r="F408" s="373"/>
      <x:c r="G408" s="373"/>
      <x:c r="H408" s="373"/>
      <x:c r="I408" s="373"/>
      <x:c r="J408" s="373"/>
      <x:c r="K408" s="373"/>
      <x:c r="L408" s="373"/>
      <x:c r="M408" s="373"/>
      <x:c r="N408" s="373"/>
      <x:c r="O408" s="373"/>
      <x:c r="P408" s="373"/>
      <x:c r="Q408" s="373"/>
      <x:c r="R408" s="373"/>
      <x:c r="S408" s="373"/>
      <x:c r="T408" s="373"/>
      <x:c r="U408" s="373"/>
      <x:c r="V408" s="373"/>
      <x:c r="W408" s="373"/>
      <x:c r="X408" s="373"/>
      <x:c r="Y408" s="373"/>
      <x:c r="Z408" s="373"/>
    </x:row>
    <x:row r="409">
      <x:c r="A409" s="373"/>
      <x:c r="B409" s="373"/>
      <x:c r="C409" s="373"/>
      <x:c r="D409" s="373"/>
      <x:c r="E409" s="373"/>
      <x:c r="F409" s="373"/>
      <x:c r="G409" s="373"/>
      <x:c r="H409" s="373"/>
      <x:c r="I409" s="373"/>
      <x:c r="J409" s="373"/>
      <x:c r="K409" s="373"/>
      <x:c r="L409" s="373"/>
      <x:c r="M409" s="373"/>
      <x:c r="N409" s="373"/>
      <x:c r="O409" s="373"/>
      <x:c r="P409" s="373"/>
      <x:c r="Q409" s="373"/>
      <x:c r="R409" s="373"/>
      <x:c r="S409" s="373"/>
      <x:c r="T409" s="373"/>
      <x:c r="U409" s="373"/>
      <x:c r="V409" s="373"/>
      <x:c r="W409" s="373"/>
      <x:c r="X409" s="373"/>
      <x:c r="Y409" s="373"/>
      <x:c r="Z409" s="373"/>
    </x:row>
    <x:row r="410">
      <x:c r="A410" s="373"/>
      <x:c r="B410" s="373"/>
      <x:c r="C410" s="373"/>
      <x:c r="D410" s="373"/>
      <x:c r="E410" s="373"/>
      <x:c r="F410" s="373"/>
      <x:c r="G410" s="373"/>
      <x:c r="H410" s="373"/>
      <x:c r="I410" s="373"/>
      <x:c r="J410" s="373"/>
      <x:c r="K410" s="373"/>
      <x:c r="L410" s="373"/>
      <x:c r="M410" s="373"/>
      <x:c r="N410" s="373"/>
      <x:c r="O410" s="373"/>
      <x:c r="P410" s="373"/>
      <x:c r="Q410" s="373"/>
      <x:c r="R410" s="373"/>
      <x:c r="S410" s="373"/>
      <x:c r="T410" s="373"/>
      <x:c r="U410" s="373"/>
      <x:c r="V410" s="373"/>
      <x:c r="W410" s="373"/>
      <x:c r="X410" s="373"/>
      <x:c r="Y410" s="373"/>
      <x:c r="Z410" s="373"/>
    </x:row>
    <x:row r="411">
      <x:c r="A411" s="373"/>
      <x:c r="B411" s="373"/>
      <x:c r="C411" s="373"/>
      <x:c r="D411" s="373"/>
      <x:c r="E411" s="373"/>
      <x:c r="F411" s="373"/>
      <x:c r="G411" s="373"/>
      <x:c r="H411" s="373"/>
      <x:c r="I411" s="373"/>
      <x:c r="J411" s="373"/>
      <x:c r="K411" s="373"/>
      <x:c r="L411" s="373"/>
      <x:c r="M411" s="373"/>
      <x:c r="N411" s="373"/>
      <x:c r="O411" s="373"/>
      <x:c r="P411" s="373"/>
      <x:c r="Q411" s="373"/>
      <x:c r="R411" s="373"/>
      <x:c r="S411" s="373"/>
      <x:c r="T411" s="373"/>
      <x:c r="U411" s="373"/>
      <x:c r="V411" s="373"/>
      <x:c r="W411" s="373"/>
      <x:c r="X411" s="373"/>
      <x:c r="Y411" s="373"/>
      <x:c r="Z411" s="373"/>
    </x:row>
    <x:row r="412">
      <x:c r="A412" s="373"/>
      <x:c r="B412" s="373"/>
      <x:c r="C412" s="373"/>
      <x:c r="D412" s="373"/>
      <x:c r="E412" s="373"/>
      <x:c r="F412" s="373"/>
      <x:c r="G412" s="373"/>
      <x:c r="H412" s="373"/>
      <x:c r="I412" s="373"/>
      <x:c r="J412" s="373"/>
      <x:c r="K412" s="373"/>
      <x:c r="L412" s="373"/>
      <x:c r="M412" s="373"/>
      <x:c r="N412" s="373"/>
      <x:c r="O412" s="373"/>
      <x:c r="P412" s="373"/>
      <x:c r="Q412" s="373"/>
      <x:c r="R412" s="373"/>
      <x:c r="S412" s="373"/>
      <x:c r="T412" s="373"/>
      <x:c r="U412" s="373"/>
      <x:c r="V412" s="373"/>
      <x:c r="W412" s="373"/>
      <x:c r="X412" s="373"/>
      <x:c r="Y412" s="373"/>
      <x:c r="Z412" s="373"/>
    </x:row>
    <x:row r="413">
      <x:c r="A413" s="373"/>
      <x:c r="B413" s="373"/>
      <x:c r="C413" s="373"/>
      <x:c r="D413" s="373"/>
      <x:c r="E413" s="373"/>
      <x:c r="F413" s="373"/>
      <x:c r="G413" s="373"/>
      <x:c r="H413" s="373"/>
      <x:c r="I413" s="373"/>
      <x:c r="J413" s="373"/>
      <x:c r="K413" s="373"/>
      <x:c r="L413" s="373"/>
      <x:c r="M413" s="373"/>
      <x:c r="N413" s="373"/>
      <x:c r="O413" s="373"/>
      <x:c r="P413" s="373"/>
      <x:c r="Q413" s="373"/>
      <x:c r="R413" s="373"/>
      <x:c r="S413" s="373"/>
      <x:c r="T413" s="373"/>
      <x:c r="U413" s="373"/>
      <x:c r="V413" s="373"/>
      <x:c r="W413" s="373"/>
      <x:c r="X413" s="373"/>
      <x:c r="Y413" s="373"/>
      <x:c r="Z413" s="373"/>
    </x:row>
    <x:row r="414">
      <x:c r="A414" s="373"/>
      <x:c r="B414" s="373"/>
      <x:c r="C414" s="373"/>
      <x:c r="D414" s="373"/>
      <x:c r="E414" s="373"/>
      <x:c r="F414" s="373"/>
      <x:c r="G414" s="373"/>
      <x:c r="H414" s="373"/>
      <x:c r="I414" s="373"/>
      <x:c r="J414" s="373"/>
      <x:c r="K414" s="373"/>
      <x:c r="L414" s="373"/>
      <x:c r="M414" s="373"/>
      <x:c r="N414" s="373"/>
      <x:c r="O414" s="373"/>
      <x:c r="P414" s="373"/>
      <x:c r="Q414" s="373"/>
      <x:c r="R414" s="373"/>
      <x:c r="S414" s="373"/>
      <x:c r="T414" s="373"/>
      <x:c r="U414" s="373"/>
      <x:c r="V414" s="373"/>
      <x:c r="W414" s="373"/>
      <x:c r="X414" s="373"/>
      <x:c r="Y414" s="373"/>
      <x:c r="Z414" s="373"/>
    </x:row>
    <x:row r="415">
      <x:c r="A415" s="373"/>
      <x:c r="B415" s="373"/>
      <x:c r="C415" s="373"/>
      <x:c r="D415" s="373"/>
      <x:c r="E415" s="373"/>
      <x:c r="F415" s="373"/>
      <x:c r="G415" s="373"/>
      <x:c r="H415" s="373"/>
      <x:c r="I415" s="373"/>
      <x:c r="J415" s="373"/>
      <x:c r="K415" s="373"/>
      <x:c r="L415" s="373"/>
      <x:c r="M415" s="373"/>
      <x:c r="N415" s="373"/>
      <x:c r="O415" s="373"/>
      <x:c r="P415" s="373"/>
      <x:c r="Q415" s="373"/>
      <x:c r="R415" s="373"/>
      <x:c r="S415" s="373"/>
      <x:c r="T415" s="373"/>
      <x:c r="U415" s="373"/>
      <x:c r="V415" s="373"/>
      <x:c r="W415" s="373"/>
      <x:c r="X415" s="373"/>
      <x:c r="Y415" s="373"/>
      <x:c r="Z415" s="373"/>
    </x:row>
    <x:row r="416">
      <x:c r="A416" s="373"/>
      <x:c r="B416" s="373"/>
      <x:c r="C416" s="373"/>
      <x:c r="D416" s="373"/>
      <x:c r="E416" s="373"/>
      <x:c r="F416" s="373"/>
      <x:c r="G416" s="373"/>
      <x:c r="H416" s="373"/>
      <x:c r="I416" s="373"/>
      <x:c r="J416" s="373"/>
      <x:c r="K416" s="373"/>
      <x:c r="L416" s="373"/>
      <x:c r="M416" s="373"/>
      <x:c r="N416" s="373"/>
      <x:c r="O416" s="373"/>
      <x:c r="P416" s="373"/>
      <x:c r="Q416" s="373"/>
      <x:c r="R416" s="373"/>
      <x:c r="S416" s="373"/>
      <x:c r="T416" s="373"/>
      <x:c r="U416" s="373"/>
      <x:c r="V416" s="373"/>
      <x:c r="W416" s="373"/>
      <x:c r="X416" s="373"/>
      <x:c r="Y416" s="373"/>
      <x:c r="Z416" s="373"/>
    </x:row>
    <x:row r="417">
      <x:c r="A417" s="373"/>
      <x:c r="B417" s="373"/>
      <x:c r="C417" s="373"/>
      <x:c r="D417" s="373"/>
      <x:c r="E417" s="373"/>
      <x:c r="F417" s="373"/>
      <x:c r="G417" s="373"/>
      <x:c r="H417" s="373"/>
      <x:c r="I417" s="373"/>
      <x:c r="J417" s="373"/>
      <x:c r="K417" s="373"/>
      <x:c r="L417" s="373"/>
      <x:c r="M417" s="373"/>
      <x:c r="N417" s="373"/>
      <x:c r="O417" s="373"/>
      <x:c r="P417" s="373"/>
      <x:c r="Q417" s="373"/>
      <x:c r="R417" s="373"/>
      <x:c r="S417" s="373"/>
      <x:c r="T417" s="373"/>
      <x:c r="U417" s="373"/>
      <x:c r="V417" s="373"/>
      <x:c r="W417" s="373"/>
      <x:c r="X417" s="373"/>
      <x:c r="Y417" s="373"/>
      <x:c r="Z417" s="373"/>
    </x:row>
    <x:row r="418">
      <x:c r="A418" s="373"/>
      <x:c r="B418" s="373"/>
      <x:c r="C418" s="373"/>
      <x:c r="D418" s="373"/>
      <x:c r="E418" s="373"/>
      <x:c r="F418" s="373"/>
      <x:c r="G418" s="373"/>
      <x:c r="H418" s="373"/>
      <x:c r="I418" s="373"/>
      <x:c r="J418" s="373"/>
      <x:c r="K418" s="373"/>
      <x:c r="L418" s="373"/>
      <x:c r="M418" s="373"/>
      <x:c r="N418" s="373"/>
      <x:c r="O418" s="373"/>
      <x:c r="P418" s="373"/>
      <x:c r="Q418" s="373"/>
      <x:c r="R418" s="373"/>
      <x:c r="S418" s="373"/>
      <x:c r="T418" s="373"/>
      <x:c r="U418" s="373"/>
      <x:c r="V418" s="373"/>
      <x:c r="W418" s="373"/>
      <x:c r="X418" s="373"/>
      <x:c r="Y418" s="373"/>
      <x:c r="Z418" s="373"/>
    </x:row>
    <x:row r="419">
      <x:c r="A419" s="373"/>
      <x:c r="B419" s="373"/>
      <x:c r="C419" s="373"/>
      <x:c r="D419" s="373"/>
      <x:c r="E419" s="373"/>
      <x:c r="F419" s="373"/>
      <x:c r="G419" s="373"/>
      <x:c r="H419" s="373"/>
      <x:c r="I419" s="373"/>
      <x:c r="J419" s="373"/>
      <x:c r="K419" s="373"/>
      <x:c r="L419" s="373"/>
      <x:c r="M419" s="373"/>
      <x:c r="N419" s="373"/>
      <x:c r="O419" s="373"/>
      <x:c r="P419" s="373"/>
      <x:c r="Q419" s="373"/>
      <x:c r="R419" s="373"/>
      <x:c r="S419" s="373"/>
      <x:c r="T419" s="373"/>
      <x:c r="U419" s="373"/>
      <x:c r="V419" s="373"/>
      <x:c r="W419" s="373"/>
      <x:c r="X419" s="373"/>
      <x:c r="Y419" s="373"/>
      <x:c r="Z419" s="373"/>
    </x:row>
    <x:row r="420">
      <x:c r="A420" s="373"/>
      <x:c r="B420" s="373"/>
      <x:c r="C420" s="373"/>
      <x:c r="D420" s="373"/>
      <x:c r="E420" s="373"/>
      <x:c r="F420" s="373"/>
      <x:c r="G420" s="373"/>
      <x:c r="H420" s="373"/>
      <x:c r="I420" s="373"/>
      <x:c r="J420" s="373"/>
      <x:c r="K420" s="373"/>
      <x:c r="L420" s="373"/>
      <x:c r="M420" s="373"/>
      <x:c r="N420" s="373"/>
      <x:c r="O420" s="373"/>
      <x:c r="P420" s="373"/>
      <x:c r="Q420" s="373"/>
      <x:c r="R420" s="373"/>
      <x:c r="S420" s="373"/>
      <x:c r="T420" s="373"/>
      <x:c r="U420" s="373"/>
      <x:c r="V420" s="373"/>
      <x:c r="W420" s="373"/>
      <x:c r="X420" s="373"/>
      <x:c r="Y420" s="373"/>
      <x:c r="Z420" s="373"/>
    </x:row>
    <x:row r="421">
      <x:c r="A421" s="373"/>
      <x:c r="B421" s="373"/>
      <x:c r="C421" s="373"/>
      <x:c r="D421" s="373"/>
      <x:c r="E421" s="373"/>
      <x:c r="F421" s="373"/>
      <x:c r="G421" s="373"/>
      <x:c r="H421" s="373"/>
      <x:c r="I421" s="373"/>
      <x:c r="J421" s="373"/>
      <x:c r="K421" s="373"/>
      <x:c r="L421" s="373"/>
      <x:c r="M421" s="373"/>
      <x:c r="N421" s="373"/>
      <x:c r="O421" s="373"/>
      <x:c r="P421" s="373"/>
      <x:c r="Q421" s="373"/>
      <x:c r="R421" s="373"/>
      <x:c r="S421" s="373"/>
      <x:c r="T421" s="373"/>
      <x:c r="U421" s="373"/>
      <x:c r="V421" s="373"/>
      <x:c r="W421" s="373"/>
      <x:c r="X421" s="373"/>
      <x:c r="Y421" s="373"/>
      <x:c r="Z421" s="373"/>
    </x:row>
    <x:row r="422">
      <x:c r="A422" s="373"/>
      <x:c r="B422" s="373"/>
      <x:c r="C422" s="373"/>
      <x:c r="D422" s="373"/>
      <x:c r="E422" s="373"/>
      <x:c r="F422" s="373"/>
      <x:c r="G422" s="373"/>
      <x:c r="H422" s="373"/>
      <x:c r="I422" s="373"/>
      <x:c r="J422" s="373"/>
      <x:c r="K422" s="373"/>
      <x:c r="L422" s="373"/>
      <x:c r="M422" s="373"/>
      <x:c r="N422" s="373"/>
      <x:c r="O422" s="373"/>
      <x:c r="P422" s="373"/>
      <x:c r="Q422" s="373"/>
      <x:c r="R422" s="373"/>
      <x:c r="S422" s="373"/>
      <x:c r="T422" s="373"/>
      <x:c r="U422" s="373"/>
      <x:c r="V422" s="373"/>
      <x:c r="W422" s="373"/>
      <x:c r="X422" s="373"/>
      <x:c r="Y422" s="373"/>
      <x:c r="Z422" s="373"/>
    </x:row>
    <x:row r="423">
      <x:c r="A423" s="373"/>
      <x:c r="B423" s="373"/>
      <x:c r="C423" s="373"/>
      <x:c r="D423" s="373"/>
      <x:c r="E423" s="373"/>
      <x:c r="F423" s="373"/>
      <x:c r="G423" s="373"/>
      <x:c r="H423" s="373"/>
      <x:c r="I423" s="373"/>
      <x:c r="J423" s="373"/>
      <x:c r="K423" s="373"/>
      <x:c r="L423" s="373"/>
      <x:c r="M423" s="373"/>
      <x:c r="N423" s="373"/>
      <x:c r="O423" s="373"/>
      <x:c r="P423" s="373"/>
      <x:c r="Q423" s="373"/>
      <x:c r="R423" s="373"/>
      <x:c r="S423" s="373"/>
      <x:c r="T423" s="373"/>
      <x:c r="U423" s="373"/>
      <x:c r="V423" s="373"/>
      <x:c r="W423" s="373"/>
      <x:c r="X423" s="373"/>
      <x:c r="Y423" s="373"/>
      <x:c r="Z423" s="373"/>
    </x:row>
    <x:row r="424">
      <x:c r="A424" s="373"/>
      <x:c r="B424" s="373"/>
      <x:c r="C424" s="373"/>
      <x:c r="D424" s="373"/>
      <x:c r="E424" s="373"/>
      <x:c r="F424" s="373"/>
      <x:c r="G424" s="373"/>
      <x:c r="H424" s="373"/>
      <x:c r="I424" s="373"/>
      <x:c r="J424" s="373"/>
      <x:c r="K424" s="373"/>
      <x:c r="L424" s="373"/>
      <x:c r="M424" s="373"/>
      <x:c r="N424" s="373"/>
      <x:c r="O424" s="373"/>
      <x:c r="P424" s="373"/>
      <x:c r="Q424" s="373"/>
      <x:c r="R424" s="373"/>
      <x:c r="S424" s="373"/>
      <x:c r="T424" s="373"/>
      <x:c r="U424" s="373"/>
      <x:c r="V424" s="373"/>
      <x:c r="W424" s="373"/>
      <x:c r="X424" s="373"/>
      <x:c r="Y424" s="373"/>
      <x:c r="Z424" s="373"/>
    </x:row>
    <x:row r="425">
      <x:c r="A425" s="373"/>
      <x:c r="B425" s="373"/>
      <x:c r="C425" s="373"/>
      <x:c r="D425" s="373"/>
      <x:c r="E425" s="373"/>
      <x:c r="F425" s="373"/>
      <x:c r="G425" s="373"/>
      <x:c r="H425" s="373"/>
      <x:c r="I425" s="373"/>
      <x:c r="J425" s="373"/>
      <x:c r="K425" s="373"/>
      <x:c r="L425" s="373"/>
      <x:c r="M425" s="373"/>
      <x:c r="N425" s="373"/>
      <x:c r="O425" s="373"/>
      <x:c r="P425" s="373"/>
      <x:c r="Q425" s="373"/>
      <x:c r="R425" s="373"/>
      <x:c r="S425" s="373"/>
      <x:c r="T425" s="373"/>
      <x:c r="U425" s="373"/>
      <x:c r="V425" s="373"/>
      <x:c r="W425" s="373"/>
      <x:c r="X425" s="373"/>
      <x:c r="Y425" s="373"/>
      <x:c r="Z425" s="373"/>
    </x:row>
    <x:row r="426">
      <x:c r="A426" s="373"/>
      <x:c r="B426" s="373"/>
      <x:c r="C426" s="373"/>
      <x:c r="D426" s="373"/>
      <x:c r="E426" s="373"/>
      <x:c r="F426" s="373"/>
      <x:c r="G426" s="373"/>
      <x:c r="H426" s="373"/>
      <x:c r="I426" s="373"/>
      <x:c r="J426" s="373"/>
      <x:c r="K426" s="373"/>
      <x:c r="L426" s="373"/>
      <x:c r="M426" s="373"/>
      <x:c r="N426" s="373"/>
      <x:c r="O426" s="373"/>
      <x:c r="P426" s="373"/>
      <x:c r="Q426" s="373"/>
      <x:c r="R426" s="373"/>
      <x:c r="S426" s="373"/>
      <x:c r="T426" s="373"/>
      <x:c r="U426" s="373"/>
      <x:c r="V426" s="373"/>
      <x:c r="W426" s="373"/>
      <x:c r="X426" s="373"/>
      <x:c r="Y426" s="373"/>
      <x:c r="Z426" s="373"/>
    </x:row>
    <x:row r="427">
      <x:c r="A427" s="373"/>
      <x:c r="B427" s="373"/>
      <x:c r="C427" s="373"/>
      <x:c r="D427" s="373"/>
      <x:c r="E427" s="373"/>
      <x:c r="F427" s="373"/>
      <x:c r="G427" s="373"/>
      <x:c r="H427" s="373"/>
      <x:c r="I427" s="373"/>
      <x:c r="J427" s="373"/>
      <x:c r="K427" s="373"/>
      <x:c r="L427" s="373"/>
      <x:c r="M427" s="373"/>
      <x:c r="N427" s="373"/>
      <x:c r="O427" s="373"/>
      <x:c r="P427" s="373"/>
      <x:c r="Q427" s="373"/>
      <x:c r="R427" s="373"/>
      <x:c r="S427" s="373"/>
      <x:c r="T427" s="373"/>
      <x:c r="U427" s="373"/>
      <x:c r="V427" s="373"/>
      <x:c r="W427" s="373"/>
      <x:c r="X427" s="373"/>
      <x:c r="Y427" s="373"/>
      <x:c r="Z427" s="373"/>
    </x:row>
    <x:row r="428">
      <x:c r="A428" s="373"/>
      <x:c r="B428" s="373"/>
      <x:c r="C428" s="373"/>
      <x:c r="D428" s="373"/>
      <x:c r="E428" s="373"/>
      <x:c r="F428" s="373"/>
      <x:c r="G428" s="373"/>
      <x:c r="H428" s="373"/>
      <x:c r="I428" s="373"/>
      <x:c r="J428" s="373"/>
      <x:c r="K428" s="373"/>
      <x:c r="L428" s="373"/>
      <x:c r="M428" s="373"/>
      <x:c r="N428" s="373"/>
      <x:c r="O428" s="373"/>
      <x:c r="P428" s="373"/>
      <x:c r="Q428" s="373"/>
      <x:c r="R428" s="373"/>
      <x:c r="S428" s="373"/>
      <x:c r="T428" s="373"/>
      <x:c r="U428" s="373"/>
      <x:c r="V428" s="373"/>
      <x:c r="W428" s="373"/>
      <x:c r="X428" s="373"/>
      <x:c r="Y428" s="373"/>
      <x:c r="Z428" s="373"/>
    </x:row>
    <x:row r="429">
      <x:c r="A429" s="373"/>
      <x:c r="B429" s="373"/>
      <x:c r="C429" s="373"/>
      <x:c r="D429" s="373"/>
      <x:c r="E429" s="373"/>
      <x:c r="F429" s="373"/>
      <x:c r="G429" s="373"/>
      <x:c r="H429" s="373"/>
      <x:c r="I429" s="373"/>
      <x:c r="J429" s="373"/>
      <x:c r="K429" s="373"/>
      <x:c r="L429" s="373"/>
      <x:c r="M429" s="373"/>
      <x:c r="N429" s="373"/>
      <x:c r="O429" s="373"/>
      <x:c r="P429" s="373"/>
      <x:c r="Q429" s="373"/>
      <x:c r="R429" s="373"/>
      <x:c r="S429" s="373"/>
      <x:c r="T429" s="373"/>
      <x:c r="U429" s="373"/>
      <x:c r="V429" s="373"/>
      <x:c r="W429" s="373"/>
      <x:c r="X429" s="373"/>
      <x:c r="Y429" s="373"/>
      <x:c r="Z429" s="373"/>
    </x:row>
    <x:row r="430">
      <x:c r="A430" s="373"/>
      <x:c r="B430" s="373"/>
      <x:c r="C430" s="373"/>
      <x:c r="D430" s="373"/>
      <x:c r="E430" s="373"/>
      <x:c r="F430" s="373"/>
      <x:c r="G430" s="373"/>
      <x:c r="H430" s="373"/>
      <x:c r="I430" s="373"/>
      <x:c r="J430" s="373"/>
      <x:c r="K430" s="373"/>
      <x:c r="L430" s="373"/>
      <x:c r="M430" s="373"/>
      <x:c r="N430" s="373"/>
      <x:c r="O430" s="373"/>
      <x:c r="P430" s="373"/>
      <x:c r="Q430" s="373"/>
      <x:c r="R430" s="373"/>
      <x:c r="S430" s="373"/>
      <x:c r="T430" s="373"/>
      <x:c r="U430" s="373"/>
      <x:c r="V430" s="373"/>
      <x:c r="W430" s="373"/>
      <x:c r="X430" s="373"/>
      <x:c r="Y430" s="373"/>
      <x:c r="Z430" s="373"/>
    </x:row>
    <x:row r="431">
      <x:c r="A431" s="373"/>
      <x:c r="B431" s="373"/>
      <x:c r="C431" s="373"/>
      <x:c r="D431" s="373"/>
      <x:c r="E431" s="373"/>
      <x:c r="F431" s="373"/>
      <x:c r="G431" s="373"/>
      <x:c r="H431" s="373"/>
      <x:c r="I431" s="373"/>
      <x:c r="J431" s="373"/>
      <x:c r="K431" s="373"/>
      <x:c r="L431" s="373"/>
      <x:c r="M431" s="373"/>
      <x:c r="N431" s="373"/>
      <x:c r="O431" s="373"/>
      <x:c r="P431" s="373"/>
      <x:c r="Q431" s="373"/>
      <x:c r="R431" s="373"/>
      <x:c r="S431" s="373"/>
      <x:c r="T431" s="373"/>
      <x:c r="U431" s="373"/>
      <x:c r="V431" s="373"/>
      <x:c r="W431" s="373"/>
      <x:c r="X431" s="373"/>
      <x:c r="Y431" s="373"/>
      <x:c r="Z431" s="373"/>
    </x:row>
    <x:row r="432">
      <x:c r="A432" s="373"/>
      <x:c r="B432" s="373"/>
      <x:c r="C432" s="373"/>
      <x:c r="D432" s="373"/>
      <x:c r="E432" s="373"/>
      <x:c r="F432" s="373"/>
      <x:c r="G432" s="373"/>
      <x:c r="H432" s="373"/>
      <x:c r="I432" s="373"/>
      <x:c r="J432" s="373"/>
      <x:c r="K432" s="373"/>
      <x:c r="L432" s="373"/>
      <x:c r="M432" s="373"/>
      <x:c r="N432" s="373"/>
      <x:c r="O432" s="373"/>
      <x:c r="P432" s="373"/>
      <x:c r="Q432" s="373"/>
      <x:c r="R432" s="373"/>
      <x:c r="S432" s="373"/>
      <x:c r="T432" s="373"/>
      <x:c r="U432" s="373"/>
      <x:c r="V432" s="373"/>
      <x:c r="W432" s="373"/>
      <x:c r="X432" s="373"/>
      <x:c r="Y432" s="373"/>
      <x:c r="Z432" s="373"/>
    </x:row>
    <x:row r="433">
      <x:c r="A433" s="373"/>
      <x:c r="B433" s="373"/>
      <x:c r="C433" s="373"/>
      <x:c r="D433" s="373"/>
      <x:c r="E433" s="373"/>
      <x:c r="F433" s="373"/>
      <x:c r="G433" s="373"/>
      <x:c r="H433" s="373"/>
      <x:c r="I433" s="373"/>
      <x:c r="J433" s="373"/>
      <x:c r="K433" s="373"/>
      <x:c r="L433" s="373"/>
      <x:c r="M433" s="373"/>
      <x:c r="N433" s="373"/>
      <x:c r="O433" s="373"/>
      <x:c r="P433" s="373"/>
      <x:c r="Q433" s="373"/>
      <x:c r="R433" s="373"/>
      <x:c r="S433" s="373"/>
      <x:c r="T433" s="373"/>
      <x:c r="U433" s="373"/>
      <x:c r="V433" s="373"/>
      <x:c r="W433" s="373"/>
      <x:c r="X433" s="373"/>
      <x:c r="Y433" s="373"/>
      <x:c r="Z433" s="373"/>
    </x:row>
    <x:row r="434">
      <x:c r="A434" s="373"/>
      <x:c r="B434" s="373"/>
      <x:c r="C434" s="373"/>
      <x:c r="D434" s="373"/>
      <x:c r="E434" s="373"/>
      <x:c r="F434" s="373"/>
      <x:c r="G434" s="373"/>
      <x:c r="H434" s="373"/>
      <x:c r="I434" s="373"/>
      <x:c r="J434" s="373"/>
      <x:c r="K434" s="373"/>
      <x:c r="L434" s="373"/>
      <x:c r="M434" s="373"/>
      <x:c r="N434" s="373"/>
      <x:c r="O434" s="373"/>
      <x:c r="P434" s="373"/>
      <x:c r="Q434" s="373"/>
      <x:c r="R434" s="373"/>
      <x:c r="S434" s="373"/>
      <x:c r="T434" s="373"/>
      <x:c r="U434" s="373"/>
      <x:c r="V434" s="373"/>
      <x:c r="W434" s="373"/>
      <x:c r="X434" s="373"/>
      <x:c r="Y434" s="373"/>
      <x:c r="Z434" s="373"/>
    </x:row>
    <x:row r="435">
      <x:c r="A435" s="373"/>
      <x:c r="B435" s="373"/>
      <x:c r="C435" s="373"/>
      <x:c r="D435" s="373"/>
      <x:c r="E435" s="373"/>
      <x:c r="F435" s="373"/>
      <x:c r="G435" s="373"/>
      <x:c r="H435" s="373"/>
      <x:c r="I435" s="373"/>
      <x:c r="J435" s="373"/>
      <x:c r="K435" s="373"/>
      <x:c r="L435" s="373"/>
      <x:c r="M435" s="373"/>
      <x:c r="N435" s="373"/>
      <x:c r="O435" s="373"/>
      <x:c r="P435" s="373"/>
      <x:c r="Q435" s="373"/>
      <x:c r="R435" s="373"/>
      <x:c r="S435" s="373"/>
      <x:c r="T435" s="373"/>
      <x:c r="U435" s="373"/>
      <x:c r="V435" s="373"/>
      <x:c r="W435" s="373"/>
      <x:c r="X435" s="373"/>
      <x:c r="Y435" s="373"/>
      <x:c r="Z435" s="373"/>
    </x:row>
    <x:row r="436">
      <x:c r="A436" s="373"/>
      <x:c r="B436" s="373"/>
      <x:c r="C436" s="373"/>
      <x:c r="D436" s="373"/>
      <x:c r="E436" s="373"/>
      <x:c r="F436" s="373"/>
      <x:c r="G436" s="373"/>
      <x:c r="H436" s="373"/>
      <x:c r="I436" s="373"/>
      <x:c r="J436" s="373"/>
      <x:c r="K436" s="373"/>
      <x:c r="L436" s="373"/>
      <x:c r="M436" s="373"/>
      <x:c r="N436" s="373"/>
      <x:c r="O436" s="373"/>
      <x:c r="P436" s="373"/>
      <x:c r="Q436" s="373"/>
      <x:c r="R436" s="373"/>
      <x:c r="S436" s="373"/>
      <x:c r="T436" s="373"/>
      <x:c r="U436" s="373"/>
      <x:c r="V436" s="373"/>
      <x:c r="W436" s="373"/>
      <x:c r="X436" s="373"/>
      <x:c r="Y436" s="373"/>
      <x:c r="Z436" s="373"/>
    </x:row>
    <x:row r="437">
      <x:c r="A437" s="373"/>
      <x:c r="B437" s="373"/>
      <x:c r="C437" s="373"/>
      <x:c r="D437" s="373"/>
      <x:c r="E437" s="373"/>
      <x:c r="F437" s="373"/>
      <x:c r="G437" s="373"/>
      <x:c r="H437" s="373"/>
      <x:c r="I437" s="373"/>
      <x:c r="J437" s="373"/>
      <x:c r="K437" s="373"/>
      <x:c r="L437" s="373"/>
      <x:c r="M437" s="373"/>
      <x:c r="N437" s="373"/>
      <x:c r="O437" s="373"/>
      <x:c r="P437" s="373"/>
      <x:c r="Q437" s="373"/>
      <x:c r="R437" s="373"/>
      <x:c r="S437" s="373"/>
      <x:c r="T437" s="373"/>
      <x:c r="U437" s="373"/>
      <x:c r="V437" s="373"/>
      <x:c r="W437" s="373"/>
      <x:c r="X437" s="373"/>
      <x:c r="Y437" s="373"/>
      <x:c r="Z437" s="373"/>
    </x:row>
    <x:row r="438">
      <x:c r="A438" s="373"/>
      <x:c r="B438" s="373"/>
      <x:c r="C438" s="373"/>
      <x:c r="D438" s="373"/>
      <x:c r="E438" s="373"/>
      <x:c r="F438" s="373"/>
      <x:c r="G438" s="373"/>
      <x:c r="H438" s="373"/>
      <x:c r="I438" s="373"/>
      <x:c r="J438" s="373"/>
      <x:c r="K438" s="373"/>
      <x:c r="L438" s="373"/>
      <x:c r="M438" s="373"/>
      <x:c r="N438" s="373"/>
      <x:c r="O438" s="373"/>
      <x:c r="P438" s="373"/>
      <x:c r="Q438" s="373"/>
      <x:c r="R438" s="373"/>
      <x:c r="S438" s="373"/>
      <x:c r="T438" s="373"/>
      <x:c r="U438" s="373"/>
      <x:c r="V438" s="373"/>
      <x:c r="W438" s="373"/>
      <x:c r="X438" s="373"/>
      <x:c r="Y438" s="373"/>
      <x:c r="Z438" s="373"/>
    </x:row>
    <x:row r="439">
      <x:c r="A439" s="373"/>
      <x:c r="B439" s="373"/>
      <x:c r="C439" s="373"/>
      <x:c r="D439" s="373"/>
      <x:c r="E439" s="373"/>
      <x:c r="F439" s="373"/>
      <x:c r="G439" s="373"/>
      <x:c r="H439" s="373"/>
      <x:c r="I439" s="373"/>
      <x:c r="J439" s="373"/>
      <x:c r="K439" s="373"/>
      <x:c r="L439" s="373"/>
      <x:c r="M439" s="373"/>
      <x:c r="N439" s="373"/>
      <x:c r="O439" s="373"/>
      <x:c r="P439" s="373"/>
      <x:c r="Q439" s="373"/>
      <x:c r="R439" s="373"/>
      <x:c r="S439" s="373"/>
      <x:c r="T439" s="373"/>
      <x:c r="U439" s="373"/>
      <x:c r="V439" s="373"/>
      <x:c r="W439" s="373"/>
      <x:c r="X439" s="373"/>
      <x:c r="Y439" s="373"/>
      <x:c r="Z439" s="373"/>
    </x:row>
    <x:row r="440">
      <x:c r="A440" s="373"/>
      <x:c r="B440" s="373"/>
      <x:c r="C440" s="373"/>
      <x:c r="D440" s="373"/>
      <x:c r="E440" s="373"/>
      <x:c r="F440" s="373"/>
      <x:c r="G440" s="373"/>
      <x:c r="H440" s="373"/>
      <x:c r="I440" s="373"/>
      <x:c r="J440" s="373"/>
      <x:c r="K440" s="373"/>
      <x:c r="L440" s="373"/>
      <x:c r="M440" s="373"/>
      <x:c r="N440" s="373"/>
      <x:c r="O440" s="373"/>
      <x:c r="P440" s="373"/>
      <x:c r="Q440" s="373"/>
      <x:c r="R440" s="373"/>
      <x:c r="S440" s="373"/>
      <x:c r="T440" s="373"/>
      <x:c r="U440" s="373"/>
      <x:c r="V440" s="373"/>
      <x:c r="W440" s="373"/>
      <x:c r="X440" s="373"/>
      <x:c r="Y440" s="373"/>
      <x:c r="Z440" s="373"/>
    </x:row>
    <x:row r="441">
      <x:c r="A441" s="373"/>
      <x:c r="B441" s="373"/>
      <x:c r="C441" s="373"/>
      <x:c r="D441" s="373"/>
      <x:c r="E441" s="373"/>
      <x:c r="F441" s="373"/>
      <x:c r="G441" s="373"/>
      <x:c r="H441" s="373"/>
      <x:c r="I441" s="373"/>
      <x:c r="J441" s="373"/>
      <x:c r="K441" s="373"/>
      <x:c r="L441" s="373"/>
      <x:c r="M441" s="373"/>
      <x:c r="N441" s="373"/>
      <x:c r="O441" s="373"/>
      <x:c r="P441" s="373"/>
      <x:c r="Q441" s="373"/>
      <x:c r="R441" s="373"/>
      <x:c r="S441" s="373"/>
      <x:c r="T441" s="373"/>
      <x:c r="U441" s="373"/>
      <x:c r="V441" s="373"/>
      <x:c r="W441" s="373"/>
      <x:c r="X441" s="373"/>
      <x:c r="Y441" s="373"/>
      <x:c r="Z441" s="373"/>
    </x:row>
    <x:row r="442">
      <x:c r="A442" s="373"/>
      <x:c r="B442" s="373"/>
      <x:c r="C442" s="373"/>
      <x:c r="D442" s="373"/>
      <x:c r="E442" s="373"/>
      <x:c r="F442" s="373"/>
      <x:c r="G442" s="373"/>
      <x:c r="H442" s="373"/>
      <x:c r="I442" s="373"/>
      <x:c r="J442" s="373"/>
      <x:c r="K442" s="373"/>
      <x:c r="L442" s="373"/>
      <x:c r="M442" s="373"/>
      <x:c r="N442" s="373"/>
      <x:c r="O442" s="373"/>
      <x:c r="P442" s="373"/>
      <x:c r="Q442" s="373"/>
      <x:c r="R442" s="373"/>
      <x:c r="S442" s="373"/>
      <x:c r="T442" s="373"/>
      <x:c r="U442" s="373"/>
      <x:c r="V442" s="373"/>
      <x:c r="W442" s="373"/>
      <x:c r="X442" s="373"/>
      <x:c r="Y442" s="373"/>
      <x:c r="Z442" s="373"/>
    </x:row>
    <x:row r="443">
      <x:c r="A443" s="373"/>
      <x:c r="B443" s="373"/>
      <x:c r="C443" s="373"/>
      <x:c r="D443" s="373"/>
      <x:c r="E443" s="373"/>
      <x:c r="F443" s="373"/>
      <x:c r="G443" s="373"/>
      <x:c r="H443" s="373"/>
      <x:c r="I443" s="373"/>
      <x:c r="J443" s="373"/>
      <x:c r="K443" s="373"/>
      <x:c r="L443" s="373"/>
      <x:c r="M443" s="373"/>
      <x:c r="N443" s="373"/>
      <x:c r="O443" s="373"/>
      <x:c r="P443" s="373"/>
      <x:c r="Q443" s="373"/>
      <x:c r="R443" s="373"/>
      <x:c r="S443" s="373"/>
      <x:c r="T443" s="373"/>
      <x:c r="U443" s="373"/>
      <x:c r="V443" s="373"/>
      <x:c r="W443" s="373"/>
      <x:c r="X443" s="373"/>
      <x:c r="Y443" s="373"/>
      <x:c r="Z443" s="373"/>
    </x:row>
    <x:row r="444">
      <x:c r="A444" s="373"/>
      <x:c r="B444" s="373"/>
      <x:c r="C444" s="373"/>
      <x:c r="D444" s="373"/>
      <x:c r="E444" s="373"/>
      <x:c r="F444" s="373"/>
      <x:c r="G444" s="373"/>
      <x:c r="H444" s="373"/>
      <x:c r="I444" s="373"/>
      <x:c r="J444" s="373"/>
      <x:c r="K444" s="373"/>
      <x:c r="L444" s="373"/>
      <x:c r="M444" s="373"/>
      <x:c r="N444" s="373"/>
      <x:c r="O444" s="373"/>
      <x:c r="P444" s="373"/>
      <x:c r="Q444" s="373"/>
      <x:c r="R444" s="373"/>
      <x:c r="S444" s="373"/>
      <x:c r="T444" s="373"/>
      <x:c r="U444" s="373"/>
      <x:c r="V444" s="373"/>
      <x:c r="W444" s="373"/>
      <x:c r="X444" s="373"/>
      <x:c r="Y444" s="373"/>
      <x:c r="Z444" s="373"/>
    </x:row>
    <x:row r="445">
      <x:c r="A445" s="373"/>
      <x:c r="B445" s="373"/>
      <x:c r="C445" s="373"/>
      <x:c r="D445" s="373"/>
      <x:c r="E445" s="373"/>
      <x:c r="F445" s="373"/>
      <x:c r="G445" s="373"/>
      <x:c r="H445" s="373"/>
      <x:c r="I445" s="373"/>
      <x:c r="J445" s="373"/>
      <x:c r="K445" s="373"/>
      <x:c r="L445" s="373"/>
      <x:c r="M445" s="373"/>
      <x:c r="N445" s="373"/>
      <x:c r="O445" s="373"/>
      <x:c r="P445" s="373"/>
      <x:c r="Q445" s="373"/>
      <x:c r="R445" s="373"/>
      <x:c r="S445" s="373"/>
      <x:c r="T445" s="373"/>
      <x:c r="U445" s="373"/>
      <x:c r="V445" s="373"/>
      <x:c r="W445" s="373"/>
      <x:c r="X445" s="373"/>
      <x:c r="Y445" s="373"/>
      <x:c r="Z445" s="373"/>
    </x:row>
    <x:row r="446">
      <x:c r="A446" s="373"/>
      <x:c r="B446" s="373"/>
      <x:c r="C446" s="373"/>
      <x:c r="D446" s="373"/>
      <x:c r="E446" s="373"/>
      <x:c r="F446" s="373"/>
      <x:c r="G446" s="373"/>
      <x:c r="H446" s="373"/>
      <x:c r="I446" s="373"/>
      <x:c r="J446" s="373"/>
      <x:c r="K446" s="373"/>
      <x:c r="L446" s="373"/>
      <x:c r="M446" s="373"/>
      <x:c r="N446" s="373"/>
      <x:c r="O446" s="373"/>
      <x:c r="P446" s="373"/>
      <x:c r="Q446" s="373"/>
      <x:c r="R446" s="373"/>
      <x:c r="S446" s="373"/>
      <x:c r="T446" s="373"/>
      <x:c r="U446" s="373"/>
      <x:c r="V446" s="373"/>
      <x:c r="W446" s="373"/>
      <x:c r="X446" s="373"/>
      <x:c r="Y446" s="373"/>
      <x:c r="Z446" s="373"/>
    </x:row>
    <x:row r="447">
      <x:c r="A447" s="373"/>
      <x:c r="B447" s="373"/>
      <x:c r="C447" s="373"/>
      <x:c r="D447" s="373"/>
      <x:c r="E447" s="373"/>
      <x:c r="F447" s="373"/>
      <x:c r="G447" s="373"/>
      <x:c r="H447" s="373"/>
      <x:c r="I447" s="373"/>
      <x:c r="J447" s="373"/>
      <x:c r="K447" s="373"/>
      <x:c r="L447" s="373"/>
      <x:c r="M447" s="373"/>
      <x:c r="N447" s="373"/>
      <x:c r="O447" s="373"/>
      <x:c r="P447" s="373"/>
      <x:c r="Q447" s="373"/>
      <x:c r="R447" s="373"/>
      <x:c r="S447" s="373"/>
      <x:c r="T447" s="373"/>
      <x:c r="U447" s="373"/>
      <x:c r="V447" s="373"/>
      <x:c r="W447" s="373"/>
      <x:c r="X447" s="373"/>
      <x:c r="Y447" s="373"/>
      <x:c r="Z447" s="373"/>
    </x:row>
    <x:row r="448">
      <x:c r="A448" s="373"/>
      <x:c r="B448" s="373"/>
      <x:c r="C448" s="373"/>
      <x:c r="D448" s="373"/>
      <x:c r="E448" s="373"/>
      <x:c r="F448" s="373"/>
      <x:c r="G448" s="373"/>
      <x:c r="H448" s="373"/>
      <x:c r="I448" s="373"/>
      <x:c r="J448" s="373"/>
      <x:c r="K448" s="373"/>
      <x:c r="L448" s="373"/>
      <x:c r="M448" s="373"/>
      <x:c r="N448" s="373"/>
      <x:c r="O448" s="373"/>
      <x:c r="P448" s="373"/>
      <x:c r="Q448" s="373"/>
      <x:c r="R448" s="373"/>
      <x:c r="S448" s="373"/>
      <x:c r="T448" s="373"/>
      <x:c r="U448" s="373"/>
      <x:c r="V448" s="373"/>
      <x:c r="W448" s="373"/>
      <x:c r="X448" s="373"/>
      <x:c r="Y448" s="373"/>
      <x:c r="Z448" s="373"/>
    </x:row>
    <x:row r="449">
      <x:c r="A449" s="373"/>
      <x:c r="B449" s="373"/>
      <x:c r="C449" s="373"/>
      <x:c r="D449" s="373"/>
      <x:c r="E449" s="373"/>
      <x:c r="F449" s="373"/>
      <x:c r="G449" s="373"/>
      <x:c r="H449" s="373"/>
      <x:c r="I449" s="373"/>
      <x:c r="J449" s="373"/>
      <x:c r="K449" s="373"/>
      <x:c r="L449" s="373"/>
      <x:c r="M449" s="373"/>
      <x:c r="N449" s="373"/>
      <x:c r="O449" s="373"/>
      <x:c r="P449" s="373"/>
      <x:c r="Q449" s="373"/>
      <x:c r="R449" s="373"/>
      <x:c r="S449" s="373"/>
      <x:c r="T449" s="373"/>
      <x:c r="U449" s="373"/>
      <x:c r="V449" s="373"/>
      <x:c r="W449" s="373"/>
      <x:c r="X449" s="373"/>
      <x:c r="Y449" s="373"/>
      <x:c r="Z449" s="373"/>
    </x:row>
    <x:row r="450">
      <x:c r="A450" s="373"/>
      <x:c r="B450" s="373"/>
      <x:c r="C450" s="373"/>
      <x:c r="D450" s="373"/>
      <x:c r="E450" s="373"/>
      <x:c r="F450" s="373"/>
      <x:c r="G450" s="373"/>
      <x:c r="H450" s="373"/>
      <x:c r="I450" s="373"/>
      <x:c r="J450" s="373"/>
      <x:c r="K450" s="373"/>
      <x:c r="L450" s="373"/>
      <x:c r="M450" s="373"/>
      <x:c r="N450" s="373"/>
      <x:c r="O450" s="373"/>
      <x:c r="P450" s="373"/>
      <x:c r="Q450" s="373"/>
      <x:c r="R450" s="373"/>
      <x:c r="S450" s="373"/>
      <x:c r="T450" s="373"/>
      <x:c r="U450" s="373"/>
      <x:c r="V450" s="373"/>
      <x:c r="W450" s="373"/>
      <x:c r="X450" s="373"/>
      <x:c r="Y450" s="373"/>
      <x:c r="Z450" s="373"/>
    </x:row>
    <x:row r="451">
      <x:c r="A451" s="373"/>
      <x:c r="B451" s="373"/>
      <x:c r="C451" s="373"/>
      <x:c r="D451" s="373"/>
      <x:c r="E451" s="373"/>
      <x:c r="F451" s="373"/>
      <x:c r="G451" s="373"/>
      <x:c r="H451" s="373"/>
      <x:c r="I451" s="373"/>
      <x:c r="J451" s="373"/>
      <x:c r="K451" s="373"/>
      <x:c r="L451" s="373"/>
      <x:c r="M451" s="373"/>
      <x:c r="N451" s="373"/>
      <x:c r="O451" s="373"/>
      <x:c r="P451" s="373"/>
      <x:c r="Q451" s="373"/>
      <x:c r="R451" s="373"/>
      <x:c r="S451" s="373"/>
      <x:c r="T451" s="373"/>
      <x:c r="U451" s="373"/>
      <x:c r="V451" s="373"/>
      <x:c r="W451" s="373"/>
      <x:c r="X451" s="373"/>
      <x:c r="Y451" s="373"/>
      <x:c r="Z451" s="373"/>
    </x:row>
    <x:row r="452">
      <x:c r="A452" s="373"/>
      <x:c r="B452" s="373"/>
      <x:c r="C452" s="373"/>
      <x:c r="D452" s="373"/>
      <x:c r="E452" s="373"/>
      <x:c r="F452" s="373"/>
      <x:c r="G452" s="373"/>
      <x:c r="H452" s="373"/>
      <x:c r="I452" s="373"/>
      <x:c r="J452" s="373"/>
      <x:c r="K452" s="373"/>
      <x:c r="L452" s="373"/>
      <x:c r="M452" s="373"/>
      <x:c r="N452" s="373"/>
      <x:c r="O452" s="373"/>
      <x:c r="P452" s="373"/>
      <x:c r="Q452" s="373"/>
      <x:c r="R452" s="373"/>
      <x:c r="S452" s="373"/>
      <x:c r="T452" s="373"/>
      <x:c r="U452" s="373"/>
      <x:c r="V452" s="373"/>
      <x:c r="W452" s="373"/>
      <x:c r="X452" s="373"/>
      <x:c r="Y452" s="373"/>
      <x:c r="Z452" s="373"/>
    </x:row>
    <x:row r="453">
      <x:c r="A453" s="373"/>
      <x:c r="B453" s="373"/>
      <x:c r="C453" s="373"/>
      <x:c r="D453" s="373"/>
      <x:c r="E453" s="373"/>
      <x:c r="F453" s="373"/>
      <x:c r="G453" s="373"/>
      <x:c r="H453" s="373"/>
      <x:c r="I453" s="373"/>
      <x:c r="J453" s="373"/>
      <x:c r="K453" s="373"/>
      <x:c r="L453" s="373"/>
      <x:c r="M453" s="373"/>
      <x:c r="N453" s="373"/>
      <x:c r="O453" s="373"/>
      <x:c r="P453" s="373"/>
      <x:c r="Q453" s="373"/>
      <x:c r="R453" s="373"/>
      <x:c r="S453" s="373"/>
      <x:c r="T453" s="373"/>
      <x:c r="U453" s="373"/>
      <x:c r="V453" s="373"/>
      <x:c r="W453" s="373"/>
      <x:c r="X453" s="373"/>
      <x:c r="Y453" s="373"/>
      <x:c r="Z453" s="373"/>
    </x:row>
    <x:row r="454">
      <x:c r="A454" s="373"/>
      <x:c r="B454" s="373"/>
      <x:c r="C454" s="373"/>
      <x:c r="D454" s="373"/>
      <x:c r="E454" s="373"/>
      <x:c r="F454" s="373"/>
      <x:c r="G454" s="373"/>
      <x:c r="H454" s="373"/>
      <x:c r="I454" s="373"/>
      <x:c r="J454" s="373"/>
      <x:c r="K454" s="373"/>
      <x:c r="L454" s="373"/>
      <x:c r="M454" s="373"/>
      <x:c r="N454" s="373"/>
      <x:c r="O454" s="373"/>
      <x:c r="P454" s="373"/>
      <x:c r="Q454" s="373"/>
      <x:c r="R454" s="373"/>
      <x:c r="S454" s="373"/>
      <x:c r="T454" s="373"/>
      <x:c r="U454" s="373"/>
      <x:c r="V454" s="373"/>
      <x:c r="W454" s="373"/>
      <x:c r="X454" s="373"/>
      <x:c r="Y454" s="373"/>
      <x:c r="Z454" s="373"/>
    </x:row>
    <x:row r="455">
      <x:c r="A455" s="373"/>
      <x:c r="B455" s="373"/>
      <x:c r="C455" s="373"/>
      <x:c r="D455" s="373"/>
      <x:c r="E455" s="373"/>
      <x:c r="F455" s="373"/>
      <x:c r="G455" s="373"/>
      <x:c r="H455" s="373"/>
      <x:c r="I455" s="373"/>
      <x:c r="J455" s="373"/>
      <x:c r="K455" s="373"/>
      <x:c r="L455" s="373"/>
      <x:c r="M455" s="373"/>
      <x:c r="N455" s="373"/>
      <x:c r="O455" s="373"/>
      <x:c r="P455" s="373"/>
      <x:c r="Q455" s="373"/>
      <x:c r="R455" s="373"/>
      <x:c r="S455" s="373"/>
      <x:c r="T455" s="373"/>
      <x:c r="U455" s="373"/>
      <x:c r="V455" s="373"/>
      <x:c r="W455" s="373"/>
      <x:c r="X455" s="373"/>
      <x:c r="Y455" s="373"/>
      <x:c r="Z455" s="373"/>
    </x:row>
    <x:row r="456">
      <x:c r="A456" s="373"/>
      <x:c r="B456" s="373"/>
      <x:c r="C456" s="373"/>
      <x:c r="D456" s="373"/>
      <x:c r="E456" s="373"/>
      <x:c r="F456" s="373"/>
      <x:c r="G456" s="373"/>
      <x:c r="H456" s="373"/>
      <x:c r="I456" s="373"/>
      <x:c r="J456" s="373"/>
      <x:c r="K456" s="373"/>
      <x:c r="L456" s="373"/>
      <x:c r="M456" s="373"/>
      <x:c r="N456" s="373"/>
      <x:c r="O456" s="373"/>
      <x:c r="P456" s="373"/>
      <x:c r="Q456" s="373"/>
      <x:c r="R456" s="373"/>
      <x:c r="S456" s="373"/>
      <x:c r="T456" s="373"/>
      <x:c r="U456" s="373"/>
      <x:c r="V456" s="373"/>
      <x:c r="W456" s="373"/>
      <x:c r="X456" s="373"/>
      <x:c r="Y456" s="373"/>
      <x:c r="Z456" s="373"/>
    </x:row>
    <x:row r="457">
      <x:c r="A457" s="373"/>
      <x:c r="B457" s="373"/>
      <x:c r="C457" s="373"/>
      <x:c r="D457" s="373"/>
      <x:c r="E457" s="373"/>
      <x:c r="F457" s="373"/>
      <x:c r="G457" s="373"/>
      <x:c r="H457" s="373"/>
      <x:c r="I457" s="373"/>
      <x:c r="J457" s="373"/>
      <x:c r="K457" s="373"/>
      <x:c r="L457" s="373"/>
      <x:c r="M457" s="373"/>
      <x:c r="N457" s="373"/>
      <x:c r="O457" s="373"/>
      <x:c r="P457" s="373"/>
      <x:c r="Q457" s="373"/>
      <x:c r="R457" s="373"/>
      <x:c r="S457" s="373"/>
      <x:c r="T457" s="373"/>
      <x:c r="U457" s="373"/>
      <x:c r="V457" s="373"/>
      <x:c r="W457" s="373"/>
      <x:c r="X457" s="373"/>
      <x:c r="Y457" s="373"/>
      <x:c r="Z457" s="373"/>
    </x:row>
    <x:row r="458">
      <x:c r="A458" s="373"/>
      <x:c r="B458" s="373"/>
      <x:c r="C458" s="373"/>
      <x:c r="D458" s="373"/>
      <x:c r="E458" s="373"/>
      <x:c r="F458" s="373"/>
      <x:c r="G458" s="373"/>
      <x:c r="H458" s="373"/>
      <x:c r="I458" s="373"/>
      <x:c r="J458" s="373"/>
      <x:c r="K458" s="373"/>
      <x:c r="L458" s="373"/>
      <x:c r="M458" s="373"/>
      <x:c r="N458" s="373"/>
      <x:c r="O458" s="373"/>
      <x:c r="P458" s="373"/>
      <x:c r="Q458" s="373"/>
      <x:c r="R458" s="373"/>
      <x:c r="S458" s="373"/>
      <x:c r="T458" s="373"/>
      <x:c r="U458" s="373"/>
      <x:c r="V458" s="373"/>
      <x:c r="W458" s="373"/>
      <x:c r="X458" s="373"/>
      <x:c r="Y458" s="373"/>
      <x:c r="Z458" s="373"/>
    </x:row>
    <x:row r="459">
      <x:c r="A459" s="373"/>
      <x:c r="B459" s="373"/>
      <x:c r="C459" s="373"/>
      <x:c r="D459" s="373"/>
      <x:c r="E459" s="373"/>
      <x:c r="F459" s="373"/>
      <x:c r="G459" s="373"/>
      <x:c r="H459" s="373"/>
      <x:c r="I459" s="373"/>
      <x:c r="J459" s="373"/>
      <x:c r="K459" s="373"/>
      <x:c r="L459" s="373"/>
      <x:c r="M459" s="373"/>
      <x:c r="N459" s="373"/>
      <x:c r="O459" s="373"/>
      <x:c r="P459" s="373"/>
      <x:c r="Q459" s="373"/>
      <x:c r="R459" s="373"/>
      <x:c r="S459" s="373"/>
      <x:c r="T459" s="373"/>
      <x:c r="U459" s="373"/>
      <x:c r="V459" s="373"/>
      <x:c r="W459" s="373"/>
      <x:c r="X459" s="373"/>
      <x:c r="Y459" s="373"/>
      <x:c r="Z459" s="373"/>
    </x:row>
    <x:row r="460">
      <x:c r="A460" s="373"/>
      <x:c r="B460" s="373"/>
      <x:c r="C460" s="373"/>
      <x:c r="D460" s="373"/>
      <x:c r="E460" s="373"/>
      <x:c r="F460" s="373"/>
      <x:c r="G460" s="373"/>
      <x:c r="H460" s="373"/>
      <x:c r="I460" s="373"/>
      <x:c r="J460" s="373"/>
      <x:c r="K460" s="373"/>
      <x:c r="L460" s="373"/>
      <x:c r="M460" s="373"/>
      <x:c r="N460" s="373"/>
      <x:c r="O460" s="373"/>
      <x:c r="P460" s="373"/>
      <x:c r="Q460" s="373"/>
      <x:c r="R460" s="373"/>
      <x:c r="S460" s="373"/>
      <x:c r="T460" s="373"/>
      <x:c r="U460" s="373"/>
      <x:c r="V460" s="373"/>
      <x:c r="W460" s="373"/>
      <x:c r="X460" s="373"/>
      <x:c r="Y460" s="373"/>
      <x:c r="Z460" s="373"/>
    </x:row>
    <x:row r="461">
      <x:c r="A461" s="373"/>
      <x:c r="B461" s="373"/>
      <x:c r="C461" s="373"/>
      <x:c r="D461" s="373"/>
      <x:c r="E461" s="373"/>
      <x:c r="F461" s="373"/>
      <x:c r="G461" s="373"/>
      <x:c r="H461" s="373"/>
      <x:c r="I461" s="373"/>
      <x:c r="J461" s="373"/>
      <x:c r="K461" s="373"/>
      <x:c r="L461" s="373"/>
      <x:c r="M461" s="373"/>
      <x:c r="N461" s="373"/>
      <x:c r="O461" s="373"/>
      <x:c r="P461" s="373"/>
      <x:c r="Q461" s="373"/>
      <x:c r="R461" s="373"/>
      <x:c r="S461" s="373"/>
      <x:c r="T461" s="373"/>
      <x:c r="U461" s="373"/>
      <x:c r="V461" s="373"/>
      <x:c r="W461" s="373"/>
      <x:c r="X461" s="373"/>
      <x:c r="Y461" s="373"/>
      <x:c r="Z461" s="373"/>
    </x:row>
    <x:row r="462">
      <x:c r="A462" s="373"/>
      <x:c r="B462" s="373"/>
      <x:c r="C462" s="373"/>
      <x:c r="D462" s="373"/>
      <x:c r="E462" s="373"/>
      <x:c r="F462" s="373"/>
      <x:c r="G462" s="373"/>
      <x:c r="H462" s="373"/>
      <x:c r="I462" s="373"/>
      <x:c r="J462" s="373"/>
      <x:c r="K462" s="373"/>
      <x:c r="L462" s="373"/>
      <x:c r="M462" s="373"/>
      <x:c r="N462" s="373"/>
      <x:c r="O462" s="373"/>
      <x:c r="P462" s="373"/>
      <x:c r="Q462" s="373"/>
      <x:c r="R462" s="373"/>
      <x:c r="S462" s="373"/>
      <x:c r="T462" s="373"/>
      <x:c r="U462" s="373"/>
      <x:c r="V462" s="373"/>
      <x:c r="W462" s="373"/>
      <x:c r="X462" s="373"/>
      <x:c r="Y462" s="373"/>
      <x:c r="Z462" s="373"/>
    </x:row>
    <x:row r="463">
      <x:c r="A463" s="373"/>
      <x:c r="B463" s="373"/>
      <x:c r="C463" s="373"/>
      <x:c r="D463" s="373"/>
      <x:c r="E463" s="373"/>
      <x:c r="F463" s="373"/>
      <x:c r="G463" s="373"/>
      <x:c r="H463" s="373"/>
      <x:c r="I463" s="373"/>
      <x:c r="J463" s="373"/>
      <x:c r="K463" s="373"/>
      <x:c r="L463" s="373"/>
      <x:c r="M463" s="373"/>
      <x:c r="N463" s="373"/>
      <x:c r="O463" s="373"/>
      <x:c r="P463" s="373"/>
      <x:c r="Q463" s="373"/>
      <x:c r="R463" s="373"/>
      <x:c r="S463" s="373"/>
      <x:c r="T463" s="373"/>
      <x:c r="U463" s="373"/>
      <x:c r="V463" s="373"/>
      <x:c r="W463" s="373"/>
      <x:c r="X463" s="373"/>
      <x:c r="Y463" s="373"/>
      <x:c r="Z463" s="373"/>
    </x:row>
    <x:row r="464">
      <x:c r="A464" s="373"/>
      <x:c r="B464" s="373"/>
      <x:c r="C464" s="373"/>
      <x:c r="D464" s="373"/>
      <x:c r="E464" s="373"/>
      <x:c r="F464" s="373"/>
      <x:c r="G464" s="373"/>
      <x:c r="H464" s="373"/>
      <x:c r="I464" s="373"/>
      <x:c r="J464" s="373"/>
      <x:c r="K464" s="373"/>
      <x:c r="L464" s="373"/>
      <x:c r="M464" s="373"/>
      <x:c r="N464" s="373"/>
      <x:c r="O464" s="373"/>
      <x:c r="P464" s="373"/>
      <x:c r="Q464" s="373"/>
      <x:c r="R464" s="373"/>
      <x:c r="S464" s="373"/>
      <x:c r="T464" s="373"/>
      <x:c r="U464" s="373"/>
      <x:c r="V464" s="373"/>
      <x:c r="W464" s="373"/>
      <x:c r="X464" s="373"/>
      <x:c r="Y464" s="373"/>
      <x:c r="Z464" s="373"/>
    </x:row>
    <x:row r="465">
      <x:c r="A465" s="373"/>
      <x:c r="B465" s="373"/>
      <x:c r="C465" s="373"/>
      <x:c r="D465" s="373"/>
      <x:c r="E465" s="373"/>
      <x:c r="F465" s="373"/>
      <x:c r="G465" s="373"/>
      <x:c r="H465" s="373"/>
      <x:c r="I465" s="373"/>
      <x:c r="J465" s="373"/>
      <x:c r="K465" s="373"/>
      <x:c r="L465" s="373"/>
      <x:c r="M465" s="373"/>
      <x:c r="N465" s="373"/>
      <x:c r="O465" s="373"/>
      <x:c r="P465" s="373"/>
      <x:c r="Q465" s="373"/>
      <x:c r="R465" s="373"/>
      <x:c r="S465" s="373"/>
      <x:c r="T465" s="373"/>
      <x:c r="U465" s="373"/>
      <x:c r="V465" s="373"/>
      <x:c r="W465" s="373"/>
      <x:c r="X465" s="373"/>
      <x:c r="Y465" s="373"/>
      <x:c r="Z465" s="373"/>
    </x:row>
    <x:row r="466">
      <x:c r="A466" s="373"/>
      <x:c r="B466" s="373"/>
      <x:c r="C466" s="373"/>
      <x:c r="D466" s="373"/>
      <x:c r="E466" s="373"/>
      <x:c r="F466" s="373"/>
      <x:c r="G466" s="373"/>
      <x:c r="H466" s="373"/>
      <x:c r="I466" s="373"/>
      <x:c r="J466" s="373"/>
      <x:c r="K466" s="373"/>
      <x:c r="L466" s="373"/>
      <x:c r="M466" s="373"/>
      <x:c r="N466" s="373"/>
      <x:c r="O466" s="373"/>
      <x:c r="P466" s="373"/>
      <x:c r="Q466" s="373"/>
      <x:c r="R466" s="373"/>
      <x:c r="S466" s="373"/>
      <x:c r="T466" s="373"/>
      <x:c r="U466" s="373"/>
      <x:c r="V466" s="373"/>
      <x:c r="W466" s="373"/>
      <x:c r="X466" s="373"/>
      <x:c r="Y466" s="373"/>
      <x:c r="Z466" s="373"/>
    </x:row>
    <x:row r="467">
      <x:c r="A467" s="373"/>
      <x:c r="B467" s="373"/>
      <x:c r="C467" s="373"/>
      <x:c r="D467" s="373"/>
      <x:c r="E467" s="373"/>
      <x:c r="F467" s="373"/>
      <x:c r="G467" s="373"/>
      <x:c r="H467" s="373"/>
      <x:c r="I467" s="373"/>
      <x:c r="J467" s="373"/>
      <x:c r="K467" s="373"/>
      <x:c r="L467" s="373"/>
      <x:c r="M467" s="373"/>
      <x:c r="N467" s="373"/>
      <x:c r="O467" s="373"/>
      <x:c r="P467" s="373"/>
      <x:c r="Q467" s="373"/>
      <x:c r="R467" s="373"/>
      <x:c r="S467" s="373"/>
      <x:c r="T467" s="373"/>
      <x:c r="U467" s="373"/>
      <x:c r="V467" s="373"/>
      <x:c r="W467" s="373"/>
      <x:c r="X467" s="373"/>
      <x:c r="Y467" s="373"/>
      <x:c r="Z467" s="373"/>
    </x:row>
    <x:row r="468">
      <x:c r="A468" s="373"/>
      <x:c r="B468" s="373"/>
      <x:c r="C468" s="373"/>
      <x:c r="D468" s="373"/>
      <x:c r="E468" s="373"/>
      <x:c r="F468" s="373"/>
      <x:c r="G468" s="373"/>
      <x:c r="H468" s="373"/>
      <x:c r="I468" s="373"/>
      <x:c r="J468" s="373"/>
      <x:c r="K468" s="373"/>
      <x:c r="L468" s="373"/>
      <x:c r="M468" s="373"/>
      <x:c r="N468" s="373"/>
      <x:c r="O468" s="373"/>
      <x:c r="P468" s="373"/>
      <x:c r="Q468" s="373"/>
      <x:c r="R468" s="373"/>
      <x:c r="S468" s="373"/>
      <x:c r="T468" s="373"/>
      <x:c r="U468" s="373"/>
      <x:c r="V468" s="373"/>
      <x:c r="W468" s="373"/>
      <x:c r="X468" s="373"/>
      <x:c r="Y468" s="373"/>
      <x:c r="Z468" s="373"/>
    </x:row>
    <x:row r="469">
      <x:c r="A469" s="373"/>
      <x:c r="B469" s="373"/>
      <x:c r="C469" s="373"/>
      <x:c r="D469" s="373"/>
      <x:c r="E469" s="373"/>
      <x:c r="F469" s="373"/>
      <x:c r="G469" s="373"/>
      <x:c r="H469" s="373"/>
      <x:c r="I469" s="373"/>
      <x:c r="J469" s="373"/>
      <x:c r="K469" s="373"/>
      <x:c r="L469" s="373"/>
      <x:c r="M469" s="373"/>
      <x:c r="N469" s="373"/>
      <x:c r="O469" s="373"/>
      <x:c r="P469" s="373"/>
      <x:c r="Q469" s="373"/>
      <x:c r="R469" s="373"/>
      <x:c r="S469" s="373"/>
      <x:c r="T469" s="373"/>
      <x:c r="U469" s="373"/>
      <x:c r="V469" s="373"/>
      <x:c r="W469" s="373"/>
      <x:c r="X469" s="373"/>
      <x:c r="Y469" s="373"/>
      <x:c r="Z469" s="373"/>
    </x:row>
    <x:row r="470">
      <x:c r="A470" s="373"/>
      <x:c r="B470" s="373"/>
      <x:c r="C470" s="373"/>
      <x:c r="D470" s="373"/>
      <x:c r="E470" s="373"/>
      <x:c r="F470" s="373"/>
      <x:c r="G470" s="373"/>
      <x:c r="H470" s="373"/>
      <x:c r="I470" s="373"/>
      <x:c r="J470" s="373"/>
      <x:c r="K470" s="373"/>
      <x:c r="L470" s="373"/>
      <x:c r="M470" s="373"/>
      <x:c r="N470" s="373"/>
      <x:c r="O470" s="373"/>
      <x:c r="P470" s="373"/>
      <x:c r="Q470" s="373"/>
      <x:c r="R470" s="373"/>
      <x:c r="S470" s="373"/>
      <x:c r="T470" s="373"/>
      <x:c r="U470" s="373"/>
      <x:c r="V470" s="373"/>
      <x:c r="W470" s="373"/>
      <x:c r="X470" s="373"/>
      <x:c r="Y470" s="373"/>
      <x:c r="Z470" s="373"/>
    </x:row>
    <x:row r="471">
      <x:c r="A471" s="373"/>
      <x:c r="B471" s="373"/>
      <x:c r="C471" s="373"/>
      <x:c r="D471" s="373"/>
      <x:c r="E471" s="373"/>
      <x:c r="F471" s="373"/>
      <x:c r="G471" s="373"/>
      <x:c r="H471" s="373"/>
      <x:c r="I471" s="373"/>
      <x:c r="J471" s="373"/>
      <x:c r="K471" s="373"/>
      <x:c r="L471" s="373"/>
      <x:c r="M471" s="373"/>
      <x:c r="N471" s="373"/>
      <x:c r="O471" s="373"/>
      <x:c r="P471" s="373"/>
      <x:c r="Q471" s="373"/>
      <x:c r="R471" s="373"/>
      <x:c r="S471" s="373"/>
      <x:c r="T471" s="373"/>
      <x:c r="U471" s="373"/>
      <x:c r="V471" s="373"/>
      <x:c r="W471" s="373"/>
      <x:c r="X471" s="373"/>
      <x:c r="Y471" s="373"/>
      <x:c r="Z471" s="373"/>
    </x:row>
    <x:row r="472">
      <x:c r="A472" s="373"/>
      <x:c r="B472" s="373"/>
      <x:c r="C472" s="373"/>
      <x:c r="D472" s="373"/>
      <x:c r="E472" s="373"/>
      <x:c r="F472" s="373"/>
      <x:c r="G472" s="373"/>
      <x:c r="H472" s="373"/>
      <x:c r="I472" s="373"/>
      <x:c r="J472" s="373"/>
      <x:c r="K472" s="373"/>
      <x:c r="L472" s="373"/>
      <x:c r="M472" s="373"/>
      <x:c r="N472" s="373"/>
      <x:c r="O472" s="373"/>
      <x:c r="P472" s="373"/>
      <x:c r="Q472" s="373"/>
      <x:c r="R472" s="373"/>
      <x:c r="S472" s="373"/>
      <x:c r="T472" s="373"/>
      <x:c r="U472" s="373"/>
      <x:c r="V472" s="373"/>
      <x:c r="W472" s="373"/>
      <x:c r="X472" s="373"/>
      <x:c r="Y472" s="373"/>
      <x:c r="Z472" s="373"/>
    </x:row>
    <x:row r="473">
      <x:c r="A473" s="373"/>
      <x:c r="B473" s="373"/>
      <x:c r="C473" s="373"/>
      <x:c r="D473" s="373"/>
      <x:c r="E473" s="373"/>
      <x:c r="F473" s="373"/>
      <x:c r="G473" s="373"/>
      <x:c r="H473" s="373"/>
      <x:c r="I473" s="373"/>
      <x:c r="J473" s="373"/>
      <x:c r="K473" s="373"/>
      <x:c r="L473" s="373"/>
      <x:c r="M473" s="373"/>
      <x:c r="N473" s="373"/>
      <x:c r="O473" s="373"/>
      <x:c r="P473" s="373"/>
      <x:c r="Q473" s="373"/>
      <x:c r="R473" s="373"/>
      <x:c r="S473" s="373"/>
      <x:c r="T473" s="373"/>
      <x:c r="U473" s="373"/>
      <x:c r="V473" s="373"/>
      <x:c r="W473" s="373"/>
      <x:c r="X473" s="373"/>
      <x:c r="Y473" s="373"/>
      <x:c r="Z473" s="373"/>
    </x:row>
    <x:row r="474">
      <x:c r="A474" s="373"/>
      <x:c r="B474" s="373"/>
      <x:c r="C474" s="373"/>
      <x:c r="D474" s="373"/>
      <x:c r="E474" s="373"/>
      <x:c r="F474" s="373"/>
      <x:c r="G474" s="373"/>
      <x:c r="H474" s="373"/>
      <x:c r="I474" s="373"/>
      <x:c r="J474" s="373"/>
      <x:c r="K474" s="373"/>
      <x:c r="L474" s="373"/>
      <x:c r="M474" s="373"/>
      <x:c r="N474" s="373"/>
      <x:c r="O474" s="373"/>
      <x:c r="P474" s="373"/>
      <x:c r="Q474" s="373"/>
      <x:c r="R474" s="373"/>
      <x:c r="S474" s="373"/>
      <x:c r="T474" s="373"/>
      <x:c r="U474" s="373"/>
      <x:c r="V474" s="373"/>
      <x:c r="W474" s="373"/>
      <x:c r="X474" s="373"/>
      <x:c r="Y474" s="373"/>
      <x:c r="Z474" s="373"/>
    </x:row>
    <x:row r="475">
      <x:c r="A475" s="373"/>
      <x:c r="B475" s="373"/>
      <x:c r="C475" s="373"/>
      <x:c r="D475" s="373"/>
      <x:c r="E475" s="373"/>
      <x:c r="F475" s="373"/>
      <x:c r="G475" s="373"/>
      <x:c r="H475" s="373"/>
      <x:c r="I475" s="373"/>
      <x:c r="J475" s="373"/>
      <x:c r="K475" s="373"/>
      <x:c r="L475" s="373"/>
      <x:c r="M475" s="373"/>
      <x:c r="N475" s="373"/>
      <x:c r="O475" s="373"/>
      <x:c r="P475" s="373"/>
      <x:c r="Q475" s="373"/>
      <x:c r="R475" s="373"/>
      <x:c r="S475" s="373"/>
      <x:c r="T475" s="373"/>
      <x:c r="U475" s="373"/>
      <x:c r="V475" s="373"/>
      <x:c r="W475" s="373"/>
      <x:c r="X475" s="373"/>
      <x:c r="Y475" s="373"/>
      <x:c r="Z475" s="373"/>
    </x:row>
    <x:row r="476">
      <x:c r="A476" s="373"/>
      <x:c r="B476" s="373"/>
      <x:c r="C476" s="373"/>
      <x:c r="D476" s="373"/>
      <x:c r="E476" s="373"/>
      <x:c r="F476" s="373"/>
      <x:c r="G476" s="373"/>
      <x:c r="H476" s="373"/>
      <x:c r="I476" s="373"/>
      <x:c r="J476" s="373"/>
      <x:c r="K476" s="373"/>
      <x:c r="L476" s="373"/>
      <x:c r="M476" s="373"/>
      <x:c r="N476" s="373"/>
      <x:c r="O476" s="373"/>
      <x:c r="P476" s="373"/>
      <x:c r="Q476" s="373"/>
      <x:c r="R476" s="373"/>
      <x:c r="S476" s="373"/>
      <x:c r="T476" s="373"/>
      <x:c r="U476" s="373"/>
      <x:c r="V476" s="373"/>
      <x:c r="W476" s="373"/>
      <x:c r="X476" s="373"/>
      <x:c r="Y476" s="373"/>
      <x:c r="Z476" s="373"/>
    </x:row>
    <x:row r="477">
      <x:c r="A477" s="373"/>
      <x:c r="B477" s="373"/>
      <x:c r="C477" s="373"/>
      <x:c r="D477" s="373"/>
      <x:c r="E477" s="373"/>
      <x:c r="F477" s="373"/>
      <x:c r="G477" s="373"/>
      <x:c r="H477" s="373"/>
      <x:c r="I477" s="373"/>
      <x:c r="J477" s="373"/>
      <x:c r="K477" s="373"/>
      <x:c r="L477" s="373"/>
      <x:c r="M477" s="373"/>
      <x:c r="N477" s="373"/>
      <x:c r="O477" s="373"/>
      <x:c r="P477" s="373"/>
      <x:c r="Q477" s="373"/>
      <x:c r="R477" s="373"/>
      <x:c r="S477" s="373"/>
      <x:c r="T477" s="373"/>
      <x:c r="U477" s="373"/>
      <x:c r="V477" s="373"/>
      <x:c r="W477" s="373"/>
      <x:c r="X477" s="373"/>
      <x:c r="Y477" s="373"/>
      <x:c r="Z477" s="373"/>
    </x:row>
    <x:row r="478">
      <x:c r="A478" s="373"/>
      <x:c r="B478" s="373"/>
      <x:c r="C478" s="373"/>
      <x:c r="D478" s="373"/>
      <x:c r="E478" s="373"/>
      <x:c r="F478" s="373"/>
      <x:c r="G478" s="373"/>
      <x:c r="H478" s="373"/>
      <x:c r="I478" s="373"/>
      <x:c r="J478" s="373"/>
      <x:c r="K478" s="373"/>
      <x:c r="L478" s="373"/>
      <x:c r="M478" s="373"/>
      <x:c r="N478" s="373"/>
      <x:c r="O478" s="373"/>
      <x:c r="P478" s="373"/>
      <x:c r="Q478" s="373"/>
      <x:c r="R478" s="373"/>
      <x:c r="S478" s="373"/>
      <x:c r="T478" s="373"/>
      <x:c r="U478" s="373"/>
      <x:c r="V478" s="373"/>
      <x:c r="W478" s="373"/>
      <x:c r="X478" s="373"/>
      <x:c r="Y478" s="373"/>
      <x:c r="Z478" s="373"/>
    </x:row>
    <x:row r="479">
      <x:c r="A479" s="373"/>
      <x:c r="B479" s="373"/>
      <x:c r="C479" s="373"/>
      <x:c r="D479" s="373"/>
      <x:c r="E479" s="373"/>
      <x:c r="F479" s="373"/>
      <x:c r="G479" s="373"/>
      <x:c r="H479" s="373"/>
      <x:c r="I479" s="373"/>
      <x:c r="J479" s="373"/>
      <x:c r="K479" s="373"/>
      <x:c r="L479" s="373"/>
      <x:c r="M479" s="373"/>
      <x:c r="N479" s="373"/>
      <x:c r="O479" s="373"/>
      <x:c r="P479" s="373"/>
      <x:c r="Q479" s="373"/>
      <x:c r="R479" s="373"/>
      <x:c r="S479" s="373"/>
      <x:c r="T479" s="373"/>
      <x:c r="U479" s="373"/>
      <x:c r="V479" s="373"/>
      <x:c r="W479" s="373"/>
      <x:c r="X479" s="373"/>
      <x:c r="Y479" s="373"/>
      <x:c r="Z479" s="373"/>
    </x:row>
    <x:row r="480">
      <x:c r="A480" s="373"/>
      <x:c r="B480" s="373"/>
      <x:c r="C480" s="373"/>
      <x:c r="D480" s="373"/>
      <x:c r="E480" s="373"/>
      <x:c r="F480" s="373"/>
      <x:c r="G480" s="373"/>
      <x:c r="H480" s="373"/>
      <x:c r="I480" s="373"/>
      <x:c r="J480" s="373"/>
      <x:c r="K480" s="373"/>
      <x:c r="L480" s="373"/>
      <x:c r="M480" s="373"/>
      <x:c r="N480" s="373"/>
      <x:c r="O480" s="373"/>
      <x:c r="P480" s="373"/>
      <x:c r="Q480" s="373"/>
      <x:c r="R480" s="373"/>
      <x:c r="S480" s="373"/>
      <x:c r="T480" s="373"/>
      <x:c r="U480" s="373"/>
      <x:c r="V480" s="373"/>
      <x:c r="W480" s="373"/>
      <x:c r="X480" s="373"/>
      <x:c r="Y480" s="373"/>
      <x:c r="Z480" s="373"/>
    </x:row>
    <x:row r="481">
      <x:c r="A481" s="373"/>
      <x:c r="B481" s="373"/>
      <x:c r="C481" s="373"/>
      <x:c r="D481" s="373"/>
      <x:c r="E481" s="373"/>
      <x:c r="F481" s="373"/>
      <x:c r="G481" s="373"/>
      <x:c r="H481" s="373"/>
      <x:c r="I481" s="373"/>
      <x:c r="J481" s="373"/>
      <x:c r="K481" s="373"/>
      <x:c r="L481" s="373"/>
      <x:c r="M481" s="373"/>
      <x:c r="N481" s="373"/>
      <x:c r="O481" s="373"/>
      <x:c r="P481" s="373"/>
      <x:c r="Q481" s="373"/>
      <x:c r="R481" s="373"/>
      <x:c r="S481" s="373"/>
      <x:c r="T481" s="373"/>
      <x:c r="U481" s="373"/>
      <x:c r="V481" s="373"/>
      <x:c r="W481" s="373"/>
      <x:c r="X481" s="373"/>
      <x:c r="Y481" s="373"/>
      <x:c r="Z481" s="373"/>
    </x:row>
    <x:row r="482">
      <x:c r="A482" s="373"/>
      <x:c r="B482" s="373"/>
      <x:c r="C482" s="373"/>
      <x:c r="D482" s="373"/>
      <x:c r="E482" s="373"/>
      <x:c r="F482" s="373"/>
      <x:c r="G482" s="373"/>
      <x:c r="H482" s="373"/>
      <x:c r="I482" s="373"/>
      <x:c r="J482" s="373"/>
      <x:c r="K482" s="373"/>
      <x:c r="L482" s="373"/>
      <x:c r="M482" s="373"/>
      <x:c r="N482" s="373"/>
      <x:c r="O482" s="373"/>
      <x:c r="P482" s="373"/>
      <x:c r="Q482" s="373"/>
      <x:c r="R482" s="373"/>
      <x:c r="S482" s="373"/>
      <x:c r="T482" s="373"/>
      <x:c r="U482" s="373"/>
      <x:c r="V482" s="373"/>
      <x:c r="W482" s="373"/>
      <x:c r="X482" s="373"/>
      <x:c r="Y482" s="373"/>
      <x:c r="Z482" s="373"/>
    </x:row>
    <x:row r="483">
      <x:c r="A483" s="373"/>
      <x:c r="B483" s="373"/>
      <x:c r="C483" s="373"/>
      <x:c r="D483" s="373"/>
      <x:c r="E483" s="373"/>
      <x:c r="F483" s="373"/>
      <x:c r="G483" s="373"/>
      <x:c r="H483" s="373"/>
      <x:c r="I483" s="373"/>
      <x:c r="J483" s="373"/>
      <x:c r="K483" s="373"/>
      <x:c r="L483" s="373"/>
      <x:c r="M483" s="373"/>
      <x:c r="N483" s="373"/>
      <x:c r="O483" s="373"/>
      <x:c r="P483" s="373"/>
      <x:c r="Q483" s="373"/>
      <x:c r="R483" s="373"/>
      <x:c r="S483" s="373"/>
      <x:c r="T483" s="373"/>
      <x:c r="U483" s="373"/>
      <x:c r="V483" s="373"/>
      <x:c r="W483" s="373"/>
      <x:c r="X483" s="373"/>
      <x:c r="Y483" s="373"/>
      <x:c r="Z483" s="373"/>
    </x:row>
    <x:row r="484">
      <x:c r="A484" s="373"/>
      <x:c r="B484" s="373"/>
      <x:c r="C484" s="373"/>
      <x:c r="D484" s="373"/>
      <x:c r="E484" s="373"/>
      <x:c r="F484" s="373"/>
      <x:c r="G484" s="373"/>
      <x:c r="H484" s="373"/>
      <x:c r="I484" s="373"/>
      <x:c r="J484" s="373"/>
      <x:c r="K484" s="373"/>
      <x:c r="L484" s="373"/>
      <x:c r="M484" s="373"/>
      <x:c r="N484" s="373"/>
      <x:c r="O484" s="373"/>
      <x:c r="P484" s="373"/>
      <x:c r="Q484" s="373"/>
      <x:c r="R484" s="373"/>
      <x:c r="S484" s="373"/>
      <x:c r="T484" s="373"/>
      <x:c r="U484" s="373"/>
      <x:c r="V484" s="373"/>
      <x:c r="W484" s="373"/>
      <x:c r="X484" s="373"/>
      <x:c r="Y484" s="373"/>
      <x:c r="Z484" s="373"/>
    </x:row>
    <x:row r="485">
      <x:c r="A485" s="373"/>
      <x:c r="B485" s="373"/>
      <x:c r="C485" s="373"/>
      <x:c r="D485" s="373"/>
      <x:c r="E485" s="373"/>
      <x:c r="F485" s="373"/>
      <x:c r="G485" s="373"/>
      <x:c r="H485" s="373"/>
      <x:c r="I485" s="373"/>
      <x:c r="J485" s="373"/>
      <x:c r="K485" s="373"/>
      <x:c r="L485" s="373"/>
      <x:c r="M485" s="373"/>
      <x:c r="N485" s="373"/>
      <x:c r="O485" s="373"/>
      <x:c r="P485" s="373"/>
      <x:c r="Q485" s="373"/>
      <x:c r="R485" s="373"/>
      <x:c r="S485" s="373"/>
      <x:c r="T485" s="373"/>
      <x:c r="U485" s="373"/>
      <x:c r="V485" s="373"/>
      <x:c r="W485" s="373"/>
      <x:c r="X485" s="373"/>
      <x:c r="Y485" s="373"/>
      <x:c r="Z485" s="373"/>
    </x:row>
    <x:row r="486">
      <x:c r="A486" s="373"/>
      <x:c r="B486" s="373"/>
      <x:c r="C486" s="373"/>
      <x:c r="D486" s="373"/>
      <x:c r="E486" s="373"/>
      <x:c r="F486" s="373"/>
      <x:c r="G486" s="373"/>
      <x:c r="H486" s="373"/>
      <x:c r="I486" s="373"/>
      <x:c r="J486" s="373"/>
      <x:c r="K486" s="373"/>
      <x:c r="L486" s="373"/>
      <x:c r="M486" s="373"/>
      <x:c r="N486" s="373"/>
      <x:c r="O486" s="373"/>
      <x:c r="P486" s="373"/>
      <x:c r="Q486" s="373"/>
      <x:c r="R486" s="373"/>
      <x:c r="S486" s="373"/>
      <x:c r="T486" s="373"/>
      <x:c r="U486" s="373"/>
      <x:c r="V486" s="373"/>
      <x:c r="W486" s="373"/>
      <x:c r="X486" s="373"/>
      <x:c r="Y486" s="373"/>
      <x:c r="Z486" s="373"/>
    </x:row>
    <x:row r="487">
      <x:c r="A487" s="373"/>
      <x:c r="B487" s="373"/>
      <x:c r="C487" s="373"/>
      <x:c r="D487" s="373"/>
      <x:c r="E487" s="373"/>
      <x:c r="F487" s="373"/>
      <x:c r="G487" s="373"/>
      <x:c r="H487" s="373"/>
      <x:c r="I487" s="373"/>
      <x:c r="J487" s="373"/>
      <x:c r="K487" s="373"/>
      <x:c r="L487" s="373"/>
      <x:c r="M487" s="373"/>
      <x:c r="N487" s="373"/>
      <x:c r="O487" s="373"/>
      <x:c r="P487" s="373"/>
      <x:c r="Q487" s="373"/>
      <x:c r="R487" s="373"/>
      <x:c r="S487" s="373"/>
      <x:c r="T487" s="373"/>
      <x:c r="U487" s="373"/>
      <x:c r="V487" s="373"/>
      <x:c r="W487" s="373"/>
      <x:c r="X487" s="373"/>
      <x:c r="Y487" s="373"/>
      <x:c r="Z487" s="373"/>
    </x:row>
    <x:row r="488">
      <x:c r="A488" s="373"/>
      <x:c r="B488" s="373"/>
      <x:c r="C488" s="373"/>
      <x:c r="D488" s="373"/>
      <x:c r="E488" s="373"/>
      <x:c r="F488" s="373"/>
      <x:c r="G488" s="373"/>
      <x:c r="H488" s="373"/>
      <x:c r="I488" s="373"/>
      <x:c r="J488" s="373"/>
      <x:c r="K488" s="373"/>
      <x:c r="L488" s="373"/>
      <x:c r="M488" s="373"/>
      <x:c r="N488" s="373"/>
      <x:c r="O488" s="373"/>
      <x:c r="P488" s="373"/>
      <x:c r="Q488" s="373"/>
      <x:c r="R488" s="373"/>
      <x:c r="S488" s="373"/>
      <x:c r="T488" s="373"/>
      <x:c r="U488" s="373"/>
      <x:c r="V488" s="373"/>
      <x:c r="W488" s="373"/>
      <x:c r="X488" s="373"/>
      <x:c r="Y488" s="373"/>
      <x:c r="Z488" s="373"/>
    </x:row>
    <x:row r="489">
      <x:c r="A489" s="373"/>
      <x:c r="B489" s="373"/>
      <x:c r="C489" s="373"/>
      <x:c r="D489" s="373"/>
      <x:c r="E489" s="373"/>
      <x:c r="F489" s="373"/>
      <x:c r="G489" s="373"/>
      <x:c r="H489" s="373"/>
      <x:c r="I489" s="373"/>
      <x:c r="J489" s="373"/>
      <x:c r="K489" s="373"/>
      <x:c r="L489" s="373"/>
      <x:c r="M489" s="373"/>
      <x:c r="N489" s="373"/>
      <x:c r="O489" s="373"/>
      <x:c r="P489" s="373"/>
      <x:c r="Q489" s="373"/>
      <x:c r="R489" s="373"/>
      <x:c r="S489" s="373"/>
      <x:c r="T489" s="373"/>
      <x:c r="U489" s="373"/>
      <x:c r="V489" s="373"/>
      <x:c r="W489" s="373"/>
      <x:c r="X489" s="373"/>
      <x:c r="Y489" s="373"/>
      <x:c r="Z489" s="373"/>
    </x:row>
    <x:row r="490">
      <x:c r="A490" s="373"/>
      <x:c r="B490" s="373"/>
      <x:c r="C490" s="373"/>
      <x:c r="D490" s="373"/>
      <x:c r="E490" s="373"/>
      <x:c r="F490" s="373"/>
      <x:c r="G490" s="373"/>
      <x:c r="H490" s="373"/>
      <x:c r="I490" s="373"/>
      <x:c r="J490" s="373"/>
      <x:c r="K490" s="373"/>
      <x:c r="L490" s="373"/>
      <x:c r="M490" s="373"/>
      <x:c r="N490" s="373"/>
      <x:c r="O490" s="373"/>
      <x:c r="P490" s="373"/>
      <x:c r="Q490" s="373"/>
      <x:c r="R490" s="373"/>
      <x:c r="S490" s="373"/>
      <x:c r="T490" s="373"/>
      <x:c r="U490" s="373"/>
      <x:c r="V490" s="373"/>
      <x:c r="W490" s="373"/>
      <x:c r="X490" s="373"/>
      <x:c r="Y490" s="373"/>
      <x:c r="Z490" s="373"/>
    </x:row>
    <x:row r="491">
      <x:c r="A491" s="373"/>
      <x:c r="B491" s="373"/>
      <x:c r="C491" s="373"/>
      <x:c r="D491" s="373"/>
      <x:c r="E491" s="373"/>
      <x:c r="F491" s="373"/>
      <x:c r="G491" s="373"/>
      <x:c r="H491" s="373"/>
      <x:c r="I491" s="373"/>
      <x:c r="J491" s="373"/>
      <x:c r="K491" s="373"/>
      <x:c r="L491" s="373"/>
      <x:c r="M491" s="373"/>
      <x:c r="N491" s="373"/>
      <x:c r="O491" s="373"/>
      <x:c r="P491" s="373"/>
      <x:c r="Q491" s="373"/>
      <x:c r="R491" s="373"/>
      <x:c r="S491" s="373"/>
      <x:c r="T491" s="373"/>
      <x:c r="U491" s="373"/>
      <x:c r="V491" s="373"/>
      <x:c r="W491" s="373"/>
      <x:c r="X491" s="373"/>
      <x:c r="Y491" s="373"/>
      <x:c r="Z491" s="373"/>
    </x:row>
    <x:row r="492">
      <x:c r="A492" s="373"/>
      <x:c r="B492" s="373"/>
      <x:c r="C492" s="373"/>
      <x:c r="D492" s="373"/>
      <x:c r="E492" s="373"/>
      <x:c r="F492" s="373"/>
      <x:c r="G492" s="373"/>
      <x:c r="H492" s="373"/>
      <x:c r="I492" s="373"/>
      <x:c r="J492" s="373"/>
      <x:c r="K492" s="373"/>
      <x:c r="L492" s="373"/>
      <x:c r="M492" s="373"/>
      <x:c r="N492" s="373"/>
      <x:c r="O492" s="373"/>
      <x:c r="P492" s="373"/>
      <x:c r="Q492" s="373"/>
      <x:c r="R492" s="373"/>
      <x:c r="S492" s="373"/>
      <x:c r="T492" s="373"/>
      <x:c r="U492" s="373"/>
      <x:c r="V492" s="373"/>
      <x:c r="W492" s="373"/>
      <x:c r="X492" s="373"/>
      <x:c r="Y492" s="373"/>
      <x:c r="Z492" s="373"/>
    </x:row>
    <x:row r="493">
      <x:c r="A493" s="373"/>
      <x:c r="B493" s="373"/>
      <x:c r="C493" s="373"/>
      <x:c r="D493" s="373"/>
      <x:c r="E493" s="373"/>
      <x:c r="F493" s="373"/>
      <x:c r="G493" s="373"/>
      <x:c r="H493" s="373"/>
      <x:c r="I493" s="373"/>
      <x:c r="J493" s="373"/>
      <x:c r="K493" s="373"/>
      <x:c r="L493" s="373"/>
      <x:c r="M493" s="373"/>
      <x:c r="N493" s="373"/>
      <x:c r="O493" s="373"/>
      <x:c r="P493" s="373"/>
      <x:c r="Q493" s="373"/>
      <x:c r="R493" s="373"/>
      <x:c r="S493" s="373"/>
      <x:c r="T493" s="373"/>
      <x:c r="U493" s="373"/>
      <x:c r="V493" s="373"/>
      <x:c r="W493" s="373"/>
      <x:c r="X493" s="373"/>
      <x:c r="Y493" s="373"/>
      <x:c r="Z493" s="373"/>
    </x:row>
    <x:row r="494">
      <x:c r="A494" s="373"/>
      <x:c r="B494" s="373"/>
      <x:c r="C494" s="373"/>
      <x:c r="D494" s="373"/>
      <x:c r="E494" s="373"/>
      <x:c r="F494" s="373"/>
      <x:c r="G494" s="373"/>
      <x:c r="H494" s="373"/>
      <x:c r="I494" s="373"/>
      <x:c r="J494" s="373"/>
      <x:c r="K494" s="373"/>
      <x:c r="L494" s="373"/>
      <x:c r="M494" s="373"/>
      <x:c r="N494" s="373"/>
      <x:c r="O494" s="373"/>
      <x:c r="P494" s="373"/>
      <x:c r="Q494" s="373"/>
      <x:c r="R494" s="373"/>
      <x:c r="S494" s="373"/>
      <x:c r="T494" s="373"/>
      <x:c r="U494" s="373"/>
      <x:c r="V494" s="373"/>
      <x:c r="W494" s="373"/>
      <x:c r="X494" s="373"/>
      <x:c r="Y494" s="373"/>
      <x:c r="Z494" s="373"/>
    </x:row>
    <x:row r="495">
      <x:c r="A495" s="373"/>
      <x:c r="B495" s="373"/>
      <x:c r="C495" s="373"/>
      <x:c r="D495" s="373"/>
      <x:c r="E495" s="373"/>
      <x:c r="F495" s="373"/>
      <x:c r="G495" s="373"/>
      <x:c r="H495" s="373"/>
      <x:c r="I495" s="373"/>
      <x:c r="J495" s="373"/>
      <x:c r="K495" s="373"/>
      <x:c r="L495" s="373"/>
      <x:c r="M495" s="373"/>
      <x:c r="N495" s="373"/>
      <x:c r="O495" s="373"/>
      <x:c r="P495" s="373"/>
      <x:c r="Q495" s="373"/>
      <x:c r="R495" s="373"/>
      <x:c r="S495" s="373"/>
      <x:c r="T495" s="373"/>
      <x:c r="U495" s="373"/>
      <x:c r="V495" s="373"/>
      <x:c r="W495" s="373"/>
      <x:c r="X495" s="373"/>
      <x:c r="Y495" s="373"/>
      <x:c r="Z495" s="373"/>
    </x:row>
    <x:row r="496">
      <x:c r="A496" s="373"/>
      <x:c r="B496" s="373"/>
      <x:c r="C496" s="373"/>
      <x:c r="D496" s="373"/>
      <x:c r="E496" s="373"/>
      <x:c r="F496" s="373"/>
      <x:c r="G496" s="373"/>
      <x:c r="H496" s="373"/>
      <x:c r="I496" s="373"/>
      <x:c r="J496" s="373"/>
      <x:c r="K496" s="373"/>
      <x:c r="L496" s="373"/>
      <x:c r="M496" s="373"/>
      <x:c r="N496" s="373"/>
      <x:c r="O496" s="373"/>
      <x:c r="P496" s="373"/>
      <x:c r="Q496" s="373"/>
      <x:c r="R496" s="373"/>
      <x:c r="S496" s="373"/>
      <x:c r="T496" s="373"/>
      <x:c r="U496" s="373"/>
      <x:c r="V496" s="373"/>
      <x:c r="W496" s="373"/>
      <x:c r="X496" s="373"/>
      <x:c r="Y496" s="373"/>
      <x:c r="Z496" s="373"/>
    </x:row>
    <x:row r="497">
      <x:c r="A497" s="373"/>
      <x:c r="B497" s="373"/>
      <x:c r="C497" s="373"/>
      <x:c r="D497" s="373"/>
      <x:c r="E497" s="373"/>
      <x:c r="F497" s="373"/>
      <x:c r="G497" s="373"/>
      <x:c r="H497" s="373"/>
      <x:c r="I497" s="373"/>
      <x:c r="J497" s="373"/>
      <x:c r="K497" s="373"/>
      <x:c r="L497" s="373"/>
      <x:c r="M497" s="373"/>
      <x:c r="N497" s="373"/>
      <x:c r="O497" s="373"/>
      <x:c r="P497" s="373"/>
      <x:c r="Q497" s="373"/>
      <x:c r="R497" s="373"/>
      <x:c r="S497" s="373"/>
      <x:c r="T497" s="373"/>
      <x:c r="U497" s="373"/>
      <x:c r="V497" s="373"/>
      <x:c r="W497" s="373"/>
      <x:c r="X497" s="373"/>
      <x:c r="Y497" s="373"/>
      <x:c r="Z497" s="373"/>
    </x:row>
    <x:row r="498">
      <x:c r="A498" s="373"/>
      <x:c r="B498" s="373"/>
      <x:c r="C498" s="373"/>
      <x:c r="D498" s="373"/>
      <x:c r="E498" s="373"/>
      <x:c r="F498" s="373"/>
      <x:c r="G498" s="373"/>
      <x:c r="H498" s="373"/>
      <x:c r="I498" s="373"/>
      <x:c r="J498" s="373"/>
      <x:c r="K498" s="373"/>
      <x:c r="L498" s="373"/>
      <x:c r="M498" s="373"/>
      <x:c r="N498" s="373"/>
      <x:c r="O498" s="373"/>
      <x:c r="P498" s="373"/>
      <x:c r="Q498" s="373"/>
      <x:c r="R498" s="373"/>
      <x:c r="S498" s="373"/>
      <x:c r="T498" s="373"/>
      <x:c r="U498" s="373"/>
      <x:c r="V498" s="373"/>
      <x:c r="W498" s="373"/>
      <x:c r="X498" s="373"/>
      <x:c r="Y498" s="373"/>
      <x:c r="Z498" s="373"/>
    </x:row>
    <x:row r="499">
      <x:c r="A499" s="373"/>
      <x:c r="B499" s="373"/>
      <x:c r="C499" s="373"/>
      <x:c r="D499" s="373"/>
      <x:c r="E499" s="373"/>
      <x:c r="F499" s="373"/>
      <x:c r="G499" s="373"/>
      <x:c r="H499" s="373"/>
      <x:c r="I499" s="373"/>
      <x:c r="J499" s="373"/>
      <x:c r="K499" s="373"/>
      <x:c r="L499" s="373"/>
      <x:c r="M499" s="373"/>
      <x:c r="N499" s="373"/>
      <x:c r="O499" s="373"/>
      <x:c r="P499" s="373"/>
      <x:c r="Q499" s="373"/>
      <x:c r="R499" s="373"/>
      <x:c r="S499" s="373"/>
      <x:c r="T499" s="373"/>
      <x:c r="U499" s="373"/>
      <x:c r="V499" s="373"/>
      <x:c r="W499" s="373"/>
      <x:c r="X499" s="373"/>
      <x:c r="Y499" s="373"/>
      <x:c r="Z499" s="373"/>
    </x:row>
    <x:row r="500">
      <x:c r="A500" s="373"/>
      <x:c r="B500" s="373"/>
      <x:c r="C500" s="373"/>
      <x:c r="D500" s="373"/>
      <x:c r="E500" s="373"/>
      <x:c r="F500" s="373"/>
      <x:c r="G500" s="373"/>
      <x:c r="H500" s="373"/>
      <x:c r="I500" s="373"/>
      <x:c r="J500" s="373"/>
      <x:c r="K500" s="373"/>
      <x:c r="L500" s="373"/>
      <x:c r="M500" s="373"/>
      <x:c r="N500" s="373"/>
      <x:c r="O500" s="373"/>
      <x:c r="P500" s="373"/>
      <x:c r="Q500" s="373"/>
      <x:c r="R500" s="373"/>
      <x:c r="S500" s="373"/>
      <x:c r="T500" s="373"/>
      <x:c r="U500" s="373"/>
      <x:c r="V500" s="373"/>
      <x:c r="W500" s="373"/>
      <x:c r="X500" s="373"/>
      <x:c r="Y500" s="373"/>
      <x:c r="Z500" s="373"/>
    </x:row>
  </x:sheetData>
  <x:mergeCells>
    <x:mergeCell ref="A1:I1"/>
    <x:mergeCell ref="A2:I2"/>
    <x:mergeCell ref="A51:I51"/>
    <x:mergeCell ref="A52:I61"/>
  </x:mergeCells>
  <x:pageMargins left="0.7" right="0.7" top="0.75" bottom="0.75" header="0.3" footer="0.3"/>
  <x:tableParts count="1">
    <x:tablePart xmlns:r="http://schemas.openxmlformats.org/officeDocument/2006/relationships" r:id="R990f7022325e474d"/>
  </x:tableParts>
</x:worksheet>
</file>

<file path=xl/worksheets/sheet14.xml><?xml version="1.0" encoding="utf-8"?>
<x:worksheet xmlns:x="http://schemas.openxmlformats.org/spreadsheetml/2006/main">
  <x:sheetFormatPr defaultRowHeight="15"/>
  <x:sheetData>
    <x:row r="1" ht="32" customHeight="1">
      <x:c r="A1" s="486" t="str">
        <x:v>Controlled Lists &amp; Enumerations</x:v>
      </x:c>
      <x:c r="B1" s="486"/>
      <x:c r="C1" s="486"/>
      <x:c r="D1" s="486"/>
      <x:c r="E1" s="486"/>
      <x:c r="F1" s="486"/>
      <x:c r="G1" s="486"/>
      <x:c r="H1" s="486"/>
      <x:c r="I1" s="486"/>
      <x:c r="J1" s="486"/>
      <x:c r="K1" s="373"/>
      <x:c r="L1" s="373"/>
      <x:c r="M1" s="373"/>
      <x:c r="N1" s="373"/>
      <x:c r="O1" s="373"/>
      <x:c r="P1" s="373"/>
      <x:c r="Q1" s="373"/>
      <x:c r="R1" s="373"/>
      <x:c r="S1" s="373"/>
      <x:c r="T1" s="373"/>
      <x:c r="U1" s="373"/>
      <x:c r="V1" s="373"/>
      <x:c r="W1" s="373"/>
      <x:c r="X1" s="373"/>
      <x:c r="Y1" s="373"/>
      <x:c r="Z1" s="373"/>
    </x:row>
    <x:row r="2" ht="22" customHeight="1">
      <x:c r="A2" s="374" t="str">
        <x:v>Use these values consistently in Excel, Python, ROS event records, and the JavaScript dashboard.</x:v>
      </x:c>
      <x:c r="B2" s="374"/>
      <x:c r="C2" s="374"/>
      <x:c r="D2" s="374"/>
      <x:c r="E2" s="374"/>
      <x:c r="F2" s="374"/>
      <x:c r="G2" s="374"/>
      <x:c r="H2" s="374"/>
      <x:c r="I2" s="374"/>
      <x:c r="J2" s="374"/>
      <x:c r="K2" s="373"/>
      <x:c r="L2" s="373"/>
      <x:c r="M2" s="373"/>
      <x:c r="N2" s="373"/>
      <x:c r="O2" s="373"/>
      <x:c r="P2" s="373"/>
      <x:c r="Q2" s="373"/>
      <x:c r="R2" s="373"/>
      <x:c r="S2" s="373"/>
      <x:c r="T2" s="373"/>
      <x:c r="U2" s="373"/>
      <x:c r="V2" s="373"/>
      <x:c r="W2" s="373"/>
      <x:c r="X2" s="373"/>
      <x:c r="Y2" s="373"/>
      <x:c r="Z2" s="373"/>
    </x:row>
    <x:row r="3">
      <x:c r="A3" s="373"/>
      <x:c r="B3" s="373"/>
      <x:c r="C3" s="373"/>
      <x:c r="D3" s="373"/>
      <x:c r="E3" s="373"/>
      <x:c r="F3" s="373"/>
      <x:c r="G3" s="373"/>
      <x:c r="H3" s="373"/>
      <x:c r="I3" s="373"/>
      <x:c r="J3" s="373"/>
      <x:c r="K3" s="373"/>
      <x:c r="L3" s="373"/>
      <x:c r="M3" s="373"/>
      <x:c r="N3" s="373"/>
      <x:c r="O3" s="373"/>
      <x:c r="P3" s="373"/>
      <x:c r="Q3" s="373"/>
      <x:c r="R3" s="373"/>
      <x:c r="S3" s="373"/>
      <x:c r="T3" s="373"/>
      <x:c r="U3" s="373"/>
      <x:c r="V3" s="373"/>
      <x:c r="W3" s="373"/>
      <x:c r="X3" s="373"/>
      <x:c r="Y3" s="373"/>
      <x:c r="Z3" s="373"/>
    </x:row>
    <x:row r="4">
      <x:c r="A4" s="478" t="str">
        <x:v>Feature Status</x:v>
      </x:c>
      <x:c r="B4" s="478" t="str">
        <x:v>Priority</x:v>
      </x:c>
      <x:c r="C4" s="478" t="str">
        <x:v>Test Status</x:v>
      </x:c>
      <x:c r="D4" s="478" t="str">
        <x:v>Automation Status</x:v>
      </x:c>
      <x:c r="E4" s="478" t="str">
        <x:v>Defect Status</x:v>
      </x:c>
      <x:c r="F4" s="478" t="str">
        <x:v>Severity</x:v>
      </x:c>
      <x:c r="G4" s="478" t="str">
        <x:v>Risk Probability</x:v>
      </x:c>
      <x:c r="H4" s="478" t="str">
        <x:v>Risk Impact</x:v>
      </x:c>
      <x:c r="I4" s="478" t="str">
        <x:v>Gate Status</x:v>
      </x:c>
      <x:c r="J4" s="478" t="str">
        <x:v>Release Status</x:v>
      </x:c>
      <x:c r="K4" s="373"/>
      <x:c r="L4" s="373"/>
      <x:c r="M4" s="373"/>
      <x:c r="N4" s="373"/>
      <x:c r="O4" s="373"/>
      <x:c r="P4" s="373"/>
      <x:c r="Q4" s="373"/>
      <x:c r="R4" s="373"/>
      <x:c r="S4" s="373"/>
      <x:c r="T4" s="373"/>
      <x:c r="U4" s="373"/>
      <x:c r="V4" s="373"/>
      <x:c r="W4" s="373"/>
      <x:c r="X4" s="373"/>
      <x:c r="Y4" s="373"/>
      <x:c r="Z4" s="373"/>
    </x:row>
    <x:row r="5">
      <x:c r="A5" s="479" t="str">
        <x:v>Backlog</x:v>
      </x:c>
      <x:c r="B5" s="479" t="str">
        <x:v>Critical</x:v>
      </x:c>
      <x:c r="C5" s="479" t="str">
        <x:v>Not Run</x:v>
      </x:c>
      <x:c r="D5" s="479" t="str">
        <x:v>Manual</x:v>
      </x:c>
      <x:c r="E5" s="479" t="str">
        <x:v>Open</x:v>
      </x:c>
      <x:c r="F5" s="479" t="str">
        <x:v>Critical</x:v>
      </x:c>
      <x:c r="G5" s="479" t="str">
        <x:v>Low</x:v>
      </x:c>
      <x:c r="H5" s="479" t="str">
        <x:v>Low</x:v>
      </x:c>
      <x:c r="I5" s="479" t="str">
        <x:v>Not Evaluated</x:v>
      </x:c>
      <x:c r="J5" s="479" t="str">
        <x:v>Backlog</x:v>
      </x:c>
      <x:c r="K5" s="373"/>
      <x:c r="L5" s="373"/>
      <x:c r="M5" s="373"/>
      <x:c r="N5" s="373"/>
      <x:c r="O5" s="373"/>
      <x:c r="P5" s="373"/>
      <x:c r="Q5" s="373"/>
      <x:c r="R5" s="373"/>
      <x:c r="S5" s="373"/>
      <x:c r="T5" s="373"/>
      <x:c r="U5" s="373"/>
      <x:c r="V5" s="373"/>
      <x:c r="W5" s="373"/>
      <x:c r="X5" s="373"/>
      <x:c r="Y5" s="373"/>
      <x:c r="Z5" s="373"/>
    </x:row>
    <x:row r="6">
      <x:c r="A6" s="479" t="str">
        <x:v>Ready</x:v>
      </x:c>
      <x:c r="B6" s="479" t="str">
        <x:v>High</x:v>
      </x:c>
      <x:c r="C6" s="479" t="str">
        <x:v>Running</x:v>
      </x:c>
      <x:c r="D6" s="479" t="str">
        <x:v>Planned</x:v>
      </x:c>
      <x:c r="E6" s="479" t="str">
        <x:v>Triaged</x:v>
      </x:c>
      <x:c r="F6" s="479" t="str">
        <x:v>High</x:v>
      </x:c>
      <x:c r="G6" s="479" t="str">
        <x:v>Medium</x:v>
      </x:c>
      <x:c r="H6" s="479" t="str">
        <x:v>Medium</x:v>
      </x:c>
      <x:c r="I6" s="479" t="str">
        <x:v>Passed</x:v>
      </x:c>
      <x:c r="J6" s="479" t="str">
        <x:v>Planned</x:v>
      </x:c>
      <x:c r="K6" s="373"/>
      <x:c r="L6" s="373"/>
      <x:c r="M6" s="373"/>
      <x:c r="N6" s="373"/>
      <x:c r="O6" s="373"/>
      <x:c r="P6" s="373"/>
      <x:c r="Q6" s="373"/>
      <x:c r="R6" s="373"/>
      <x:c r="S6" s="373"/>
      <x:c r="T6" s="373"/>
      <x:c r="U6" s="373"/>
      <x:c r="V6" s="373"/>
      <x:c r="W6" s="373"/>
      <x:c r="X6" s="373"/>
      <x:c r="Y6" s="373"/>
      <x:c r="Z6" s="373"/>
    </x:row>
    <x:row r="7">
      <x:c r="A7" s="479" t="str">
        <x:v>In Progress</x:v>
      </x:c>
      <x:c r="B7" s="479" t="str">
        <x:v>Medium</x:v>
      </x:c>
      <x:c r="C7" s="479" t="str">
        <x:v>Passed</x:v>
      </x:c>
      <x:c r="D7" s="479" t="str">
        <x:v>Partial</x:v>
      </x:c>
      <x:c r="E7" s="479" t="str">
        <x:v>In Progress</x:v>
      </x:c>
      <x:c r="F7" s="479" t="str">
        <x:v>Medium</x:v>
      </x:c>
      <x:c r="G7" s="479" t="str">
        <x:v>High</x:v>
      </x:c>
      <x:c r="H7" s="479" t="str">
        <x:v>High</x:v>
      </x:c>
      <x:c r="I7" s="479" t="str">
        <x:v>Failed</x:v>
      </x:c>
      <x:c r="J7" s="479" t="str">
        <x:v>In Progress</x:v>
      </x:c>
      <x:c r="K7" s="373"/>
      <x:c r="L7" s="373"/>
      <x:c r="M7" s="373"/>
      <x:c r="N7" s="373"/>
      <x:c r="O7" s="373"/>
      <x:c r="P7" s="373"/>
      <x:c r="Q7" s="373"/>
      <x:c r="R7" s="373"/>
      <x:c r="S7" s="373"/>
      <x:c r="T7" s="373"/>
      <x:c r="U7" s="373"/>
      <x:c r="V7" s="373"/>
      <x:c r="W7" s="373"/>
      <x:c r="X7" s="373"/>
      <x:c r="Y7" s="373"/>
      <x:c r="Z7" s="373"/>
    </x:row>
    <x:row r="8">
      <x:c r="A8" s="479" t="str">
        <x:v>Blocked</x:v>
      </x:c>
      <x:c r="B8" s="479" t="str">
        <x:v>Low</x:v>
      </x:c>
      <x:c r="C8" s="479" t="str">
        <x:v>Failed</x:v>
      </x:c>
      <x:c r="D8" s="479" t="str">
        <x:v>Automated</x:v>
      </x:c>
      <x:c r="E8" s="479" t="str">
        <x:v>Fixed</x:v>
      </x:c>
      <x:c r="F8" s="479" t="str">
        <x:v>Low</x:v>
      </x:c>
      <x:c r="G8" s="479"/>
      <x:c r="H8" s="479"/>
      <x:c r="I8" s="479" t="str">
        <x:v>Waived</x:v>
      </x:c>
      <x:c r="J8" s="479" t="str">
        <x:v>Blocked</x:v>
      </x:c>
      <x:c r="K8" s="373"/>
      <x:c r="L8" s="373"/>
      <x:c r="M8" s="373"/>
      <x:c r="N8" s="373"/>
      <x:c r="O8" s="373"/>
      <x:c r="P8" s="373"/>
      <x:c r="Q8" s="373"/>
      <x:c r="R8" s="373"/>
      <x:c r="S8" s="373"/>
      <x:c r="T8" s="373"/>
      <x:c r="U8" s="373"/>
      <x:c r="V8" s="373"/>
      <x:c r="W8" s="373"/>
      <x:c r="X8" s="373"/>
      <x:c r="Y8" s="373"/>
      <x:c r="Z8" s="373"/>
    </x:row>
    <x:row r="9">
      <x:c r="A9" s="479" t="str">
        <x:v>In Review</x:v>
      </x:c>
      <x:c r="B9" s="479"/>
      <x:c r="C9" s="479" t="str">
        <x:v>Blocked</x:v>
      </x:c>
      <x:c r="D9" s="479"/>
      <x:c r="E9" s="479" t="str">
        <x:v>Verified</x:v>
      </x:c>
      <x:c r="F9" s="479"/>
      <x:c r="G9" s="479"/>
      <x:c r="H9" s="479"/>
      <x:c r="I9" s="479"/>
      <x:c r="J9" s="479" t="str">
        <x:v>Release Candidate</x:v>
      </x:c>
      <x:c r="K9" s="373"/>
      <x:c r="L9" s="373"/>
      <x:c r="M9" s="373"/>
      <x:c r="N9" s="373"/>
      <x:c r="O9" s="373"/>
      <x:c r="P9" s="373"/>
      <x:c r="Q9" s="373"/>
      <x:c r="R9" s="373"/>
      <x:c r="S9" s="373"/>
      <x:c r="T9" s="373"/>
      <x:c r="U9" s="373"/>
      <x:c r="V9" s="373"/>
      <x:c r="W9" s="373"/>
      <x:c r="X9" s="373"/>
      <x:c r="Y9" s="373"/>
      <x:c r="Z9" s="373"/>
    </x:row>
    <x:row r="10">
      <x:c r="A10" s="479" t="str">
        <x:v>Done</x:v>
      </x:c>
      <x:c r="B10" s="479"/>
      <x:c r="C10" s="479" t="str">
        <x:v>Skipped</x:v>
      </x:c>
      <x:c r="D10" s="479"/>
      <x:c r="E10" s="479" t="str">
        <x:v>Closed</x:v>
      </x:c>
      <x:c r="F10" s="479"/>
      <x:c r="G10" s="479"/>
      <x:c r="H10" s="479"/>
      <x:c r="I10" s="479"/>
      <x:c r="J10" s="479" t="str">
        <x:v>Released</x:v>
      </x:c>
      <x:c r="K10" s="373"/>
      <x:c r="L10" s="373"/>
      <x:c r="M10" s="373"/>
      <x:c r="N10" s="373"/>
      <x:c r="O10" s="373"/>
      <x:c r="P10" s="373"/>
      <x:c r="Q10" s="373"/>
      <x:c r="R10" s="373"/>
      <x:c r="S10" s="373"/>
      <x:c r="T10" s="373"/>
      <x:c r="U10" s="373"/>
      <x:c r="V10" s="373"/>
      <x:c r="W10" s="373"/>
      <x:c r="X10" s="373"/>
      <x:c r="Y10" s="373"/>
      <x:c r="Z10" s="373"/>
    </x:row>
    <x:row r="11">
      <x:c r="A11" s="479" t="str">
        <x:v>Deferred</x:v>
      </x:c>
      <x:c r="B11" s="479"/>
      <x:c r="C11" s="479"/>
      <x:c r="D11" s="479"/>
      <x:c r="E11" s="479" t="str">
        <x:v>Deferred</x:v>
      </x:c>
      <x:c r="F11" s="479"/>
      <x:c r="G11" s="479"/>
      <x:c r="H11" s="479"/>
      <x:c r="I11" s="479"/>
      <x:c r="J11" s="479"/>
      <x:c r="K11" s="373"/>
      <x:c r="L11" s="373"/>
      <x:c r="M11" s="373"/>
      <x:c r="N11" s="373"/>
      <x:c r="O11" s="373"/>
      <x:c r="P11" s="373"/>
      <x:c r="Q11" s="373"/>
      <x:c r="R11" s="373"/>
      <x:c r="S11" s="373"/>
      <x:c r="T11" s="373"/>
      <x:c r="U11" s="373"/>
      <x:c r="V11" s="373"/>
      <x:c r="W11" s="373"/>
      <x:c r="X11" s="373"/>
      <x:c r="Y11" s="373"/>
      <x:c r="Z11" s="373"/>
    </x:row>
    <x:row r="12">
      <x:c r="A12" s="479"/>
      <x:c r="B12" s="479"/>
      <x:c r="C12" s="479"/>
      <x:c r="D12" s="479"/>
      <x:c r="E12" s="479"/>
      <x:c r="F12" s="479"/>
      <x:c r="G12" s="479"/>
      <x:c r="H12" s="479"/>
      <x:c r="I12" s="479"/>
      <x:c r="J12" s="479"/>
      <x:c r="K12" s="373"/>
      <x:c r="L12" s="373"/>
      <x:c r="M12" s="373"/>
      <x:c r="N12" s="373"/>
      <x:c r="O12" s="373"/>
      <x:c r="P12" s="373"/>
      <x:c r="Q12" s="373"/>
      <x:c r="R12" s="373"/>
      <x:c r="S12" s="373"/>
      <x:c r="T12" s="373"/>
      <x:c r="U12" s="373"/>
      <x:c r="V12" s="373"/>
      <x:c r="W12" s="373"/>
      <x:c r="X12" s="373"/>
      <x:c r="Y12" s="373"/>
      <x:c r="Z12" s="373"/>
    </x:row>
    <x:row r="13">
      <x:c r="A13" s="373"/>
      <x:c r="B13" s="373"/>
      <x:c r="C13" s="373"/>
      <x:c r="D13" s="373"/>
      <x:c r="E13" s="373"/>
      <x:c r="F13" s="373"/>
      <x:c r="G13" s="373"/>
      <x:c r="H13" s="373"/>
      <x:c r="I13" s="373"/>
      <x:c r="J13" s="373"/>
      <x:c r="K13" s="373"/>
      <x:c r="L13" s="373"/>
      <x:c r="M13" s="373"/>
      <x:c r="N13" s="373"/>
      <x:c r="O13" s="373"/>
      <x:c r="P13" s="373"/>
      <x:c r="Q13" s="373"/>
      <x:c r="R13" s="373"/>
      <x:c r="S13" s="373"/>
      <x:c r="T13" s="373"/>
      <x:c r="U13" s="373"/>
      <x:c r="V13" s="373"/>
      <x:c r="W13" s="373"/>
      <x:c r="X13" s="373"/>
      <x:c r="Y13" s="373"/>
      <x:c r="Z13" s="373"/>
    </x:row>
    <x:row r="14">
      <x:c r="A14" s="373"/>
      <x:c r="B14" s="373"/>
      <x:c r="C14" s="373"/>
      <x:c r="D14" s="373"/>
      <x:c r="E14" s="373"/>
      <x:c r="F14" s="373"/>
      <x:c r="G14" s="373"/>
      <x:c r="H14" s="373"/>
      <x:c r="I14" s="373"/>
      <x:c r="J14" s="373"/>
      <x:c r="K14" s="373"/>
      <x:c r="L14" s="373"/>
      <x:c r="M14" s="373"/>
      <x:c r="N14" s="373"/>
      <x:c r="O14" s="373"/>
      <x:c r="P14" s="373"/>
      <x:c r="Q14" s="373"/>
      <x:c r="R14" s="373"/>
      <x:c r="S14" s="373"/>
      <x:c r="T14" s="373"/>
      <x:c r="U14" s="373"/>
      <x:c r="V14" s="373"/>
      <x:c r="W14" s="373"/>
      <x:c r="X14" s="373"/>
      <x:c r="Y14" s="373"/>
      <x:c r="Z14" s="373"/>
    </x:row>
    <x:row r="15">
      <x:c r="A15" s="373"/>
      <x:c r="B15" s="373"/>
      <x:c r="C15" s="373"/>
      <x:c r="D15" s="373"/>
      <x:c r="E15" s="373"/>
      <x:c r="F15" s="373"/>
      <x:c r="G15" s="373"/>
      <x:c r="H15" s="373"/>
      <x:c r="I15" s="373"/>
      <x:c r="J15" s="373"/>
      <x:c r="K15" s="373"/>
      <x:c r="L15" s="373"/>
      <x:c r="M15" s="373"/>
      <x:c r="N15" s="373"/>
      <x:c r="O15" s="373"/>
      <x:c r="P15" s="373"/>
      <x:c r="Q15" s="373"/>
      <x:c r="R15" s="373"/>
      <x:c r="S15" s="373"/>
      <x:c r="T15" s="373"/>
      <x:c r="U15" s="373"/>
      <x:c r="V15" s="373"/>
      <x:c r="W15" s="373"/>
      <x:c r="X15" s="373"/>
      <x:c r="Y15" s="373"/>
      <x:c r="Z15" s="373"/>
    </x:row>
    <x:row r="16">
      <x:c r="A16" s="373"/>
      <x:c r="B16" s="373"/>
      <x:c r="C16" s="373"/>
      <x:c r="D16" s="373"/>
      <x:c r="E16" s="373"/>
      <x:c r="F16" s="373"/>
      <x:c r="G16" s="373"/>
      <x:c r="H16" s="373"/>
      <x:c r="I16" s="373"/>
      <x:c r="J16" s="373"/>
      <x:c r="K16" s="373"/>
      <x:c r="L16" s="373"/>
      <x:c r="M16" s="373"/>
      <x:c r="N16" s="373"/>
      <x:c r="O16" s="373"/>
      <x:c r="P16" s="373"/>
      <x:c r="Q16" s="373"/>
      <x:c r="R16" s="373"/>
      <x:c r="S16" s="373"/>
      <x:c r="T16" s="373"/>
      <x:c r="U16" s="373"/>
      <x:c r="V16" s="373"/>
      <x:c r="W16" s="373"/>
      <x:c r="X16" s="373"/>
      <x:c r="Y16" s="373"/>
      <x:c r="Z16" s="373"/>
    </x:row>
    <x:row r="17">
      <x:c r="A17" s="373"/>
      <x:c r="B17" s="373"/>
      <x:c r="C17" s="373"/>
      <x:c r="D17" s="373"/>
      <x:c r="E17" s="373"/>
      <x:c r="F17" s="373"/>
      <x:c r="G17" s="373"/>
      <x:c r="H17" s="373"/>
      <x:c r="I17" s="373"/>
      <x:c r="J17" s="373"/>
      <x:c r="K17" s="373"/>
      <x:c r="L17" s="373"/>
      <x:c r="M17" s="373"/>
      <x:c r="N17" s="373"/>
      <x:c r="O17" s="373"/>
      <x:c r="P17" s="373"/>
      <x:c r="Q17" s="373"/>
      <x:c r="R17" s="373"/>
      <x:c r="S17" s="373"/>
      <x:c r="T17" s="373"/>
      <x:c r="U17" s="373"/>
      <x:c r="V17" s="373"/>
      <x:c r="W17" s="373"/>
      <x:c r="X17" s="373"/>
      <x:c r="Y17" s="373"/>
      <x:c r="Z17" s="373"/>
    </x:row>
    <x:row r="18">
      <x:c r="A18" s="373"/>
      <x:c r="B18" s="373"/>
      <x:c r="C18" s="373"/>
      <x:c r="D18" s="373"/>
      <x:c r="E18" s="373"/>
      <x:c r="F18" s="373"/>
      <x:c r="G18" s="373"/>
      <x:c r="H18" s="373"/>
      <x:c r="I18" s="373"/>
      <x:c r="J18" s="373"/>
      <x:c r="K18" s="373"/>
      <x:c r="L18" s="373"/>
      <x:c r="M18" s="373"/>
      <x:c r="N18" s="373"/>
      <x:c r="O18" s="373"/>
      <x:c r="P18" s="373"/>
      <x:c r="Q18" s="373"/>
      <x:c r="R18" s="373"/>
      <x:c r="S18" s="373"/>
      <x:c r="T18" s="373"/>
      <x:c r="U18" s="373"/>
      <x:c r="V18" s="373"/>
      <x:c r="W18" s="373"/>
      <x:c r="X18" s="373"/>
      <x:c r="Y18" s="373"/>
      <x:c r="Z18" s="373"/>
    </x:row>
    <x:row r="19">
      <x:c r="A19" s="373"/>
      <x:c r="B19" s="373"/>
      <x:c r="C19" s="373"/>
      <x:c r="D19" s="373"/>
      <x:c r="E19" s="373"/>
      <x:c r="F19" s="373"/>
      <x:c r="G19" s="373"/>
      <x:c r="H19" s="373"/>
      <x:c r="I19" s="373"/>
      <x:c r="J19" s="373"/>
      <x:c r="K19" s="373"/>
      <x:c r="L19" s="373"/>
      <x:c r="M19" s="373"/>
      <x:c r="N19" s="373"/>
      <x:c r="O19" s="373"/>
      <x:c r="P19" s="373"/>
      <x:c r="Q19" s="373"/>
      <x:c r="R19" s="373"/>
      <x:c r="S19" s="373"/>
      <x:c r="T19" s="373"/>
      <x:c r="U19" s="373"/>
      <x:c r="V19" s="373"/>
      <x:c r="W19" s="373"/>
      <x:c r="X19" s="373"/>
      <x:c r="Y19" s="373"/>
      <x:c r="Z19" s="373"/>
    </x:row>
    <x:row r="20">
      <x:c r="A20" s="373"/>
      <x:c r="B20" s="373"/>
      <x:c r="C20" s="373"/>
      <x:c r="D20" s="373"/>
      <x:c r="E20" s="373"/>
      <x:c r="F20" s="373"/>
      <x:c r="G20" s="373"/>
      <x:c r="H20" s="373"/>
      <x:c r="I20" s="373"/>
      <x:c r="J20" s="373"/>
      <x:c r="K20" s="373"/>
      <x:c r="L20" s="373"/>
      <x:c r="M20" s="373"/>
      <x:c r="N20" s="373"/>
      <x:c r="O20" s="373"/>
      <x:c r="P20" s="373"/>
      <x:c r="Q20" s="373"/>
      <x:c r="R20" s="373"/>
      <x:c r="S20" s="373"/>
      <x:c r="T20" s="373"/>
      <x:c r="U20" s="373"/>
      <x:c r="V20" s="373"/>
      <x:c r="W20" s="373"/>
      <x:c r="X20" s="373"/>
      <x:c r="Y20" s="373"/>
      <x:c r="Z20" s="373"/>
    </x:row>
    <x:row r="21">
      <x:c r="A21" s="373"/>
      <x:c r="B21" s="373"/>
      <x:c r="C21" s="373"/>
      <x:c r="D21" s="373"/>
      <x:c r="E21" s="373"/>
      <x:c r="F21" s="373"/>
      <x:c r="G21" s="373"/>
      <x:c r="H21" s="373"/>
      <x:c r="I21" s="373"/>
      <x:c r="J21" s="373"/>
      <x:c r="K21" s="373"/>
      <x:c r="L21" s="373"/>
      <x:c r="M21" s="373"/>
      <x:c r="N21" s="373"/>
      <x:c r="O21" s="373"/>
      <x:c r="P21" s="373"/>
      <x:c r="Q21" s="373"/>
      <x:c r="R21" s="373"/>
      <x:c r="S21" s="373"/>
      <x:c r="T21" s="373"/>
      <x:c r="U21" s="373"/>
      <x:c r="V21" s="373"/>
      <x:c r="W21" s="373"/>
      <x:c r="X21" s="373"/>
      <x:c r="Y21" s="373"/>
      <x:c r="Z21" s="373"/>
    </x:row>
    <x:row r="22">
      <x:c r="A22" s="373"/>
      <x:c r="B22" s="373"/>
      <x:c r="C22" s="373"/>
      <x:c r="D22" s="373"/>
      <x:c r="E22" s="373"/>
      <x:c r="F22" s="373"/>
      <x:c r="G22" s="373"/>
      <x:c r="H22" s="373"/>
      <x:c r="I22" s="373"/>
      <x:c r="J22" s="373"/>
      <x:c r="K22" s="373"/>
      <x:c r="L22" s="373"/>
      <x:c r="M22" s="373"/>
      <x:c r="N22" s="373"/>
      <x:c r="O22" s="373"/>
      <x:c r="P22" s="373"/>
      <x:c r="Q22" s="373"/>
      <x:c r="R22" s="373"/>
      <x:c r="S22" s="373"/>
      <x:c r="T22" s="373"/>
      <x:c r="U22" s="373"/>
      <x:c r="V22" s="373"/>
      <x:c r="W22" s="373"/>
      <x:c r="X22" s="373"/>
      <x:c r="Y22" s="373"/>
      <x:c r="Z22" s="373"/>
    </x:row>
    <x:row r="23">
      <x:c r="A23" s="373"/>
      <x:c r="B23" s="373"/>
      <x:c r="C23" s="373"/>
      <x:c r="D23" s="373"/>
      <x:c r="E23" s="373"/>
      <x:c r="F23" s="373"/>
      <x:c r="G23" s="373"/>
      <x:c r="H23" s="373"/>
      <x:c r="I23" s="373"/>
      <x:c r="J23" s="373"/>
      <x:c r="K23" s="373"/>
      <x:c r="L23" s="373"/>
      <x:c r="M23" s="373"/>
      <x:c r="N23" s="373"/>
      <x:c r="O23" s="373"/>
      <x:c r="P23" s="373"/>
      <x:c r="Q23" s="373"/>
      <x:c r="R23" s="373"/>
      <x:c r="S23" s="373"/>
      <x:c r="T23" s="373"/>
      <x:c r="U23" s="373"/>
      <x:c r="V23" s="373"/>
      <x:c r="W23" s="373"/>
      <x:c r="X23" s="373"/>
      <x:c r="Y23" s="373"/>
      <x:c r="Z23" s="373"/>
    </x:row>
    <x:row r="24">
      <x:c r="A24" s="373"/>
      <x:c r="B24" s="373"/>
      <x:c r="C24" s="373"/>
      <x:c r="D24" s="373"/>
      <x:c r="E24" s="373"/>
      <x:c r="F24" s="373"/>
      <x:c r="G24" s="373"/>
      <x:c r="H24" s="373"/>
      <x:c r="I24" s="373"/>
      <x:c r="J24" s="373"/>
      <x:c r="K24" s="373"/>
      <x:c r="L24" s="373"/>
      <x:c r="M24" s="373"/>
      <x:c r="N24" s="373"/>
      <x:c r="O24" s="373"/>
      <x:c r="P24" s="373"/>
      <x:c r="Q24" s="373"/>
      <x:c r="R24" s="373"/>
      <x:c r="S24" s="373"/>
      <x:c r="T24" s="373"/>
      <x:c r="U24" s="373"/>
      <x:c r="V24" s="373"/>
      <x:c r="W24" s="373"/>
      <x:c r="X24" s="373"/>
      <x:c r="Y24" s="373"/>
      <x:c r="Z24" s="373"/>
    </x:row>
    <x:row r="25">
      <x:c r="A25" s="373"/>
      <x:c r="B25" s="373"/>
      <x:c r="C25" s="373"/>
      <x:c r="D25" s="373"/>
      <x:c r="E25" s="373"/>
      <x:c r="F25" s="373"/>
      <x:c r="G25" s="373"/>
      <x:c r="H25" s="373"/>
      <x:c r="I25" s="373"/>
      <x:c r="J25" s="373"/>
      <x:c r="K25" s="373"/>
      <x:c r="L25" s="373"/>
      <x:c r="M25" s="373"/>
      <x:c r="N25" s="373"/>
      <x:c r="O25" s="373"/>
      <x:c r="P25" s="373"/>
      <x:c r="Q25" s="373"/>
      <x:c r="R25" s="373"/>
      <x:c r="S25" s="373"/>
      <x:c r="T25" s="373"/>
      <x:c r="U25" s="373"/>
      <x:c r="V25" s="373"/>
      <x:c r="W25" s="373"/>
      <x:c r="X25" s="373"/>
      <x:c r="Y25" s="373"/>
      <x:c r="Z25" s="373"/>
    </x:row>
    <x:row r="26">
      <x:c r="A26" s="373"/>
      <x:c r="B26" s="373"/>
      <x:c r="C26" s="373"/>
      <x:c r="D26" s="373"/>
      <x:c r="E26" s="373"/>
      <x:c r="F26" s="373"/>
      <x:c r="G26" s="373"/>
      <x:c r="H26" s="373"/>
      <x:c r="I26" s="373"/>
      <x:c r="J26" s="373"/>
      <x:c r="K26" s="373"/>
      <x:c r="L26" s="373"/>
      <x:c r="M26" s="373"/>
      <x:c r="N26" s="373"/>
      <x:c r="O26" s="373"/>
      <x:c r="P26" s="373"/>
      <x:c r="Q26" s="373"/>
      <x:c r="R26" s="373"/>
      <x:c r="S26" s="373"/>
      <x:c r="T26" s="373"/>
      <x:c r="U26" s="373"/>
      <x:c r="V26" s="373"/>
      <x:c r="W26" s="373"/>
      <x:c r="X26" s="373"/>
      <x:c r="Y26" s="373"/>
      <x:c r="Z26" s="373"/>
    </x:row>
    <x:row r="27">
      <x:c r="A27" s="373"/>
      <x:c r="B27" s="373"/>
      <x:c r="C27" s="373"/>
      <x:c r="D27" s="373"/>
      <x:c r="E27" s="373"/>
      <x:c r="F27" s="373"/>
      <x:c r="G27" s="373"/>
      <x:c r="H27" s="373"/>
      <x:c r="I27" s="373"/>
      <x:c r="J27" s="373"/>
      <x:c r="K27" s="373"/>
      <x:c r="L27" s="373"/>
      <x:c r="M27" s="373"/>
      <x:c r="N27" s="373"/>
      <x:c r="O27" s="373"/>
      <x:c r="P27" s="373"/>
      <x:c r="Q27" s="373"/>
      <x:c r="R27" s="373"/>
      <x:c r="S27" s="373"/>
      <x:c r="T27" s="373"/>
      <x:c r="U27" s="373"/>
      <x:c r="V27" s="373"/>
      <x:c r="W27" s="373"/>
      <x:c r="X27" s="373"/>
      <x:c r="Y27" s="373"/>
      <x:c r="Z27" s="373"/>
    </x:row>
    <x:row r="28">
      <x:c r="A28" s="373"/>
      <x:c r="B28" s="373"/>
      <x:c r="C28" s="373"/>
      <x:c r="D28" s="373"/>
      <x:c r="E28" s="373"/>
      <x:c r="F28" s="373"/>
      <x:c r="G28" s="373"/>
      <x:c r="H28" s="373"/>
      <x:c r="I28" s="373"/>
      <x:c r="J28" s="373"/>
      <x:c r="K28" s="373"/>
      <x:c r="L28" s="373"/>
      <x:c r="M28" s="373"/>
      <x:c r="N28" s="373"/>
      <x:c r="O28" s="373"/>
      <x:c r="P28" s="373"/>
      <x:c r="Q28" s="373"/>
      <x:c r="R28" s="373"/>
      <x:c r="S28" s="373"/>
      <x:c r="T28" s="373"/>
      <x:c r="U28" s="373"/>
      <x:c r="V28" s="373"/>
      <x:c r="W28" s="373"/>
      <x:c r="X28" s="373"/>
      <x:c r="Y28" s="373"/>
      <x:c r="Z28" s="373"/>
    </x:row>
    <x:row r="29">
      <x:c r="A29" s="373"/>
      <x:c r="B29" s="373"/>
      <x:c r="C29" s="373"/>
      <x:c r="D29" s="373"/>
      <x:c r="E29" s="373"/>
      <x:c r="F29" s="373"/>
      <x:c r="G29" s="373"/>
      <x:c r="H29" s="373"/>
      <x:c r="I29" s="373"/>
      <x:c r="J29" s="373"/>
      <x:c r="K29" s="373"/>
      <x:c r="L29" s="373"/>
      <x:c r="M29" s="373"/>
      <x:c r="N29" s="373"/>
      <x:c r="O29" s="373"/>
      <x:c r="P29" s="373"/>
      <x:c r="Q29" s="373"/>
      <x:c r="R29" s="373"/>
      <x:c r="S29" s="373"/>
      <x:c r="T29" s="373"/>
      <x:c r="U29" s="373"/>
      <x:c r="V29" s="373"/>
      <x:c r="W29" s="373"/>
      <x:c r="X29" s="373"/>
      <x:c r="Y29" s="373"/>
      <x:c r="Z29" s="373"/>
    </x:row>
    <x:row r="30">
      <x:c r="A30" s="373"/>
      <x:c r="B30" s="373"/>
      <x:c r="C30" s="373"/>
      <x:c r="D30" s="373"/>
      <x:c r="E30" s="373"/>
      <x:c r="F30" s="373"/>
      <x:c r="G30" s="373"/>
      <x:c r="H30" s="373"/>
      <x:c r="I30" s="373"/>
      <x:c r="J30" s="373"/>
      <x:c r="K30" s="373"/>
      <x:c r="L30" s="373"/>
      <x:c r="M30" s="373"/>
      <x:c r="N30" s="373"/>
      <x:c r="O30" s="373"/>
      <x:c r="P30" s="373"/>
      <x:c r="Q30" s="373"/>
      <x:c r="R30" s="373"/>
      <x:c r="S30" s="373"/>
      <x:c r="T30" s="373"/>
      <x:c r="U30" s="373"/>
      <x:c r="V30" s="373"/>
      <x:c r="W30" s="373"/>
      <x:c r="X30" s="373"/>
      <x:c r="Y30" s="373"/>
      <x:c r="Z30" s="373"/>
    </x:row>
    <x:row r="31">
      <x:c r="A31" s="373"/>
      <x:c r="B31" s="373"/>
      <x:c r="C31" s="373"/>
      <x:c r="D31" s="373"/>
      <x:c r="E31" s="373"/>
      <x:c r="F31" s="373"/>
      <x:c r="G31" s="373"/>
      <x:c r="H31" s="373"/>
      <x:c r="I31" s="373"/>
      <x:c r="J31" s="373"/>
      <x:c r="K31" s="373"/>
      <x:c r="L31" s="373"/>
      <x:c r="M31" s="373"/>
      <x:c r="N31" s="373"/>
      <x:c r="O31" s="373"/>
      <x:c r="P31" s="373"/>
      <x:c r="Q31" s="373"/>
      <x:c r="R31" s="373"/>
      <x:c r="S31" s="373"/>
      <x:c r="T31" s="373"/>
      <x:c r="U31" s="373"/>
      <x:c r="V31" s="373"/>
      <x:c r="W31" s="373"/>
      <x:c r="X31" s="373"/>
      <x:c r="Y31" s="373"/>
      <x:c r="Z31" s="373"/>
    </x:row>
    <x:row r="32">
      <x:c r="A32" s="373"/>
      <x:c r="B32" s="373"/>
      <x:c r="C32" s="373"/>
      <x:c r="D32" s="373"/>
      <x:c r="E32" s="373"/>
      <x:c r="F32" s="373"/>
      <x:c r="G32" s="373"/>
      <x:c r="H32" s="373"/>
      <x:c r="I32" s="373"/>
      <x:c r="J32" s="373"/>
      <x:c r="K32" s="373"/>
      <x:c r="L32" s="373"/>
      <x:c r="M32" s="373"/>
      <x:c r="N32" s="373"/>
      <x:c r="O32" s="373"/>
      <x:c r="P32" s="373"/>
      <x:c r="Q32" s="373"/>
      <x:c r="R32" s="373"/>
      <x:c r="S32" s="373"/>
      <x:c r="T32" s="373"/>
      <x:c r="U32" s="373"/>
      <x:c r="V32" s="373"/>
      <x:c r="W32" s="373"/>
      <x:c r="X32" s="373"/>
      <x:c r="Y32" s="373"/>
      <x:c r="Z32" s="373"/>
    </x:row>
    <x:row r="33">
      <x:c r="A33" s="373"/>
      <x:c r="B33" s="373"/>
      <x:c r="C33" s="373"/>
      <x:c r="D33" s="373"/>
      <x:c r="E33" s="373"/>
      <x:c r="F33" s="373"/>
      <x:c r="G33" s="373"/>
      <x:c r="H33" s="373"/>
      <x:c r="I33" s="373"/>
      <x:c r="J33" s="373"/>
      <x:c r="K33" s="373"/>
      <x:c r="L33" s="373"/>
      <x:c r="M33" s="373"/>
      <x:c r="N33" s="373"/>
      <x:c r="O33" s="373"/>
      <x:c r="P33" s="373"/>
      <x:c r="Q33" s="373"/>
      <x:c r="R33" s="373"/>
      <x:c r="S33" s="373"/>
      <x:c r="T33" s="373"/>
      <x:c r="U33" s="373"/>
      <x:c r="V33" s="373"/>
      <x:c r="W33" s="373"/>
      <x:c r="X33" s="373"/>
      <x:c r="Y33" s="373"/>
      <x:c r="Z33" s="373"/>
    </x:row>
    <x:row r="34">
      <x:c r="A34" s="373"/>
      <x:c r="B34" s="373"/>
      <x:c r="C34" s="373"/>
      <x:c r="D34" s="373"/>
      <x:c r="E34" s="373"/>
      <x:c r="F34" s="373"/>
      <x:c r="G34" s="373"/>
      <x:c r="H34" s="373"/>
      <x:c r="I34" s="373"/>
      <x:c r="J34" s="373"/>
      <x:c r="K34" s="373"/>
      <x:c r="L34" s="373"/>
      <x:c r="M34" s="373"/>
      <x:c r="N34" s="373"/>
      <x:c r="O34" s="373"/>
      <x:c r="P34" s="373"/>
      <x:c r="Q34" s="373"/>
      <x:c r="R34" s="373"/>
      <x:c r="S34" s="373"/>
      <x:c r="T34" s="373"/>
      <x:c r="U34" s="373"/>
      <x:c r="V34" s="373"/>
      <x:c r="W34" s="373"/>
      <x:c r="X34" s="373"/>
      <x:c r="Y34" s="373"/>
      <x:c r="Z34" s="373"/>
    </x:row>
    <x:row r="35">
      <x:c r="A35" s="373"/>
      <x:c r="B35" s="373"/>
      <x:c r="C35" s="373"/>
      <x:c r="D35" s="373"/>
      <x:c r="E35" s="373"/>
      <x:c r="F35" s="373"/>
      <x:c r="G35" s="373"/>
      <x:c r="H35" s="373"/>
      <x:c r="I35" s="373"/>
      <x:c r="J35" s="373"/>
      <x:c r="K35" s="373"/>
      <x:c r="L35" s="373"/>
      <x:c r="M35" s="373"/>
      <x:c r="N35" s="373"/>
      <x:c r="O35" s="373"/>
      <x:c r="P35" s="373"/>
      <x:c r="Q35" s="373"/>
      <x:c r="R35" s="373"/>
      <x:c r="S35" s="373"/>
      <x:c r="T35" s="373"/>
      <x:c r="U35" s="373"/>
      <x:c r="V35" s="373"/>
      <x:c r="W35" s="373"/>
      <x:c r="X35" s="373"/>
      <x:c r="Y35" s="373"/>
      <x:c r="Z35" s="373"/>
    </x:row>
    <x:row r="36">
      <x:c r="A36" s="373"/>
      <x:c r="B36" s="373"/>
      <x:c r="C36" s="373"/>
      <x:c r="D36" s="373"/>
      <x:c r="E36" s="373"/>
      <x:c r="F36" s="373"/>
      <x:c r="G36" s="373"/>
      <x:c r="H36" s="373"/>
      <x:c r="I36" s="373"/>
      <x:c r="J36" s="373"/>
      <x:c r="K36" s="373"/>
      <x:c r="L36" s="373"/>
      <x:c r="M36" s="373"/>
      <x:c r="N36" s="373"/>
      <x:c r="O36" s="373"/>
      <x:c r="P36" s="373"/>
      <x:c r="Q36" s="373"/>
      <x:c r="R36" s="373"/>
      <x:c r="S36" s="373"/>
      <x:c r="T36" s="373"/>
      <x:c r="U36" s="373"/>
      <x:c r="V36" s="373"/>
      <x:c r="W36" s="373"/>
      <x:c r="X36" s="373"/>
      <x:c r="Y36" s="373"/>
      <x:c r="Z36" s="373"/>
    </x:row>
    <x:row r="37">
      <x:c r="A37" s="373"/>
      <x:c r="B37" s="373"/>
      <x:c r="C37" s="373"/>
      <x:c r="D37" s="373"/>
      <x:c r="E37" s="373"/>
      <x:c r="F37" s="373"/>
      <x:c r="G37" s="373"/>
      <x:c r="H37" s="373"/>
      <x:c r="I37" s="373"/>
      <x:c r="J37" s="373"/>
      <x:c r="K37" s="373"/>
      <x:c r="L37" s="373"/>
      <x:c r="M37" s="373"/>
      <x:c r="N37" s="373"/>
      <x:c r="O37" s="373"/>
      <x:c r="P37" s="373"/>
      <x:c r="Q37" s="373"/>
      <x:c r="R37" s="373"/>
      <x:c r="S37" s="373"/>
      <x:c r="T37" s="373"/>
      <x:c r="U37" s="373"/>
      <x:c r="V37" s="373"/>
      <x:c r="W37" s="373"/>
      <x:c r="X37" s="373"/>
      <x:c r="Y37" s="373"/>
      <x:c r="Z37" s="373"/>
    </x:row>
    <x:row r="38">
      <x:c r="A38" s="373"/>
      <x:c r="B38" s="373"/>
      <x:c r="C38" s="373"/>
      <x:c r="D38" s="373"/>
      <x:c r="E38" s="373"/>
      <x:c r="F38" s="373"/>
      <x:c r="G38" s="373"/>
      <x:c r="H38" s="373"/>
      <x:c r="I38" s="373"/>
      <x:c r="J38" s="373"/>
      <x:c r="K38" s="373"/>
      <x:c r="L38" s="373"/>
      <x:c r="M38" s="373"/>
      <x:c r="N38" s="373"/>
      <x:c r="O38" s="373"/>
      <x:c r="P38" s="373"/>
      <x:c r="Q38" s="373"/>
      <x:c r="R38" s="373"/>
      <x:c r="S38" s="373"/>
      <x:c r="T38" s="373"/>
      <x:c r="U38" s="373"/>
      <x:c r="V38" s="373"/>
      <x:c r="W38" s="373"/>
      <x:c r="X38" s="373"/>
      <x:c r="Y38" s="373"/>
      <x:c r="Z38" s="373"/>
    </x:row>
    <x:row r="39">
      <x:c r="A39" s="373"/>
      <x:c r="B39" s="373"/>
      <x:c r="C39" s="373"/>
      <x:c r="D39" s="373"/>
      <x:c r="E39" s="373"/>
      <x:c r="F39" s="373"/>
      <x:c r="G39" s="373"/>
      <x:c r="H39" s="373"/>
      <x:c r="I39" s="373"/>
      <x:c r="J39" s="373"/>
      <x:c r="K39" s="373"/>
      <x:c r="L39" s="373"/>
      <x:c r="M39" s="373"/>
      <x:c r="N39" s="373"/>
      <x:c r="O39" s="373"/>
      <x:c r="P39" s="373"/>
      <x:c r="Q39" s="373"/>
      <x:c r="R39" s="373"/>
      <x:c r="S39" s="373"/>
      <x:c r="T39" s="373"/>
      <x:c r="U39" s="373"/>
      <x:c r="V39" s="373"/>
      <x:c r="W39" s="373"/>
      <x:c r="X39" s="373"/>
      <x:c r="Y39" s="373"/>
      <x:c r="Z39" s="373"/>
    </x:row>
    <x:row r="40">
      <x:c r="A40" s="373"/>
      <x:c r="B40" s="373"/>
      <x:c r="C40" s="373"/>
      <x:c r="D40" s="373"/>
      <x:c r="E40" s="373"/>
      <x:c r="F40" s="373"/>
      <x:c r="G40" s="373"/>
      <x:c r="H40" s="373"/>
      <x:c r="I40" s="373"/>
      <x:c r="J40" s="373"/>
      <x:c r="K40" s="373"/>
      <x:c r="L40" s="373"/>
      <x:c r="M40" s="373"/>
      <x:c r="N40" s="373"/>
      <x:c r="O40" s="373"/>
      <x:c r="P40" s="373"/>
      <x:c r="Q40" s="373"/>
      <x:c r="R40" s="373"/>
      <x:c r="S40" s="373"/>
      <x:c r="T40" s="373"/>
      <x:c r="U40" s="373"/>
      <x:c r="V40" s="373"/>
      <x:c r="W40" s="373"/>
      <x:c r="X40" s="373"/>
      <x:c r="Y40" s="373"/>
      <x:c r="Z40" s="373"/>
    </x:row>
    <x:row r="41">
      <x:c r="A41" s="373"/>
      <x:c r="B41" s="373"/>
      <x:c r="C41" s="373"/>
      <x:c r="D41" s="373"/>
      <x:c r="E41" s="373"/>
      <x:c r="F41" s="373"/>
      <x:c r="G41" s="373"/>
      <x:c r="H41" s="373"/>
      <x:c r="I41" s="373"/>
      <x:c r="J41" s="373"/>
      <x:c r="K41" s="373"/>
      <x:c r="L41" s="373"/>
      <x:c r="M41" s="373"/>
      <x:c r="N41" s="373"/>
      <x:c r="O41" s="373"/>
      <x:c r="P41" s="373"/>
      <x:c r="Q41" s="373"/>
      <x:c r="R41" s="373"/>
      <x:c r="S41" s="373"/>
      <x:c r="T41" s="373"/>
      <x:c r="U41" s="373"/>
      <x:c r="V41" s="373"/>
      <x:c r="W41" s="373"/>
      <x:c r="X41" s="373"/>
      <x:c r="Y41" s="373"/>
      <x:c r="Z41" s="373"/>
    </x:row>
    <x:row r="42">
      <x:c r="A42" s="373"/>
      <x:c r="B42" s="373"/>
      <x:c r="C42" s="373"/>
      <x:c r="D42" s="373"/>
      <x:c r="E42" s="373"/>
      <x:c r="F42" s="373"/>
      <x:c r="G42" s="373"/>
      <x:c r="H42" s="373"/>
      <x:c r="I42" s="373"/>
      <x:c r="J42" s="373"/>
      <x:c r="K42" s="373"/>
      <x:c r="L42" s="373"/>
      <x:c r="M42" s="373"/>
      <x:c r="N42" s="373"/>
      <x:c r="O42" s="373"/>
      <x:c r="P42" s="373"/>
      <x:c r="Q42" s="373"/>
      <x:c r="R42" s="373"/>
      <x:c r="S42" s="373"/>
      <x:c r="T42" s="373"/>
      <x:c r="U42" s="373"/>
      <x:c r="V42" s="373"/>
      <x:c r="W42" s="373"/>
      <x:c r="X42" s="373"/>
      <x:c r="Y42" s="373"/>
      <x:c r="Z42" s="373"/>
    </x:row>
    <x:row r="43">
      <x:c r="A43" s="373"/>
      <x:c r="B43" s="373"/>
      <x:c r="C43" s="373"/>
      <x:c r="D43" s="373"/>
      <x:c r="E43" s="373"/>
      <x:c r="F43" s="373"/>
      <x:c r="G43" s="373"/>
      <x:c r="H43" s="373"/>
      <x:c r="I43" s="373"/>
      <x:c r="J43" s="373"/>
      <x:c r="K43" s="373"/>
      <x:c r="L43" s="373"/>
      <x:c r="M43" s="373"/>
      <x:c r="N43" s="373"/>
      <x:c r="O43" s="373"/>
      <x:c r="P43" s="373"/>
      <x:c r="Q43" s="373"/>
      <x:c r="R43" s="373"/>
      <x:c r="S43" s="373"/>
      <x:c r="T43" s="373"/>
      <x:c r="U43" s="373"/>
      <x:c r="V43" s="373"/>
      <x:c r="W43" s="373"/>
      <x:c r="X43" s="373"/>
      <x:c r="Y43" s="373"/>
      <x:c r="Z43" s="373"/>
    </x:row>
    <x:row r="44">
      <x:c r="A44" s="373"/>
      <x:c r="B44" s="373"/>
      <x:c r="C44" s="373"/>
      <x:c r="D44" s="373"/>
      <x:c r="E44" s="373"/>
      <x:c r="F44" s="373"/>
      <x:c r="G44" s="373"/>
      <x:c r="H44" s="373"/>
      <x:c r="I44" s="373"/>
      <x:c r="J44" s="373"/>
      <x:c r="K44" s="373"/>
      <x:c r="L44" s="373"/>
      <x:c r="M44" s="373"/>
      <x:c r="N44" s="373"/>
      <x:c r="O44" s="373"/>
      <x:c r="P44" s="373"/>
      <x:c r="Q44" s="373"/>
      <x:c r="R44" s="373"/>
      <x:c r="S44" s="373"/>
      <x:c r="T44" s="373"/>
      <x:c r="U44" s="373"/>
      <x:c r="V44" s="373"/>
      <x:c r="W44" s="373"/>
      <x:c r="X44" s="373"/>
      <x:c r="Y44" s="373"/>
      <x:c r="Z44" s="373"/>
    </x:row>
    <x:row r="45">
      <x:c r="A45" s="373"/>
      <x:c r="B45" s="373"/>
      <x:c r="C45" s="373"/>
      <x:c r="D45" s="373"/>
      <x:c r="E45" s="373"/>
      <x:c r="F45" s="373"/>
      <x:c r="G45" s="373"/>
      <x:c r="H45" s="373"/>
      <x:c r="I45" s="373"/>
      <x:c r="J45" s="373"/>
      <x:c r="K45" s="373"/>
      <x:c r="L45" s="373"/>
      <x:c r="M45" s="373"/>
      <x:c r="N45" s="373"/>
      <x:c r="O45" s="373"/>
      <x:c r="P45" s="373"/>
      <x:c r="Q45" s="373"/>
      <x:c r="R45" s="373"/>
      <x:c r="S45" s="373"/>
      <x:c r="T45" s="373"/>
      <x:c r="U45" s="373"/>
      <x:c r="V45" s="373"/>
      <x:c r="W45" s="373"/>
      <x:c r="X45" s="373"/>
      <x:c r="Y45" s="373"/>
      <x:c r="Z45" s="373"/>
    </x:row>
    <x:row r="46">
      <x:c r="A46" s="373"/>
      <x:c r="B46" s="373"/>
      <x:c r="C46" s="373"/>
      <x:c r="D46" s="373"/>
      <x:c r="E46" s="373"/>
      <x:c r="F46" s="373"/>
      <x:c r="G46" s="373"/>
      <x:c r="H46" s="373"/>
      <x:c r="I46" s="373"/>
      <x:c r="J46" s="373"/>
      <x:c r="K46" s="373"/>
      <x:c r="L46" s="373"/>
      <x:c r="M46" s="373"/>
      <x:c r="N46" s="373"/>
      <x:c r="O46" s="373"/>
      <x:c r="P46" s="373"/>
      <x:c r="Q46" s="373"/>
      <x:c r="R46" s="373"/>
      <x:c r="S46" s="373"/>
      <x:c r="T46" s="373"/>
      <x:c r="U46" s="373"/>
      <x:c r="V46" s="373"/>
      <x:c r="W46" s="373"/>
      <x:c r="X46" s="373"/>
      <x:c r="Y46" s="373"/>
      <x:c r="Z46" s="373"/>
    </x:row>
    <x:row r="47">
      <x:c r="A47" s="373"/>
      <x:c r="B47" s="373"/>
      <x:c r="C47" s="373"/>
      <x:c r="D47" s="373"/>
      <x:c r="E47" s="373"/>
      <x:c r="F47" s="373"/>
      <x:c r="G47" s="373"/>
      <x:c r="H47" s="373"/>
      <x:c r="I47" s="373"/>
      <x:c r="J47" s="373"/>
      <x:c r="K47" s="373"/>
      <x:c r="L47" s="373"/>
      <x:c r="M47" s="373"/>
      <x:c r="N47" s="373"/>
      <x:c r="O47" s="373"/>
      <x:c r="P47" s="373"/>
      <x:c r="Q47" s="373"/>
      <x:c r="R47" s="373"/>
      <x:c r="S47" s="373"/>
      <x:c r="T47" s="373"/>
      <x:c r="U47" s="373"/>
      <x:c r="V47" s="373"/>
      <x:c r="W47" s="373"/>
      <x:c r="X47" s="373"/>
      <x:c r="Y47" s="373"/>
      <x:c r="Z47" s="373"/>
    </x:row>
    <x:row r="48">
      <x:c r="A48" s="373"/>
      <x:c r="B48" s="373"/>
      <x:c r="C48" s="373"/>
      <x:c r="D48" s="373"/>
      <x:c r="E48" s="373"/>
      <x:c r="F48" s="373"/>
      <x:c r="G48" s="373"/>
      <x:c r="H48" s="373"/>
      <x:c r="I48" s="373"/>
      <x:c r="J48" s="373"/>
      <x:c r="K48" s="373"/>
      <x:c r="L48" s="373"/>
      <x:c r="M48" s="373"/>
      <x:c r="N48" s="373"/>
      <x:c r="O48" s="373"/>
      <x:c r="P48" s="373"/>
      <x:c r="Q48" s="373"/>
      <x:c r="R48" s="373"/>
      <x:c r="S48" s="373"/>
      <x:c r="T48" s="373"/>
      <x:c r="U48" s="373"/>
      <x:c r="V48" s="373"/>
      <x:c r="W48" s="373"/>
      <x:c r="X48" s="373"/>
      <x:c r="Y48" s="373"/>
      <x:c r="Z48" s="373"/>
    </x:row>
    <x:row r="49">
      <x:c r="A49" s="373"/>
      <x:c r="B49" s="373"/>
      <x:c r="C49" s="373"/>
      <x:c r="D49" s="373"/>
      <x:c r="E49" s="373"/>
      <x:c r="F49" s="373"/>
      <x:c r="G49" s="373"/>
      <x:c r="H49" s="373"/>
      <x:c r="I49" s="373"/>
      <x:c r="J49" s="373"/>
      <x:c r="K49" s="373"/>
      <x:c r="L49" s="373"/>
      <x:c r="M49" s="373"/>
      <x:c r="N49" s="373"/>
      <x:c r="O49" s="373"/>
      <x:c r="P49" s="373"/>
      <x:c r="Q49" s="373"/>
      <x:c r="R49" s="373"/>
      <x:c r="S49" s="373"/>
      <x:c r="T49" s="373"/>
      <x:c r="U49" s="373"/>
      <x:c r="V49" s="373"/>
      <x:c r="W49" s="373"/>
      <x:c r="X49" s="373"/>
      <x:c r="Y49" s="373"/>
      <x:c r="Z49" s="373"/>
    </x:row>
    <x:row r="50">
      <x:c r="A50" s="373"/>
      <x:c r="B50" s="373"/>
      <x:c r="C50" s="373"/>
      <x:c r="D50" s="373"/>
      <x:c r="E50" s="373"/>
      <x:c r="F50" s="373"/>
      <x:c r="G50" s="373"/>
      <x:c r="H50" s="373"/>
      <x:c r="I50" s="373"/>
      <x:c r="J50" s="373"/>
      <x:c r="K50" s="373"/>
      <x:c r="L50" s="373"/>
      <x:c r="M50" s="373"/>
      <x:c r="N50" s="373"/>
      <x:c r="O50" s="373"/>
      <x:c r="P50" s="373"/>
      <x:c r="Q50" s="373"/>
      <x:c r="R50" s="373"/>
      <x:c r="S50" s="373"/>
      <x:c r="T50" s="373"/>
      <x:c r="U50" s="373"/>
      <x:c r="V50" s="373"/>
      <x:c r="W50" s="373"/>
      <x:c r="X50" s="373"/>
      <x:c r="Y50" s="373"/>
      <x:c r="Z50" s="373"/>
    </x:row>
    <x:row r="51">
      <x:c r="A51" s="373"/>
      <x:c r="B51" s="373"/>
      <x:c r="C51" s="373"/>
      <x:c r="D51" s="373"/>
      <x:c r="E51" s="373"/>
      <x:c r="F51" s="373"/>
      <x:c r="G51" s="373"/>
      <x:c r="H51" s="373"/>
      <x:c r="I51" s="373"/>
      <x:c r="J51" s="373"/>
      <x:c r="K51" s="373"/>
      <x:c r="L51" s="373"/>
      <x:c r="M51" s="373"/>
      <x:c r="N51" s="373"/>
      <x:c r="O51" s="373"/>
      <x:c r="P51" s="373"/>
      <x:c r="Q51" s="373"/>
      <x:c r="R51" s="373"/>
      <x:c r="S51" s="373"/>
      <x:c r="T51" s="373"/>
      <x:c r="U51" s="373"/>
      <x:c r="V51" s="373"/>
      <x:c r="W51" s="373"/>
      <x:c r="X51" s="373"/>
      <x:c r="Y51" s="373"/>
      <x:c r="Z51" s="373"/>
    </x:row>
    <x:row r="52">
      <x:c r="A52" s="373"/>
      <x:c r="B52" s="373"/>
      <x:c r="C52" s="373"/>
      <x:c r="D52" s="373"/>
      <x:c r="E52" s="373"/>
      <x:c r="F52" s="373"/>
      <x:c r="G52" s="373"/>
      <x:c r="H52" s="373"/>
      <x:c r="I52" s="373"/>
      <x:c r="J52" s="373"/>
      <x:c r="K52" s="373"/>
      <x:c r="L52" s="373"/>
      <x:c r="M52" s="373"/>
      <x:c r="N52" s="373"/>
      <x:c r="O52" s="373"/>
      <x:c r="P52" s="373"/>
      <x:c r="Q52" s="373"/>
      <x:c r="R52" s="373"/>
      <x:c r="S52" s="373"/>
      <x:c r="T52" s="373"/>
      <x:c r="U52" s="373"/>
      <x:c r="V52" s="373"/>
      <x:c r="W52" s="373"/>
      <x:c r="X52" s="373"/>
      <x:c r="Y52" s="373"/>
      <x:c r="Z52" s="373"/>
    </x:row>
    <x:row r="53">
      <x:c r="A53" s="373"/>
      <x:c r="B53" s="373"/>
      <x:c r="C53" s="373"/>
      <x:c r="D53" s="373"/>
      <x:c r="E53" s="373"/>
      <x:c r="F53" s="373"/>
      <x:c r="G53" s="373"/>
      <x:c r="H53" s="373"/>
      <x:c r="I53" s="373"/>
      <x:c r="J53" s="373"/>
      <x:c r="K53" s="373"/>
      <x:c r="L53" s="373"/>
      <x:c r="M53" s="373"/>
      <x:c r="N53" s="373"/>
      <x:c r="O53" s="373"/>
      <x:c r="P53" s="373"/>
      <x:c r="Q53" s="373"/>
      <x:c r="R53" s="373"/>
      <x:c r="S53" s="373"/>
      <x:c r="T53" s="373"/>
      <x:c r="U53" s="373"/>
      <x:c r="V53" s="373"/>
      <x:c r="W53" s="373"/>
      <x:c r="X53" s="373"/>
      <x:c r="Y53" s="373"/>
      <x:c r="Z53" s="373"/>
    </x:row>
    <x:row r="54">
      <x:c r="A54" s="373"/>
      <x:c r="B54" s="373"/>
      <x:c r="C54" s="373"/>
      <x:c r="D54" s="373"/>
      <x:c r="E54" s="373"/>
      <x:c r="F54" s="373"/>
      <x:c r="G54" s="373"/>
      <x:c r="H54" s="373"/>
      <x:c r="I54" s="373"/>
      <x:c r="J54" s="373"/>
      <x:c r="K54" s="373"/>
      <x:c r="L54" s="373"/>
      <x:c r="M54" s="373"/>
      <x:c r="N54" s="373"/>
      <x:c r="O54" s="373"/>
      <x:c r="P54" s="373"/>
      <x:c r="Q54" s="373"/>
      <x:c r="R54" s="373"/>
      <x:c r="S54" s="373"/>
      <x:c r="T54" s="373"/>
      <x:c r="U54" s="373"/>
      <x:c r="V54" s="373"/>
      <x:c r="W54" s="373"/>
      <x:c r="X54" s="373"/>
      <x:c r="Y54" s="373"/>
      <x:c r="Z54" s="373"/>
    </x:row>
    <x:row r="55">
      <x:c r="A55" s="373"/>
      <x:c r="B55" s="373"/>
      <x:c r="C55" s="373"/>
      <x:c r="D55" s="373"/>
      <x:c r="E55" s="373"/>
      <x:c r="F55" s="373"/>
      <x:c r="G55" s="373"/>
      <x:c r="H55" s="373"/>
      <x:c r="I55" s="373"/>
      <x:c r="J55" s="373"/>
      <x:c r="K55" s="373"/>
      <x:c r="L55" s="373"/>
      <x:c r="M55" s="373"/>
      <x:c r="N55" s="373"/>
      <x:c r="O55" s="373"/>
      <x:c r="P55" s="373"/>
      <x:c r="Q55" s="373"/>
      <x:c r="R55" s="373"/>
      <x:c r="S55" s="373"/>
      <x:c r="T55" s="373"/>
      <x:c r="U55" s="373"/>
      <x:c r="V55" s="373"/>
      <x:c r="W55" s="373"/>
      <x:c r="X55" s="373"/>
      <x:c r="Y55" s="373"/>
      <x:c r="Z55" s="373"/>
    </x:row>
    <x:row r="56">
      <x:c r="A56" s="373"/>
      <x:c r="B56" s="373"/>
      <x:c r="C56" s="373"/>
      <x:c r="D56" s="373"/>
      <x:c r="E56" s="373"/>
      <x:c r="F56" s="373"/>
      <x:c r="G56" s="373"/>
      <x:c r="H56" s="373"/>
      <x:c r="I56" s="373"/>
      <x:c r="J56" s="373"/>
      <x:c r="K56" s="373"/>
      <x:c r="L56" s="373"/>
      <x:c r="M56" s="373"/>
      <x:c r="N56" s="373"/>
      <x:c r="O56" s="373"/>
      <x:c r="P56" s="373"/>
      <x:c r="Q56" s="373"/>
      <x:c r="R56" s="373"/>
      <x:c r="S56" s="373"/>
      <x:c r="T56" s="373"/>
      <x:c r="U56" s="373"/>
      <x:c r="V56" s="373"/>
      <x:c r="W56" s="373"/>
      <x:c r="X56" s="373"/>
      <x:c r="Y56" s="373"/>
      <x:c r="Z56" s="373"/>
    </x:row>
    <x:row r="57">
      <x:c r="A57" s="373"/>
      <x:c r="B57" s="373"/>
      <x:c r="C57" s="373"/>
      <x:c r="D57" s="373"/>
      <x:c r="E57" s="373"/>
      <x:c r="F57" s="373"/>
      <x:c r="G57" s="373"/>
      <x:c r="H57" s="373"/>
      <x:c r="I57" s="373"/>
      <x:c r="J57" s="373"/>
      <x:c r="K57" s="373"/>
      <x:c r="L57" s="373"/>
      <x:c r="M57" s="373"/>
      <x:c r="N57" s="373"/>
      <x:c r="O57" s="373"/>
      <x:c r="P57" s="373"/>
      <x:c r="Q57" s="373"/>
      <x:c r="R57" s="373"/>
      <x:c r="S57" s="373"/>
      <x:c r="T57" s="373"/>
      <x:c r="U57" s="373"/>
      <x:c r="V57" s="373"/>
      <x:c r="W57" s="373"/>
      <x:c r="X57" s="373"/>
      <x:c r="Y57" s="373"/>
      <x:c r="Z57" s="373"/>
    </x:row>
    <x:row r="58">
      <x:c r="A58" s="373"/>
      <x:c r="B58" s="373"/>
      <x:c r="C58" s="373"/>
      <x:c r="D58" s="373"/>
      <x:c r="E58" s="373"/>
      <x:c r="F58" s="373"/>
      <x:c r="G58" s="373"/>
      <x:c r="H58" s="373"/>
      <x:c r="I58" s="373"/>
      <x:c r="J58" s="373"/>
      <x:c r="K58" s="373"/>
      <x:c r="L58" s="373"/>
      <x:c r="M58" s="373"/>
      <x:c r="N58" s="373"/>
      <x:c r="O58" s="373"/>
      <x:c r="P58" s="373"/>
      <x:c r="Q58" s="373"/>
      <x:c r="R58" s="373"/>
      <x:c r="S58" s="373"/>
      <x:c r="T58" s="373"/>
      <x:c r="U58" s="373"/>
      <x:c r="V58" s="373"/>
      <x:c r="W58" s="373"/>
      <x:c r="X58" s="373"/>
      <x:c r="Y58" s="373"/>
      <x:c r="Z58" s="373"/>
    </x:row>
    <x:row r="59">
      <x:c r="A59" s="373"/>
      <x:c r="B59" s="373"/>
      <x:c r="C59" s="373"/>
      <x:c r="D59" s="373"/>
      <x:c r="E59" s="373"/>
      <x:c r="F59" s="373"/>
      <x:c r="G59" s="373"/>
      <x:c r="H59" s="373"/>
      <x:c r="I59" s="373"/>
      <x:c r="J59" s="373"/>
      <x:c r="K59" s="373"/>
      <x:c r="L59" s="373"/>
      <x:c r="M59" s="373"/>
      <x:c r="N59" s="373"/>
      <x:c r="O59" s="373"/>
      <x:c r="P59" s="373"/>
      <x:c r="Q59" s="373"/>
      <x:c r="R59" s="373"/>
      <x:c r="S59" s="373"/>
      <x:c r="T59" s="373"/>
      <x:c r="U59" s="373"/>
      <x:c r="V59" s="373"/>
      <x:c r="W59" s="373"/>
      <x:c r="X59" s="373"/>
      <x:c r="Y59" s="373"/>
      <x:c r="Z59" s="373"/>
    </x:row>
    <x:row r="60">
      <x:c r="A60" s="373"/>
      <x:c r="B60" s="373"/>
      <x:c r="C60" s="373"/>
      <x:c r="D60" s="373"/>
      <x:c r="E60" s="373"/>
      <x:c r="F60" s="373"/>
      <x:c r="G60" s="373"/>
      <x:c r="H60" s="373"/>
      <x:c r="I60" s="373"/>
      <x:c r="J60" s="373"/>
      <x:c r="K60" s="373"/>
      <x:c r="L60" s="373"/>
      <x:c r="M60" s="373"/>
      <x:c r="N60" s="373"/>
      <x:c r="O60" s="373"/>
      <x:c r="P60" s="373"/>
      <x:c r="Q60" s="373"/>
      <x:c r="R60" s="373"/>
      <x:c r="S60" s="373"/>
      <x:c r="T60" s="373"/>
      <x:c r="U60" s="373"/>
      <x:c r="V60" s="373"/>
      <x:c r="W60" s="373"/>
      <x:c r="X60" s="373"/>
      <x:c r="Y60" s="373"/>
      <x:c r="Z60" s="373"/>
    </x:row>
    <x:row r="61">
      <x:c r="A61" s="373"/>
      <x:c r="B61" s="373"/>
      <x:c r="C61" s="373"/>
      <x:c r="D61" s="373"/>
      <x:c r="E61" s="373"/>
      <x:c r="F61" s="373"/>
      <x:c r="G61" s="373"/>
      <x:c r="H61" s="373"/>
      <x:c r="I61" s="373"/>
      <x:c r="J61" s="373"/>
      <x:c r="K61" s="373"/>
      <x:c r="L61" s="373"/>
      <x:c r="M61" s="373"/>
      <x:c r="N61" s="373"/>
      <x:c r="O61" s="373"/>
      <x:c r="P61" s="373"/>
      <x:c r="Q61" s="373"/>
      <x:c r="R61" s="373"/>
      <x:c r="S61" s="373"/>
      <x:c r="T61" s="373"/>
      <x:c r="U61" s="373"/>
      <x:c r="V61" s="373"/>
      <x:c r="W61" s="373"/>
      <x:c r="X61" s="373"/>
      <x:c r="Y61" s="373"/>
      <x:c r="Z61" s="373"/>
    </x:row>
    <x:row r="62">
      <x:c r="A62" s="373"/>
      <x:c r="B62" s="373"/>
      <x:c r="C62" s="373"/>
      <x:c r="D62" s="373"/>
      <x:c r="E62" s="373"/>
      <x:c r="F62" s="373"/>
      <x:c r="G62" s="373"/>
      <x:c r="H62" s="373"/>
      <x:c r="I62" s="373"/>
      <x:c r="J62" s="373"/>
      <x:c r="K62" s="373"/>
      <x:c r="L62" s="373"/>
      <x:c r="M62" s="373"/>
      <x:c r="N62" s="373"/>
      <x:c r="O62" s="373"/>
      <x:c r="P62" s="373"/>
      <x:c r="Q62" s="373"/>
      <x:c r="R62" s="373"/>
      <x:c r="S62" s="373"/>
      <x:c r="T62" s="373"/>
      <x:c r="U62" s="373"/>
      <x:c r="V62" s="373"/>
      <x:c r="W62" s="373"/>
      <x:c r="X62" s="373"/>
      <x:c r="Y62" s="373"/>
      <x:c r="Z62" s="373"/>
    </x:row>
    <x:row r="63">
      <x:c r="A63" s="373"/>
      <x:c r="B63" s="373"/>
      <x:c r="C63" s="373"/>
      <x:c r="D63" s="373"/>
      <x:c r="E63" s="373"/>
      <x:c r="F63" s="373"/>
      <x:c r="G63" s="373"/>
      <x:c r="H63" s="373"/>
      <x:c r="I63" s="373"/>
      <x:c r="J63" s="373"/>
      <x:c r="K63" s="373"/>
      <x:c r="L63" s="373"/>
      <x:c r="M63" s="373"/>
      <x:c r="N63" s="373"/>
      <x:c r="O63" s="373"/>
      <x:c r="P63" s="373"/>
      <x:c r="Q63" s="373"/>
      <x:c r="R63" s="373"/>
      <x:c r="S63" s="373"/>
      <x:c r="T63" s="373"/>
      <x:c r="U63" s="373"/>
      <x:c r="V63" s="373"/>
      <x:c r="W63" s="373"/>
      <x:c r="X63" s="373"/>
      <x:c r="Y63" s="373"/>
      <x:c r="Z63" s="373"/>
    </x:row>
    <x:row r="64">
      <x:c r="A64" s="373"/>
      <x:c r="B64" s="373"/>
      <x:c r="C64" s="373"/>
      <x:c r="D64" s="373"/>
      <x:c r="E64" s="373"/>
      <x:c r="F64" s="373"/>
      <x:c r="G64" s="373"/>
      <x:c r="H64" s="373"/>
      <x:c r="I64" s="373"/>
      <x:c r="J64" s="373"/>
      <x:c r="K64" s="373"/>
      <x:c r="L64" s="373"/>
      <x:c r="M64" s="373"/>
      <x:c r="N64" s="373"/>
      <x:c r="O64" s="373"/>
      <x:c r="P64" s="373"/>
      <x:c r="Q64" s="373"/>
      <x:c r="R64" s="373"/>
      <x:c r="S64" s="373"/>
      <x:c r="T64" s="373"/>
      <x:c r="U64" s="373"/>
      <x:c r="V64" s="373"/>
      <x:c r="W64" s="373"/>
      <x:c r="X64" s="373"/>
      <x:c r="Y64" s="373"/>
      <x:c r="Z64" s="373"/>
    </x:row>
    <x:row r="65">
      <x:c r="A65" s="373"/>
      <x:c r="B65" s="373"/>
      <x:c r="C65" s="373"/>
      <x:c r="D65" s="373"/>
      <x:c r="E65" s="373"/>
      <x:c r="F65" s="373"/>
      <x:c r="G65" s="373"/>
      <x:c r="H65" s="373"/>
      <x:c r="I65" s="373"/>
      <x:c r="J65" s="373"/>
      <x:c r="K65" s="373"/>
      <x:c r="L65" s="373"/>
      <x:c r="M65" s="373"/>
      <x:c r="N65" s="373"/>
      <x:c r="O65" s="373"/>
      <x:c r="P65" s="373"/>
      <x:c r="Q65" s="373"/>
      <x:c r="R65" s="373"/>
      <x:c r="S65" s="373"/>
      <x:c r="T65" s="373"/>
      <x:c r="U65" s="373"/>
      <x:c r="V65" s="373"/>
      <x:c r="W65" s="373"/>
      <x:c r="X65" s="373"/>
      <x:c r="Y65" s="373"/>
      <x:c r="Z65" s="373"/>
    </x:row>
    <x:row r="66">
      <x:c r="A66" s="373"/>
      <x:c r="B66" s="373"/>
      <x:c r="C66" s="373"/>
      <x:c r="D66" s="373"/>
      <x:c r="E66" s="373"/>
      <x:c r="F66" s="373"/>
      <x:c r="G66" s="373"/>
      <x:c r="H66" s="373"/>
      <x:c r="I66" s="373"/>
      <x:c r="J66" s="373"/>
      <x:c r="K66" s="373"/>
      <x:c r="L66" s="373"/>
      <x:c r="M66" s="373"/>
      <x:c r="N66" s="373"/>
      <x:c r="O66" s="373"/>
      <x:c r="P66" s="373"/>
      <x:c r="Q66" s="373"/>
      <x:c r="R66" s="373"/>
      <x:c r="S66" s="373"/>
      <x:c r="T66" s="373"/>
      <x:c r="U66" s="373"/>
      <x:c r="V66" s="373"/>
      <x:c r="W66" s="373"/>
      <x:c r="X66" s="373"/>
      <x:c r="Y66" s="373"/>
      <x:c r="Z66" s="373"/>
    </x:row>
    <x:row r="67">
      <x:c r="A67" s="373"/>
      <x:c r="B67" s="373"/>
      <x:c r="C67" s="373"/>
      <x:c r="D67" s="373"/>
      <x:c r="E67" s="373"/>
      <x:c r="F67" s="373"/>
      <x:c r="G67" s="373"/>
      <x:c r="H67" s="373"/>
      <x:c r="I67" s="373"/>
      <x:c r="J67" s="373"/>
      <x:c r="K67" s="373"/>
      <x:c r="L67" s="373"/>
      <x:c r="M67" s="373"/>
      <x:c r="N67" s="373"/>
      <x:c r="O67" s="373"/>
      <x:c r="P67" s="373"/>
      <x:c r="Q67" s="373"/>
      <x:c r="R67" s="373"/>
      <x:c r="S67" s="373"/>
      <x:c r="T67" s="373"/>
      <x:c r="U67" s="373"/>
      <x:c r="V67" s="373"/>
      <x:c r="W67" s="373"/>
      <x:c r="X67" s="373"/>
      <x:c r="Y67" s="373"/>
      <x:c r="Z67" s="373"/>
    </x:row>
    <x:row r="68">
      <x:c r="A68" s="373"/>
      <x:c r="B68" s="373"/>
      <x:c r="C68" s="373"/>
      <x:c r="D68" s="373"/>
      <x:c r="E68" s="373"/>
      <x:c r="F68" s="373"/>
      <x:c r="G68" s="373"/>
      <x:c r="H68" s="373"/>
      <x:c r="I68" s="373"/>
      <x:c r="J68" s="373"/>
      <x:c r="K68" s="373"/>
      <x:c r="L68" s="373"/>
      <x:c r="M68" s="373"/>
      <x:c r="N68" s="373"/>
      <x:c r="O68" s="373"/>
      <x:c r="P68" s="373"/>
      <x:c r="Q68" s="373"/>
      <x:c r="R68" s="373"/>
      <x:c r="S68" s="373"/>
      <x:c r="T68" s="373"/>
      <x:c r="U68" s="373"/>
      <x:c r="V68" s="373"/>
      <x:c r="W68" s="373"/>
      <x:c r="X68" s="373"/>
      <x:c r="Y68" s="373"/>
      <x:c r="Z68" s="373"/>
    </x:row>
    <x:row r="69">
      <x:c r="A69" s="373"/>
      <x:c r="B69" s="373"/>
      <x:c r="C69" s="373"/>
      <x:c r="D69" s="373"/>
      <x:c r="E69" s="373"/>
      <x:c r="F69" s="373"/>
      <x:c r="G69" s="373"/>
      <x:c r="H69" s="373"/>
      <x:c r="I69" s="373"/>
      <x:c r="J69" s="373"/>
      <x:c r="K69" s="373"/>
      <x:c r="L69" s="373"/>
      <x:c r="M69" s="373"/>
      <x:c r="N69" s="373"/>
      <x:c r="O69" s="373"/>
      <x:c r="P69" s="373"/>
      <x:c r="Q69" s="373"/>
      <x:c r="R69" s="373"/>
      <x:c r="S69" s="373"/>
      <x:c r="T69" s="373"/>
      <x:c r="U69" s="373"/>
      <x:c r="V69" s="373"/>
      <x:c r="W69" s="373"/>
      <x:c r="X69" s="373"/>
      <x:c r="Y69" s="373"/>
      <x:c r="Z69" s="373"/>
    </x:row>
    <x:row r="70">
      <x:c r="A70" s="373"/>
      <x:c r="B70" s="373"/>
      <x:c r="C70" s="373"/>
      <x:c r="D70" s="373"/>
      <x:c r="E70" s="373"/>
      <x:c r="F70" s="373"/>
      <x:c r="G70" s="373"/>
      <x:c r="H70" s="373"/>
      <x:c r="I70" s="373"/>
      <x:c r="J70" s="373"/>
      <x:c r="K70" s="373"/>
      <x:c r="L70" s="373"/>
      <x:c r="M70" s="373"/>
      <x:c r="N70" s="373"/>
      <x:c r="O70" s="373"/>
      <x:c r="P70" s="373"/>
      <x:c r="Q70" s="373"/>
      <x:c r="R70" s="373"/>
      <x:c r="S70" s="373"/>
      <x:c r="T70" s="373"/>
      <x:c r="U70" s="373"/>
      <x:c r="V70" s="373"/>
      <x:c r="W70" s="373"/>
      <x:c r="X70" s="373"/>
      <x:c r="Y70" s="373"/>
      <x:c r="Z70" s="373"/>
    </x:row>
    <x:row r="71">
      <x:c r="A71" s="373"/>
      <x:c r="B71" s="373"/>
      <x:c r="C71" s="373"/>
      <x:c r="D71" s="373"/>
      <x:c r="E71" s="373"/>
      <x:c r="F71" s="373"/>
      <x:c r="G71" s="373"/>
      <x:c r="H71" s="373"/>
      <x:c r="I71" s="373"/>
      <x:c r="J71" s="373"/>
      <x:c r="K71" s="373"/>
      <x:c r="L71" s="373"/>
      <x:c r="M71" s="373"/>
      <x:c r="N71" s="373"/>
      <x:c r="O71" s="373"/>
      <x:c r="P71" s="373"/>
      <x:c r="Q71" s="373"/>
      <x:c r="R71" s="373"/>
      <x:c r="S71" s="373"/>
      <x:c r="T71" s="373"/>
      <x:c r="U71" s="373"/>
      <x:c r="V71" s="373"/>
      <x:c r="W71" s="373"/>
      <x:c r="X71" s="373"/>
      <x:c r="Y71" s="373"/>
      <x:c r="Z71" s="373"/>
    </x:row>
    <x:row r="72">
      <x:c r="A72" s="373"/>
      <x:c r="B72" s="373"/>
      <x:c r="C72" s="373"/>
      <x:c r="D72" s="373"/>
      <x:c r="E72" s="373"/>
      <x:c r="F72" s="373"/>
      <x:c r="G72" s="373"/>
      <x:c r="H72" s="373"/>
      <x:c r="I72" s="373"/>
      <x:c r="J72" s="373"/>
      <x:c r="K72" s="373"/>
      <x:c r="L72" s="373"/>
      <x:c r="M72" s="373"/>
      <x:c r="N72" s="373"/>
      <x:c r="O72" s="373"/>
      <x:c r="P72" s="373"/>
      <x:c r="Q72" s="373"/>
      <x:c r="R72" s="373"/>
      <x:c r="S72" s="373"/>
      <x:c r="T72" s="373"/>
      <x:c r="U72" s="373"/>
      <x:c r="V72" s="373"/>
      <x:c r="W72" s="373"/>
      <x:c r="X72" s="373"/>
      <x:c r="Y72" s="373"/>
      <x:c r="Z72" s="373"/>
    </x:row>
    <x:row r="73">
      <x:c r="A73" s="373"/>
      <x:c r="B73" s="373"/>
      <x:c r="C73" s="373"/>
      <x:c r="D73" s="373"/>
      <x:c r="E73" s="373"/>
      <x:c r="F73" s="373"/>
      <x:c r="G73" s="373"/>
      <x:c r="H73" s="373"/>
      <x:c r="I73" s="373"/>
      <x:c r="J73" s="373"/>
      <x:c r="K73" s="373"/>
      <x:c r="L73" s="373"/>
      <x:c r="M73" s="373"/>
      <x:c r="N73" s="373"/>
      <x:c r="O73" s="373"/>
      <x:c r="P73" s="373"/>
      <x:c r="Q73" s="373"/>
      <x:c r="R73" s="373"/>
      <x:c r="S73" s="373"/>
      <x:c r="T73" s="373"/>
      <x:c r="U73" s="373"/>
      <x:c r="V73" s="373"/>
      <x:c r="W73" s="373"/>
      <x:c r="X73" s="373"/>
      <x:c r="Y73" s="373"/>
      <x:c r="Z73" s="373"/>
    </x:row>
    <x:row r="74">
      <x:c r="A74" s="373"/>
      <x:c r="B74" s="373"/>
      <x:c r="C74" s="373"/>
      <x:c r="D74" s="373"/>
      <x:c r="E74" s="373"/>
      <x:c r="F74" s="373"/>
      <x:c r="G74" s="373"/>
      <x:c r="H74" s="373"/>
      <x:c r="I74" s="373"/>
      <x:c r="J74" s="373"/>
      <x:c r="K74" s="373"/>
      <x:c r="L74" s="373"/>
      <x:c r="M74" s="373"/>
      <x:c r="N74" s="373"/>
      <x:c r="O74" s="373"/>
      <x:c r="P74" s="373"/>
      <x:c r="Q74" s="373"/>
      <x:c r="R74" s="373"/>
      <x:c r="S74" s="373"/>
      <x:c r="T74" s="373"/>
      <x:c r="U74" s="373"/>
      <x:c r="V74" s="373"/>
      <x:c r="W74" s="373"/>
      <x:c r="X74" s="373"/>
      <x:c r="Y74" s="373"/>
      <x:c r="Z74" s="373"/>
    </x:row>
    <x:row r="75">
      <x:c r="A75" s="373"/>
      <x:c r="B75" s="373"/>
      <x:c r="C75" s="373"/>
      <x:c r="D75" s="373"/>
      <x:c r="E75" s="373"/>
      <x:c r="F75" s="373"/>
      <x:c r="G75" s="373"/>
      <x:c r="H75" s="373"/>
      <x:c r="I75" s="373"/>
      <x:c r="J75" s="373"/>
      <x:c r="K75" s="373"/>
      <x:c r="L75" s="373"/>
      <x:c r="M75" s="373"/>
      <x:c r="N75" s="373"/>
      <x:c r="O75" s="373"/>
      <x:c r="P75" s="373"/>
      <x:c r="Q75" s="373"/>
      <x:c r="R75" s="373"/>
      <x:c r="S75" s="373"/>
      <x:c r="T75" s="373"/>
      <x:c r="U75" s="373"/>
      <x:c r="V75" s="373"/>
      <x:c r="W75" s="373"/>
      <x:c r="X75" s="373"/>
      <x:c r="Y75" s="373"/>
      <x:c r="Z75" s="373"/>
    </x:row>
    <x:row r="76">
      <x:c r="A76" s="373"/>
      <x:c r="B76" s="373"/>
      <x:c r="C76" s="373"/>
      <x:c r="D76" s="373"/>
      <x:c r="E76" s="373"/>
      <x:c r="F76" s="373"/>
      <x:c r="G76" s="373"/>
      <x:c r="H76" s="373"/>
      <x:c r="I76" s="373"/>
      <x:c r="J76" s="373"/>
      <x:c r="K76" s="373"/>
      <x:c r="L76" s="373"/>
      <x:c r="M76" s="373"/>
      <x:c r="N76" s="373"/>
      <x:c r="O76" s="373"/>
      <x:c r="P76" s="373"/>
      <x:c r="Q76" s="373"/>
      <x:c r="R76" s="373"/>
      <x:c r="S76" s="373"/>
      <x:c r="T76" s="373"/>
      <x:c r="U76" s="373"/>
      <x:c r="V76" s="373"/>
      <x:c r="W76" s="373"/>
      <x:c r="X76" s="373"/>
      <x:c r="Y76" s="373"/>
      <x:c r="Z76" s="373"/>
    </x:row>
    <x:row r="77">
      <x:c r="A77" s="373"/>
      <x:c r="B77" s="373"/>
      <x:c r="C77" s="373"/>
      <x:c r="D77" s="373"/>
      <x:c r="E77" s="373"/>
      <x:c r="F77" s="373"/>
      <x:c r="G77" s="373"/>
      <x:c r="H77" s="373"/>
      <x:c r="I77" s="373"/>
      <x:c r="J77" s="373"/>
      <x:c r="K77" s="373"/>
      <x:c r="L77" s="373"/>
      <x:c r="M77" s="373"/>
      <x:c r="N77" s="373"/>
      <x:c r="O77" s="373"/>
      <x:c r="P77" s="373"/>
      <x:c r="Q77" s="373"/>
      <x:c r="R77" s="373"/>
      <x:c r="S77" s="373"/>
      <x:c r="T77" s="373"/>
      <x:c r="U77" s="373"/>
      <x:c r="V77" s="373"/>
      <x:c r="W77" s="373"/>
      <x:c r="X77" s="373"/>
      <x:c r="Y77" s="373"/>
      <x:c r="Z77" s="373"/>
    </x:row>
    <x:row r="78">
      <x:c r="A78" s="373"/>
      <x:c r="B78" s="373"/>
      <x:c r="C78" s="373"/>
      <x:c r="D78" s="373"/>
      <x:c r="E78" s="373"/>
      <x:c r="F78" s="373"/>
      <x:c r="G78" s="373"/>
      <x:c r="H78" s="373"/>
      <x:c r="I78" s="373"/>
      <x:c r="J78" s="373"/>
      <x:c r="K78" s="373"/>
      <x:c r="L78" s="373"/>
      <x:c r="M78" s="373"/>
      <x:c r="N78" s="373"/>
      <x:c r="O78" s="373"/>
      <x:c r="P78" s="373"/>
      <x:c r="Q78" s="373"/>
      <x:c r="R78" s="373"/>
      <x:c r="S78" s="373"/>
      <x:c r="T78" s="373"/>
      <x:c r="U78" s="373"/>
      <x:c r="V78" s="373"/>
      <x:c r="W78" s="373"/>
      <x:c r="X78" s="373"/>
      <x:c r="Y78" s="373"/>
      <x:c r="Z78" s="373"/>
    </x:row>
    <x:row r="79">
      <x:c r="A79" s="373"/>
      <x:c r="B79" s="373"/>
      <x:c r="C79" s="373"/>
      <x:c r="D79" s="373"/>
      <x:c r="E79" s="373"/>
      <x:c r="F79" s="373"/>
      <x:c r="G79" s="373"/>
      <x:c r="H79" s="373"/>
      <x:c r="I79" s="373"/>
      <x:c r="J79" s="373"/>
      <x:c r="K79" s="373"/>
      <x:c r="L79" s="373"/>
      <x:c r="M79" s="373"/>
      <x:c r="N79" s="373"/>
      <x:c r="O79" s="373"/>
      <x:c r="P79" s="373"/>
      <x:c r="Q79" s="373"/>
      <x:c r="R79" s="373"/>
      <x:c r="S79" s="373"/>
      <x:c r="T79" s="373"/>
      <x:c r="U79" s="373"/>
      <x:c r="V79" s="373"/>
      <x:c r="W79" s="373"/>
      <x:c r="X79" s="373"/>
      <x:c r="Y79" s="373"/>
      <x:c r="Z79" s="373"/>
    </x:row>
    <x:row r="80">
      <x:c r="A80" s="373"/>
      <x:c r="B80" s="373"/>
      <x:c r="C80" s="373"/>
      <x:c r="D80" s="373"/>
      <x:c r="E80" s="373"/>
      <x:c r="F80" s="373"/>
      <x:c r="G80" s="373"/>
      <x:c r="H80" s="373"/>
      <x:c r="I80" s="373"/>
      <x:c r="J80" s="373"/>
      <x:c r="K80" s="373"/>
      <x:c r="L80" s="373"/>
      <x:c r="M80" s="373"/>
      <x:c r="N80" s="373"/>
      <x:c r="O80" s="373"/>
      <x:c r="P80" s="373"/>
      <x:c r="Q80" s="373"/>
      <x:c r="R80" s="373"/>
      <x:c r="S80" s="373"/>
      <x:c r="T80" s="373"/>
      <x:c r="U80" s="373"/>
      <x:c r="V80" s="373"/>
      <x:c r="W80" s="373"/>
      <x:c r="X80" s="373"/>
      <x:c r="Y80" s="373"/>
      <x:c r="Z80" s="373"/>
    </x:row>
    <x:row r="81">
      <x:c r="A81" s="373"/>
      <x:c r="B81" s="373"/>
      <x:c r="C81" s="373"/>
      <x:c r="D81" s="373"/>
      <x:c r="E81" s="373"/>
      <x:c r="F81" s="373"/>
      <x:c r="G81" s="373"/>
      <x:c r="H81" s="373"/>
      <x:c r="I81" s="373"/>
      <x:c r="J81" s="373"/>
      <x:c r="K81" s="373"/>
      <x:c r="L81" s="373"/>
      <x:c r="M81" s="373"/>
      <x:c r="N81" s="373"/>
      <x:c r="O81" s="373"/>
      <x:c r="P81" s="373"/>
      <x:c r="Q81" s="373"/>
      <x:c r="R81" s="373"/>
      <x:c r="S81" s="373"/>
      <x:c r="T81" s="373"/>
      <x:c r="U81" s="373"/>
      <x:c r="V81" s="373"/>
      <x:c r="W81" s="373"/>
      <x:c r="X81" s="373"/>
      <x:c r="Y81" s="373"/>
      <x:c r="Z81" s="373"/>
    </x:row>
    <x:row r="82">
      <x:c r="A82" s="373"/>
      <x:c r="B82" s="373"/>
      <x:c r="C82" s="373"/>
      <x:c r="D82" s="373"/>
      <x:c r="E82" s="373"/>
      <x:c r="F82" s="373"/>
      <x:c r="G82" s="373"/>
      <x:c r="H82" s="373"/>
      <x:c r="I82" s="373"/>
      <x:c r="J82" s="373"/>
      <x:c r="K82" s="373"/>
      <x:c r="L82" s="373"/>
      <x:c r="M82" s="373"/>
      <x:c r="N82" s="373"/>
      <x:c r="O82" s="373"/>
      <x:c r="P82" s="373"/>
      <x:c r="Q82" s="373"/>
      <x:c r="R82" s="373"/>
      <x:c r="S82" s="373"/>
      <x:c r="T82" s="373"/>
      <x:c r="U82" s="373"/>
      <x:c r="V82" s="373"/>
      <x:c r="W82" s="373"/>
      <x:c r="X82" s="373"/>
      <x:c r="Y82" s="373"/>
      <x:c r="Z82" s="373"/>
    </x:row>
    <x:row r="83">
      <x:c r="A83" s="373"/>
      <x:c r="B83" s="373"/>
      <x:c r="C83" s="373"/>
      <x:c r="D83" s="373"/>
      <x:c r="E83" s="373"/>
      <x:c r="F83" s="373"/>
      <x:c r="G83" s="373"/>
      <x:c r="H83" s="373"/>
      <x:c r="I83" s="373"/>
      <x:c r="J83" s="373"/>
      <x:c r="K83" s="373"/>
      <x:c r="L83" s="373"/>
      <x:c r="M83" s="373"/>
      <x:c r="N83" s="373"/>
      <x:c r="O83" s="373"/>
      <x:c r="P83" s="373"/>
      <x:c r="Q83" s="373"/>
      <x:c r="R83" s="373"/>
      <x:c r="S83" s="373"/>
      <x:c r="T83" s="373"/>
      <x:c r="U83" s="373"/>
      <x:c r="V83" s="373"/>
      <x:c r="W83" s="373"/>
      <x:c r="X83" s="373"/>
      <x:c r="Y83" s="373"/>
      <x:c r="Z83" s="373"/>
    </x:row>
    <x:row r="84">
      <x:c r="A84" s="373"/>
      <x:c r="B84" s="373"/>
      <x:c r="C84" s="373"/>
      <x:c r="D84" s="373"/>
      <x:c r="E84" s="373"/>
      <x:c r="F84" s="373"/>
      <x:c r="G84" s="373"/>
      <x:c r="H84" s="373"/>
      <x:c r="I84" s="373"/>
      <x:c r="J84" s="373"/>
      <x:c r="K84" s="373"/>
      <x:c r="L84" s="373"/>
      <x:c r="M84" s="373"/>
      <x:c r="N84" s="373"/>
      <x:c r="O84" s="373"/>
      <x:c r="P84" s="373"/>
      <x:c r="Q84" s="373"/>
      <x:c r="R84" s="373"/>
      <x:c r="S84" s="373"/>
      <x:c r="T84" s="373"/>
      <x:c r="U84" s="373"/>
      <x:c r="V84" s="373"/>
      <x:c r="W84" s="373"/>
      <x:c r="X84" s="373"/>
      <x:c r="Y84" s="373"/>
      <x:c r="Z84" s="373"/>
    </x:row>
    <x:row r="85">
      <x:c r="A85" s="373"/>
      <x:c r="B85" s="373"/>
      <x:c r="C85" s="373"/>
      <x:c r="D85" s="373"/>
      <x:c r="E85" s="373"/>
      <x:c r="F85" s="373"/>
      <x:c r="G85" s="373"/>
      <x:c r="H85" s="373"/>
      <x:c r="I85" s="373"/>
      <x:c r="J85" s="373"/>
      <x:c r="K85" s="373"/>
      <x:c r="L85" s="373"/>
      <x:c r="M85" s="373"/>
      <x:c r="N85" s="373"/>
      <x:c r="O85" s="373"/>
      <x:c r="P85" s="373"/>
      <x:c r="Q85" s="373"/>
      <x:c r="R85" s="373"/>
      <x:c r="S85" s="373"/>
      <x:c r="T85" s="373"/>
      <x:c r="U85" s="373"/>
      <x:c r="V85" s="373"/>
      <x:c r="W85" s="373"/>
      <x:c r="X85" s="373"/>
      <x:c r="Y85" s="373"/>
      <x:c r="Z85" s="373"/>
    </x:row>
    <x:row r="86">
      <x:c r="A86" s="373"/>
      <x:c r="B86" s="373"/>
      <x:c r="C86" s="373"/>
      <x:c r="D86" s="373"/>
      <x:c r="E86" s="373"/>
      <x:c r="F86" s="373"/>
      <x:c r="G86" s="373"/>
      <x:c r="H86" s="373"/>
      <x:c r="I86" s="373"/>
      <x:c r="J86" s="373"/>
      <x:c r="K86" s="373"/>
      <x:c r="L86" s="373"/>
      <x:c r="M86" s="373"/>
      <x:c r="N86" s="373"/>
      <x:c r="O86" s="373"/>
      <x:c r="P86" s="373"/>
      <x:c r="Q86" s="373"/>
      <x:c r="R86" s="373"/>
      <x:c r="S86" s="373"/>
      <x:c r="T86" s="373"/>
      <x:c r="U86" s="373"/>
      <x:c r="V86" s="373"/>
      <x:c r="W86" s="373"/>
      <x:c r="X86" s="373"/>
      <x:c r="Y86" s="373"/>
      <x:c r="Z86" s="373"/>
    </x:row>
    <x:row r="87">
      <x:c r="A87" s="373"/>
      <x:c r="B87" s="373"/>
      <x:c r="C87" s="373"/>
      <x:c r="D87" s="373"/>
      <x:c r="E87" s="373"/>
      <x:c r="F87" s="373"/>
      <x:c r="G87" s="373"/>
      <x:c r="H87" s="373"/>
      <x:c r="I87" s="373"/>
      <x:c r="J87" s="373"/>
      <x:c r="K87" s="373"/>
      <x:c r="L87" s="373"/>
      <x:c r="M87" s="373"/>
      <x:c r="N87" s="373"/>
      <x:c r="O87" s="373"/>
      <x:c r="P87" s="373"/>
      <x:c r="Q87" s="373"/>
      <x:c r="R87" s="373"/>
      <x:c r="S87" s="373"/>
      <x:c r="T87" s="373"/>
      <x:c r="U87" s="373"/>
      <x:c r="V87" s="373"/>
      <x:c r="W87" s="373"/>
      <x:c r="X87" s="373"/>
      <x:c r="Y87" s="373"/>
      <x:c r="Z87" s="373"/>
    </x:row>
    <x:row r="88">
      <x:c r="A88" s="373"/>
      <x:c r="B88" s="373"/>
      <x:c r="C88" s="373"/>
      <x:c r="D88" s="373"/>
      <x:c r="E88" s="373"/>
      <x:c r="F88" s="373"/>
      <x:c r="G88" s="373"/>
      <x:c r="H88" s="373"/>
      <x:c r="I88" s="373"/>
      <x:c r="J88" s="373"/>
      <x:c r="K88" s="373"/>
      <x:c r="L88" s="373"/>
      <x:c r="M88" s="373"/>
      <x:c r="N88" s="373"/>
      <x:c r="O88" s="373"/>
      <x:c r="P88" s="373"/>
      <x:c r="Q88" s="373"/>
      <x:c r="R88" s="373"/>
      <x:c r="S88" s="373"/>
      <x:c r="T88" s="373"/>
      <x:c r="U88" s="373"/>
      <x:c r="V88" s="373"/>
      <x:c r="W88" s="373"/>
      <x:c r="X88" s="373"/>
      <x:c r="Y88" s="373"/>
      <x:c r="Z88" s="373"/>
    </x:row>
    <x:row r="89">
      <x:c r="A89" s="373"/>
      <x:c r="B89" s="373"/>
      <x:c r="C89" s="373"/>
      <x:c r="D89" s="373"/>
      <x:c r="E89" s="373"/>
      <x:c r="F89" s="373"/>
      <x:c r="G89" s="373"/>
      <x:c r="H89" s="373"/>
      <x:c r="I89" s="373"/>
      <x:c r="J89" s="373"/>
      <x:c r="K89" s="373"/>
      <x:c r="L89" s="373"/>
      <x:c r="M89" s="373"/>
      <x:c r="N89" s="373"/>
      <x:c r="O89" s="373"/>
      <x:c r="P89" s="373"/>
      <x:c r="Q89" s="373"/>
      <x:c r="R89" s="373"/>
      <x:c r="S89" s="373"/>
      <x:c r="T89" s="373"/>
      <x:c r="U89" s="373"/>
      <x:c r="V89" s="373"/>
      <x:c r="W89" s="373"/>
      <x:c r="X89" s="373"/>
      <x:c r="Y89" s="373"/>
      <x:c r="Z89" s="373"/>
    </x:row>
    <x:row r="90">
      <x:c r="A90" s="373"/>
      <x:c r="B90" s="373"/>
      <x:c r="C90" s="373"/>
      <x:c r="D90" s="373"/>
      <x:c r="E90" s="373"/>
      <x:c r="F90" s="373"/>
      <x:c r="G90" s="373"/>
      <x:c r="H90" s="373"/>
      <x:c r="I90" s="373"/>
      <x:c r="J90" s="373"/>
      <x:c r="K90" s="373"/>
      <x:c r="L90" s="373"/>
      <x:c r="M90" s="373"/>
      <x:c r="N90" s="373"/>
      <x:c r="O90" s="373"/>
      <x:c r="P90" s="373"/>
      <x:c r="Q90" s="373"/>
      <x:c r="R90" s="373"/>
      <x:c r="S90" s="373"/>
      <x:c r="T90" s="373"/>
      <x:c r="U90" s="373"/>
      <x:c r="V90" s="373"/>
      <x:c r="W90" s="373"/>
      <x:c r="X90" s="373"/>
      <x:c r="Y90" s="373"/>
      <x:c r="Z90" s="373"/>
    </x:row>
    <x:row r="91">
      <x:c r="A91" s="373"/>
      <x:c r="B91" s="373"/>
      <x:c r="C91" s="373"/>
      <x:c r="D91" s="373"/>
      <x:c r="E91" s="373"/>
      <x:c r="F91" s="373"/>
      <x:c r="G91" s="373"/>
      <x:c r="H91" s="373"/>
      <x:c r="I91" s="373"/>
      <x:c r="J91" s="373"/>
      <x:c r="K91" s="373"/>
      <x:c r="L91" s="373"/>
      <x:c r="M91" s="373"/>
      <x:c r="N91" s="373"/>
      <x:c r="O91" s="373"/>
      <x:c r="P91" s="373"/>
      <x:c r="Q91" s="373"/>
      <x:c r="R91" s="373"/>
      <x:c r="S91" s="373"/>
      <x:c r="T91" s="373"/>
      <x:c r="U91" s="373"/>
      <x:c r="V91" s="373"/>
      <x:c r="W91" s="373"/>
      <x:c r="X91" s="373"/>
      <x:c r="Y91" s="373"/>
      <x:c r="Z91" s="373"/>
    </x:row>
    <x:row r="92">
      <x:c r="A92" s="373"/>
      <x:c r="B92" s="373"/>
      <x:c r="C92" s="373"/>
      <x:c r="D92" s="373"/>
      <x:c r="E92" s="373"/>
      <x:c r="F92" s="373"/>
      <x:c r="G92" s="373"/>
      <x:c r="H92" s="373"/>
      <x:c r="I92" s="373"/>
      <x:c r="J92" s="373"/>
      <x:c r="K92" s="373"/>
      <x:c r="L92" s="373"/>
      <x:c r="M92" s="373"/>
      <x:c r="N92" s="373"/>
      <x:c r="O92" s="373"/>
      <x:c r="P92" s="373"/>
      <x:c r="Q92" s="373"/>
      <x:c r="R92" s="373"/>
      <x:c r="S92" s="373"/>
      <x:c r="T92" s="373"/>
      <x:c r="U92" s="373"/>
      <x:c r="V92" s="373"/>
      <x:c r="W92" s="373"/>
      <x:c r="X92" s="373"/>
      <x:c r="Y92" s="373"/>
      <x:c r="Z92" s="373"/>
    </x:row>
    <x:row r="93">
      <x:c r="A93" s="373"/>
      <x:c r="B93" s="373"/>
      <x:c r="C93" s="373"/>
      <x:c r="D93" s="373"/>
      <x:c r="E93" s="373"/>
      <x:c r="F93" s="373"/>
      <x:c r="G93" s="373"/>
      <x:c r="H93" s="373"/>
      <x:c r="I93" s="373"/>
      <x:c r="J93" s="373"/>
      <x:c r="K93" s="373"/>
      <x:c r="L93" s="373"/>
      <x:c r="M93" s="373"/>
      <x:c r="N93" s="373"/>
      <x:c r="O93" s="373"/>
      <x:c r="P93" s="373"/>
      <x:c r="Q93" s="373"/>
      <x:c r="R93" s="373"/>
      <x:c r="S93" s="373"/>
      <x:c r="T93" s="373"/>
      <x:c r="U93" s="373"/>
      <x:c r="V93" s="373"/>
      <x:c r="W93" s="373"/>
      <x:c r="X93" s="373"/>
      <x:c r="Y93" s="373"/>
      <x:c r="Z93" s="373"/>
    </x:row>
    <x:row r="94">
      <x:c r="A94" s="373"/>
      <x:c r="B94" s="373"/>
      <x:c r="C94" s="373"/>
      <x:c r="D94" s="373"/>
      <x:c r="E94" s="373"/>
      <x:c r="F94" s="373"/>
      <x:c r="G94" s="373"/>
      <x:c r="H94" s="373"/>
      <x:c r="I94" s="373"/>
      <x:c r="J94" s="373"/>
      <x:c r="K94" s="373"/>
      <x:c r="L94" s="373"/>
      <x:c r="M94" s="373"/>
      <x:c r="N94" s="373"/>
      <x:c r="O94" s="373"/>
      <x:c r="P94" s="373"/>
      <x:c r="Q94" s="373"/>
      <x:c r="R94" s="373"/>
      <x:c r="S94" s="373"/>
      <x:c r="T94" s="373"/>
      <x:c r="U94" s="373"/>
      <x:c r="V94" s="373"/>
      <x:c r="W94" s="373"/>
      <x:c r="X94" s="373"/>
      <x:c r="Y94" s="373"/>
      <x:c r="Z94" s="373"/>
    </x:row>
    <x:row r="95">
      <x:c r="A95" s="373"/>
      <x:c r="B95" s="373"/>
      <x:c r="C95" s="373"/>
      <x:c r="D95" s="373"/>
      <x:c r="E95" s="373"/>
      <x:c r="F95" s="373"/>
      <x:c r="G95" s="373"/>
      <x:c r="H95" s="373"/>
      <x:c r="I95" s="373"/>
      <x:c r="J95" s="373"/>
      <x:c r="K95" s="373"/>
      <x:c r="L95" s="373"/>
      <x:c r="M95" s="373"/>
      <x:c r="N95" s="373"/>
      <x:c r="O95" s="373"/>
      <x:c r="P95" s="373"/>
      <x:c r="Q95" s="373"/>
      <x:c r="R95" s="373"/>
      <x:c r="S95" s="373"/>
      <x:c r="T95" s="373"/>
      <x:c r="U95" s="373"/>
      <x:c r="V95" s="373"/>
      <x:c r="W95" s="373"/>
      <x:c r="X95" s="373"/>
      <x:c r="Y95" s="373"/>
      <x:c r="Z95" s="373"/>
    </x:row>
    <x:row r="96">
      <x:c r="A96" s="373"/>
      <x:c r="B96" s="373"/>
      <x:c r="C96" s="373"/>
      <x:c r="D96" s="373"/>
      <x:c r="E96" s="373"/>
      <x:c r="F96" s="373"/>
      <x:c r="G96" s="373"/>
      <x:c r="H96" s="373"/>
      <x:c r="I96" s="373"/>
      <x:c r="J96" s="373"/>
      <x:c r="K96" s="373"/>
      <x:c r="L96" s="373"/>
      <x:c r="M96" s="373"/>
      <x:c r="N96" s="373"/>
      <x:c r="O96" s="373"/>
      <x:c r="P96" s="373"/>
      <x:c r="Q96" s="373"/>
      <x:c r="R96" s="373"/>
      <x:c r="S96" s="373"/>
      <x:c r="T96" s="373"/>
      <x:c r="U96" s="373"/>
      <x:c r="V96" s="373"/>
      <x:c r="W96" s="373"/>
      <x:c r="X96" s="373"/>
      <x:c r="Y96" s="373"/>
      <x:c r="Z96" s="373"/>
    </x:row>
    <x:row r="97">
      <x:c r="A97" s="373"/>
      <x:c r="B97" s="373"/>
      <x:c r="C97" s="373"/>
      <x:c r="D97" s="373"/>
      <x:c r="E97" s="373"/>
      <x:c r="F97" s="373"/>
      <x:c r="G97" s="373"/>
      <x:c r="H97" s="373"/>
      <x:c r="I97" s="373"/>
      <x:c r="J97" s="373"/>
      <x:c r="K97" s="373"/>
      <x:c r="L97" s="373"/>
      <x:c r="M97" s="373"/>
      <x:c r="N97" s="373"/>
      <x:c r="O97" s="373"/>
      <x:c r="P97" s="373"/>
      <x:c r="Q97" s="373"/>
      <x:c r="R97" s="373"/>
      <x:c r="S97" s="373"/>
      <x:c r="T97" s="373"/>
      <x:c r="U97" s="373"/>
      <x:c r="V97" s="373"/>
      <x:c r="W97" s="373"/>
      <x:c r="X97" s="373"/>
      <x:c r="Y97" s="373"/>
      <x:c r="Z97" s="373"/>
    </x:row>
    <x:row r="98">
      <x:c r="A98" s="373"/>
      <x:c r="B98" s="373"/>
      <x:c r="C98" s="373"/>
      <x:c r="D98" s="373"/>
      <x:c r="E98" s="373"/>
      <x:c r="F98" s="373"/>
      <x:c r="G98" s="373"/>
      <x:c r="H98" s="373"/>
      <x:c r="I98" s="373"/>
      <x:c r="J98" s="373"/>
      <x:c r="K98" s="373"/>
      <x:c r="L98" s="373"/>
      <x:c r="M98" s="373"/>
      <x:c r="N98" s="373"/>
      <x:c r="O98" s="373"/>
      <x:c r="P98" s="373"/>
      <x:c r="Q98" s="373"/>
      <x:c r="R98" s="373"/>
      <x:c r="S98" s="373"/>
      <x:c r="T98" s="373"/>
      <x:c r="U98" s="373"/>
      <x:c r="V98" s="373"/>
      <x:c r="W98" s="373"/>
      <x:c r="X98" s="373"/>
      <x:c r="Y98" s="373"/>
      <x:c r="Z98" s="373"/>
    </x:row>
    <x:row r="99">
      <x:c r="A99" s="373"/>
      <x:c r="B99" s="373"/>
      <x:c r="C99" s="373"/>
      <x:c r="D99" s="373"/>
      <x:c r="E99" s="373"/>
      <x:c r="F99" s="373"/>
      <x:c r="G99" s="373"/>
      <x:c r="H99" s="373"/>
      <x:c r="I99" s="373"/>
      <x:c r="J99" s="373"/>
      <x:c r="K99" s="373"/>
      <x:c r="L99" s="373"/>
      <x:c r="M99" s="373"/>
      <x:c r="N99" s="373"/>
      <x:c r="O99" s="373"/>
      <x:c r="P99" s="373"/>
      <x:c r="Q99" s="373"/>
      <x:c r="R99" s="373"/>
      <x:c r="S99" s="373"/>
      <x:c r="T99" s="373"/>
      <x:c r="U99" s="373"/>
      <x:c r="V99" s="373"/>
      <x:c r="W99" s="373"/>
      <x:c r="X99" s="373"/>
      <x:c r="Y99" s="373"/>
      <x:c r="Z99" s="373"/>
    </x:row>
    <x:row r="100">
      <x:c r="A100" s="373"/>
      <x:c r="B100" s="373"/>
      <x:c r="C100" s="373"/>
      <x:c r="D100" s="373"/>
      <x:c r="E100" s="373"/>
      <x:c r="F100" s="373"/>
      <x:c r="G100" s="373"/>
      <x:c r="H100" s="373"/>
      <x:c r="I100" s="373"/>
      <x:c r="J100" s="373"/>
      <x:c r="K100" s="373"/>
      <x:c r="L100" s="373"/>
      <x:c r="M100" s="373"/>
      <x:c r="N100" s="373"/>
      <x:c r="O100" s="373"/>
      <x:c r="P100" s="373"/>
      <x:c r="Q100" s="373"/>
      <x:c r="R100" s="373"/>
      <x:c r="S100" s="373"/>
      <x:c r="T100" s="373"/>
      <x:c r="U100" s="373"/>
      <x:c r="V100" s="373"/>
      <x:c r="W100" s="373"/>
      <x:c r="X100" s="373"/>
      <x:c r="Y100" s="373"/>
      <x:c r="Z100" s="373"/>
    </x:row>
    <x:row r="101">
      <x:c r="A101" s="373"/>
      <x:c r="B101" s="373"/>
      <x:c r="C101" s="373"/>
      <x:c r="D101" s="373"/>
      <x:c r="E101" s="373"/>
      <x:c r="F101" s="373"/>
      <x:c r="G101" s="373"/>
      <x:c r="H101" s="373"/>
      <x:c r="I101" s="373"/>
      <x:c r="J101" s="373"/>
      <x:c r="K101" s="373"/>
      <x:c r="L101" s="373"/>
      <x:c r="M101" s="373"/>
      <x:c r="N101" s="373"/>
      <x:c r="O101" s="373"/>
      <x:c r="P101" s="373"/>
      <x:c r="Q101" s="373"/>
      <x:c r="R101" s="373"/>
      <x:c r="S101" s="373"/>
      <x:c r="T101" s="373"/>
      <x:c r="U101" s="373"/>
      <x:c r="V101" s="373"/>
      <x:c r="W101" s="373"/>
      <x:c r="X101" s="373"/>
      <x:c r="Y101" s="373"/>
      <x:c r="Z101" s="373"/>
    </x:row>
    <x:row r="102">
      <x:c r="A102" s="373"/>
      <x:c r="B102" s="373"/>
      <x:c r="C102" s="373"/>
      <x:c r="D102" s="373"/>
      <x:c r="E102" s="373"/>
      <x:c r="F102" s="373"/>
      <x:c r="G102" s="373"/>
      <x:c r="H102" s="373"/>
      <x:c r="I102" s="373"/>
      <x:c r="J102" s="373"/>
      <x:c r="K102" s="373"/>
      <x:c r="L102" s="373"/>
      <x:c r="M102" s="373"/>
      <x:c r="N102" s="373"/>
      <x:c r="O102" s="373"/>
      <x:c r="P102" s="373"/>
      <x:c r="Q102" s="373"/>
      <x:c r="R102" s="373"/>
      <x:c r="S102" s="373"/>
      <x:c r="T102" s="373"/>
      <x:c r="U102" s="373"/>
      <x:c r="V102" s="373"/>
      <x:c r="W102" s="373"/>
      <x:c r="X102" s="373"/>
      <x:c r="Y102" s="373"/>
      <x:c r="Z102" s="373"/>
    </x:row>
    <x:row r="103">
      <x:c r="A103" s="373"/>
      <x:c r="B103" s="373"/>
      <x:c r="C103" s="373"/>
      <x:c r="D103" s="373"/>
      <x:c r="E103" s="373"/>
      <x:c r="F103" s="373"/>
      <x:c r="G103" s="373"/>
      <x:c r="H103" s="373"/>
      <x:c r="I103" s="373"/>
      <x:c r="J103" s="373"/>
      <x:c r="K103" s="373"/>
      <x:c r="L103" s="373"/>
      <x:c r="M103" s="373"/>
      <x:c r="N103" s="373"/>
      <x:c r="O103" s="373"/>
      <x:c r="P103" s="373"/>
      <x:c r="Q103" s="373"/>
      <x:c r="R103" s="373"/>
      <x:c r="S103" s="373"/>
      <x:c r="T103" s="373"/>
      <x:c r="U103" s="373"/>
      <x:c r="V103" s="373"/>
      <x:c r="W103" s="373"/>
      <x:c r="X103" s="373"/>
      <x:c r="Y103" s="373"/>
      <x:c r="Z103" s="373"/>
    </x:row>
    <x:row r="104">
      <x:c r="A104" s="373"/>
      <x:c r="B104" s="373"/>
      <x:c r="C104" s="373"/>
      <x:c r="D104" s="373"/>
      <x:c r="E104" s="373"/>
      <x:c r="F104" s="373"/>
      <x:c r="G104" s="373"/>
      <x:c r="H104" s="373"/>
      <x:c r="I104" s="373"/>
      <x:c r="J104" s="373"/>
      <x:c r="K104" s="373"/>
      <x:c r="L104" s="373"/>
      <x:c r="M104" s="373"/>
      <x:c r="N104" s="373"/>
      <x:c r="O104" s="373"/>
      <x:c r="P104" s="373"/>
      <x:c r="Q104" s="373"/>
      <x:c r="R104" s="373"/>
      <x:c r="S104" s="373"/>
      <x:c r="T104" s="373"/>
      <x:c r="U104" s="373"/>
      <x:c r="V104" s="373"/>
      <x:c r="W104" s="373"/>
      <x:c r="X104" s="373"/>
      <x:c r="Y104" s="373"/>
      <x:c r="Z104" s="373"/>
    </x:row>
    <x:row r="105">
      <x:c r="A105" s="373"/>
      <x:c r="B105" s="373"/>
      <x:c r="C105" s="373"/>
      <x:c r="D105" s="373"/>
      <x:c r="E105" s="373"/>
      <x:c r="F105" s="373"/>
      <x:c r="G105" s="373"/>
      <x:c r="H105" s="373"/>
      <x:c r="I105" s="373"/>
      <x:c r="J105" s="373"/>
      <x:c r="K105" s="373"/>
      <x:c r="L105" s="373"/>
      <x:c r="M105" s="373"/>
      <x:c r="N105" s="373"/>
      <x:c r="O105" s="373"/>
      <x:c r="P105" s="373"/>
      <x:c r="Q105" s="373"/>
      <x:c r="R105" s="373"/>
      <x:c r="S105" s="373"/>
      <x:c r="T105" s="373"/>
      <x:c r="U105" s="373"/>
      <x:c r="V105" s="373"/>
      <x:c r="W105" s="373"/>
      <x:c r="X105" s="373"/>
      <x:c r="Y105" s="373"/>
      <x:c r="Z105" s="373"/>
    </x:row>
    <x:row r="106">
      <x:c r="A106" s="373"/>
      <x:c r="B106" s="373"/>
      <x:c r="C106" s="373"/>
      <x:c r="D106" s="373"/>
      <x:c r="E106" s="373"/>
      <x:c r="F106" s="373"/>
      <x:c r="G106" s="373"/>
      <x:c r="H106" s="373"/>
      <x:c r="I106" s="373"/>
      <x:c r="J106" s="373"/>
      <x:c r="K106" s="373"/>
      <x:c r="L106" s="373"/>
      <x:c r="M106" s="373"/>
      <x:c r="N106" s="373"/>
      <x:c r="O106" s="373"/>
      <x:c r="P106" s="373"/>
      <x:c r="Q106" s="373"/>
      <x:c r="R106" s="373"/>
      <x:c r="S106" s="373"/>
      <x:c r="T106" s="373"/>
      <x:c r="U106" s="373"/>
      <x:c r="V106" s="373"/>
      <x:c r="W106" s="373"/>
      <x:c r="X106" s="373"/>
      <x:c r="Y106" s="373"/>
      <x:c r="Z106" s="373"/>
    </x:row>
    <x:row r="107">
      <x:c r="A107" s="373"/>
      <x:c r="B107" s="373"/>
      <x:c r="C107" s="373"/>
      <x:c r="D107" s="373"/>
      <x:c r="E107" s="373"/>
      <x:c r="F107" s="373"/>
      <x:c r="G107" s="373"/>
      <x:c r="H107" s="373"/>
      <x:c r="I107" s="373"/>
      <x:c r="J107" s="373"/>
      <x:c r="K107" s="373"/>
      <x:c r="L107" s="373"/>
      <x:c r="M107" s="373"/>
      <x:c r="N107" s="373"/>
      <x:c r="O107" s="373"/>
      <x:c r="P107" s="373"/>
      <x:c r="Q107" s="373"/>
      <x:c r="R107" s="373"/>
      <x:c r="S107" s="373"/>
      <x:c r="T107" s="373"/>
      <x:c r="U107" s="373"/>
      <x:c r="V107" s="373"/>
      <x:c r="W107" s="373"/>
      <x:c r="X107" s="373"/>
      <x:c r="Y107" s="373"/>
      <x:c r="Z107" s="373"/>
    </x:row>
    <x:row r="108">
      <x:c r="A108" s="373"/>
      <x:c r="B108" s="373"/>
      <x:c r="C108" s="373"/>
      <x:c r="D108" s="373"/>
      <x:c r="E108" s="373"/>
      <x:c r="F108" s="373"/>
      <x:c r="G108" s="373"/>
      <x:c r="H108" s="373"/>
      <x:c r="I108" s="373"/>
      <x:c r="J108" s="373"/>
      <x:c r="K108" s="373"/>
      <x:c r="L108" s="373"/>
      <x:c r="M108" s="373"/>
      <x:c r="N108" s="373"/>
      <x:c r="O108" s="373"/>
      <x:c r="P108" s="373"/>
      <x:c r="Q108" s="373"/>
      <x:c r="R108" s="373"/>
      <x:c r="S108" s="373"/>
      <x:c r="T108" s="373"/>
      <x:c r="U108" s="373"/>
      <x:c r="V108" s="373"/>
      <x:c r="W108" s="373"/>
      <x:c r="X108" s="373"/>
      <x:c r="Y108" s="373"/>
      <x:c r="Z108" s="373"/>
    </x:row>
    <x:row r="109">
      <x:c r="A109" s="373"/>
      <x:c r="B109" s="373"/>
      <x:c r="C109" s="373"/>
      <x:c r="D109" s="373"/>
      <x:c r="E109" s="373"/>
      <x:c r="F109" s="373"/>
      <x:c r="G109" s="373"/>
      <x:c r="H109" s="373"/>
      <x:c r="I109" s="373"/>
      <x:c r="J109" s="373"/>
      <x:c r="K109" s="373"/>
      <x:c r="L109" s="373"/>
      <x:c r="M109" s="373"/>
      <x:c r="N109" s="373"/>
      <x:c r="O109" s="373"/>
      <x:c r="P109" s="373"/>
      <x:c r="Q109" s="373"/>
      <x:c r="R109" s="373"/>
      <x:c r="S109" s="373"/>
      <x:c r="T109" s="373"/>
      <x:c r="U109" s="373"/>
      <x:c r="V109" s="373"/>
      <x:c r="W109" s="373"/>
      <x:c r="X109" s="373"/>
      <x:c r="Y109" s="373"/>
      <x:c r="Z109" s="373"/>
    </x:row>
    <x:row r="110">
      <x:c r="A110" s="373"/>
      <x:c r="B110" s="373"/>
      <x:c r="C110" s="373"/>
      <x:c r="D110" s="373"/>
      <x:c r="E110" s="373"/>
      <x:c r="F110" s="373"/>
      <x:c r="G110" s="373"/>
      <x:c r="H110" s="373"/>
      <x:c r="I110" s="373"/>
      <x:c r="J110" s="373"/>
      <x:c r="K110" s="373"/>
      <x:c r="L110" s="373"/>
      <x:c r="M110" s="373"/>
      <x:c r="N110" s="373"/>
      <x:c r="O110" s="373"/>
      <x:c r="P110" s="373"/>
      <x:c r="Q110" s="373"/>
      <x:c r="R110" s="373"/>
      <x:c r="S110" s="373"/>
      <x:c r="T110" s="373"/>
      <x:c r="U110" s="373"/>
      <x:c r="V110" s="373"/>
      <x:c r="W110" s="373"/>
      <x:c r="X110" s="373"/>
      <x:c r="Y110" s="373"/>
      <x:c r="Z110" s="373"/>
    </x:row>
    <x:row r="111">
      <x:c r="A111" s="373"/>
      <x:c r="B111" s="373"/>
      <x:c r="C111" s="373"/>
      <x:c r="D111" s="373"/>
      <x:c r="E111" s="373"/>
      <x:c r="F111" s="373"/>
      <x:c r="G111" s="373"/>
      <x:c r="H111" s="373"/>
      <x:c r="I111" s="373"/>
      <x:c r="J111" s="373"/>
      <x:c r="K111" s="373"/>
      <x:c r="L111" s="373"/>
      <x:c r="M111" s="373"/>
      <x:c r="N111" s="373"/>
      <x:c r="O111" s="373"/>
      <x:c r="P111" s="373"/>
      <x:c r="Q111" s="373"/>
      <x:c r="R111" s="373"/>
      <x:c r="S111" s="373"/>
      <x:c r="T111" s="373"/>
      <x:c r="U111" s="373"/>
      <x:c r="V111" s="373"/>
      <x:c r="W111" s="373"/>
      <x:c r="X111" s="373"/>
      <x:c r="Y111" s="373"/>
      <x:c r="Z111" s="373"/>
    </x:row>
    <x:row r="112">
      <x:c r="A112" s="373"/>
      <x:c r="B112" s="373"/>
      <x:c r="C112" s="373"/>
      <x:c r="D112" s="373"/>
      <x:c r="E112" s="373"/>
      <x:c r="F112" s="373"/>
      <x:c r="G112" s="373"/>
      <x:c r="H112" s="373"/>
      <x:c r="I112" s="373"/>
      <x:c r="J112" s="373"/>
      <x:c r="K112" s="373"/>
      <x:c r="L112" s="373"/>
      <x:c r="M112" s="373"/>
      <x:c r="N112" s="373"/>
      <x:c r="O112" s="373"/>
      <x:c r="P112" s="373"/>
      <x:c r="Q112" s="373"/>
      <x:c r="R112" s="373"/>
      <x:c r="S112" s="373"/>
      <x:c r="T112" s="373"/>
      <x:c r="U112" s="373"/>
      <x:c r="V112" s="373"/>
      <x:c r="W112" s="373"/>
      <x:c r="X112" s="373"/>
      <x:c r="Y112" s="373"/>
      <x:c r="Z112" s="373"/>
    </x:row>
    <x:row r="113">
      <x:c r="A113" s="373"/>
      <x:c r="B113" s="373"/>
      <x:c r="C113" s="373"/>
      <x:c r="D113" s="373"/>
      <x:c r="E113" s="373"/>
      <x:c r="F113" s="373"/>
      <x:c r="G113" s="373"/>
      <x:c r="H113" s="373"/>
      <x:c r="I113" s="373"/>
      <x:c r="J113" s="373"/>
      <x:c r="K113" s="373"/>
      <x:c r="L113" s="373"/>
      <x:c r="M113" s="373"/>
      <x:c r="N113" s="373"/>
      <x:c r="O113" s="373"/>
      <x:c r="P113" s="373"/>
      <x:c r="Q113" s="373"/>
      <x:c r="R113" s="373"/>
      <x:c r="S113" s="373"/>
      <x:c r="T113" s="373"/>
      <x:c r="U113" s="373"/>
      <x:c r="V113" s="373"/>
      <x:c r="W113" s="373"/>
      <x:c r="X113" s="373"/>
      <x:c r="Y113" s="373"/>
      <x:c r="Z113" s="373"/>
    </x:row>
    <x:row r="114">
      <x:c r="A114" s="373"/>
      <x:c r="B114" s="373"/>
      <x:c r="C114" s="373"/>
      <x:c r="D114" s="373"/>
      <x:c r="E114" s="373"/>
      <x:c r="F114" s="373"/>
      <x:c r="G114" s="373"/>
      <x:c r="H114" s="373"/>
      <x:c r="I114" s="373"/>
      <x:c r="J114" s="373"/>
      <x:c r="K114" s="373"/>
      <x:c r="L114" s="373"/>
      <x:c r="M114" s="373"/>
      <x:c r="N114" s="373"/>
      <x:c r="O114" s="373"/>
      <x:c r="P114" s="373"/>
      <x:c r="Q114" s="373"/>
      <x:c r="R114" s="373"/>
      <x:c r="S114" s="373"/>
      <x:c r="T114" s="373"/>
      <x:c r="U114" s="373"/>
      <x:c r="V114" s="373"/>
      <x:c r="W114" s="373"/>
      <x:c r="X114" s="373"/>
      <x:c r="Y114" s="373"/>
      <x:c r="Z114" s="373"/>
    </x:row>
    <x:row r="115">
      <x:c r="A115" s="373"/>
      <x:c r="B115" s="373"/>
      <x:c r="C115" s="373"/>
      <x:c r="D115" s="373"/>
      <x:c r="E115" s="373"/>
      <x:c r="F115" s="373"/>
      <x:c r="G115" s="373"/>
      <x:c r="H115" s="373"/>
      <x:c r="I115" s="373"/>
      <x:c r="J115" s="373"/>
      <x:c r="K115" s="373"/>
      <x:c r="L115" s="373"/>
      <x:c r="M115" s="373"/>
      <x:c r="N115" s="373"/>
      <x:c r="O115" s="373"/>
      <x:c r="P115" s="373"/>
      <x:c r="Q115" s="373"/>
      <x:c r="R115" s="373"/>
      <x:c r="S115" s="373"/>
      <x:c r="T115" s="373"/>
      <x:c r="U115" s="373"/>
      <x:c r="V115" s="373"/>
      <x:c r="W115" s="373"/>
      <x:c r="X115" s="373"/>
      <x:c r="Y115" s="373"/>
      <x:c r="Z115" s="373"/>
    </x:row>
    <x:row r="116">
      <x:c r="A116" s="373"/>
      <x:c r="B116" s="373"/>
      <x:c r="C116" s="373"/>
      <x:c r="D116" s="373"/>
      <x:c r="E116" s="373"/>
      <x:c r="F116" s="373"/>
      <x:c r="G116" s="373"/>
      <x:c r="H116" s="373"/>
      <x:c r="I116" s="373"/>
      <x:c r="J116" s="373"/>
      <x:c r="K116" s="373"/>
      <x:c r="L116" s="373"/>
      <x:c r="M116" s="373"/>
      <x:c r="N116" s="373"/>
      <x:c r="O116" s="373"/>
      <x:c r="P116" s="373"/>
      <x:c r="Q116" s="373"/>
      <x:c r="R116" s="373"/>
      <x:c r="S116" s="373"/>
      <x:c r="T116" s="373"/>
      <x:c r="U116" s="373"/>
      <x:c r="V116" s="373"/>
      <x:c r="W116" s="373"/>
      <x:c r="X116" s="373"/>
      <x:c r="Y116" s="373"/>
      <x:c r="Z116" s="373"/>
    </x:row>
    <x:row r="117">
      <x:c r="A117" s="373"/>
      <x:c r="B117" s="373"/>
      <x:c r="C117" s="373"/>
      <x:c r="D117" s="373"/>
      <x:c r="E117" s="373"/>
      <x:c r="F117" s="373"/>
      <x:c r="G117" s="373"/>
      <x:c r="H117" s="373"/>
      <x:c r="I117" s="373"/>
      <x:c r="J117" s="373"/>
      <x:c r="K117" s="373"/>
      <x:c r="L117" s="373"/>
      <x:c r="M117" s="373"/>
      <x:c r="N117" s="373"/>
      <x:c r="O117" s="373"/>
      <x:c r="P117" s="373"/>
      <x:c r="Q117" s="373"/>
      <x:c r="R117" s="373"/>
      <x:c r="S117" s="373"/>
      <x:c r="T117" s="373"/>
      <x:c r="U117" s="373"/>
      <x:c r="V117" s="373"/>
      <x:c r="W117" s="373"/>
      <x:c r="X117" s="373"/>
      <x:c r="Y117" s="373"/>
      <x:c r="Z117" s="373"/>
    </x:row>
    <x:row r="118">
      <x:c r="A118" s="373"/>
      <x:c r="B118" s="373"/>
      <x:c r="C118" s="373"/>
      <x:c r="D118" s="373"/>
      <x:c r="E118" s="373"/>
      <x:c r="F118" s="373"/>
      <x:c r="G118" s="373"/>
      <x:c r="H118" s="373"/>
      <x:c r="I118" s="373"/>
      <x:c r="J118" s="373"/>
      <x:c r="K118" s="373"/>
      <x:c r="L118" s="373"/>
      <x:c r="M118" s="373"/>
      <x:c r="N118" s="373"/>
      <x:c r="O118" s="373"/>
      <x:c r="P118" s="373"/>
      <x:c r="Q118" s="373"/>
      <x:c r="R118" s="373"/>
      <x:c r="S118" s="373"/>
      <x:c r="T118" s="373"/>
      <x:c r="U118" s="373"/>
      <x:c r="V118" s="373"/>
      <x:c r="W118" s="373"/>
      <x:c r="X118" s="373"/>
      <x:c r="Y118" s="373"/>
      <x:c r="Z118" s="373"/>
    </x:row>
    <x:row r="119">
      <x:c r="A119" s="373"/>
      <x:c r="B119" s="373"/>
      <x:c r="C119" s="373"/>
      <x:c r="D119" s="373"/>
      <x:c r="E119" s="373"/>
      <x:c r="F119" s="373"/>
      <x:c r="G119" s="373"/>
      <x:c r="H119" s="373"/>
      <x:c r="I119" s="373"/>
      <x:c r="J119" s="373"/>
      <x:c r="K119" s="373"/>
      <x:c r="L119" s="373"/>
      <x:c r="M119" s="373"/>
      <x:c r="N119" s="373"/>
      <x:c r="O119" s="373"/>
      <x:c r="P119" s="373"/>
      <x:c r="Q119" s="373"/>
      <x:c r="R119" s="373"/>
      <x:c r="S119" s="373"/>
      <x:c r="T119" s="373"/>
      <x:c r="U119" s="373"/>
      <x:c r="V119" s="373"/>
      <x:c r="W119" s="373"/>
      <x:c r="X119" s="373"/>
      <x:c r="Y119" s="373"/>
      <x:c r="Z119" s="373"/>
    </x:row>
    <x:row r="120">
      <x:c r="A120" s="373"/>
      <x:c r="B120" s="373"/>
      <x:c r="C120" s="373"/>
      <x:c r="D120" s="373"/>
      <x:c r="E120" s="373"/>
      <x:c r="F120" s="373"/>
      <x:c r="G120" s="373"/>
      <x:c r="H120" s="373"/>
      <x:c r="I120" s="373"/>
      <x:c r="J120" s="373"/>
      <x:c r="K120" s="373"/>
      <x:c r="L120" s="373"/>
      <x:c r="M120" s="373"/>
      <x:c r="N120" s="373"/>
      <x:c r="O120" s="373"/>
      <x:c r="P120" s="373"/>
      <x:c r="Q120" s="373"/>
      <x:c r="R120" s="373"/>
      <x:c r="S120" s="373"/>
      <x:c r="T120" s="373"/>
      <x:c r="U120" s="373"/>
      <x:c r="V120" s="373"/>
      <x:c r="W120" s="373"/>
      <x:c r="X120" s="373"/>
      <x:c r="Y120" s="373"/>
      <x:c r="Z120" s="373"/>
    </x:row>
    <x:row r="121">
      <x:c r="A121" s="373"/>
      <x:c r="B121" s="373"/>
      <x:c r="C121" s="373"/>
      <x:c r="D121" s="373"/>
      <x:c r="E121" s="373"/>
      <x:c r="F121" s="373"/>
      <x:c r="G121" s="373"/>
      <x:c r="H121" s="373"/>
      <x:c r="I121" s="373"/>
      <x:c r="J121" s="373"/>
      <x:c r="K121" s="373"/>
      <x:c r="L121" s="373"/>
      <x:c r="M121" s="373"/>
      <x:c r="N121" s="373"/>
      <x:c r="O121" s="373"/>
      <x:c r="P121" s="373"/>
      <x:c r="Q121" s="373"/>
      <x:c r="R121" s="373"/>
      <x:c r="S121" s="373"/>
      <x:c r="T121" s="373"/>
      <x:c r="U121" s="373"/>
      <x:c r="V121" s="373"/>
      <x:c r="W121" s="373"/>
      <x:c r="X121" s="373"/>
      <x:c r="Y121" s="373"/>
      <x:c r="Z121" s="373"/>
    </x:row>
    <x:row r="122">
      <x:c r="A122" s="373"/>
      <x:c r="B122" s="373"/>
      <x:c r="C122" s="373"/>
      <x:c r="D122" s="373"/>
      <x:c r="E122" s="373"/>
      <x:c r="F122" s="373"/>
      <x:c r="G122" s="373"/>
      <x:c r="H122" s="373"/>
      <x:c r="I122" s="373"/>
      <x:c r="J122" s="373"/>
      <x:c r="K122" s="373"/>
      <x:c r="L122" s="373"/>
      <x:c r="M122" s="373"/>
      <x:c r="N122" s="373"/>
      <x:c r="O122" s="373"/>
      <x:c r="P122" s="373"/>
      <x:c r="Q122" s="373"/>
      <x:c r="R122" s="373"/>
      <x:c r="S122" s="373"/>
      <x:c r="T122" s="373"/>
      <x:c r="U122" s="373"/>
      <x:c r="V122" s="373"/>
      <x:c r="W122" s="373"/>
      <x:c r="X122" s="373"/>
      <x:c r="Y122" s="373"/>
      <x:c r="Z122" s="373"/>
    </x:row>
    <x:row r="123">
      <x:c r="A123" s="373"/>
      <x:c r="B123" s="373"/>
      <x:c r="C123" s="373"/>
      <x:c r="D123" s="373"/>
      <x:c r="E123" s="373"/>
      <x:c r="F123" s="373"/>
      <x:c r="G123" s="373"/>
      <x:c r="H123" s="373"/>
      <x:c r="I123" s="373"/>
      <x:c r="J123" s="373"/>
      <x:c r="K123" s="373"/>
      <x:c r="L123" s="373"/>
      <x:c r="M123" s="373"/>
      <x:c r="N123" s="373"/>
      <x:c r="O123" s="373"/>
      <x:c r="P123" s="373"/>
      <x:c r="Q123" s="373"/>
      <x:c r="R123" s="373"/>
      <x:c r="S123" s="373"/>
      <x:c r="T123" s="373"/>
      <x:c r="U123" s="373"/>
      <x:c r="V123" s="373"/>
      <x:c r="W123" s="373"/>
      <x:c r="X123" s="373"/>
      <x:c r="Y123" s="373"/>
      <x:c r="Z123" s="373"/>
    </x:row>
    <x:row r="124">
      <x:c r="A124" s="373"/>
      <x:c r="B124" s="373"/>
      <x:c r="C124" s="373"/>
      <x:c r="D124" s="373"/>
      <x:c r="E124" s="373"/>
      <x:c r="F124" s="373"/>
      <x:c r="G124" s="373"/>
      <x:c r="H124" s="373"/>
      <x:c r="I124" s="373"/>
      <x:c r="J124" s="373"/>
      <x:c r="K124" s="373"/>
      <x:c r="L124" s="373"/>
      <x:c r="M124" s="373"/>
      <x:c r="N124" s="373"/>
      <x:c r="O124" s="373"/>
      <x:c r="P124" s="373"/>
      <x:c r="Q124" s="373"/>
      <x:c r="R124" s="373"/>
      <x:c r="S124" s="373"/>
      <x:c r="T124" s="373"/>
      <x:c r="U124" s="373"/>
      <x:c r="V124" s="373"/>
      <x:c r="W124" s="373"/>
      <x:c r="X124" s="373"/>
      <x:c r="Y124" s="373"/>
      <x:c r="Z124" s="373"/>
    </x:row>
    <x:row r="125">
      <x:c r="A125" s="373"/>
      <x:c r="B125" s="373"/>
      <x:c r="C125" s="373"/>
      <x:c r="D125" s="373"/>
      <x:c r="E125" s="373"/>
      <x:c r="F125" s="373"/>
      <x:c r="G125" s="373"/>
      <x:c r="H125" s="373"/>
      <x:c r="I125" s="373"/>
      <x:c r="J125" s="373"/>
      <x:c r="K125" s="373"/>
      <x:c r="L125" s="373"/>
      <x:c r="M125" s="373"/>
      <x:c r="N125" s="373"/>
      <x:c r="O125" s="373"/>
      <x:c r="P125" s="373"/>
      <x:c r="Q125" s="373"/>
      <x:c r="R125" s="373"/>
      <x:c r="S125" s="373"/>
      <x:c r="T125" s="373"/>
      <x:c r="U125" s="373"/>
      <x:c r="V125" s="373"/>
      <x:c r="W125" s="373"/>
      <x:c r="X125" s="373"/>
      <x:c r="Y125" s="373"/>
      <x:c r="Z125" s="373"/>
    </x:row>
    <x:row r="126">
      <x:c r="A126" s="373"/>
      <x:c r="B126" s="373"/>
      <x:c r="C126" s="373"/>
      <x:c r="D126" s="373"/>
      <x:c r="E126" s="373"/>
      <x:c r="F126" s="373"/>
      <x:c r="G126" s="373"/>
      <x:c r="H126" s="373"/>
      <x:c r="I126" s="373"/>
      <x:c r="J126" s="373"/>
      <x:c r="K126" s="373"/>
      <x:c r="L126" s="373"/>
      <x:c r="M126" s="373"/>
      <x:c r="N126" s="373"/>
      <x:c r="O126" s="373"/>
      <x:c r="P126" s="373"/>
      <x:c r="Q126" s="373"/>
      <x:c r="R126" s="373"/>
      <x:c r="S126" s="373"/>
      <x:c r="T126" s="373"/>
      <x:c r="U126" s="373"/>
      <x:c r="V126" s="373"/>
      <x:c r="W126" s="373"/>
      <x:c r="X126" s="373"/>
      <x:c r="Y126" s="373"/>
      <x:c r="Z126" s="373"/>
    </x:row>
    <x:row r="127">
      <x:c r="A127" s="373"/>
      <x:c r="B127" s="373"/>
      <x:c r="C127" s="373"/>
      <x:c r="D127" s="373"/>
      <x:c r="E127" s="373"/>
      <x:c r="F127" s="373"/>
      <x:c r="G127" s="373"/>
      <x:c r="H127" s="373"/>
      <x:c r="I127" s="373"/>
      <x:c r="J127" s="373"/>
      <x:c r="K127" s="373"/>
      <x:c r="L127" s="373"/>
      <x:c r="M127" s="373"/>
      <x:c r="N127" s="373"/>
      <x:c r="O127" s="373"/>
      <x:c r="P127" s="373"/>
      <x:c r="Q127" s="373"/>
      <x:c r="R127" s="373"/>
      <x:c r="S127" s="373"/>
      <x:c r="T127" s="373"/>
      <x:c r="U127" s="373"/>
      <x:c r="V127" s="373"/>
      <x:c r="W127" s="373"/>
      <x:c r="X127" s="373"/>
      <x:c r="Y127" s="373"/>
      <x:c r="Z127" s="373"/>
    </x:row>
    <x:row r="128">
      <x:c r="A128" s="373"/>
      <x:c r="B128" s="373"/>
      <x:c r="C128" s="373"/>
      <x:c r="D128" s="373"/>
      <x:c r="E128" s="373"/>
      <x:c r="F128" s="373"/>
      <x:c r="G128" s="373"/>
      <x:c r="H128" s="373"/>
      <x:c r="I128" s="373"/>
      <x:c r="J128" s="373"/>
      <x:c r="K128" s="373"/>
      <x:c r="L128" s="373"/>
      <x:c r="M128" s="373"/>
      <x:c r="N128" s="373"/>
      <x:c r="O128" s="373"/>
      <x:c r="P128" s="373"/>
      <x:c r="Q128" s="373"/>
      <x:c r="R128" s="373"/>
      <x:c r="S128" s="373"/>
      <x:c r="T128" s="373"/>
      <x:c r="U128" s="373"/>
      <x:c r="V128" s="373"/>
      <x:c r="W128" s="373"/>
      <x:c r="X128" s="373"/>
      <x:c r="Y128" s="373"/>
      <x:c r="Z128" s="373"/>
    </x:row>
    <x:row r="129">
      <x:c r="A129" s="373"/>
      <x:c r="B129" s="373"/>
      <x:c r="C129" s="373"/>
      <x:c r="D129" s="373"/>
      <x:c r="E129" s="373"/>
      <x:c r="F129" s="373"/>
      <x:c r="G129" s="373"/>
      <x:c r="H129" s="373"/>
      <x:c r="I129" s="373"/>
      <x:c r="J129" s="373"/>
      <x:c r="K129" s="373"/>
      <x:c r="L129" s="373"/>
      <x:c r="M129" s="373"/>
      <x:c r="N129" s="373"/>
      <x:c r="O129" s="373"/>
      <x:c r="P129" s="373"/>
      <x:c r="Q129" s="373"/>
      <x:c r="R129" s="373"/>
      <x:c r="S129" s="373"/>
      <x:c r="T129" s="373"/>
      <x:c r="U129" s="373"/>
      <x:c r="V129" s="373"/>
      <x:c r="W129" s="373"/>
      <x:c r="X129" s="373"/>
      <x:c r="Y129" s="373"/>
      <x:c r="Z129" s="373"/>
    </x:row>
    <x:row r="130">
      <x:c r="A130" s="373"/>
      <x:c r="B130" s="373"/>
      <x:c r="C130" s="373"/>
      <x:c r="D130" s="373"/>
      <x:c r="E130" s="373"/>
      <x:c r="F130" s="373"/>
      <x:c r="G130" s="373"/>
      <x:c r="H130" s="373"/>
      <x:c r="I130" s="373"/>
      <x:c r="J130" s="373"/>
      <x:c r="K130" s="373"/>
      <x:c r="L130" s="373"/>
      <x:c r="M130" s="373"/>
      <x:c r="N130" s="373"/>
      <x:c r="O130" s="373"/>
      <x:c r="P130" s="373"/>
      <x:c r="Q130" s="373"/>
      <x:c r="R130" s="373"/>
      <x:c r="S130" s="373"/>
      <x:c r="T130" s="373"/>
      <x:c r="U130" s="373"/>
      <x:c r="V130" s="373"/>
      <x:c r="W130" s="373"/>
      <x:c r="X130" s="373"/>
      <x:c r="Y130" s="373"/>
      <x:c r="Z130" s="373"/>
    </x:row>
    <x:row r="131">
      <x:c r="A131" s="373"/>
      <x:c r="B131" s="373"/>
      <x:c r="C131" s="373"/>
      <x:c r="D131" s="373"/>
      <x:c r="E131" s="373"/>
      <x:c r="F131" s="373"/>
      <x:c r="G131" s="373"/>
      <x:c r="H131" s="373"/>
      <x:c r="I131" s="373"/>
      <x:c r="J131" s="373"/>
      <x:c r="K131" s="373"/>
      <x:c r="L131" s="373"/>
      <x:c r="M131" s="373"/>
      <x:c r="N131" s="373"/>
      <x:c r="O131" s="373"/>
      <x:c r="P131" s="373"/>
      <x:c r="Q131" s="373"/>
      <x:c r="R131" s="373"/>
      <x:c r="S131" s="373"/>
      <x:c r="T131" s="373"/>
      <x:c r="U131" s="373"/>
      <x:c r="V131" s="373"/>
      <x:c r="W131" s="373"/>
      <x:c r="X131" s="373"/>
      <x:c r="Y131" s="373"/>
      <x:c r="Z131" s="373"/>
    </x:row>
    <x:row r="132">
      <x:c r="A132" s="373"/>
      <x:c r="B132" s="373"/>
      <x:c r="C132" s="373"/>
      <x:c r="D132" s="373"/>
      <x:c r="E132" s="373"/>
      <x:c r="F132" s="373"/>
      <x:c r="G132" s="373"/>
      <x:c r="H132" s="373"/>
      <x:c r="I132" s="373"/>
      <x:c r="J132" s="373"/>
      <x:c r="K132" s="373"/>
      <x:c r="L132" s="373"/>
      <x:c r="M132" s="373"/>
      <x:c r="N132" s="373"/>
      <x:c r="O132" s="373"/>
      <x:c r="P132" s="373"/>
      <x:c r="Q132" s="373"/>
      <x:c r="R132" s="373"/>
      <x:c r="S132" s="373"/>
      <x:c r="T132" s="373"/>
      <x:c r="U132" s="373"/>
      <x:c r="V132" s="373"/>
      <x:c r="W132" s="373"/>
      <x:c r="X132" s="373"/>
      <x:c r="Y132" s="373"/>
      <x:c r="Z132" s="373"/>
    </x:row>
    <x:row r="133">
      <x:c r="A133" s="373"/>
      <x:c r="B133" s="373"/>
      <x:c r="C133" s="373"/>
      <x:c r="D133" s="373"/>
      <x:c r="E133" s="373"/>
      <x:c r="F133" s="373"/>
      <x:c r="G133" s="373"/>
      <x:c r="H133" s="373"/>
      <x:c r="I133" s="373"/>
      <x:c r="J133" s="373"/>
      <x:c r="K133" s="373"/>
      <x:c r="L133" s="373"/>
      <x:c r="M133" s="373"/>
      <x:c r="N133" s="373"/>
      <x:c r="O133" s="373"/>
      <x:c r="P133" s="373"/>
      <x:c r="Q133" s="373"/>
      <x:c r="R133" s="373"/>
      <x:c r="S133" s="373"/>
      <x:c r="T133" s="373"/>
      <x:c r="U133" s="373"/>
      <x:c r="V133" s="373"/>
      <x:c r="W133" s="373"/>
      <x:c r="X133" s="373"/>
      <x:c r="Y133" s="373"/>
      <x:c r="Z133" s="373"/>
    </x:row>
    <x:row r="134">
      <x:c r="A134" s="373"/>
      <x:c r="B134" s="373"/>
      <x:c r="C134" s="373"/>
      <x:c r="D134" s="373"/>
      <x:c r="E134" s="373"/>
      <x:c r="F134" s="373"/>
      <x:c r="G134" s="373"/>
      <x:c r="H134" s="373"/>
      <x:c r="I134" s="373"/>
      <x:c r="J134" s="373"/>
      <x:c r="K134" s="373"/>
      <x:c r="L134" s="373"/>
      <x:c r="M134" s="373"/>
      <x:c r="N134" s="373"/>
      <x:c r="O134" s="373"/>
      <x:c r="P134" s="373"/>
      <x:c r="Q134" s="373"/>
      <x:c r="R134" s="373"/>
      <x:c r="S134" s="373"/>
      <x:c r="T134" s="373"/>
      <x:c r="U134" s="373"/>
      <x:c r="V134" s="373"/>
      <x:c r="W134" s="373"/>
      <x:c r="X134" s="373"/>
      <x:c r="Y134" s="373"/>
      <x:c r="Z134" s="373"/>
    </x:row>
    <x:row r="135">
      <x:c r="A135" s="373"/>
      <x:c r="B135" s="373"/>
      <x:c r="C135" s="373"/>
      <x:c r="D135" s="373"/>
      <x:c r="E135" s="373"/>
      <x:c r="F135" s="373"/>
      <x:c r="G135" s="373"/>
      <x:c r="H135" s="373"/>
      <x:c r="I135" s="373"/>
      <x:c r="J135" s="373"/>
      <x:c r="K135" s="373"/>
      <x:c r="L135" s="373"/>
      <x:c r="M135" s="373"/>
      <x:c r="N135" s="373"/>
      <x:c r="O135" s="373"/>
      <x:c r="P135" s="373"/>
      <x:c r="Q135" s="373"/>
      <x:c r="R135" s="373"/>
      <x:c r="S135" s="373"/>
      <x:c r="T135" s="373"/>
      <x:c r="U135" s="373"/>
      <x:c r="V135" s="373"/>
      <x:c r="W135" s="373"/>
      <x:c r="X135" s="373"/>
      <x:c r="Y135" s="373"/>
      <x:c r="Z135" s="373"/>
    </x:row>
    <x:row r="136">
      <x:c r="A136" s="373"/>
      <x:c r="B136" s="373"/>
      <x:c r="C136" s="373"/>
      <x:c r="D136" s="373"/>
      <x:c r="E136" s="373"/>
      <x:c r="F136" s="373"/>
      <x:c r="G136" s="373"/>
      <x:c r="H136" s="373"/>
      <x:c r="I136" s="373"/>
      <x:c r="J136" s="373"/>
      <x:c r="K136" s="373"/>
      <x:c r="L136" s="373"/>
      <x:c r="M136" s="373"/>
      <x:c r="N136" s="373"/>
      <x:c r="O136" s="373"/>
      <x:c r="P136" s="373"/>
      <x:c r="Q136" s="373"/>
      <x:c r="R136" s="373"/>
      <x:c r="S136" s="373"/>
      <x:c r="T136" s="373"/>
      <x:c r="U136" s="373"/>
      <x:c r="V136" s="373"/>
      <x:c r="W136" s="373"/>
      <x:c r="X136" s="373"/>
      <x:c r="Y136" s="373"/>
      <x:c r="Z136" s="373"/>
    </x:row>
    <x:row r="137">
      <x:c r="A137" s="373"/>
      <x:c r="B137" s="373"/>
      <x:c r="C137" s="373"/>
      <x:c r="D137" s="373"/>
      <x:c r="E137" s="373"/>
      <x:c r="F137" s="373"/>
      <x:c r="G137" s="373"/>
      <x:c r="H137" s="373"/>
      <x:c r="I137" s="373"/>
      <x:c r="J137" s="373"/>
      <x:c r="K137" s="373"/>
      <x:c r="L137" s="373"/>
      <x:c r="M137" s="373"/>
      <x:c r="N137" s="373"/>
      <x:c r="O137" s="373"/>
      <x:c r="P137" s="373"/>
      <x:c r="Q137" s="373"/>
      <x:c r="R137" s="373"/>
      <x:c r="S137" s="373"/>
      <x:c r="T137" s="373"/>
      <x:c r="U137" s="373"/>
      <x:c r="V137" s="373"/>
      <x:c r="W137" s="373"/>
      <x:c r="X137" s="373"/>
      <x:c r="Y137" s="373"/>
      <x:c r="Z137" s="373"/>
    </x:row>
    <x:row r="138">
      <x:c r="A138" s="373"/>
      <x:c r="B138" s="373"/>
      <x:c r="C138" s="373"/>
      <x:c r="D138" s="373"/>
      <x:c r="E138" s="373"/>
      <x:c r="F138" s="373"/>
      <x:c r="G138" s="373"/>
      <x:c r="H138" s="373"/>
      <x:c r="I138" s="373"/>
      <x:c r="J138" s="373"/>
      <x:c r="K138" s="373"/>
      <x:c r="L138" s="373"/>
      <x:c r="M138" s="373"/>
      <x:c r="N138" s="373"/>
      <x:c r="O138" s="373"/>
      <x:c r="P138" s="373"/>
      <x:c r="Q138" s="373"/>
      <x:c r="R138" s="373"/>
      <x:c r="S138" s="373"/>
      <x:c r="T138" s="373"/>
      <x:c r="U138" s="373"/>
      <x:c r="V138" s="373"/>
      <x:c r="W138" s="373"/>
      <x:c r="X138" s="373"/>
      <x:c r="Y138" s="373"/>
      <x:c r="Z138" s="373"/>
    </x:row>
    <x:row r="139">
      <x:c r="A139" s="373"/>
      <x:c r="B139" s="373"/>
      <x:c r="C139" s="373"/>
      <x:c r="D139" s="373"/>
      <x:c r="E139" s="373"/>
      <x:c r="F139" s="373"/>
      <x:c r="G139" s="373"/>
      <x:c r="H139" s="373"/>
      <x:c r="I139" s="373"/>
      <x:c r="J139" s="373"/>
      <x:c r="K139" s="373"/>
      <x:c r="L139" s="373"/>
      <x:c r="M139" s="373"/>
      <x:c r="N139" s="373"/>
      <x:c r="O139" s="373"/>
      <x:c r="P139" s="373"/>
      <x:c r="Q139" s="373"/>
      <x:c r="R139" s="373"/>
      <x:c r="S139" s="373"/>
      <x:c r="T139" s="373"/>
      <x:c r="U139" s="373"/>
      <x:c r="V139" s="373"/>
      <x:c r="W139" s="373"/>
      <x:c r="X139" s="373"/>
      <x:c r="Y139" s="373"/>
      <x:c r="Z139" s="373"/>
    </x:row>
    <x:row r="140">
      <x:c r="A140" s="373"/>
      <x:c r="B140" s="373"/>
      <x:c r="C140" s="373"/>
      <x:c r="D140" s="373"/>
      <x:c r="E140" s="373"/>
      <x:c r="F140" s="373"/>
      <x:c r="G140" s="373"/>
      <x:c r="H140" s="373"/>
      <x:c r="I140" s="373"/>
      <x:c r="J140" s="373"/>
      <x:c r="K140" s="373"/>
      <x:c r="L140" s="373"/>
      <x:c r="M140" s="373"/>
      <x:c r="N140" s="373"/>
      <x:c r="O140" s="373"/>
      <x:c r="P140" s="373"/>
      <x:c r="Q140" s="373"/>
      <x:c r="R140" s="373"/>
      <x:c r="S140" s="373"/>
      <x:c r="T140" s="373"/>
      <x:c r="U140" s="373"/>
      <x:c r="V140" s="373"/>
      <x:c r="W140" s="373"/>
      <x:c r="X140" s="373"/>
      <x:c r="Y140" s="373"/>
      <x:c r="Z140" s="373"/>
    </x:row>
    <x:row r="141">
      <x:c r="A141" s="373"/>
      <x:c r="B141" s="373"/>
      <x:c r="C141" s="373"/>
      <x:c r="D141" s="373"/>
      <x:c r="E141" s="373"/>
      <x:c r="F141" s="373"/>
      <x:c r="G141" s="373"/>
      <x:c r="H141" s="373"/>
      <x:c r="I141" s="373"/>
      <x:c r="J141" s="373"/>
      <x:c r="K141" s="373"/>
      <x:c r="L141" s="373"/>
      <x:c r="M141" s="373"/>
      <x:c r="N141" s="373"/>
      <x:c r="O141" s="373"/>
      <x:c r="P141" s="373"/>
      <x:c r="Q141" s="373"/>
      <x:c r="R141" s="373"/>
      <x:c r="S141" s="373"/>
      <x:c r="T141" s="373"/>
      <x:c r="U141" s="373"/>
      <x:c r="V141" s="373"/>
      <x:c r="W141" s="373"/>
      <x:c r="X141" s="373"/>
      <x:c r="Y141" s="373"/>
      <x:c r="Z141" s="373"/>
    </x:row>
    <x:row r="142">
      <x:c r="A142" s="373"/>
      <x:c r="B142" s="373"/>
      <x:c r="C142" s="373"/>
      <x:c r="D142" s="373"/>
      <x:c r="E142" s="373"/>
      <x:c r="F142" s="373"/>
      <x:c r="G142" s="373"/>
      <x:c r="H142" s="373"/>
      <x:c r="I142" s="373"/>
      <x:c r="J142" s="373"/>
      <x:c r="K142" s="373"/>
      <x:c r="L142" s="373"/>
      <x:c r="M142" s="373"/>
      <x:c r="N142" s="373"/>
      <x:c r="O142" s="373"/>
      <x:c r="P142" s="373"/>
      <x:c r="Q142" s="373"/>
      <x:c r="R142" s="373"/>
      <x:c r="S142" s="373"/>
      <x:c r="T142" s="373"/>
      <x:c r="U142" s="373"/>
      <x:c r="V142" s="373"/>
      <x:c r="W142" s="373"/>
      <x:c r="X142" s="373"/>
      <x:c r="Y142" s="373"/>
      <x:c r="Z142" s="373"/>
    </x:row>
    <x:row r="143">
      <x:c r="A143" s="373"/>
      <x:c r="B143" s="373"/>
      <x:c r="C143" s="373"/>
      <x:c r="D143" s="373"/>
      <x:c r="E143" s="373"/>
      <x:c r="F143" s="373"/>
      <x:c r="G143" s="373"/>
      <x:c r="H143" s="373"/>
      <x:c r="I143" s="373"/>
      <x:c r="J143" s="373"/>
      <x:c r="K143" s="373"/>
      <x:c r="L143" s="373"/>
      <x:c r="M143" s="373"/>
      <x:c r="N143" s="373"/>
      <x:c r="O143" s="373"/>
      <x:c r="P143" s="373"/>
      <x:c r="Q143" s="373"/>
      <x:c r="R143" s="373"/>
      <x:c r="S143" s="373"/>
      <x:c r="T143" s="373"/>
      <x:c r="U143" s="373"/>
      <x:c r="V143" s="373"/>
      <x:c r="W143" s="373"/>
      <x:c r="X143" s="373"/>
      <x:c r="Y143" s="373"/>
      <x:c r="Z143" s="373"/>
    </x:row>
    <x:row r="144">
      <x:c r="A144" s="373"/>
      <x:c r="B144" s="373"/>
      <x:c r="C144" s="373"/>
      <x:c r="D144" s="373"/>
      <x:c r="E144" s="373"/>
      <x:c r="F144" s="373"/>
      <x:c r="G144" s="373"/>
      <x:c r="H144" s="373"/>
      <x:c r="I144" s="373"/>
      <x:c r="J144" s="373"/>
      <x:c r="K144" s="373"/>
      <x:c r="L144" s="373"/>
      <x:c r="M144" s="373"/>
      <x:c r="N144" s="373"/>
      <x:c r="O144" s="373"/>
      <x:c r="P144" s="373"/>
      <x:c r="Q144" s="373"/>
      <x:c r="R144" s="373"/>
      <x:c r="S144" s="373"/>
      <x:c r="T144" s="373"/>
      <x:c r="U144" s="373"/>
      <x:c r="V144" s="373"/>
      <x:c r="W144" s="373"/>
      <x:c r="X144" s="373"/>
      <x:c r="Y144" s="373"/>
      <x:c r="Z144" s="373"/>
    </x:row>
    <x:row r="145">
      <x:c r="A145" s="373"/>
      <x:c r="B145" s="373"/>
      <x:c r="C145" s="373"/>
      <x:c r="D145" s="373"/>
      <x:c r="E145" s="373"/>
      <x:c r="F145" s="373"/>
      <x:c r="G145" s="373"/>
      <x:c r="H145" s="373"/>
      <x:c r="I145" s="373"/>
      <x:c r="J145" s="373"/>
      <x:c r="K145" s="373"/>
      <x:c r="L145" s="373"/>
      <x:c r="M145" s="373"/>
      <x:c r="N145" s="373"/>
      <x:c r="O145" s="373"/>
      <x:c r="P145" s="373"/>
      <x:c r="Q145" s="373"/>
      <x:c r="R145" s="373"/>
      <x:c r="S145" s="373"/>
      <x:c r="T145" s="373"/>
      <x:c r="U145" s="373"/>
      <x:c r="V145" s="373"/>
      <x:c r="W145" s="373"/>
      <x:c r="X145" s="373"/>
      <x:c r="Y145" s="373"/>
      <x:c r="Z145" s="373"/>
    </x:row>
    <x:row r="146">
      <x:c r="A146" s="373"/>
      <x:c r="B146" s="373"/>
      <x:c r="C146" s="373"/>
      <x:c r="D146" s="373"/>
      <x:c r="E146" s="373"/>
      <x:c r="F146" s="373"/>
      <x:c r="G146" s="373"/>
      <x:c r="H146" s="373"/>
      <x:c r="I146" s="373"/>
      <x:c r="J146" s="373"/>
      <x:c r="K146" s="373"/>
      <x:c r="L146" s="373"/>
      <x:c r="M146" s="373"/>
      <x:c r="N146" s="373"/>
      <x:c r="O146" s="373"/>
      <x:c r="P146" s="373"/>
      <x:c r="Q146" s="373"/>
      <x:c r="R146" s="373"/>
      <x:c r="S146" s="373"/>
      <x:c r="T146" s="373"/>
      <x:c r="U146" s="373"/>
      <x:c r="V146" s="373"/>
      <x:c r="W146" s="373"/>
      <x:c r="X146" s="373"/>
      <x:c r="Y146" s="373"/>
      <x:c r="Z146" s="373"/>
    </x:row>
    <x:row r="147">
      <x:c r="A147" s="373"/>
      <x:c r="B147" s="373"/>
      <x:c r="C147" s="373"/>
      <x:c r="D147" s="373"/>
      <x:c r="E147" s="373"/>
      <x:c r="F147" s="373"/>
      <x:c r="G147" s="373"/>
      <x:c r="H147" s="373"/>
      <x:c r="I147" s="373"/>
      <x:c r="J147" s="373"/>
      <x:c r="K147" s="373"/>
      <x:c r="L147" s="373"/>
      <x:c r="M147" s="373"/>
      <x:c r="N147" s="373"/>
      <x:c r="O147" s="373"/>
      <x:c r="P147" s="373"/>
      <x:c r="Q147" s="373"/>
      <x:c r="R147" s="373"/>
      <x:c r="S147" s="373"/>
      <x:c r="T147" s="373"/>
      <x:c r="U147" s="373"/>
      <x:c r="V147" s="373"/>
      <x:c r="W147" s="373"/>
      <x:c r="X147" s="373"/>
      <x:c r="Y147" s="373"/>
      <x:c r="Z147" s="373"/>
    </x:row>
    <x:row r="148">
      <x:c r="A148" s="373"/>
      <x:c r="B148" s="373"/>
      <x:c r="C148" s="373"/>
      <x:c r="D148" s="373"/>
      <x:c r="E148" s="373"/>
      <x:c r="F148" s="373"/>
      <x:c r="G148" s="373"/>
      <x:c r="H148" s="373"/>
      <x:c r="I148" s="373"/>
      <x:c r="J148" s="373"/>
      <x:c r="K148" s="373"/>
      <x:c r="L148" s="373"/>
      <x:c r="M148" s="373"/>
      <x:c r="N148" s="373"/>
      <x:c r="O148" s="373"/>
      <x:c r="P148" s="373"/>
      <x:c r="Q148" s="373"/>
      <x:c r="R148" s="373"/>
      <x:c r="S148" s="373"/>
      <x:c r="T148" s="373"/>
      <x:c r="U148" s="373"/>
      <x:c r="V148" s="373"/>
      <x:c r="W148" s="373"/>
      <x:c r="X148" s="373"/>
      <x:c r="Y148" s="373"/>
      <x:c r="Z148" s="373"/>
    </x:row>
    <x:row r="149">
      <x:c r="A149" s="373"/>
      <x:c r="B149" s="373"/>
      <x:c r="C149" s="373"/>
      <x:c r="D149" s="373"/>
      <x:c r="E149" s="373"/>
      <x:c r="F149" s="373"/>
      <x:c r="G149" s="373"/>
      <x:c r="H149" s="373"/>
      <x:c r="I149" s="373"/>
      <x:c r="J149" s="373"/>
      <x:c r="K149" s="373"/>
      <x:c r="L149" s="373"/>
      <x:c r="M149" s="373"/>
      <x:c r="N149" s="373"/>
      <x:c r="O149" s="373"/>
      <x:c r="P149" s="373"/>
      <x:c r="Q149" s="373"/>
      <x:c r="R149" s="373"/>
      <x:c r="S149" s="373"/>
      <x:c r="T149" s="373"/>
      <x:c r="U149" s="373"/>
      <x:c r="V149" s="373"/>
      <x:c r="W149" s="373"/>
      <x:c r="X149" s="373"/>
      <x:c r="Y149" s="373"/>
      <x:c r="Z149" s="373"/>
    </x:row>
    <x:row r="150">
      <x:c r="A150" s="373"/>
      <x:c r="B150" s="373"/>
      <x:c r="C150" s="373"/>
      <x:c r="D150" s="373"/>
      <x:c r="E150" s="373"/>
      <x:c r="F150" s="373"/>
      <x:c r="G150" s="373"/>
      <x:c r="H150" s="373"/>
      <x:c r="I150" s="373"/>
      <x:c r="J150" s="373"/>
      <x:c r="K150" s="373"/>
      <x:c r="L150" s="373"/>
      <x:c r="M150" s="373"/>
      <x:c r="N150" s="373"/>
      <x:c r="O150" s="373"/>
      <x:c r="P150" s="373"/>
      <x:c r="Q150" s="373"/>
      <x:c r="R150" s="373"/>
      <x:c r="S150" s="373"/>
      <x:c r="T150" s="373"/>
      <x:c r="U150" s="373"/>
      <x:c r="V150" s="373"/>
      <x:c r="W150" s="373"/>
      <x:c r="X150" s="373"/>
      <x:c r="Y150" s="373"/>
      <x:c r="Z150" s="373"/>
    </x:row>
    <x:row r="151">
      <x:c r="A151" s="373"/>
      <x:c r="B151" s="373"/>
      <x:c r="C151" s="373"/>
      <x:c r="D151" s="373"/>
      <x:c r="E151" s="373"/>
      <x:c r="F151" s="373"/>
      <x:c r="G151" s="373"/>
      <x:c r="H151" s="373"/>
      <x:c r="I151" s="373"/>
      <x:c r="J151" s="373"/>
      <x:c r="K151" s="373"/>
      <x:c r="L151" s="373"/>
      <x:c r="M151" s="373"/>
      <x:c r="N151" s="373"/>
      <x:c r="O151" s="373"/>
      <x:c r="P151" s="373"/>
      <x:c r="Q151" s="373"/>
      <x:c r="R151" s="373"/>
      <x:c r="S151" s="373"/>
      <x:c r="T151" s="373"/>
      <x:c r="U151" s="373"/>
      <x:c r="V151" s="373"/>
      <x:c r="W151" s="373"/>
      <x:c r="X151" s="373"/>
      <x:c r="Y151" s="373"/>
      <x:c r="Z151" s="373"/>
    </x:row>
    <x:row r="152">
      <x:c r="A152" s="373"/>
      <x:c r="B152" s="373"/>
      <x:c r="C152" s="373"/>
      <x:c r="D152" s="373"/>
      <x:c r="E152" s="373"/>
      <x:c r="F152" s="373"/>
      <x:c r="G152" s="373"/>
      <x:c r="H152" s="373"/>
      <x:c r="I152" s="373"/>
      <x:c r="J152" s="373"/>
      <x:c r="K152" s="373"/>
      <x:c r="L152" s="373"/>
      <x:c r="M152" s="373"/>
      <x:c r="N152" s="373"/>
      <x:c r="O152" s="373"/>
      <x:c r="P152" s="373"/>
      <x:c r="Q152" s="373"/>
      <x:c r="R152" s="373"/>
      <x:c r="S152" s="373"/>
      <x:c r="T152" s="373"/>
      <x:c r="U152" s="373"/>
      <x:c r="V152" s="373"/>
      <x:c r="W152" s="373"/>
      <x:c r="X152" s="373"/>
      <x:c r="Y152" s="373"/>
      <x:c r="Z152" s="373"/>
    </x:row>
    <x:row r="153">
      <x:c r="A153" s="373"/>
      <x:c r="B153" s="373"/>
      <x:c r="C153" s="373"/>
      <x:c r="D153" s="373"/>
      <x:c r="E153" s="373"/>
      <x:c r="F153" s="373"/>
      <x:c r="G153" s="373"/>
      <x:c r="H153" s="373"/>
      <x:c r="I153" s="373"/>
      <x:c r="J153" s="373"/>
      <x:c r="K153" s="373"/>
      <x:c r="L153" s="373"/>
      <x:c r="M153" s="373"/>
      <x:c r="N153" s="373"/>
      <x:c r="O153" s="373"/>
      <x:c r="P153" s="373"/>
      <x:c r="Q153" s="373"/>
      <x:c r="R153" s="373"/>
      <x:c r="S153" s="373"/>
      <x:c r="T153" s="373"/>
      <x:c r="U153" s="373"/>
      <x:c r="V153" s="373"/>
      <x:c r="W153" s="373"/>
      <x:c r="X153" s="373"/>
      <x:c r="Y153" s="373"/>
      <x:c r="Z153" s="373"/>
    </x:row>
    <x:row r="154">
      <x:c r="A154" s="373"/>
      <x:c r="B154" s="373"/>
      <x:c r="C154" s="373"/>
      <x:c r="D154" s="373"/>
      <x:c r="E154" s="373"/>
      <x:c r="F154" s="373"/>
      <x:c r="G154" s="373"/>
      <x:c r="H154" s="373"/>
      <x:c r="I154" s="373"/>
      <x:c r="J154" s="373"/>
      <x:c r="K154" s="373"/>
      <x:c r="L154" s="373"/>
      <x:c r="M154" s="373"/>
      <x:c r="N154" s="373"/>
      <x:c r="O154" s="373"/>
      <x:c r="P154" s="373"/>
      <x:c r="Q154" s="373"/>
      <x:c r="R154" s="373"/>
      <x:c r="S154" s="373"/>
      <x:c r="T154" s="373"/>
      <x:c r="U154" s="373"/>
      <x:c r="V154" s="373"/>
      <x:c r="W154" s="373"/>
      <x:c r="X154" s="373"/>
      <x:c r="Y154" s="373"/>
      <x:c r="Z154" s="373"/>
    </x:row>
    <x:row r="155">
      <x:c r="A155" s="373"/>
      <x:c r="B155" s="373"/>
      <x:c r="C155" s="373"/>
      <x:c r="D155" s="373"/>
      <x:c r="E155" s="373"/>
      <x:c r="F155" s="373"/>
      <x:c r="G155" s="373"/>
      <x:c r="H155" s="373"/>
      <x:c r="I155" s="373"/>
      <x:c r="J155" s="373"/>
      <x:c r="K155" s="373"/>
      <x:c r="L155" s="373"/>
      <x:c r="M155" s="373"/>
      <x:c r="N155" s="373"/>
      <x:c r="O155" s="373"/>
      <x:c r="P155" s="373"/>
      <x:c r="Q155" s="373"/>
      <x:c r="R155" s="373"/>
      <x:c r="S155" s="373"/>
      <x:c r="T155" s="373"/>
      <x:c r="U155" s="373"/>
      <x:c r="V155" s="373"/>
      <x:c r="W155" s="373"/>
      <x:c r="X155" s="373"/>
      <x:c r="Y155" s="373"/>
      <x:c r="Z155" s="373"/>
    </x:row>
    <x:row r="156">
      <x:c r="A156" s="373"/>
      <x:c r="B156" s="373"/>
      <x:c r="C156" s="373"/>
      <x:c r="D156" s="373"/>
      <x:c r="E156" s="373"/>
      <x:c r="F156" s="373"/>
      <x:c r="G156" s="373"/>
      <x:c r="H156" s="373"/>
      <x:c r="I156" s="373"/>
      <x:c r="J156" s="373"/>
      <x:c r="K156" s="373"/>
      <x:c r="L156" s="373"/>
      <x:c r="M156" s="373"/>
      <x:c r="N156" s="373"/>
      <x:c r="O156" s="373"/>
      <x:c r="P156" s="373"/>
      <x:c r="Q156" s="373"/>
      <x:c r="R156" s="373"/>
      <x:c r="S156" s="373"/>
      <x:c r="T156" s="373"/>
      <x:c r="U156" s="373"/>
      <x:c r="V156" s="373"/>
      <x:c r="W156" s="373"/>
      <x:c r="X156" s="373"/>
      <x:c r="Y156" s="373"/>
      <x:c r="Z156" s="373"/>
    </x:row>
    <x:row r="157">
      <x:c r="A157" s="373"/>
      <x:c r="B157" s="373"/>
      <x:c r="C157" s="373"/>
      <x:c r="D157" s="373"/>
      <x:c r="E157" s="373"/>
      <x:c r="F157" s="373"/>
      <x:c r="G157" s="373"/>
      <x:c r="H157" s="373"/>
      <x:c r="I157" s="373"/>
      <x:c r="J157" s="373"/>
      <x:c r="K157" s="373"/>
      <x:c r="L157" s="373"/>
      <x:c r="M157" s="373"/>
      <x:c r="N157" s="373"/>
      <x:c r="O157" s="373"/>
      <x:c r="P157" s="373"/>
      <x:c r="Q157" s="373"/>
      <x:c r="R157" s="373"/>
      <x:c r="S157" s="373"/>
      <x:c r="T157" s="373"/>
      <x:c r="U157" s="373"/>
      <x:c r="V157" s="373"/>
      <x:c r="W157" s="373"/>
      <x:c r="X157" s="373"/>
      <x:c r="Y157" s="373"/>
      <x:c r="Z157" s="373"/>
    </x:row>
    <x:row r="158">
      <x:c r="A158" s="373"/>
      <x:c r="B158" s="373"/>
      <x:c r="C158" s="373"/>
      <x:c r="D158" s="373"/>
      <x:c r="E158" s="373"/>
      <x:c r="F158" s="373"/>
      <x:c r="G158" s="373"/>
      <x:c r="H158" s="373"/>
      <x:c r="I158" s="373"/>
      <x:c r="J158" s="373"/>
      <x:c r="K158" s="373"/>
      <x:c r="L158" s="373"/>
      <x:c r="M158" s="373"/>
      <x:c r="N158" s="373"/>
      <x:c r="O158" s="373"/>
      <x:c r="P158" s="373"/>
      <x:c r="Q158" s="373"/>
      <x:c r="R158" s="373"/>
      <x:c r="S158" s="373"/>
      <x:c r="T158" s="373"/>
      <x:c r="U158" s="373"/>
      <x:c r="V158" s="373"/>
      <x:c r="W158" s="373"/>
      <x:c r="X158" s="373"/>
      <x:c r="Y158" s="373"/>
      <x:c r="Z158" s="373"/>
    </x:row>
    <x:row r="159">
      <x:c r="A159" s="373"/>
      <x:c r="B159" s="373"/>
      <x:c r="C159" s="373"/>
      <x:c r="D159" s="373"/>
      <x:c r="E159" s="373"/>
      <x:c r="F159" s="373"/>
      <x:c r="G159" s="373"/>
      <x:c r="H159" s="373"/>
      <x:c r="I159" s="373"/>
      <x:c r="J159" s="373"/>
      <x:c r="K159" s="373"/>
      <x:c r="L159" s="373"/>
      <x:c r="M159" s="373"/>
      <x:c r="N159" s="373"/>
      <x:c r="O159" s="373"/>
      <x:c r="P159" s="373"/>
      <x:c r="Q159" s="373"/>
      <x:c r="R159" s="373"/>
      <x:c r="S159" s="373"/>
      <x:c r="T159" s="373"/>
      <x:c r="U159" s="373"/>
      <x:c r="V159" s="373"/>
      <x:c r="W159" s="373"/>
      <x:c r="X159" s="373"/>
      <x:c r="Y159" s="373"/>
      <x:c r="Z159" s="373"/>
    </x:row>
    <x:row r="160">
      <x:c r="A160" s="373"/>
      <x:c r="B160" s="373"/>
      <x:c r="C160" s="373"/>
      <x:c r="D160" s="373"/>
      <x:c r="E160" s="373"/>
      <x:c r="F160" s="373"/>
      <x:c r="G160" s="373"/>
      <x:c r="H160" s="373"/>
      <x:c r="I160" s="373"/>
      <x:c r="J160" s="373"/>
      <x:c r="K160" s="373"/>
      <x:c r="L160" s="373"/>
      <x:c r="M160" s="373"/>
      <x:c r="N160" s="373"/>
      <x:c r="O160" s="373"/>
      <x:c r="P160" s="373"/>
      <x:c r="Q160" s="373"/>
      <x:c r="R160" s="373"/>
      <x:c r="S160" s="373"/>
      <x:c r="T160" s="373"/>
      <x:c r="U160" s="373"/>
      <x:c r="V160" s="373"/>
      <x:c r="W160" s="373"/>
      <x:c r="X160" s="373"/>
      <x:c r="Y160" s="373"/>
      <x:c r="Z160" s="373"/>
    </x:row>
    <x:row r="161">
      <x:c r="A161" s="373"/>
      <x:c r="B161" s="373"/>
      <x:c r="C161" s="373"/>
      <x:c r="D161" s="373"/>
      <x:c r="E161" s="373"/>
      <x:c r="F161" s="373"/>
      <x:c r="G161" s="373"/>
      <x:c r="H161" s="373"/>
      <x:c r="I161" s="373"/>
      <x:c r="J161" s="373"/>
      <x:c r="K161" s="373"/>
      <x:c r="L161" s="373"/>
      <x:c r="M161" s="373"/>
      <x:c r="N161" s="373"/>
      <x:c r="O161" s="373"/>
      <x:c r="P161" s="373"/>
      <x:c r="Q161" s="373"/>
      <x:c r="R161" s="373"/>
      <x:c r="S161" s="373"/>
      <x:c r="T161" s="373"/>
      <x:c r="U161" s="373"/>
      <x:c r="V161" s="373"/>
      <x:c r="W161" s="373"/>
      <x:c r="X161" s="373"/>
      <x:c r="Y161" s="373"/>
      <x:c r="Z161" s="373"/>
    </x:row>
    <x:row r="162">
      <x:c r="A162" s="373"/>
      <x:c r="B162" s="373"/>
      <x:c r="C162" s="373"/>
      <x:c r="D162" s="373"/>
      <x:c r="E162" s="373"/>
      <x:c r="F162" s="373"/>
      <x:c r="G162" s="373"/>
      <x:c r="H162" s="373"/>
      <x:c r="I162" s="373"/>
      <x:c r="J162" s="373"/>
      <x:c r="K162" s="373"/>
      <x:c r="L162" s="373"/>
      <x:c r="M162" s="373"/>
      <x:c r="N162" s="373"/>
      <x:c r="O162" s="373"/>
      <x:c r="P162" s="373"/>
      <x:c r="Q162" s="373"/>
      <x:c r="R162" s="373"/>
      <x:c r="S162" s="373"/>
      <x:c r="T162" s="373"/>
      <x:c r="U162" s="373"/>
      <x:c r="V162" s="373"/>
      <x:c r="W162" s="373"/>
      <x:c r="X162" s="373"/>
      <x:c r="Y162" s="373"/>
      <x:c r="Z162" s="373"/>
    </x:row>
    <x:row r="163">
      <x:c r="A163" s="373"/>
      <x:c r="B163" s="373"/>
      <x:c r="C163" s="373"/>
      <x:c r="D163" s="373"/>
      <x:c r="E163" s="373"/>
      <x:c r="F163" s="373"/>
      <x:c r="G163" s="373"/>
      <x:c r="H163" s="373"/>
      <x:c r="I163" s="373"/>
      <x:c r="J163" s="373"/>
      <x:c r="K163" s="373"/>
      <x:c r="L163" s="373"/>
      <x:c r="M163" s="373"/>
      <x:c r="N163" s="373"/>
      <x:c r="O163" s="373"/>
      <x:c r="P163" s="373"/>
      <x:c r="Q163" s="373"/>
      <x:c r="R163" s="373"/>
      <x:c r="S163" s="373"/>
      <x:c r="T163" s="373"/>
      <x:c r="U163" s="373"/>
      <x:c r="V163" s="373"/>
      <x:c r="W163" s="373"/>
      <x:c r="X163" s="373"/>
      <x:c r="Y163" s="373"/>
      <x:c r="Z163" s="373"/>
    </x:row>
    <x:row r="164">
      <x:c r="A164" s="373"/>
      <x:c r="B164" s="373"/>
      <x:c r="C164" s="373"/>
      <x:c r="D164" s="373"/>
      <x:c r="E164" s="373"/>
      <x:c r="F164" s="373"/>
      <x:c r="G164" s="373"/>
      <x:c r="H164" s="373"/>
      <x:c r="I164" s="373"/>
      <x:c r="J164" s="373"/>
      <x:c r="K164" s="373"/>
      <x:c r="L164" s="373"/>
      <x:c r="M164" s="373"/>
      <x:c r="N164" s="373"/>
      <x:c r="O164" s="373"/>
      <x:c r="P164" s="373"/>
      <x:c r="Q164" s="373"/>
      <x:c r="R164" s="373"/>
      <x:c r="S164" s="373"/>
      <x:c r="T164" s="373"/>
      <x:c r="U164" s="373"/>
      <x:c r="V164" s="373"/>
      <x:c r="W164" s="373"/>
      <x:c r="X164" s="373"/>
      <x:c r="Y164" s="373"/>
      <x:c r="Z164" s="373"/>
    </x:row>
    <x:row r="165">
      <x:c r="A165" s="373"/>
      <x:c r="B165" s="373"/>
      <x:c r="C165" s="373"/>
      <x:c r="D165" s="373"/>
      <x:c r="E165" s="373"/>
      <x:c r="F165" s="373"/>
      <x:c r="G165" s="373"/>
      <x:c r="H165" s="373"/>
      <x:c r="I165" s="373"/>
      <x:c r="J165" s="373"/>
      <x:c r="K165" s="373"/>
      <x:c r="L165" s="373"/>
      <x:c r="M165" s="373"/>
      <x:c r="N165" s="373"/>
      <x:c r="O165" s="373"/>
      <x:c r="P165" s="373"/>
      <x:c r="Q165" s="373"/>
      <x:c r="R165" s="373"/>
      <x:c r="S165" s="373"/>
      <x:c r="T165" s="373"/>
      <x:c r="U165" s="373"/>
      <x:c r="V165" s="373"/>
      <x:c r="W165" s="373"/>
      <x:c r="X165" s="373"/>
      <x:c r="Y165" s="373"/>
      <x:c r="Z165" s="373"/>
    </x:row>
    <x:row r="166">
      <x:c r="A166" s="373"/>
      <x:c r="B166" s="373"/>
      <x:c r="C166" s="373"/>
      <x:c r="D166" s="373"/>
      <x:c r="E166" s="373"/>
      <x:c r="F166" s="373"/>
      <x:c r="G166" s="373"/>
      <x:c r="H166" s="373"/>
      <x:c r="I166" s="373"/>
      <x:c r="J166" s="373"/>
      <x:c r="K166" s="373"/>
      <x:c r="L166" s="373"/>
      <x:c r="M166" s="373"/>
      <x:c r="N166" s="373"/>
      <x:c r="O166" s="373"/>
      <x:c r="P166" s="373"/>
      <x:c r="Q166" s="373"/>
      <x:c r="R166" s="373"/>
      <x:c r="S166" s="373"/>
      <x:c r="T166" s="373"/>
      <x:c r="U166" s="373"/>
      <x:c r="V166" s="373"/>
      <x:c r="W166" s="373"/>
      <x:c r="X166" s="373"/>
      <x:c r="Y166" s="373"/>
      <x:c r="Z166" s="373"/>
    </x:row>
    <x:row r="167">
      <x:c r="A167" s="373"/>
      <x:c r="B167" s="373"/>
      <x:c r="C167" s="373"/>
      <x:c r="D167" s="373"/>
      <x:c r="E167" s="373"/>
      <x:c r="F167" s="373"/>
      <x:c r="G167" s="373"/>
      <x:c r="H167" s="373"/>
      <x:c r="I167" s="373"/>
      <x:c r="J167" s="373"/>
      <x:c r="K167" s="373"/>
      <x:c r="L167" s="373"/>
      <x:c r="M167" s="373"/>
      <x:c r="N167" s="373"/>
      <x:c r="O167" s="373"/>
      <x:c r="P167" s="373"/>
      <x:c r="Q167" s="373"/>
      <x:c r="R167" s="373"/>
      <x:c r="S167" s="373"/>
      <x:c r="T167" s="373"/>
      <x:c r="U167" s="373"/>
      <x:c r="V167" s="373"/>
      <x:c r="W167" s="373"/>
      <x:c r="X167" s="373"/>
      <x:c r="Y167" s="373"/>
      <x:c r="Z167" s="373"/>
    </x:row>
    <x:row r="168">
      <x:c r="A168" s="373"/>
      <x:c r="B168" s="373"/>
      <x:c r="C168" s="373"/>
      <x:c r="D168" s="373"/>
      <x:c r="E168" s="373"/>
      <x:c r="F168" s="373"/>
      <x:c r="G168" s="373"/>
      <x:c r="H168" s="373"/>
      <x:c r="I168" s="373"/>
      <x:c r="J168" s="373"/>
      <x:c r="K168" s="373"/>
      <x:c r="L168" s="373"/>
      <x:c r="M168" s="373"/>
      <x:c r="N168" s="373"/>
      <x:c r="O168" s="373"/>
      <x:c r="P168" s="373"/>
      <x:c r="Q168" s="373"/>
      <x:c r="R168" s="373"/>
      <x:c r="S168" s="373"/>
      <x:c r="T168" s="373"/>
      <x:c r="U168" s="373"/>
      <x:c r="V168" s="373"/>
      <x:c r="W168" s="373"/>
      <x:c r="X168" s="373"/>
      <x:c r="Y168" s="373"/>
      <x:c r="Z168" s="373"/>
    </x:row>
    <x:row r="169">
      <x:c r="A169" s="373"/>
      <x:c r="B169" s="373"/>
      <x:c r="C169" s="373"/>
      <x:c r="D169" s="373"/>
      <x:c r="E169" s="373"/>
      <x:c r="F169" s="373"/>
      <x:c r="G169" s="373"/>
      <x:c r="H169" s="373"/>
      <x:c r="I169" s="373"/>
      <x:c r="J169" s="373"/>
      <x:c r="K169" s="373"/>
      <x:c r="L169" s="373"/>
      <x:c r="M169" s="373"/>
      <x:c r="N169" s="373"/>
      <x:c r="O169" s="373"/>
      <x:c r="P169" s="373"/>
      <x:c r="Q169" s="373"/>
      <x:c r="R169" s="373"/>
      <x:c r="S169" s="373"/>
      <x:c r="T169" s="373"/>
      <x:c r="U169" s="373"/>
      <x:c r="V169" s="373"/>
      <x:c r="W169" s="373"/>
      <x:c r="X169" s="373"/>
      <x:c r="Y169" s="373"/>
      <x:c r="Z169" s="373"/>
    </x:row>
    <x:row r="170">
      <x:c r="A170" s="373"/>
      <x:c r="B170" s="373"/>
      <x:c r="C170" s="373"/>
      <x:c r="D170" s="373"/>
      <x:c r="E170" s="373"/>
      <x:c r="F170" s="373"/>
      <x:c r="G170" s="373"/>
      <x:c r="H170" s="373"/>
      <x:c r="I170" s="373"/>
      <x:c r="J170" s="373"/>
      <x:c r="K170" s="373"/>
      <x:c r="L170" s="373"/>
      <x:c r="M170" s="373"/>
      <x:c r="N170" s="373"/>
      <x:c r="O170" s="373"/>
      <x:c r="P170" s="373"/>
      <x:c r="Q170" s="373"/>
      <x:c r="R170" s="373"/>
      <x:c r="S170" s="373"/>
      <x:c r="T170" s="373"/>
      <x:c r="U170" s="373"/>
      <x:c r="V170" s="373"/>
      <x:c r="W170" s="373"/>
      <x:c r="X170" s="373"/>
      <x:c r="Y170" s="373"/>
      <x:c r="Z170" s="373"/>
    </x:row>
    <x:row r="171">
      <x:c r="A171" s="373"/>
      <x:c r="B171" s="373"/>
      <x:c r="C171" s="373"/>
      <x:c r="D171" s="373"/>
      <x:c r="E171" s="373"/>
      <x:c r="F171" s="373"/>
      <x:c r="G171" s="373"/>
      <x:c r="H171" s="373"/>
      <x:c r="I171" s="373"/>
      <x:c r="J171" s="373"/>
      <x:c r="K171" s="373"/>
      <x:c r="L171" s="373"/>
      <x:c r="M171" s="373"/>
      <x:c r="N171" s="373"/>
      <x:c r="O171" s="373"/>
      <x:c r="P171" s="373"/>
      <x:c r="Q171" s="373"/>
      <x:c r="R171" s="373"/>
      <x:c r="S171" s="373"/>
      <x:c r="T171" s="373"/>
      <x:c r="U171" s="373"/>
      <x:c r="V171" s="373"/>
      <x:c r="W171" s="373"/>
      <x:c r="X171" s="373"/>
      <x:c r="Y171" s="373"/>
      <x:c r="Z171" s="373"/>
    </x:row>
    <x:row r="172">
      <x:c r="A172" s="373"/>
      <x:c r="B172" s="373"/>
      <x:c r="C172" s="373"/>
      <x:c r="D172" s="373"/>
      <x:c r="E172" s="373"/>
      <x:c r="F172" s="373"/>
      <x:c r="G172" s="373"/>
      <x:c r="H172" s="373"/>
      <x:c r="I172" s="373"/>
      <x:c r="J172" s="373"/>
      <x:c r="K172" s="373"/>
      <x:c r="L172" s="373"/>
      <x:c r="M172" s="373"/>
      <x:c r="N172" s="373"/>
      <x:c r="O172" s="373"/>
      <x:c r="P172" s="373"/>
      <x:c r="Q172" s="373"/>
      <x:c r="R172" s="373"/>
      <x:c r="S172" s="373"/>
      <x:c r="T172" s="373"/>
      <x:c r="U172" s="373"/>
      <x:c r="V172" s="373"/>
      <x:c r="W172" s="373"/>
      <x:c r="X172" s="373"/>
      <x:c r="Y172" s="373"/>
      <x:c r="Z172" s="373"/>
    </x:row>
    <x:row r="173">
      <x:c r="A173" s="373"/>
      <x:c r="B173" s="373"/>
      <x:c r="C173" s="373"/>
      <x:c r="D173" s="373"/>
      <x:c r="E173" s="373"/>
      <x:c r="F173" s="373"/>
      <x:c r="G173" s="373"/>
      <x:c r="H173" s="373"/>
      <x:c r="I173" s="373"/>
      <x:c r="J173" s="373"/>
      <x:c r="K173" s="373"/>
      <x:c r="L173" s="373"/>
      <x:c r="M173" s="373"/>
      <x:c r="N173" s="373"/>
      <x:c r="O173" s="373"/>
      <x:c r="P173" s="373"/>
      <x:c r="Q173" s="373"/>
      <x:c r="R173" s="373"/>
      <x:c r="S173" s="373"/>
      <x:c r="T173" s="373"/>
      <x:c r="U173" s="373"/>
      <x:c r="V173" s="373"/>
      <x:c r="W173" s="373"/>
      <x:c r="X173" s="373"/>
      <x:c r="Y173" s="373"/>
      <x:c r="Z173" s="373"/>
    </x:row>
    <x:row r="174">
      <x:c r="A174" s="373"/>
      <x:c r="B174" s="373"/>
      <x:c r="C174" s="373"/>
      <x:c r="D174" s="373"/>
      <x:c r="E174" s="373"/>
      <x:c r="F174" s="373"/>
      <x:c r="G174" s="373"/>
      <x:c r="H174" s="373"/>
      <x:c r="I174" s="373"/>
      <x:c r="J174" s="373"/>
      <x:c r="K174" s="373"/>
      <x:c r="L174" s="373"/>
      <x:c r="M174" s="373"/>
      <x:c r="N174" s="373"/>
      <x:c r="O174" s="373"/>
      <x:c r="P174" s="373"/>
      <x:c r="Q174" s="373"/>
      <x:c r="R174" s="373"/>
      <x:c r="S174" s="373"/>
      <x:c r="T174" s="373"/>
      <x:c r="U174" s="373"/>
      <x:c r="V174" s="373"/>
      <x:c r="W174" s="373"/>
      <x:c r="X174" s="373"/>
      <x:c r="Y174" s="373"/>
      <x:c r="Z174" s="373"/>
    </x:row>
    <x:row r="175">
      <x:c r="A175" s="373"/>
      <x:c r="B175" s="373"/>
      <x:c r="C175" s="373"/>
      <x:c r="D175" s="373"/>
      <x:c r="E175" s="373"/>
      <x:c r="F175" s="373"/>
      <x:c r="G175" s="373"/>
      <x:c r="H175" s="373"/>
      <x:c r="I175" s="373"/>
      <x:c r="J175" s="373"/>
      <x:c r="K175" s="373"/>
      <x:c r="L175" s="373"/>
      <x:c r="M175" s="373"/>
      <x:c r="N175" s="373"/>
      <x:c r="O175" s="373"/>
      <x:c r="P175" s="373"/>
      <x:c r="Q175" s="373"/>
      <x:c r="R175" s="373"/>
      <x:c r="S175" s="373"/>
      <x:c r="T175" s="373"/>
      <x:c r="U175" s="373"/>
      <x:c r="V175" s="373"/>
      <x:c r="W175" s="373"/>
      <x:c r="X175" s="373"/>
      <x:c r="Y175" s="373"/>
      <x:c r="Z175" s="373"/>
    </x:row>
    <x:row r="176">
      <x:c r="A176" s="373"/>
      <x:c r="B176" s="373"/>
      <x:c r="C176" s="373"/>
      <x:c r="D176" s="373"/>
      <x:c r="E176" s="373"/>
      <x:c r="F176" s="373"/>
      <x:c r="G176" s="373"/>
      <x:c r="H176" s="373"/>
      <x:c r="I176" s="373"/>
      <x:c r="J176" s="373"/>
      <x:c r="K176" s="373"/>
      <x:c r="L176" s="373"/>
      <x:c r="M176" s="373"/>
      <x:c r="N176" s="373"/>
      <x:c r="O176" s="373"/>
      <x:c r="P176" s="373"/>
      <x:c r="Q176" s="373"/>
      <x:c r="R176" s="373"/>
      <x:c r="S176" s="373"/>
      <x:c r="T176" s="373"/>
      <x:c r="U176" s="373"/>
      <x:c r="V176" s="373"/>
      <x:c r="W176" s="373"/>
      <x:c r="X176" s="373"/>
      <x:c r="Y176" s="373"/>
      <x:c r="Z176" s="373"/>
    </x:row>
    <x:row r="177">
      <x:c r="A177" s="373"/>
      <x:c r="B177" s="373"/>
      <x:c r="C177" s="373"/>
      <x:c r="D177" s="373"/>
      <x:c r="E177" s="373"/>
      <x:c r="F177" s="373"/>
      <x:c r="G177" s="373"/>
      <x:c r="H177" s="373"/>
      <x:c r="I177" s="373"/>
      <x:c r="J177" s="373"/>
      <x:c r="K177" s="373"/>
      <x:c r="L177" s="373"/>
      <x:c r="M177" s="373"/>
      <x:c r="N177" s="373"/>
      <x:c r="O177" s="373"/>
      <x:c r="P177" s="373"/>
      <x:c r="Q177" s="373"/>
      <x:c r="R177" s="373"/>
      <x:c r="S177" s="373"/>
      <x:c r="T177" s="373"/>
      <x:c r="U177" s="373"/>
      <x:c r="V177" s="373"/>
      <x:c r="W177" s="373"/>
      <x:c r="X177" s="373"/>
      <x:c r="Y177" s="373"/>
      <x:c r="Z177" s="373"/>
    </x:row>
    <x:row r="178">
      <x:c r="A178" s="373"/>
      <x:c r="B178" s="373"/>
      <x:c r="C178" s="373"/>
      <x:c r="D178" s="373"/>
      <x:c r="E178" s="373"/>
      <x:c r="F178" s="373"/>
      <x:c r="G178" s="373"/>
      <x:c r="H178" s="373"/>
      <x:c r="I178" s="373"/>
      <x:c r="J178" s="373"/>
      <x:c r="K178" s="373"/>
      <x:c r="L178" s="373"/>
      <x:c r="M178" s="373"/>
      <x:c r="N178" s="373"/>
      <x:c r="O178" s="373"/>
      <x:c r="P178" s="373"/>
      <x:c r="Q178" s="373"/>
      <x:c r="R178" s="373"/>
      <x:c r="S178" s="373"/>
      <x:c r="T178" s="373"/>
      <x:c r="U178" s="373"/>
      <x:c r="V178" s="373"/>
      <x:c r="W178" s="373"/>
      <x:c r="X178" s="373"/>
      <x:c r="Y178" s="373"/>
      <x:c r="Z178" s="373"/>
    </x:row>
    <x:row r="179">
      <x:c r="A179" s="373"/>
      <x:c r="B179" s="373"/>
      <x:c r="C179" s="373"/>
      <x:c r="D179" s="373"/>
      <x:c r="E179" s="373"/>
      <x:c r="F179" s="373"/>
      <x:c r="G179" s="373"/>
      <x:c r="H179" s="373"/>
      <x:c r="I179" s="373"/>
      <x:c r="J179" s="373"/>
      <x:c r="K179" s="373"/>
      <x:c r="L179" s="373"/>
      <x:c r="M179" s="373"/>
      <x:c r="N179" s="373"/>
      <x:c r="O179" s="373"/>
      <x:c r="P179" s="373"/>
      <x:c r="Q179" s="373"/>
      <x:c r="R179" s="373"/>
      <x:c r="S179" s="373"/>
      <x:c r="T179" s="373"/>
      <x:c r="U179" s="373"/>
      <x:c r="V179" s="373"/>
      <x:c r="W179" s="373"/>
      <x:c r="X179" s="373"/>
      <x:c r="Y179" s="373"/>
      <x:c r="Z179" s="373"/>
    </x:row>
    <x:row r="180">
      <x:c r="A180" s="373"/>
      <x:c r="B180" s="373"/>
      <x:c r="C180" s="373"/>
      <x:c r="D180" s="373"/>
      <x:c r="E180" s="373"/>
      <x:c r="F180" s="373"/>
      <x:c r="G180" s="373"/>
      <x:c r="H180" s="373"/>
      <x:c r="I180" s="373"/>
      <x:c r="J180" s="373"/>
      <x:c r="K180" s="373"/>
      <x:c r="L180" s="373"/>
      <x:c r="M180" s="373"/>
      <x:c r="N180" s="373"/>
      <x:c r="O180" s="373"/>
      <x:c r="P180" s="373"/>
      <x:c r="Q180" s="373"/>
      <x:c r="R180" s="373"/>
      <x:c r="S180" s="373"/>
      <x:c r="T180" s="373"/>
      <x:c r="U180" s="373"/>
      <x:c r="V180" s="373"/>
      <x:c r="W180" s="373"/>
      <x:c r="X180" s="373"/>
      <x:c r="Y180" s="373"/>
      <x:c r="Z180" s="373"/>
    </x:row>
    <x:row r="181">
      <x:c r="A181" s="373"/>
      <x:c r="B181" s="373"/>
      <x:c r="C181" s="373"/>
      <x:c r="D181" s="373"/>
      <x:c r="E181" s="373"/>
      <x:c r="F181" s="373"/>
      <x:c r="G181" s="373"/>
      <x:c r="H181" s="373"/>
      <x:c r="I181" s="373"/>
      <x:c r="J181" s="373"/>
      <x:c r="K181" s="373"/>
      <x:c r="L181" s="373"/>
      <x:c r="M181" s="373"/>
      <x:c r="N181" s="373"/>
      <x:c r="O181" s="373"/>
      <x:c r="P181" s="373"/>
      <x:c r="Q181" s="373"/>
      <x:c r="R181" s="373"/>
      <x:c r="S181" s="373"/>
      <x:c r="T181" s="373"/>
      <x:c r="U181" s="373"/>
      <x:c r="V181" s="373"/>
      <x:c r="W181" s="373"/>
      <x:c r="X181" s="373"/>
      <x:c r="Y181" s="373"/>
      <x:c r="Z181" s="373"/>
    </x:row>
    <x:row r="182">
      <x:c r="A182" s="373"/>
      <x:c r="B182" s="373"/>
      <x:c r="C182" s="373"/>
      <x:c r="D182" s="373"/>
      <x:c r="E182" s="373"/>
      <x:c r="F182" s="373"/>
      <x:c r="G182" s="373"/>
      <x:c r="H182" s="373"/>
      <x:c r="I182" s="373"/>
      <x:c r="J182" s="373"/>
      <x:c r="K182" s="373"/>
      <x:c r="L182" s="373"/>
      <x:c r="M182" s="373"/>
      <x:c r="N182" s="373"/>
      <x:c r="O182" s="373"/>
      <x:c r="P182" s="373"/>
      <x:c r="Q182" s="373"/>
      <x:c r="R182" s="373"/>
      <x:c r="S182" s="373"/>
      <x:c r="T182" s="373"/>
      <x:c r="U182" s="373"/>
      <x:c r="V182" s="373"/>
      <x:c r="W182" s="373"/>
      <x:c r="X182" s="373"/>
      <x:c r="Y182" s="373"/>
      <x:c r="Z182" s="373"/>
    </x:row>
    <x:row r="183">
      <x:c r="A183" s="373"/>
      <x:c r="B183" s="373"/>
      <x:c r="C183" s="373"/>
      <x:c r="D183" s="373"/>
      <x:c r="E183" s="373"/>
      <x:c r="F183" s="373"/>
      <x:c r="G183" s="373"/>
      <x:c r="H183" s="373"/>
      <x:c r="I183" s="373"/>
      <x:c r="J183" s="373"/>
      <x:c r="K183" s="373"/>
      <x:c r="L183" s="373"/>
      <x:c r="M183" s="373"/>
      <x:c r="N183" s="373"/>
      <x:c r="O183" s="373"/>
      <x:c r="P183" s="373"/>
      <x:c r="Q183" s="373"/>
      <x:c r="R183" s="373"/>
      <x:c r="S183" s="373"/>
      <x:c r="T183" s="373"/>
      <x:c r="U183" s="373"/>
      <x:c r="V183" s="373"/>
      <x:c r="W183" s="373"/>
      <x:c r="X183" s="373"/>
      <x:c r="Y183" s="373"/>
      <x:c r="Z183" s="373"/>
    </x:row>
    <x:row r="184">
      <x:c r="A184" s="373"/>
      <x:c r="B184" s="373"/>
      <x:c r="C184" s="373"/>
      <x:c r="D184" s="373"/>
      <x:c r="E184" s="373"/>
      <x:c r="F184" s="373"/>
      <x:c r="G184" s="373"/>
      <x:c r="H184" s="373"/>
      <x:c r="I184" s="373"/>
      <x:c r="J184" s="373"/>
      <x:c r="K184" s="373"/>
      <x:c r="L184" s="373"/>
      <x:c r="M184" s="373"/>
      <x:c r="N184" s="373"/>
      <x:c r="O184" s="373"/>
      <x:c r="P184" s="373"/>
      <x:c r="Q184" s="373"/>
      <x:c r="R184" s="373"/>
      <x:c r="S184" s="373"/>
      <x:c r="T184" s="373"/>
      <x:c r="U184" s="373"/>
      <x:c r="V184" s="373"/>
      <x:c r="W184" s="373"/>
      <x:c r="X184" s="373"/>
      <x:c r="Y184" s="373"/>
      <x:c r="Z184" s="373"/>
    </x:row>
    <x:row r="185">
      <x:c r="A185" s="373"/>
      <x:c r="B185" s="373"/>
      <x:c r="C185" s="373"/>
      <x:c r="D185" s="373"/>
      <x:c r="E185" s="373"/>
      <x:c r="F185" s="373"/>
      <x:c r="G185" s="373"/>
      <x:c r="H185" s="373"/>
      <x:c r="I185" s="373"/>
      <x:c r="J185" s="373"/>
      <x:c r="K185" s="373"/>
      <x:c r="L185" s="373"/>
      <x:c r="M185" s="373"/>
      <x:c r="N185" s="373"/>
      <x:c r="O185" s="373"/>
      <x:c r="P185" s="373"/>
      <x:c r="Q185" s="373"/>
      <x:c r="R185" s="373"/>
      <x:c r="S185" s="373"/>
      <x:c r="T185" s="373"/>
      <x:c r="U185" s="373"/>
      <x:c r="V185" s="373"/>
      <x:c r="W185" s="373"/>
      <x:c r="X185" s="373"/>
      <x:c r="Y185" s="373"/>
      <x:c r="Z185" s="373"/>
    </x:row>
    <x:row r="186">
      <x:c r="A186" s="373"/>
      <x:c r="B186" s="373"/>
      <x:c r="C186" s="373"/>
      <x:c r="D186" s="373"/>
      <x:c r="E186" s="373"/>
      <x:c r="F186" s="373"/>
      <x:c r="G186" s="373"/>
      <x:c r="H186" s="373"/>
      <x:c r="I186" s="373"/>
      <x:c r="J186" s="373"/>
      <x:c r="K186" s="373"/>
      <x:c r="L186" s="373"/>
      <x:c r="M186" s="373"/>
      <x:c r="N186" s="373"/>
      <x:c r="O186" s="373"/>
      <x:c r="P186" s="373"/>
      <x:c r="Q186" s="373"/>
      <x:c r="R186" s="373"/>
      <x:c r="S186" s="373"/>
      <x:c r="T186" s="373"/>
      <x:c r="U186" s="373"/>
      <x:c r="V186" s="373"/>
      <x:c r="W186" s="373"/>
      <x:c r="X186" s="373"/>
      <x:c r="Y186" s="373"/>
      <x:c r="Z186" s="373"/>
    </x:row>
    <x:row r="187">
      <x:c r="A187" s="373"/>
      <x:c r="B187" s="373"/>
      <x:c r="C187" s="373"/>
      <x:c r="D187" s="373"/>
      <x:c r="E187" s="373"/>
      <x:c r="F187" s="373"/>
      <x:c r="G187" s="373"/>
      <x:c r="H187" s="373"/>
      <x:c r="I187" s="373"/>
      <x:c r="J187" s="373"/>
      <x:c r="K187" s="373"/>
      <x:c r="L187" s="373"/>
      <x:c r="M187" s="373"/>
      <x:c r="N187" s="373"/>
      <x:c r="O187" s="373"/>
      <x:c r="P187" s="373"/>
      <x:c r="Q187" s="373"/>
      <x:c r="R187" s="373"/>
      <x:c r="S187" s="373"/>
      <x:c r="T187" s="373"/>
      <x:c r="U187" s="373"/>
      <x:c r="V187" s="373"/>
      <x:c r="W187" s="373"/>
      <x:c r="X187" s="373"/>
      <x:c r="Y187" s="373"/>
      <x:c r="Z187" s="373"/>
    </x:row>
    <x:row r="188">
      <x:c r="A188" s="373"/>
      <x:c r="B188" s="373"/>
      <x:c r="C188" s="373"/>
      <x:c r="D188" s="373"/>
      <x:c r="E188" s="373"/>
      <x:c r="F188" s="373"/>
      <x:c r="G188" s="373"/>
      <x:c r="H188" s="373"/>
      <x:c r="I188" s="373"/>
      <x:c r="J188" s="373"/>
      <x:c r="K188" s="373"/>
      <x:c r="L188" s="373"/>
      <x:c r="M188" s="373"/>
      <x:c r="N188" s="373"/>
      <x:c r="O188" s="373"/>
      <x:c r="P188" s="373"/>
      <x:c r="Q188" s="373"/>
      <x:c r="R188" s="373"/>
      <x:c r="S188" s="373"/>
      <x:c r="T188" s="373"/>
      <x:c r="U188" s="373"/>
      <x:c r="V188" s="373"/>
      <x:c r="W188" s="373"/>
      <x:c r="X188" s="373"/>
      <x:c r="Y188" s="373"/>
      <x:c r="Z188" s="373"/>
    </x:row>
    <x:row r="189">
      <x:c r="A189" s="373"/>
      <x:c r="B189" s="373"/>
      <x:c r="C189" s="373"/>
      <x:c r="D189" s="373"/>
      <x:c r="E189" s="373"/>
      <x:c r="F189" s="373"/>
      <x:c r="G189" s="373"/>
      <x:c r="H189" s="373"/>
      <x:c r="I189" s="373"/>
      <x:c r="J189" s="373"/>
      <x:c r="K189" s="373"/>
      <x:c r="L189" s="373"/>
      <x:c r="M189" s="373"/>
      <x:c r="N189" s="373"/>
      <x:c r="O189" s="373"/>
      <x:c r="P189" s="373"/>
      <x:c r="Q189" s="373"/>
      <x:c r="R189" s="373"/>
      <x:c r="S189" s="373"/>
      <x:c r="T189" s="373"/>
      <x:c r="U189" s="373"/>
      <x:c r="V189" s="373"/>
      <x:c r="W189" s="373"/>
      <x:c r="X189" s="373"/>
      <x:c r="Y189" s="373"/>
      <x:c r="Z189" s="373"/>
    </x:row>
    <x:row r="190">
      <x:c r="A190" s="373"/>
      <x:c r="B190" s="373"/>
      <x:c r="C190" s="373"/>
      <x:c r="D190" s="373"/>
      <x:c r="E190" s="373"/>
      <x:c r="F190" s="373"/>
      <x:c r="G190" s="373"/>
      <x:c r="H190" s="373"/>
      <x:c r="I190" s="373"/>
      <x:c r="J190" s="373"/>
      <x:c r="K190" s="373"/>
      <x:c r="L190" s="373"/>
      <x:c r="M190" s="373"/>
      <x:c r="N190" s="373"/>
      <x:c r="O190" s="373"/>
      <x:c r="P190" s="373"/>
      <x:c r="Q190" s="373"/>
      <x:c r="R190" s="373"/>
      <x:c r="S190" s="373"/>
      <x:c r="T190" s="373"/>
      <x:c r="U190" s="373"/>
      <x:c r="V190" s="373"/>
      <x:c r="W190" s="373"/>
      <x:c r="X190" s="373"/>
      <x:c r="Y190" s="373"/>
      <x:c r="Z190" s="373"/>
    </x:row>
    <x:row r="191">
      <x:c r="A191" s="373"/>
      <x:c r="B191" s="373"/>
      <x:c r="C191" s="373"/>
      <x:c r="D191" s="373"/>
      <x:c r="E191" s="373"/>
      <x:c r="F191" s="373"/>
      <x:c r="G191" s="373"/>
      <x:c r="H191" s="373"/>
      <x:c r="I191" s="373"/>
      <x:c r="J191" s="373"/>
      <x:c r="K191" s="373"/>
      <x:c r="L191" s="373"/>
      <x:c r="M191" s="373"/>
      <x:c r="N191" s="373"/>
      <x:c r="O191" s="373"/>
      <x:c r="P191" s="373"/>
      <x:c r="Q191" s="373"/>
      <x:c r="R191" s="373"/>
      <x:c r="S191" s="373"/>
      <x:c r="T191" s="373"/>
      <x:c r="U191" s="373"/>
      <x:c r="V191" s="373"/>
      <x:c r="W191" s="373"/>
      <x:c r="X191" s="373"/>
      <x:c r="Y191" s="373"/>
      <x:c r="Z191" s="373"/>
    </x:row>
    <x:row r="192">
      <x:c r="A192" s="373"/>
      <x:c r="B192" s="373"/>
      <x:c r="C192" s="373"/>
      <x:c r="D192" s="373"/>
      <x:c r="E192" s="373"/>
      <x:c r="F192" s="373"/>
      <x:c r="G192" s="373"/>
      <x:c r="H192" s="373"/>
      <x:c r="I192" s="373"/>
      <x:c r="J192" s="373"/>
      <x:c r="K192" s="373"/>
      <x:c r="L192" s="373"/>
      <x:c r="M192" s="373"/>
      <x:c r="N192" s="373"/>
      <x:c r="O192" s="373"/>
      <x:c r="P192" s="373"/>
      <x:c r="Q192" s="373"/>
      <x:c r="R192" s="373"/>
      <x:c r="S192" s="373"/>
      <x:c r="T192" s="373"/>
      <x:c r="U192" s="373"/>
      <x:c r="V192" s="373"/>
      <x:c r="W192" s="373"/>
      <x:c r="X192" s="373"/>
      <x:c r="Y192" s="373"/>
      <x:c r="Z192" s="373"/>
    </x:row>
    <x:row r="193">
      <x:c r="A193" s="373"/>
      <x:c r="B193" s="373"/>
      <x:c r="C193" s="373"/>
      <x:c r="D193" s="373"/>
      <x:c r="E193" s="373"/>
      <x:c r="F193" s="373"/>
      <x:c r="G193" s="373"/>
      <x:c r="H193" s="373"/>
      <x:c r="I193" s="373"/>
      <x:c r="J193" s="373"/>
      <x:c r="K193" s="373"/>
      <x:c r="L193" s="373"/>
      <x:c r="M193" s="373"/>
      <x:c r="N193" s="373"/>
      <x:c r="O193" s="373"/>
      <x:c r="P193" s="373"/>
      <x:c r="Q193" s="373"/>
      <x:c r="R193" s="373"/>
      <x:c r="S193" s="373"/>
      <x:c r="T193" s="373"/>
      <x:c r="U193" s="373"/>
      <x:c r="V193" s="373"/>
      <x:c r="W193" s="373"/>
      <x:c r="X193" s="373"/>
      <x:c r="Y193" s="373"/>
      <x:c r="Z193" s="373"/>
    </x:row>
    <x:row r="194">
      <x:c r="A194" s="373"/>
      <x:c r="B194" s="373"/>
      <x:c r="C194" s="373"/>
      <x:c r="D194" s="373"/>
      <x:c r="E194" s="373"/>
      <x:c r="F194" s="373"/>
      <x:c r="G194" s="373"/>
      <x:c r="H194" s="373"/>
      <x:c r="I194" s="373"/>
      <x:c r="J194" s="373"/>
      <x:c r="K194" s="373"/>
      <x:c r="L194" s="373"/>
      <x:c r="M194" s="373"/>
      <x:c r="N194" s="373"/>
      <x:c r="O194" s="373"/>
      <x:c r="P194" s="373"/>
      <x:c r="Q194" s="373"/>
      <x:c r="R194" s="373"/>
      <x:c r="S194" s="373"/>
      <x:c r="T194" s="373"/>
      <x:c r="U194" s="373"/>
      <x:c r="V194" s="373"/>
      <x:c r="W194" s="373"/>
      <x:c r="X194" s="373"/>
      <x:c r="Y194" s="373"/>
      <x:c r="Z194" s="373"/>
    </x:row>
    <x:row r="195">
      <x:c r="A195" s="373"/>
      <x:c r="B195" s="373"/>
      <x:c r="C195" s="373"/>
      <x:c r="D195" s="373"/>
      <x:c r="E195" s="373"/>
      <x:c r="F195" s="373"/>
      <x:c r="G195" s="373"/>
      <x:c r="H195" s="373"/>
      <x:c r="I195" s="373"/>
      <x:c r="J195" s="373"/>
      <x:c r="K195" s="373"/>
      <x:c r="L195" s="373"/>
      <x:c r="M195" s="373"/>
      <x:c r="N195" s="373"/>
      <x:c r="O195" s="373"/>
      <x:c r="P195" s="373"/>
      <x:c r="Q195" s="373"/>
      <x:c r="R195" s="373"/>
      <x:c r="S195" s="373"/>
      <x:c r="T195" s="373"/>
      <x:c r="U195" s="373"/>
      <x:c r="V195" s="373"/>
      <x:c r="W195" s="373"/>
      <x:c r="X195" s="373"/>
      <x:c r="Y195" s="373"/>
      <x:c r="Z195" s="373"/>
    </x:row>
    <x:row r="196">
      <x:c r="A196" s="373"/>
      <x:c r="B196" s="373"/>
      <x:c r="C196" s="373"/>
      <x:c r="D196" s="373"/>
      <x:c r="E196" s="373"/>
      <x:c r="F196" s="373"/>
      <x:c r="G196" s="373"/>
      <x:c r="H196" s="373"/>
      <x:c r="I196" s="373"/>
      <x:c r="J196" s="373"/>
      <x:c r="K196" s="373"/>
      <x:c r="L196" s="373"/>
      <x:c r="M196" s="373"/>
      <x:c r="N196" s="373"/>
      <x:c r="O196" s="373"/>
      <x:c r="P196" s="373"/>
      <x:c r="Q196" s="373"/>
      <x:c r="R196" s="373"/>
      <x:c r="S196" s="373"/>
      <x:c r="T196" s="373"/>
      <x:c r="U196" s="373"/>
      <x:c r="V196" s="373"/>
      <x:c r="W196" s="373"/>
      <x:c r="X196" s="373"/>
      <x:c r="Y196" s="373"/>
      <x:c r="Z196" s="373"/>
    </x:row>
    <x:row r="197">
      <x:c r="A197" s="373"/>
      <x:c r="B197" s="373"/>
      <x:c r="C197" s="373"/>
      <x:c r="D197" s="373"/>
      <x:c r="E197" s="373"/>
      <x:c r="F197" s="373"/>
      <x:c r="G197" s="373"/>
      <x:c r="H197" s="373"/>
      <x:c r="I197" s="373"/>
      <x:c r="J197" s="373"/>
      <x:c r="K197" s="373"/>
      <x:c r="L197" s="373"/>
      <x:c r="M197" s="373"/>
      <x:c r="N197" s="373"/>
      <x:c r="O197" s="373"/>
      <x:c r="P197" s="373"/>
      <x:c r="Q197" s="373"/>
      <x:c r="R197" s="373"/>
      <x:c r="S197" s="373"/>
      <x:c r="T197" s="373"/>
      <x:c r="U197" s="373"/>
      <x:c r="V197" s="373"/>
      <x:c r="W197" s="373"/>
      <x:c r="X197" s="373"/>
      <x:c r="Y197" s="373"/>
      <x:c r="Z197" s="373"/>
    </x:row>
    <x:row r="198">
      <x:c r="A198" s="373"/>
      <x:c r="B198" s="373"/>
      <x:c r="C198" s="373"/>
      <x:c r="D198" s="373"/>
      <x:c r="E198" s="373"/>
      <x:c r="F198" s="373"/>
      <x:c r="G198" s="373"/>
      <x:c r="H198" s="373"/>
      <x:c r="I198" s="373"/>
      <x:c r="J198" s="373"/>
      <x:c r="K198" s="373"/>
      <x:c r="L198" s="373"/>
      <x:c r="M198" s="373"/>
      <x:c r="N198" s="373"/>
      <x:c r="O198" s="373"/>
      <x:c r="P198" s="373"/>
      <x:c r="Q198" s="373"/>
      <x:c r="R198" s="373"/>
      <x:c r="S198" s="373"/>
      <x:c r="T198" s="373"/>
      <x:c r="U198" s="373"/>
      <x:c r="V198" s="373"/>
      <x:c r="W198" s="373"/>
      <x:c r="X198" s="373"/>
      <x:c r="Y198" s="373"/>
      <x:c r="Z198" s="373"/>
    </x:row>
    <x:row r="199">
      <x:c r="A199" s="373"/>
      <x:c r="B199" s="373"/>
      <x:c r="C199" s="373"/>
      <x:c r="D199" s="373"/>
      <x:c r="E199" s="373"/>
      <x:c r="F199" s="373"/>
      <x:c r="G199" s="373"/>
      <x:c r="H199" s="373"/>
      <x:c r="I199" s="373"/>
      <x:c r="J199" s="373"/>
      <x:c r="K199" s="373"/>
      <x:c r="L199" s="373"/>
      <x:c r="M199" s="373"/>
      <x:c r="N199" s="373"/>
      <x:c r="O199" s="373"/>
      <x:c r="P199" s="373"/>
      <x:c r="Q199" s="373"/>
      <x:c r="R199" s="373"/>
      <x:c r="S199" s="373"/>
      <x:c r="T199" s="373"/>
      <x:c r="U199" s="373"/>
      <x:c r="V199" s="373"/>
      <x:c r="W199" s="373"/>
      <x:c r="X199" s="373"/>
      <x:c r="Y199" s="373"/>
      <x:c r="Z199" s="373"/>
    </x:row>
    <x:row r="200">
      <x:c r="A200" s="373"/>
      <x:c r="B200" s="373"/>
      <x:c r="C200" s="373"/>
      <x:c r="D200" s="373"/>
      <x:c r="E200" s="373"/>
      <x:c r="F200" s="373"/>
      <x:c r="G200" s="373"/>
      <x:c r="H200" s="373"/>
      <x:c r="I200" s="373"/>
      <x:c r="J200" s="373"/>
      <x:c r="K200" s="373"/>
      <x:c r="L200" s="373"/>
      <x:c r="M200" s="373"/>
      <x:c r="N200" s="373"/>
      <x:c r="O200" s="373"/>
      <x:c r="P200" s="373"/>
      <x:c r="Q200" s="373"/>
      <x:c r="R200" s="373"/>
      <x:c r="S200" s="373"/>
      <x:c r="T200" s="373"/>
      <x:c r="U200" s="373"/>
      <x:c r="V200" s="373"/>
      <x:c r="W200" s="373"/>
      <x:c r="X200" s="373"/>
      <x:c r="Y200" s="373"/>
      <x:c r="Z200" s="373"/>
    </x:row>
    <x:row r="201">
      <x:c r="A201" s="373"/>
      <x:c r="B201" s="373"/>
      <x:c r="C201" s="373"/>
      <x:c r="D201" s="373"/>
      <x:c r="E201" s="373"/>
      <x:c r="F201" s="373"/>
      <x:c r="G201" s="373"/>
      <x:c r="H201" s="373"/>
      <x:c r="I201" s="373"/>
      <x:c r="J201" s="373"/>
      <x:c r="K201" s="373"/>
      <x:c r="L201" s="373"/>
      <x:c r="M201" s="373"/>
      <x:c r="N201" s="373"/>
      <x:c r="O201" s="373"/>
      <x:c r="P201" s="373"/>
      <x:c r="Q201" s="373"/>
      <x:c r="R201" s="373"/>
      <x:c r="S201" s="373"/>
      <x:c r="T201" s="373"/>
      <x:c r="U201" s="373"/>
      <x:c r="V201" s="373"/>
      <x:c r="W201" s="373"/>
      <x:c r="X201" s="373"/>
      <x:c r="Y201" s="373"/>
      <x:c r="Z201" s="373"/>
    </x:row>
    <x:row r="202">
      <x:c r="A202" s="373"/>
      <x:c r="B202" s="373"/>
      <x:c r="C202" s="373"/>
      <x:c r="D202" s="373"/>
      <x:c r="E202" s="373"/>
      <x:c r="F202" s="373"/>
      <x:c r="G202" s="373"/>
      <x:c r="H202" s="373"/>
      <x:c r="I202" s="373"/>
      <x:c r="J202" s="373"/>
      <x:c r="K202" s="373"/>
      <x:c r="L202" s="373"/>
      <x:c r="M202" s="373"/>
      <x:c r="N202" s="373"/>
      <x:c r="O202" s="373"/>
      <x:c r="P202" s="373"/>
      <x:c r="Q202" s="373"/>
      <x:c r="R202" s="373"/>
      <x:c r="S202" s="373"/>
      <x:c r="T202" s="373"/>
      <x:c r="U202" s="373"/>
      <x:c r="V202" s="373"/>
      <x:c r="W202" s="373"/>
      <x:c r="X202" s="373"/>
      <x:c r="Y202" s="373"/>
      <x:c r="Z202" s="373"/>
    </x:row>
    <x:row r="203">
      <x:c r="A203" s="373"/>
      <x:c r="B203" s="373"/>
      <x:c r="C203" s="373"/>
      <x:c r="D203" s="373"/>
      <x:c r="E203" s="373"/>
      <x:c r="F203" s="373"/>
      <x:c r="G203" s="373"/>
      <x:c r="H203" s="373"/>
      <x:c r="I203" s="373"/>
      <x:c r="J203" s="373"/>
      <x:c r="K203" s="373"/>
      <x:c r="L203" s="373"/>
      <x:c r="M203" s="373"/>
      <x:c r="N203" s="373"/>
      <x:c r="O203" s="373"/>
      <x:c r="P203" s="373"/>
      <x:c r="Q203" s="373"/>
      <x:c r="R203" s="373"/>
      <x:c r="S203" s="373"/>
      <x:c r="T203" s="373"/>
      <x:c r="U203" s="373"/>
      <x:c r="V203" s="373"/>
      <x:c r="W203" s="373"/>
      <x:c r="X203" s="373"/>
      <x:c r="Y203" s="373"/>
      <x:c r="Z203" s="373"/>
    </x:row>
    <x:row r="204">
      <x:c r="A204" s="373"/>
      <x:c r="B204" s="373"/>
      <x:c r="C204" s="373"/>
      <x:c r="D204" s="373"/>
      <x:c r="E204" s="373"/>
      <x:c r="F204" s="373"/>
      <x:c r="G204" s="373"/>
      <x:c r="H204" s="373"/>
      <x:c r="I204" s="373"/>
      <x:c r="J204" s="373"/>
      <x:c r="K204" s="373"/>
      <x:c r="L204" s="373"/>
      <x:c r="M204" s="373"/>
      <x:c r="N204" s="373"/>
      <x:c r="O204" s="373"/>
      <x:c r="P204" s="373"/>
      <x:c r="Q204" s="373"/>
      <x:c r="R204" s="373"/>
      <x:c r="S204" s="373"/>
      <x:c r="T204" s="373"/>
      <x:c r="U204" s="373"/>
      <x:c r="V204" s="373"/>
      <x:c r="W204" s="373"/>
      <x:c r="X204" s="373"/>
      <x:c r="Y204" s="373"/>
      <x:c r="Z204" s="373"/>
    </x:row>
    <x:row r="205">
      <x:c r="A205" s="373"/>
      <x:c r="B205" s="373"/>
      <x:c r="C205" s="373"/>
      <x:c r="D205" s="373"/>
      <x:c r="E205" s="373"/>
      <x:c r="F205" s="373"/>
      <x:c r="G205" s="373"/>
      <x:c r="H205" s="373"/>
      <x:c r="I205" s="373"/>
      <x:c r="J205" s="373"/>
      <x:c r="K205" s="373"/>
      <x:c r="L205" s="373"/>
      <x:c r="M205" s="373"/>
      <x:c r="N205" s="373"/>
      <x:c r="O205" s="373"/>
      <x:c r="P205" s="373"/>
      <x:c r="Q205" s="373"/>
      <x:c r="R205" s="373"/>
      <x:c r="S205" s="373"/>
      <x:c r="T205" s="373"/>
      <x:c r="U205" s="373"/>
      <x:c r="V205" s="373"/>
      <x:c r="W205" s="373"/>
      <x:c r="X205" s="373"/>
      <x:c r="Y205" s="373"/>
      <x:c r="Z205" s="373"/>
    </x:row>
    <x:row r="206">
      <x:c r="A206" s="373"/>
      <x:c r="B206" s="373"/>
      <x:c r="C206" s="373"/>
      <x:c r="D206" s="373"/>
      <x:c r="E206" s="373"/>
      <x:c r="F206" s="373"/>
      <x:c r="G206" s="373"/>
      <x:c r="H206" s="373"/>
      <x:c r="I206" s="373"/>
      <x:c r="J206" s="373"/>
      <x:c r="K206" s="373"/>
      <x:c r="L206" s="373"/>
      <x:c r="M206" s="373"/>
      <x:c r="N206" s="373"/>
      <x:c r="O206" s="373"/>
      <x:c r="P206" s="373"/>
      <x:c r="Q206" s="373"/>
      <x:c r="R206" s="373"/>
      <x:c r="S206" s="373"/>
      <x:c r="T206" s="373"/>
      <x:c r="U206" s="373"/>
      <x:c r="V206" s="373"/>
      <x:c r="W206" s="373"/>
      <x:c r="X206" s="373"/>
      <x:c r="Y206" s="373"/>
      <x:c r="Z206" s="373"/>
    </x:row>
    <x:row r="207">
      <x:c r="A207" s="373"/>
      <x:c r="B207" s="373"/>
      <x:c r="C207" s="373"/>
      <x:c r="D207" s="373"/>
      <x:c r="E207" s="373"/>
      <x:c r="F207" s="373"/>
      <x:c r="G207" s="373"/>
      <x:c r="H207" s="373"/>
      <x:c r="I207" s="373"/>
      <x:c r="J207" s="373"/>
      <x:c r="K207" s="373"/>
      <x:c r="L207" s="373"/>
      <x:c r="M207" s="373"/>
      <x:c r="N207" s="373"/>
      <x:c r="O207" s="373"/>
      <x:c r="P207" s="373"/>
      <x:c r="Q207" s="373"/>
      <x:c r="R207" s="373"/>
      <x:c r="S207" s="373"/>
      <x:c r="T207" s="373"/>
      <x:c r="U207" s="373"/>
      <x:c r="V207" s="373"/>
      <x:c r="W207" s="373"/>
      <x:c r="X207" s="373"/>
      <x:c r="Y207" s="373"/>
      <x:c r="Z207" s="373"/>
    </x:row>
    <x:row r="208">
      <x:c r="A208" s="373"/>
      <x:c r="B208" s="373"/>
      <x:c r="C208" s="373"/>
      <x:c r="D208" s="373"/>
      <x:c r="E208" s="373"/>
      <x:c r="F208" s="373"/>
      <x:c r="G208" s="373"/>
      <x:c r="H208" s="373"/>
      <x:c r="I208" s="373"/>
      <x:c r="J208" s="373"/>
      <x:c r="K208" s="373"/>
      <x:c r="L208" s="373"/>
      <x:c r="M208" s="373"/>
      <x:c r="N208" s="373"/>
      <x:c r="O208" s="373"/>
      <x:c r="P208" s="373"/>
      <x:c r="Q208" s="373"/>
      <x:c r="R208" s="373"/>
      <x:c r="S208" s="373"/>
      <x:c r="T208" s="373"/>
      <x:c r="U208" s="373"/>
      <x:c r="V208" s="373"/>
      <x:c r="W208" s="373"/>
      <x:c r="X208" s="373"/>
      <x:c r="Y208" s="373"/>
      <x:c r="Z208" s="373"/>
    </x:row>
    <x:row r="209">
      <x:c r="A209" s="373"/>
      <x:c r="B209" s="373"/>
      <x:c r="C209" s="373"/>
      <x:c r="D209" s="373"/>
      <x:c r="E209" s="373"/>
      <x:c r="F209" s="373"/>
      <x:c r="G209" s="373"/>
      <x:c r="H209" s="373"/>
      <x:c r="I209" s="373"/>
      <x:c r="J209" s="373"/>
      <x:c r="K209" s="373"/>
      <x:c r="L209" s="373"/>
      <x:c r="M209" s="373"/>
      <x:c r="N209" s="373"/>
      <x:c r="O209" s="373"/>
      <x:c r="P209" s="373"/>
      <x:c r="Q209" s="373"/>
      <x:c r="R209" s="373"/>
      <x:c r="S209" s="373"/>
      <x:c r="T209" s="373"/>
      <x:c r="U209" s="373"/>
      <x:c r="V209" s="373"/>
      <x:c r="W209" s="373"/>
      <x:c r="X209" s="373"/>
      <x:c r="Y209" s="373"/>
      <x:c r="Z209" s="373"/>
    </x:row>
    <x:row r="210">
      <x:c r="A210" s="373"/>
      <x:c r="B210" s="373"/>
      <x:c r="C210" s="373"/>
      <x:c r="D210" s="373"/>
      <x:c r="E210" s="373"/>
      <x:c r="F210" s="373"/>
      <x:c r="G210" s="373"/>
      <x:c r="H210" s="373"/>
      <x:c r="I210" s="373"/>
      <x:c r="J210" s="373"/>
      <x:c r="K210" s="373"/>
      <x:c r="L210" s="373"/>
      <x:c r="M210" s="373"/>
      <x:c r="N210" s="373"/>
      <x:c r="O210" s="373"/>
      <x:c r="P210" s="373"/>
      <x:c r="Q210" s="373"/>
      <x:c r="R210" s="373"/>
      <x:c r="S210" s="373"/>
      <x:c r="T210" s="373"/>
      <x:c r="U210" s="373"/>
      <x:c r="V210" s="373"/>
      <x:c r="W210" s="373"/>
      <x:c r="X210" s="373"/>
      <x:c r="Y210" s="373"/>
      <x:c r="Z210" s="373"/>
    </x:row>
    <x:row r="211">
      <x:c r="A211" s="373"/>
      <x:c r="B211" s="373"/>
      <x:c r="C211" s="373"/>
      <x:c r="D211" s="373"/>
      <x:c r="E211" s="373"/>
      <x:c r="F211" s="373"/>
      <x:c r="G211" s="373"/>
      <x:c r="H211" s="373"/>
      <x:c r="I211" s="373"/>
      <x:c r="J211" s="373"/>
      <x:c r="K211" s="373"/>
      <x:c r="L211" s="373"/>
      <x:c r="M211" s="373"/>
      <x:c r="N211" s="373"/>
      <x:c r="O211" s="373"/>
      <x:c r="P211" s="373"/>
      <x:c r="Q211" s="373"/>
      <x:c r="R211" s="373"/>
      <x:c r="S211" s="373"/>
      <x:c r="T211" s="373"/>
      <x:c r="U211" s="373"/>
      <x:c r="V211" s="373"/>
      <x:c r="W211" s="373"/>
      <x:c r="X211" s="373"/>
      <x:c r="Y211" s="373"/>
      <x:c r="Z211" s="373"/>
    </x:row>
    <x:row r="212">
      <x:c r="A212" s="373"/>
      <x:c r="B212" s="373"/>
      <x:c r="C212" s="373"/>
      <x:c r="D212" s="373"/>
      <x:c r="E212" s="373"/>
      <x:c r="F212" s="373"/>
      <x:c r="G212" s="373"/>
      <x:c r="H212" s="373"/>
      <x:c r="I212" s="373"/>
      <x:c r="J212" s="373"/>
      <x:c r="K212" s="373"/>
      <x:c r="L212" s="373"/>
      <x:c r="M212" s="373"/>
      <x:c r="N212" s="373"/>
      <x:c r="O212" s="373"/>
      <x:c r="P212" s="373"/>
      <x:c r="Q212" s="373"/>
      <x:c r="R212" s="373"/>
      <x:c r="S212" s="373"/>
      <x:c r="T212" s="373"/>
      <x:c r="U212" s="373"/>
      <x:c r="V212" s="373"/>
      <x:c r="W212" s="373"/>
      <x:c r="X212" s="373"/>
      <x:c r="Y212" s="373"/>
      <x:c r="Z212" s="373"/>
    </x:row>
    <x:row r="213">
      <x:c r="A213" s="373"/>
      <x:c r="B213" s="373"/>
      <x:c r="C213" s="373"/>
      <x:c r="D213" s="373"/>
      <x:c r="E213" s="373"/>
      <x:c r="F213" s="373"/>
      <x:c r="G213" s="373"/>
      <x:c r="H213" s="373"/>
      <x:c r="I213" s="373"/>
      <x:c r="J213" s="373"/>
      <x:c r="K213" s="373"/>
      <x:c r="L213" s="373"/>
      <x:c r="M213" s="373"/>
      <x:c r="N213" s="373"/>
      <x:c r="O213" s="373"/>
      <x:c r="P213" s="373"/>
      <x:c r="Q213" s="373"/>
      <x:c r="R213" s="373"/>
      <x:c r="S213" s="373"/>
      <x:c r="T213" s="373"/>
      <x:c r="U213" s="373"/>
      <x:c r="V213" s="373"/>
      <x:c r="W213" s="373"/>
      <x:c r="X213" s="373"/>
      <x:c r="Y213" s="373"/>
      <x:c r="Z213" s="373"/>
    </x:row>
    <x:row r="214">
      <x:c r="A214" s="373"/>
      <x:c r="B214" s="373"/>
      <x:c r="C214" s="373"/>
      <x:c r="D214" s="373"/>
      <x:c r="E214" s="373"/>
      <x:c r="F214" s="373"/>
      <x:c r="G214" s="373"/>
      <x:c r="H214" s="373"/>
      <x:c r="I214" s="373"/>
      <x:c r="J214" s="373"/>
      <x:c r="K214" s="373"/>
      <x:c r="L214" s="373"/>
      <x:c r="M214" s="373"/>
      <x:c r="N214" s="373"/>
      <x:c r="O214" s="373"/>
      <x:c r="P214" s="373"/>
      <x:c r="Q214" s="373"/>
      <x:c r="R214" s="373"/>
      <x:c r="S214" s="373"/>
      <x:c r="T214" s="373"/>
      <x:c r="U214" s="373"/>
      <x:c r="V214" s="373"/>
      <x:c r="W214" s="373"/>
      <x:c r="X214" s="373"/>
      <x:c r="Y214" s="373"/>
      <x:c r="Z214" s="373"/>
    </x:row>
    <x:row r="215">
      <x:c r="A215" s="373"/>
      <x:c r="B215" s="373"/>
      <x:c r="C215" s="373"/>
      <x:c r="D215" s="373"/>
      <x:c r="E215" s="373"/>
      <x:c r="F215" s="373"/>
      <x:c r="G215" s="373"/>
      <x:c r="H215" s="373"/>
      <x:c r="I215" s="373"/>
      <x:c r="J215" s="373"/>
      <x:c r="K215" s="373"/>
      <x:c r="L215" s="373"/>
      <x:c r="M215" s="373"/>
      <x:c r="N215" s="373"/>
      <x:c r="O215" s="373"/>
      <x:c r="P215" s="373"/>
      <x:c r="Q215" s="373"/>
      <x:c r="R215" s="373"/>
      <x:c r="S215" s="373"/>
      <x:c r="T215" s="373"/>
      <x:c r="U215" s="373"/>
      <x:c r="V215" s="373"/>
      <x:c r="W215" s="373"/>
      <x:c r="X215" s="373"/>
      <x:c r="Y215" s="373"/>
      <x:c r="Z215" s="373"/>
    </x:row>
    <x:row r="216">
      <x:c r="A216" s="373"/>
      <x:c r="B216" s="373"/>
      <x:c r="C216" s="373"/>
      <x:c r="D216" s="373"/>
      <x:c r="E216" s="373"/>
      <x:c r="F216" s="373"/>
      <x:c r="G216" s="373"/>
      <x:c r="H216" s="373"/>
      <x:c r="I216" s="373"/>
      <x:c r="J216" s="373"/>
      <x:c r="K216" s="373"/>
      <x:c r="L216" s="373"/>
      <x:c r="M216" s="373"/>
      <x:c r="N216" s="373"/>
      <x:c r="O216" s="373"/>
      <x:c r="P216" s="373"/>
      <x:c r="Q216" s="373"/>
      <x:c r="R216" s="373"/>
      <x:c r="S216" s="373"/>
      <x:c r="T216" s="373"/>
      <x:c r="U216" s="373"/>
      <x:c r="V216" s="373"/>
      <x:c r="W216" s="373"/>
      <x:c r="X216" s="373"/>
      <x:c r="Y216" s="373"/>
      <x:c r="Z216" s="373"/>
    </x:row>
    <x:row r="217">
      <x:c r="A217" s="373"/>
      <x:c r="B217" s="373"/>
      <x:c r="C217" s="373"/>
      <x:c r="D217" s="373"/>
      <x:c r="E217" s="373"/>
      <x:c r="F217" s="373"/>
      <x:c r="G217" s="373"/>
      <x:c r="H217" s="373"/>
      <x:c r="I217" s="373"/>
      <x:c r="J217" s="373"/>
      <x:c r="K217" s="373"/>
      <x:c r="L217" s="373"/>
      <x:c r="M217" s="373"/>
      <x:c r="N217" s="373"/>
      <x:c r="O217" s="373"/>
      <x:c r="P217" s="373"/>
      <x:c r="Q217" s="373"/>
      <x:c r="R217" s="373"/>
      <x:c r="S217" s="373"/>
      <x:c r="T217" s="373"/>
      <x:c r="U217" s="373"/>
      <x:c r="V217" s="373"/>
      <x:c r="W217" s="373"/>
      <x:c r="X217" s="373"/>
      <x:c r="Y217" s="373"/>
      <x:c r="Z217" s="373"/>
    </x:row>
    <x:row r="218">
      <x:c r="A218" s="373"/>
      <x:c r="B218" s="373"/>
      <x:c r="C218" s="373"/>
      <x:c r="D218" s="373"/>
      <x:c r="E218" s="373"/>
      <x:c r="F218" s="373"/>
      <x:c r="G218" s="373"/>
      <x:c r="H218" s="373"/>
      <x:c r="I218" s="373"/>
      <x:c r="J218" s="373"/>
      <x:c r="K218" s="373"/>
      <x:c r="L218" s="373"/>
      <x:c r="M218" s="373"/>
      <x:c r="N218" s="373"/>
      <x:c r="O218" s="373"/>
      <x:c r="P218" s="373"/>
      <x:c r="Q218" s="373"/>
      <x:c r="R218" s="373"/>
      <x:c r="S218" s="373"/>
      <x:c r="T218" s="373"/>
      <x:c r="U218" s="373"/>
      <x:c r="V218" s="373"/>
      <x:c r="W218" s="373"/>
      <x:c r="X218" s="373"/>
      <x:c r="Y218" s="373"/>
      <x:c r="Z218" s="373"/>
    </x:row>
    <x:row r="219">
      <x:c r="A219" s="373"/>
      <x:c r="B219" s="373"/>
      <x:c r="C219" s="373"/>
      <x:c r="D219" s="373"/>
      <x:c r="E219" s="373"/>
      <x:c r="F219" s="373"/>
      <x:c r="G219" s="373"/>
      <x:c r="H219" s="373"/>
      <x:c r="I219" s="373"/>
      <x:c r="J219" s="373"/>
      <x:c r="K219" s="373"/>
      <x:c r="L219" s="373"/>
      <x:c r="M219" s="373"/>
      <x:c r="N219" s="373"/>
      <x:c r="O219" s="373"/>
      <x:c r="P219" s="373"/>
      <x:c r="Q219" s="373"/>
      <x:c r="R219" s="373"/>
      <x:c r="S219" s="373"/>
      <x:c r="T219" s="373"/>
      <x:c r="U219" s="373"/>
      <x:c r="V219" s="373"/>
      <x:c r="W219" s="373"/>
      <x:c r="X219" s="373"/>
      <x:c r="Y219" s="373"/>
      <x:c r="Z219" s="373"/>
    </x:row>
    <x:row r="220">
      <x:c r="A220" s="373"/>
      <x:c r="B220" s="373"/>
      <x:c r="C220" s="373"/>
      <x:c r="D220" s="373"/>
      <x:c r="E220" s="373"/>
      <x:c r="F220" s="373"/>
      <x:c r="G220" s="373"/>
      <x:c r="H220" s="373"/>
      <x:c r="I220" s="373"/>
      <x:c r="J220" s="373"/>
      <x:c r="K220" s="373"/>
      <x:c r="L220" s="373"/>
      <x:c r="M220" s="373"/>
      <x:c r="N220" s="373"/>
      <x:c r="O220" s="373"/>
      <x:c r="P220" s="373"/>
      <x:c r="Q220" s="373"/>
      <x:c r="R220" s="373"/>
      <x:c r="S220" s="373"/>
      <x:c r="T220" s="373"/>
      <x:c r="U220" s="373"/>
      <x:c r="V220" s="373"/>
      <x:c r="W220" s="373"/>
      <x:c r="X220" s="373"/>
      <x:c r="Y220" s="373"/>
      <x:c r="Z220" s="373"/>
    </x:row>
    <x:row r="221">
      <x:c r="A221" s="373"/>
      <x:c r="B221" s="373"/>
      <x:c r="C221" s="373"/>
      <x:c r="D221" s="373"/>
      <x:c r="E221" s="373"/>
      <x:c r="F221" s="373"/>
      <x:c r="G221" s="373"/>
      <x:c r="H221" s="373"/>
      <x:c r="I221" s="373"/>
      <x:c r="J221" s="373"/>
      <x:c r="K221" s="373"/>
      <x:c r="L221" s="373"/>
      <x:c r="M221" s="373"/>
      <x:c r="N221" s="373"/>
      <x:c r="O221" s="373"/>
      <x:c r="P221" s="373"/>
      <x:c r="Q221" s="373"/>
      <x:c r="R221" s="373"/>
      <x:c r="S221" s="373"/>
      <x:c r="T221" s="373"/>
      <x:c r="U221" s="373"/>
      <x:c r="V221" s="373"/>
      <x:c r="W221" s="373"/>
      <x:c r="X221" s="373"/>
      <x:c r="Y221" s="373"/>
      <x:c r="Z221" s="373"/>
    </x:row>
    <x:row r="222">
      <x:c r="A222" s="373"/>
      <x:c r="B222" s="373"/>
      <x:c r="C222" s="373"/>
      <x:c r="D222" s="373"/>
      <x:c r="E222" s="373"/>
      <x:c r="F222" s="373"/>
      <x:c r="G222" s="373"/>
      <x:c r="H222" s="373"/>
      <x:c r="I222" s="373"/>
      <x:c r="J222" s="373"/>
      <x:c r="K222" s="373"/>
      <x:c r="L222" s="373"/>
      <x:c r="M222" s="373"/>
      <x:c r="N222" s="373"/>
      <x:c r="O222" s="373"/>
      <x:c r="P222" s="373"/>
      <x:c r="Q222" s="373"/>
      <x:c r="R222" s="373"/>
      <x:c r="S222" s="373"/>
      <x:c r="T222" s="373"/>
      <x:c r="U222" s="373"/>
      <x:c r="V222" s="373"/>
      <x:c r="W222" s="373"/>
      <x:c r="X222" s="373"/>
      <x:c r="Y222" s="373"/>
      <x:c r="Z222" s="373"/>
    </x:row>
    <x:row r="223">
      <x:c r="A223" s="373"/>
      <x:c r="B223" s="373"/>
      <x:c r="C223" s="373"/>
      <x:c r="D223" s="373"/>
      <x:c r="E223" s="373"/>
      <x:c r="F223" s="373"/>
      <x:c r="G223" s="373"/>
      <x:c r="H223" s="373"/>
      <x:c r="I223" s="373"/>
      <x:c r="J223" s="373"/>
      <x:c r="K223" s="373"/>
      <x:c r="L223" s="373"/>
      <x:c r="M223" s="373"/>
      <x:c r="N223" s="373"/>
      <x:c r="O223" s="373"/>
      <x:c r="P223" s="373"/>
      <x:c r="Q223" s="373"/>
      <x:c r="R223" s="373"/>
      <x:c r="S223" s="373"/>
      <x:c r="T223" s="373"/>
      <x:c r="U223" s="373"/>
      <x:c r="V223" s="373"/>
      <x:c r="W223" s="373"/>
      <x:c r="X223" s="373"/>
      <x:c r="Y223" s="373"/>
      <x:c r="Z223" s="373"/>
    </x:row>
    <x:row r="224">
      <x:c r="A224" s="373"/>
      <x:c r="B224" s="373"/>
      <x:c r="C224" s="373"/>
      <x:c r="D224" s="373"/>
      <x:c r="E224" s="373"/>
      <x:c r="F224" s="373"/>
      <x:c r="G224" s="373"/>
      <x:c r="H224" s="373"/>
      <x:c r="I224" s="373"/>
      <x:c r="J224" s="373"/>
      <x:c r="K224" s="373"/>
      <x:c r="L224" s="373"/>
      <x:c r="M224" s="373"/>
      <x:c r="N224" s="373"/>
      <x:c r="O224" s="373"/>
      <x:c r="P224" s="373"/>
      <x:c r="Q224" s="373"/>
      <x:c r="R224" s="373"/>
      <x:c r="S224" s="373"/>
      <x:c r="T224" s="373"/>
      <x:c r="U224" s="373"/>
      <x:c r="V224" s="373"/>
      <x:c r="W224" s="373"/>
      <x:c r="X224" s="373"/>
      <x:c r="Y224" s="373"/>
      <x:c r="Z224" s="373"/>
    </x:row>
    <x:row r="225">
      <x:c r="A225" s="373"/>
      <x:c r="B225" s="373"/>
      <x:c r="C225" s="373"/>
      <x:c r="D225" s="373"/>
      <x:c r="E225" s="373"/>
      <x:c r="F225" s="373"/>
      <x:c r="G225" s="373"/>
      <x:c r="H225" s="373"/>
      <x:c r="I225" s="373"/>
      <x:c r="J225" s="373"/>
      <x:c r="K225" s="373"/>
      <x:c r="L225" s="373"/>
      <x:c r="M225" s="373"/>
      <x:c r="N225" s="373"/>
      <x:c r="O225" s="373"/>
      <x:c r="P225" s="373"/>
      <x:c r="Q225" s="373"/>
      <x:c r="R225" s="373"/>
      <x:c r="S225" s="373"/>
      <x:c r="T225" s="373"/>
      <x:c r="U225" s="373"/>
      <x:c r="V225" s="373"/>
      <x:c r="W225" s="373"/>
      <x:c r="X225" s="373"/>
      <x:c r="Y225" s="373"/>
      <x:c r="Z225" s="373"/>
    </x:row>
    <x:row r="226">
      <x:c r="A226" s="373"/>
      <x:c r="B226" s="373"/>
      <x:c r="C226" s="373"/>
      <x:c r="D226" s="373"/>
      <x:c r="E226" s="373"/>
      <x:c r="F226" s="373"/>
      <x:c r="G226" s="373"/>
      <x:c r="H226" s="373"/>
      <x:c r="I226" s="373"/>
      <x:c r="J226" s="373"/>
      <x:c r="K226" s="373"/>
      <x:c r="L226" s="373"/>
      <x:c r="M226" s="373"/>
      <x:c r="N226" s="373"/>
      <x:c r="O226" s="373"/>
      <x:c r="P226" s="373"/>
      <x:c r="Q226" s="373"/>
      <x:c r="R226" s="373"/>
      <x:c r="S226" s="373"/>
      <x:c r="T226" s="373"/>
      <x:c r="U226" s="373"/>
      <x:c r="V226" s="373"/>
      <x:c r="W226" s="373"/>
      <x:c r="X226" s="373"/>
      <x:c r="Y226" s="373"/>
      <x:c r="Z226" s="373"/>
    </x:row>
    <x:row r="227">
      <x:c r="A227" s="373"/>
      <x:c r="B227" s="373"/>
      <x:c r="C227" s="373"/>
      <x:c r="D227" s="373"/>
      <x:c r="E227" s="373"/>
      <x:c r="F227" s="373"/>
      <x:c r="G227" s="373"/>
      <x:c r="H227" s="373"/>
      <x:c r="I227" s="373"/>
      <x:c r="J227" s="373"/>
      <x:c r="K227" s="373"/>
      <x:c r="L227" s="373"/>
      <x:c r="M227" s="373"/>
      <x:c r="N227" s="373"/>
      <x:c r="O227" s="373"/>
      <x:c r="P227" s="373"/>
      <x:c r="Q227" s="373"/>
      <x:c r="R227" s="373"/>
      <x:c r="S227" s="373"/>
      <x:c r="T227" s="373"/>
      <x:c r="U227" s="373"/>
      <x:c r="V227" s="373"/>
      <x:c r="W227" s="373"/>
      <x:c r="X227" s="373"/>
      <x:c r="Y227" s="373"/>
      <x:c r="Z227" s="373"/>
    </x:row>
    <x:row r="228">
      <x:c r="A228" s="373"/>
      <x:c r="B228" s="373"/>
      <x:c r="C228" s="373"/>
      <x:c r="D228" s="373"/>
      <x:c r="E228" s="373"/>
      <x:c r="F228" s="373"/>
      <x:c r="G228" s="373"/>
      <x:c r="H228" s="373"/>
      <x:c r="I228" s="373"/>
      <x:c r="J228" s="373"/>
      <x:c r="K228" s="373"/>
      <x:c r="L228" s="373"/>
      <x:c r="M228" s="373"/>
      <x:c r="N228" s="373"/>
      <x:c r="O228" s="373"/>
      <x:c r="P228" s="373"/>
      <x:c r="Q228" s="373"/>
      <x:c r="R228" s="373"/>
      <x:c r="S228" s="373"/>
      <x:c r="T228" s="373"/>
      <x:c r="U228" s="373"/>
      <x:c r="V228" s="373"/>
      <x:c r="W228" s="373"/>
      <x:c r="X228" s="373"/>
      <x:c r="Y228" s="373"/>
      <x:c r="Z228" s="373"/>
    </x:row>
    <x:row r="229">
      <x:c r="A229" s="373"/>
      <x:c r="B229" s="373"/>
      <x:c r="C229" s="373"/>
      <x:c r="D229" s="373"/>
      <x:c r="E229" s="373"/>
      <x:c r="F229" s="373"/>
      <x:c r="G229" s="373"/>
      <x:c r="H229" s="373"/>
      <x:c r="I229" s="373"/>
      <x:c r="J229" s="373"/>
      <x:c r="K229" s="373"/>
      <x:c r="L229" s="373"/>
      <x:c r="M229" s="373"/>
      <x:c r="N229" s="373"/>
      <x:c r="O229" s="373"/>
      <x:c r="P229" s="373"/>
      <x:c r="Q229" s="373"/>
      <x:c r="R229" s="373"/>
      <x:c r="S229" s="373"/>
      <x:c r="T229" s="373"/>
      <x:c r="U229" s="373"/>
      <x:c r="V229" s="373"/>
      <x:c r="W229" s="373"/>
      <x:c r="X229" s="373"/>
      <x:c r="Y229" s="373"/>
      <x:c r="Z229" s="373"/>
    </x:row>
    <x:row r="230">
      <x:c r="A230" s="373"/>
      <x:c r="B230" s="373"/>
      <x:c r="C230" s="373"/>
      <x:c r="D230" s="373"/>
      <x:c r="E230" s="373"/>
      <x:c r="F230" s="373"/>
      <x:c r="G230" s="373"/>
      <x:c r="H230" s="373"/>
      <x:c r="I230" s="373"/>
      <x:c r="J230" s="373"/>
      <x:c r="K230" s="373"/>
      <x:c r="L230" s="373"/>
      <x:c r="M230" s="373"/>
      <x:c r="N230" s="373"/>
      <x:c r="O230" s="373"/>
      <x:c r="P230" s="373"/>
      <x:c r="Q230" s="373"/>
      <x:c r="R230" s="373"/>
      <x:c r="S230" s="373"/>
      <x:c r="T230" s="373"/>
      <x:c r="U230" s="373"/>
      <x:c r="V230" s="373"/>
      <x:c r="W230" s="373"/>
      <x:c r="X230" s="373"/>
      <x:c r="Y230" s="373"/>
      <x:c r="Z230" s="373"/>
    </x:row>
    <x:row r="231">
      <x:c r="A231" s="373"/>
      <x:c r="B231" s="373"/>
      <x:c r="C231" s="373"/>
      <x:c r="D231" s="373"/>
      <x:c r="E231" s="373"/>
      <x:c r="F231" s="373"/>
      <x:c r="G231" s="373"/>
      <x:c r="H231" s="373"/>
      <x:c r="I231" s="373"/>
      <x:c r="J231" s="373"/>
      <x:c r="K231" s="373"/>
      <x:c r="L231" s="373"/>
      <x:c r="M231" s="373"/>
      <x:c r="N231" s="373"/>
      <x:c r="O231" s="373"/>
      <x:c r="P231" s="373"/>
      <x:c r="Q231" s="373"/>
      <x:c r="R231" s="373"/>
      <x:c r="S231" s="373"/>
      <x:c r="T231" s="373"/>
      <x:c r="U231" s="373"/>
      <x:c r="V231" s="373"/>
      <x:c r="W231" s="373"/>
      <x:c r="X231" s="373"/>
      <x:c r="Y231" s="373"/>
      <x:c r="Z231" s="373"/>
    </x:row>
    <x:row r="232">
      <x:c r="A232" s="373"/>
      <x:c r="B232" s="373"/>
      <x:c r="C232" s="373"/>
      <x:c r="D232" s="373"/>
      <x:c r="E232" s="373"/>
      <x:c r="F232" s="373"/>
      <x:c r="G232" s="373"/>
      <x:c r="H232" s="373"/>
      <x:c r="I232" s="373"/>
      <x:c r="J232" s="373"/>
      <x:c r="K232" s="373"/>
      <x:c r="L232" s="373"/>
      <x:c r="M232" s="373"/>
      <x:c r="N232" s="373"/>
      <x:c r="O232" s="373"/>
      <x:c r="P232" s="373"/>
      <x:c r="Q232" s="373"/>
      <x:c r="R232" s="373"/>
      <x:c r="S232" s="373"/>
      <x:c r="T232" s="373"/>
      <x:c r="U232" s="373"/>
      <x:c r="V232" s="373"/>
      <x:c r="W232" s="373"/>
      <x:c r="X232" s="373"/>
      <x:c r="Y232" s="373"/>
      <x:c r="Z232" s="373"/>
    </x:row>
    <x:row r="233">
      <x:c r="A233" s="373"/>
      <x:c r="B233" s="373"/>
      <x:c r="C233" s="373"/>
      <x:c r="D233" s="373"/>
      <x:c r="E233" s="373"/>
      <x:c r="F233" s="373"/>
      <x:c r="G233" s="373"/>
      <x:c r="H233" s="373"/>
      <x:c r="I233" s="373"/>
      <x:c r="J233" s="373"/>
      <x:c r="K233" s="373"/>
      <x:c r="L233" s="373"/>
      <x:c r="M233" s="373"/>
      <x:c r="N233" s="373"/>
      <x:c r="O233" s="373"/>
      <x:c r="P233" s="373"/>
      <x:c r="Q233" s="373"/>
      <x:c r="R233" s="373"/>
      <x:c r="S233" s="373"/>
      <x:c r="T233" s="373"/>
      <x:c r="U233" s="373"/>
      <x:c r="V233" s="373"/>
      <x:c r="W233" s="373"/>
      <x:c r="X233" s="373"/>
      <x:c r="Y233" s="373"/>
      <x:c r="Z233" s="373"/>
    </x:row>
    <x:row r="234">
      <x:c r="A234" s="373"/>
      <x:c r="B234" s="373"/>
      <x:c r="C234" s="373"/>
      <x:c r="D234" s="373"/>
      <x:c r="E234" s="373"/>
      <x:c r="F234" s="373"/>
      <x:c r="G234" s="373"/>
      <x:c r="H234" s="373"/>
      <x:c r="I234" s="373"/>
      <x:c r="J234" s="373"/>
      <x:c r="K234" s="373"/>
      <x:c r="L234" s="373"/>
      <x:c r="M234" s="373"/>
      <x:c r="N234" s="373"/>
      <x:c r="O234" s="373"/>
      <x:c r="P234" s="373"/>
      <x:c r="Q234" s="373"/>
      <x:c r="R234" s="373"/>
      <x:c r="S234" s="373"/>
      <x:c r="T234" s="373"/>
      <x:c r="U234" s="373"/>
      <x:c r="V234" s="373"/>
      <x:c r="W234" s="373"/>
      <x:c r="X234" s="373"/>
      <x:c r="Y234" s="373"/>
      <x:c r="Z234" s="373"/>
    </x:row>
    <x:row r="235">
      <x:c r="A235" s="373"/>
      <x:c r="B235" s="373"/>
      <x:c r="C235" s="373"/>
      <x:c r="D235" s="373"/>
      <x:c r="E235" s="373"/>
      <x:c r="F235" s="373"/>
      <x:c r="G235" s="373"/>
      <x:c r="H235" s="373"/>
      <x:c r="I235" s="373"/>
      <x:c r="J235" s="373"/>
      <x:c r="K235" s="373"/>
      <x:c r="L235" s="373"/>
      <x:c r="M235" s="373"/>
      <x:c r="N235" s="373"/>
      <x:c r="O235" s="373"/>
      <x:c r="P235" s="373"/>
      <x:c r="Q235" s="373"/>
      <x:c r="R235" s="373"/>
      <x:c r="S235" s="373"/>
      <x:c r="T235" s="373"/>
      <x:c r="U235" s="373"/>
      <x:c r="V235" s="373"/>
      <x:c r="W235" s="373"/>
      <x:c r="X235" s="373"/>
      <x:c r="Y235" s="373"/>
      <x:c r="Z235" s="373"/>
    </x:row>
    <x:row r="236">
      <x:c r="A236" s="373"/>
      <x:c r="B236" s="373"/>
      <x:c r="C236" s="373"/>
      <x:c r="D236" s="373"/>
      <x:c r="E236" s="373"/>
      <x:c r="F236" s="373"/>
      <x:c r="G236" s="373"/>
      <x:c r="H236" s="373"/>
      <x:c r="I236" s="373"/>
      <x:c r="J236" s="373"/>
      <x:c r="K236" s="373"/>
      <x:c r="L236" s="373"/>
      <x:c r="M236" s="373"/>
      <x:c r="N236" s="373"/>
      <x:c r="O236" s="373"/>
      <x:c r="P236" s="373"/>
      <x:c r="Q236" s="373"/>
      <x:c r="R236" s="373"/>
      <x:c r="S236" s="373"/>
      <x:c r="T236" s="373"/>
      <x:c r="U236" s="373"/>
      <x:c r="V236" s="373"/>
      <x:c r="W236" s="373"/>
      <x:c r="X236" s="373"/>
      <x:c r="Y236" s="373"/>
      <x:c r="Z236" s="373"/>
    </x:row>
    <x:row r="237">
      <x:c r="A237" s="373"/>
      <x:c r="B237" s="373"/>
      <x:c r="C237" s="373"/>
      <x:c r="D237" s="373"/>
      <x:c r="E237" s="373"/>
      <x:c r="F237" s="373"/>
      <x:c r="G237" s="373"/>
      <x:c r="H237" s="373"/>
      <x:c r="I237" s="373"/>
      <x:c r="J237" s="373"/>
      <x:c r="K237" s="373"/>
      <x:c r="L237" s="373"/>
      <x:c r="M237" s="373"/>
      <x:c r="N237" s="373"/>
      <x:c r="O237" s="373"/>
      <x:c r="P237" s="373"/>
      <x:c r="Q237" s="373"/>
      <x:c r="R237" s="373"/>
      <x:c r="S237" s="373"/>
      <x:c r="T237" s="373"/>
      <x:c r="U237" s="373"/>
      <x:c r="V237" s="373"/>
      <x:c r="W237" s="373"/>
      <x:c r="X237" s="373"/>
      <x:c r="Y237" s="373"/>
      <x:c r="Z237" s="373"/>
    </x:row>
    <x:row r="238">
      <x:c r="A238" s="373"/>
      <x:c r="B238" s="373"/>
      <x:c r="C238" s="373"/>
      <x:c r="D238" s="373"/>
      <x:c r="E238" s="373"/>
      <x:c r="F238" s="373"/>
      <x:c r="G238" s="373"/>
      <x:c r="H238" s="373"/>
      <x:c r="I238" s="373"/>
      <x:c r="J238" s="373"/>
      <x:c r="K238" s="373"/>
      <x:c r="L238" s="373"/>
      <x:c r="M238" s="373"/>
      <x:c r="N238" s="373"/>
      <x:c r="O238" s="373"/>
      <x:c r="P238" s="373"/>
      <x:c r="Q238" s="373"/>
      <x:c r="R238" s="373"/>
      <x:c r="S238" s="373"/>
      <x:c r="T238" s="373"/>
      <x:c r="U238" s="373"/>
      <x:c r="V238" s="373"/>
      <x:c r="W238" s="373"/>
      <x:c r="X238" s="373"/>
      <x:c r="Y238" s="373"/>
      <x:c r="Z238" s="373"/>
    </x:row>
    <x:row r="239">
      <x:c r="A239" s="373"/>
      <x:c r="B239" s="373"/>
      <x:c r="C239" s="373"/>
      <x:c r="D239" s="373"/>
      <x:c r="E239" s="373"/>
      <x:c r="F239" s="373"/>
      <x:c r="G239" s="373"/>
      <x:c r="H239" s="373"/>
      <x:c r="I239" s="373"/>
      <x:c r="J239" s="373"/>
      <x:c r="K239" s="373"/>
      <x:c r="L239" s="373"/>
      <x:c r="M239" s="373"/>
      <x:c r="N239" s="373"/>
      <x:c r="O239" s="373"/>
      <x:c r="P239" s="373"/>
      <x:c r="Q239" s="373"/>
      <x:c r="R239" s="373"/>
      <x:c r="S239" s="373"/>
      <x:c r="T239" s="373"/>
      <x:c r="U239" s="373"/>
      <x:c r="V239" s="373"/>
      <x:c r="W239" s="373"/>
      <x:c r="X239" s="373"/>
      <x:c r="Y239" s="373"/>
      <x:c r="Z239" s="373"/>
    </x:row>
    <x:row r="240">
      <x:c r="A240" s="373"/>
      <x:c r="B240" s="373"/>
      <x:c r="C240" s="373"/>
      <x:c r="D240" s="373"/>
      <x:c r="E240" s="373"/>
      <x:c r="F240" s="373"/>
      <x:c r="G240" s="373"/>
      <x:c r="H240" s="373"/>
      <x:c r="I240" s="373"/>
      <x:c r="J240" s="373"/>
      <x:c r="K240" s="373"/>
      <x:c r="L240" s="373"/>
      <x:c r="M240" s="373"/>
      <x:c r="N240" s="373"/>
      <x:c r="O240" s="373"/>
      <x:c r="P240" s="373"/>
      <x:c r="Q240" s="373"/>
      <x:c r="R240" s="373"/>
      <x:c r="S240" s="373"/>
      <x:c r="T240" s="373"/>
      <x:c r="U240" s="373"/>
      <x:c r="V240" s="373"/>
      <x:c r="W240" s="373"/>
      <x:c r="X240" s="373"/>
      <x:c r="Y240" s="373"/>
      <x:c r="Z240" s="373"/>
    </x:row>
    <x:row r="241">
      <x:c r="A241" s="373"/>
      <x:c r="B241" s="373"/>
      <x:c r="C241" s="373"/>
      <x:c r="D241" s="373"/>
      <x:c r="E241" s="373"/>
      <x:c r="F241" s="373"/>
      <x:c r="G241" s="373"/>
      <x:c r="H241" s="373"/>
      <x:c r="I241" s="373"/>
      <x:c r="J241" s="373"/>
      <x:c r="K241" s="373"/>
      <x:c r="L241" s="373"/>
      <x:c r="M241" s="373"/>
      <x:c r="N241" s="373"/>
      <x:c r="O241" s="373"/>
      <x:c r="P241" s="373"/>
      <x:c r="Q241" s="373"/>
      <x:c r="R241" s="373"/>
      <x:c r="S241" s="373"/>
      <x:c r="T241" s="373"/>
      <x:c r="U241" s="373"/>
      <x:c r="V241" s="373"/>
      <x:c r="W241" s="373"/>
      <x:c r="X241" s="373"/>
      <x:c r="Y241" s="373"/>
      <x:c r="Z241" s="373"/>
    </x:row>
    <x:row r="242">
      <x:c r="A242" s="373"/>
      <x:c r="B242" s="373"/>
      <x:c r="C242" s="373"/>
      <x:c r="D242" s="373"/>
      <x:c r="E242" s="373"/>
      <x:c r="F242" s="373"/>
      <x:c r="G242" s="373"/>
      <x:c r="H242" s="373"/>
      <x:c r="I242" s="373"/>
      <x:c r="J242" s="373"/>
      <x:c r="K242" s="373"/>
      <x:c r="L242" s="373"/>
      <x:c r="M242" s="373"/>
      <x:c r="N242" s="373"/>
      <x:c r="O242" s="373"/>
      <x:c r="P242" s="373"/>
      <x:c r="Q242" s="373"/>
      <x:c r="R242" s="373"/>
      <x:c r="S242" s="373"/>
      <x:c r="T242" s="373"/>
      <x:c r="U242" s="373"/>
      <x:c r="V242" s="373"/>
      <x:c r="W242" s="373"/>
      <x:c r="X242" s="373"/>
      <x:c r="Y242" s="373"/>
      <x:c r="Z242" s="373"/>
    </x:row>
    <x:row r="243">
      <x:c r="A243" s="373"/>
      <x:c r="B243" s="373"/>
      <x:c r="C243" s="373"/>
      <x:c r="D243" s="373"/>
      <x:c r="E243" s="373"/>
      <x:c r="F243" s="373"/>
      <x:c r="G243" s="373"/>
      <x:c r="H243" s="373"/>
      <x:c r="I243" s="373"/>
      <x:c r="J243" s="373"/>
      <x:c r="K243" s="373"/>
      <x:c r="L243" s="373"/>
      <x:c r="M243" s="373"/>
      <x:c r="N243" s="373"/>
      <x:c r="O243" s="373"/>
      <x:c r="P243" s="373"/>
      <x:c r="Q243" s="373"/>
      <x:c r="R243" s="373"/>
      <x:c r="S243" s="373"/>
      <x:c r="T243" s="373"/>
      <x:c r="U243" s="373"/>
      <x:c r="V243" s="373"/>
      <x:c r="W243" s="373"/>
      <x:c r="X243" s="373"/>
      <x:c r="Y243" s="373"/>
      <x:c r="Z243" s="373"/>
    </x:row>
    <x:row r="244">
      <x:c r="A244" s="373"/>
      <x:c r="B244" s="373"/>
      <x:c r="C244" s="373"/>
      <x:c r="D244" s="373"/>
      <x:c r="E244" s="373"/>
      <x:c r="F244" s="373"/>
      <x:c r="G244" s="373"/>
      <x:c r="H244" s="373"/>
      <x:c r="I244" s="373"/>
      <x:c r="J244" s="373"/>
      <x:c r="K244" s="373"/>
      <x:c r="L244" s="373"/>
      <x:c r="M244" s="373"/>
      <x:c r="N244" s="373"/>
      <x:c r="O244" s="373"/>
      <x:c r="P244" s="373"/>
      <x:c r="Q244" s="373"/>
      <x:c r="R244" s="373"/>
      <x:c r="S244" s="373"/>
      <x:c r="T244" s="373"/>
      <x:c r="U244" s="373"/>
      <x:c r="V244" s="373"/>
      <x:c r="W244" s="373"/>
      <x:c r="X244" s="373"/>
      <x:c r="Y244" s="373"/>
      <x:c r="Z244" s="373"/>
    </x:row>
    <x:row r="245">
      <x:c r="A245" s="373"/>
      <x:c r="B245" s="373"/>
      <x:c r="C245" s="373"/>
      <x:c r="D245" s="373"/>
      <x:c r="E245" s="373"/>
      <x:c r="F245" s="373"/>
      <x:c r="G245" s="373"/>
      <x:c r="H245" s="373"/>
      <x:c r="I245" s="373"/>
      <x:c r="J245" s="373"/>
      <x:c r="K245" s="373"/>
      <x:c r="L245" s="373"/>
      <x:c r="M245" s="373"/>
      <x:c r="N245" s="373"/>
      <x:c r="O245" s="373"/>
      <x:c r="P245" s="373"/>
      <x:c r="Q245" s="373"/>
      <x:c r="R245" s="373"/>
      <x:c r="S245" s="373"/>
      <x:c r="T245" s="373"/>
      <x:c r="U245" s="373"/>
      <x:c r="V245" s="373"/>
      <x:c r="W245" s="373"/>
      <x:c r="X245" s="373"/>
      <x:c r="Y245" s="373"/>
      <x:c r="Z245" s="373"/>
    </x:row>
    <x:row r="246">
      <x:c r="A246" s="373"/>
      <x:c r="B246" s="373"/>
      <x:c r="C246" s="373"/>
      <x:c r="D246" s="373"/>
      <x:c r="E246" s="373"/>
      <x:c r="F246" s="373"/>
      <x:c r="G246" s="373"/>
      <x:c r="H246" s="373"/>
      <x:c r="I246" s="373"/>
      <x:c r="J246" s="373"/>
      <x:c r="K246" s="373"/>
      <x:c r="L246" s="373"/>
      <x:c r="M246" s="373"/>
      <x:c r="N246" s="373"/>
      <x:c r="O246" s="373"/>
      <x:c r="P246" s="373"/>
      <x:c r="Q246" s="373"/>
      <x:c r="R246" s="373"/>
      <x:c r="S246" s="373"/>
      <x:c r="T246" s="373"/>
      <x:c r="U246" s="373"/>
      <x:c r="V246" s="373"/>
      <x:c r="W246" s="373"/>
      <x:c r="X246" s="373"/>
      <x:c r="Y246" s="373"/>
      <x:c r="Z246" s="373"/>
    </x:row>
    <x:row r="247">
      <x:c r="A247" s="373"/>
      <x:c r="B247" s="373"/>
      <x:c r="C247" s="373"/>
      <x:c r="D247" s="373"/>
      <x:c r="E247" s="373"/>
      <x:c r="F247" s="373"/>
      <x:c r="G247" s="373"/>
      <x:c r="H247" s="373"/>
      <x:c r="I247" s="373"/>
      <x:c r="J247" s="373"/>
      <x:c r="K247" s="373"/>
      <x:c r="L247" s="373"/>
      <x:c r="M247" s="373"/>
      <x:c r="N247" s="373"/>
      <x:c r="O247" s="373"/>
      <x:c r="P247" s="373"/>
      <x:c r="Q247" s="373"/>
      <x:c r="R247" s="373"/>
      <x:c r="S247" s="373"/>
      <x:c r="T247" s="373"/>
      <x:c r="U247" s="373"/>
      <x:c r="V247" s="373"/>
      <x:c r="W247" s="373"/>
      <x:c r="X247" s="373"/>
      <x:c r="Y247" s="373"/>
      <x:c r="Z247" s="373"/>
    </x:row>
    <x:row r="248">
      <x:c r="A248" s="373"/>
      <x:c r="B248" s="373"/>
      <x:c r="C248" s="373"/>
      <x:c r="D248" s="373"/>
      <x:c r="E248" s="373"/>
      <x:c r="F248" s="373"/>
      <x:c r="G248" s="373"/>
      <x:c r="H248" s="373"/>
      <x:c r="I248" s="373"/>
      <x:c r="J248" s="373"/>
      <x:c r="K248" s="373"/>
      <x:c r="L248" s="373"/>
      <x:c r="M248" s="373"/>
      <x:c r="N248" s="373"/>
      <x:c r="O248" s="373"/>
      <x:c r="P248" s="373"/>
      <x:c r="Q248" s="373"/>
      <x:c r="R248" s="373"/>
      <x:c r="S248" s="373"/>
      <x:c r="T248" s="373"/>
      <x:c r="U248" s="373"/>
      <x:c r="V248" s="373"/>
      <x:c r="W248" s="373"/>
      <x:c r="X248" s="373"/>
      <x:c r="Y248" s="373"/>
      <x:c r="Z248" s="373"/>
    </x:row>
    <x:row r="249">
      <x:c r="A249" s="373"/>
      <x:c r="B249" s="373"/>
      <x:c r="C249" s="373"/>
      <x:c r="D249" s="373"/>
      <x:c r="E249" s="373"/>
      <x:c r="F249" s="373"/>
      <x:c r="G249" s="373"/>
      <x:c r="H249" s="373"/>
      <x:c r="I249" s="373"/>
      <x:c r="J249" s="373"/>
      <x:c r="K249" s="373"/>
      <x:c r="L249" s="373"/>
      <x:c r="M249" s="373"/>
      <x:c r="N249" s="373"/>
      <x:c r="O249" s="373"/>
      <x:c r="P249" s="373"/>
      <x:c r="Q249" s="373"/>
      <x:c r="R249" s="373"/>
      <x:c r="S249" s="373"/>
      <x:c r="T249" s="373"/>
      <x:c r="U249" s="373"/>
      <x:c r="V249" s="373"/>
      <x:c r="W249" s="373"/>
      <x:c r="X249" s="373"/>
      <x:c r="Y249" s="373"/>
      <x:c r="Z249" s="373"/>
    </x:row>
    <x:row r="250">
      <x:c r="A250" s="373"/>
      <x:c r="B250" s="373"/>
      <x:c r="C250" s="373"/>
      <x:c r="D250" s="373"/>
      <x:c r="E250" s="373"/>
      <x:c r="F250" s="373"/>
      <x:c r="G250" s="373"/>
      <x:c r="H250" s="373"/>
      <x:c r="I250" s="373"/>
      <x:c r="J250" s="373"/>
      <x:c r="K250" s="373"/>
      <x:c r="L250" s="373"/>
      <x:c r="M250" s="373"/>
      <x:c r="N250" s="373"/>
      <x:c r="O250" s="373"/>
      <x:c r="P250" s="373"/>
      <x:c r="Q250" s="373"/>
      <x:c r="R250" s="373"/>
      <x:c r="S250" s="373"/>
      <x:c r="T250" s="373"/>
      <x:c r="U250" s="373"/>
      <x:c r="V250" s="373"/>
      <x:c r="W250" s="373"/>
      <x:c r="X250" s="373"/>
      <x:c r="Y250" s="373"/>
      <x:c r="Z250" s="373"/>
    </x:row>
    <x:row r="251">
      <x:c r="A251" s="373"/>
      <x:c r="B251" s="373"/>
      <x:c r="C251" s="373"/>
      <x:c r="D251" s="373"/>
      <x:c r="E251" s="373"/>
      <x:c r="F251" s="373"/>
      <x:c r="G251" s="373"/>
      <x:c r="H251" s="373"/>
      <x:c r="I251" s="373"/>
      <x:c r="J251" s="373"/>
      <x:c r="K251" s="373"/>
      <x:c r="L251" s="373"/>
      <x:c r="M251" s="373"/>
      <x:c r="N251" s="373"/>
      <x:c r="O251" s="373"/>
      <x:c r="P251" s="373"/>
      <x:c r="Q251" s="373"/>
      <x:c r="R251" s="373"/>
      <x:c r="S251" s="373"/>
      <x:c r="T251" s="373"/>
      <x:c r="U251" s="373"/>
      <x:c r="V251" s="373"/>
      <x:c r="W251" s="373"/>
      <x:c r="X251" s="373"/>
      <x:c r="Y251" s="373"/>
      <x:c r="Z251" s="373"/>
    </x:row>
    <x:row r="252">
      <x:c r="A252" s="373"/>
      <x:c r="B252" s="373"/>
      <x:c r="C252" s="373"/>
      <x:c r="D252" s="373"/>
      <x:c r="E252" s="373"/>
      <x:c r="F252" s="373"/>
      <x:c r="G252" s="373"/>
      <x:c r="H252" s="373"/>
      <x:c r="I252" s="373"/>
      <x:c r="J252" s="373"/>
      <x:c r="K252" s="373"/>
      <x:c r="L252" s="373"/>
      <x:c r="M252" s="373"/>
      <x:c r="N252" s="373"/>
      <x:c r="O252" s="373"/>
      <x:c r="P252" s="373"/>
      <x:c r="Q252" s="373"/>
      <x:c r="R252" s="373"/>
      <x:c r="S252" s="373"/>
      <x:c r="T252" s="373"/>
      <x:c r="U252" s="373"/>
      <x:c r="V252" s="373"/>
      <x:c r="W252" s="373"/>
      <x:c r="X252" s="373"/>
      <x:c r="Y252" s="373"/>
      <x:c r="Z252" s="373"/>
    </x:row>
    <x:row r="253">
      <x:c r="A253" s="373"/>
      <x:c r="B253" s="373"/>
      <x:c r="C253" s="373"/>
      <x:c r="D253" s="373"/>
      <x:c r="E253" s="373"/>
      <x:c r="F253" s="373"/>
      <x:c r="G253" s="373"/>
      <x:c r="H253" s="373"/>
      <x:c r="I253" s="373"/>
      <x:c r="J253" s="373"/>
      <x:c r="K253" s="373"/>
      <x:c r="L253" s="373"/>
      <x:c r="M253" s="373"/>
      <x:c r="N253" s="373"/>
      <x:c r="O253" s="373"/>
      <x:c r="P253" s="373"/>
      <x:c r="Q253" s="373"/>
      <x:c r="R253" s="373"/>
      <x:c r="S253" s="373"/>
      <x:c r="T253" s="373"/>
      <x:c r="U253" s="373"/>
      <x:c r="V253" s="373"/>
      <x:c r="W253" s="373"/>
      <x:c r="X253" s="373"/>
      <x:c r="Y253" s="373"/>
      <x:c r="Z253" s="373"/>
    </x:row>
    <x:row r="254">
      <x:c r="A254" s="373"/>
      <x:c r="B254" s="373"/>
      <x:c r="C254" s="373"/>
      <x:c r="D254" s="373"/>
      <x:c r="E254" s="373"/>
      <x:c r="F254" s="373"/>
      <x:c r="G254" s="373"/>
      <x:c r="H254" s="373"/>
      <x:c r="I254" s="373"/>
      <x:c r="J254" s="373"/>
      <x:c r="K254" s="373"/>
      <x:c r="L254" s="373"/>
      <x:c r="M254" s="373"/>
      <x:c r="N254" s="373"/>
      <x:c r="O254" s="373"/>
      <x:c r="P254" s="373"/>
      <x:c r="Q254" s="373"/>
      <x:c r="R254" s="373"/>
      <x:c r="S254" s="373"/>
      <x:c r="T254" s="373"/>
      <x:c r="U254" s="373"/>
      <x:c r="V254" s="373"/>
      <x:c r="W254" s="373"/>
      <x:c r="X254" s="373"/>
      <x:c r="Y254" s="373"/>
      <x:c r="Z254" s="373"/>
    </x:row>
    <x:row r="255">
      <x:c r="A255" s="373"/>
      <x:c r="B255" s="373"/>
      <x:c r="C255" s="373"/>
      <x:c r="D255" s="373"/>
      <x:c r="E255" s="373"/>
      <x:c r="F255" s="373"/>
      <x:c r="G255" s="373"/>
      <x:c r="H255" s="373"/>
      <x:c r="I255" s="373"/>
      <x:c r="J255" s="373"/>
      <x:c r="K255" s="373"/>
      <x:c r="L255" s="373"/>
      <x:c r="M255" s="373"/>
      <x:c r="N255" s="373"/>
      <x:c r="O255" s="373"/>
      <x:c r="P255" s="373"/>
      <x:c r="Q255" s="373"/>
      <x:c r="R255" s="373"/>
      <x:c r="S255" s="373"/>
      <x:c r="T255" s="373"/>
      <x:c r="U255" s="373"/>
      <x:c r="V255" s="373"/>
      <x:c r="W255" s="373"/>
      <x:c r="X255" s="373"/>
      <x:c r="Y255" s="373"/>
      <x:c r="Z255" s="373"/>
    </x:row>
    <x:row r="256">
      <x:c r="A256" s="373"/>
      <x:c r="B256" s="373"/>
      <x:c r="C256" s="373"/>
      <x:c r="D256" s="373"/>
      <x:c r="E256" s="373"/>
      <x:c r="F256" s="373"/>
      <x:c r="G256" s="373"/>
      <x:c r="H256" s="373"/>
      <x:c r="I256" s="373"/>
      <x:c r="J256" s="373"/>
      <x:c r="K256" s="373"/>
      <x:c r="L256" s="373"/>
      <x:c r="M256" s="373"/>
      <x:c r="N256" s="373"/>
      <x:c r="O256" s="373"/>
      <x:c r="P256" s="373"/>
      <x:c r="Q256" s="373"/>
      <x:c r="R256" s="373"/>
      <x:c r="S256" s="373"/>
      <x:c r="T256" s="373"/>
      <x:c r="U256" s="373"/>
      <x:c r="V256" s="373"/>
      <x:c r="W256" s="373"/>
      <x:c r="X256" s="373"/>
      <x:c r="Y256" s="373"/>
      <x:c r="Z256" s="373"/>
    </x:row>
    <x:row r="257">
      <x:c r="A257" s="373"/>
      <x:c r="B257" s="373"/>
      <x:c r="C257" s="373"/>
      <x:c r="D257" s="373"/>
      <x:c r="E257" s="373"/>
      <x:c r="F257" s="373"/>
      <x:c r="G257" s="373"/>
      <x:c r="H257" s="373"/>
      <x:c r="I257" s="373"/>
      <x:c r="J257" s="373"/>
      <x:c r="K257" s="373"/>
      <x:c r="L257" s="373"/>
      <x:c r="M257" s="373"/>
      <x:c r="N257" s="373"/>
      <x:c r="O257" s="373"/>
      <x:c r="P257" s="373"/>
      <x:c r="Q257" s="373"/>
      <x:c r="R257" s="373"/>
      <x:c r="S257" s="373"/>
      <x:c r="T257" s="373"/>
      <x:c r="U257" s="373"/>
      <x:c r="V257" s="373"/>
      <x:c r="W257" s="373"/>
      <x:c r="X257" s="373"/>
      <x:c r="Y257" s="373"/>
      <x:c r="Z257" s="373"/>
    </x:row>
    <x:row r="258">
      <x:c r="A258" s="373"/>
      <x:c r="B258" s="373"/>
      <x:c r="C258" s="373"/>
      <x:c r="D258" s="373"/>
      <x:c r="E258" s="373"/>
      <x:c r="F258" s="373"/>
      <x:c r="G258" s="373"/>
      <x:c r="H258" s="373"/>
      <x:c r="I258" s="373"/>
      <x:c r="J258" s="373"/>
      <x:c r="K258" s="373"/>
      <x:c r="L258" s="373"/>
      <x:c r="M258" s="373"/>
      <x:c r="N258" s="373"/>
      <x:c r="O258" s="373"/>
      <x:c r="P258" s="373"/>
      <x:c r="Q258" s="373"/>
      <x:c r="R258" s="373"/>
      <x:c r="S258" s="373"/>
      <x:c r="T258" s="373"/>
      <x:c r="U258" s="373"/>
      <x:c r="V258" s="373"/>
      <x:c r="W258" s="373"/>
      <x:c r="X258" s="373"/>
      <x:c r="Y258" s="373"/>
      <x:c r="Z258" s="373"/>
    </x:row>
    <x:row r="259">
      <x:c r="A259" s="373"/>
      <x:c r="B259" s="373"/>
      <x:c r="C259" s="373"/>
      <x:c r="D259" s="373"/>
      <x:c r="E259" s="373"/>
      <x:c r="F259" s="373"/>
      <x:c r="G259" s="373"/>
      <x:c r="H259" s="373"/>
      <x:c r="I259" s="373"/>
      <x:c r="J259" s="373"/>
      <x:c r="K259" s="373"/>
      <x:c r="L259" s="373"/>
      <x:c r="M259" s="373"/>
      <x:c r="N259" s="373"/>
      <x:c r="O259" s="373"/>
      <x:c r="P259" s="373"/>
      <x:c r="Q259" s="373"/>
      <x:c r="R259" s="373"/>
      <x:c r="S259" s="373"/>
      <x:c r="T259" s="373"/>
      <x:c r="U259" s="373"/>
      <x:c r="V259" s="373"/>
      <x:c r="W259" s="373"/>
      <x:c r="X259" s="373"/>
      <x:c r="Y259" s="373"/>
      <x:c r="Z259" s="373"/>
    </x:row>
    <x:row r="260">
      <x:c r="A260" s="373"/>
      <x:c r="B260" s="373"/>
      <x:c r="C260" s="373"/>
      <x:c r="D260" s="373"/>
      <x:c r="E260" s="373"/>
      <x:c r="F260" s="373"/>
      <x:c r="G260" s="373"/>
      <x:c r="H260" s="373"/>
      <x:c r="I260" s="373"/>
      <x:c r="J260" s="373"/>
      <x:c r="K260" s="373"/>
      <x:c r="L260" s="373"/>
      <x:c r="M260" s="373"/>
      <x:c r="N260" s="373"/>
      <x:c r="O260" s="373"/>
      <x:c r="P260" s="373"/>
      <x:c r="Q260" s="373"/>
      <x:c r="R260" s="373"/>
      <x:c r="S260" s="373"/>
      <x:c r="T260" s="373"/>
      <x:c r="U260" s="373"/>
      <x:c r="V260" s="373"/>
      <x:c r="W260" s="373"/>
      <x:c r="X260" s="373"/>
      <x:c r="Y260" s="373"/>
      <x:c r="Z260" s="373"/>
    </x:row>
    <x:row r="261">
      <x:c r="A261" s="373"/>
      <x:c r="B261" s="373"/>
      <x:c r="C261" s="373"/>
      <x:c r="D261" s="373"/>
      <x:c r="E261" s="373"/>
      <x:c r="F261" s="373"/>
      <x:c r="G261" s="373"/>
      <x:c r="H261" s="373"/>
      <x:c r="I261" s="373"/>
      <x:c r="J261" s="373"/>
      <x:c r="K261" s="373"/>
      <x:c r="L261" s="373"/>
      <x:c r="M261" s="373"/>
      <x:c r="N261" s="373"/>
      <x:c r="O261" s="373"/>
      <x:c r="P261" s="373"/>
      <x:c r="Q261" s="373"/>
      <x:c r="R261" s="373"/>
      <x:c r="S261" s="373"/>
      <x:c r="T261" s="373"/>
      <x:c r="U261" s="373"/>
      <x:c r="V261" s="373"/>
      <x:c r="W261" s="373"/>
      <x:c r="X261" s="373"/>
      <x:c r="Y261" s="373"/>
      <x:c r="Z261" s="373"/>
    </x:row>
    <x:row r="262">
      <x:c r="A262" s="373"/>
      <x:c r="B262" s="373"/>
      <x:c r="C262" s="373"/>
      <x:c r="D262" s="373"/>
      <x:c r="E262" s="373"/>
      <x:c r="F262" s="373"/>
      <x:c r="G262" s="373"/>
      <x:c r="H262" s="373"/>
      <x:c r="I262" s="373"/>
      <x:c r="J262" s="373"/>
      <x:c r="K262" s="373"/>
      <x:c r="L262" s="373"/>
      <x:c r="M262" s="373"/>
      <x:c r="N262" s="373"/>
      <x:c r="O262" s="373"/>
      <x:c r="P262" s="373"/>
      <x:c r="Q262" s="373"/>
      <x:c r="R262" s="373"/>
      <x:c r="S262" s="373"/>
      <x:c r="T262" s="373"/>
      <x:c r="U262" s="373"/>
      <x:c r="V262" s="373"/>
      <x:c r="W262" s="373"/>
      <x:c r="X262" s="373"/>
      <x:c r="Y262" s="373"/>
      <x:c r="Z262" s="373"/>
    </x:row>
    <x:row r="263">
      <x:c r="A263" s="373"/>
      <x:c r="B263" s="373"/>
      <x:c r="C263" s="373"/>
      <x:c r="D263" s="373"/>
      <x:c r="E263" s="373"/>
      <x:c r="F263" s="373"/>
      <x:c r="G263" s="373"/>
      <x:c r="H263" s="373"/>
      <x:c r="I263" s="373"/>
      <x:c r="J263" s="373"/>
      <x:c r="K263" s="373"/>
      <x:c r="L263" s="373"/>
      <x:c r="M263" s="373"/>
      <x:c r="N263" s="373"/>
      <x:c r="O263" s="373"/>
      <x:c r="P263" s="373"/>
      <x:c r="Q263" s="373"/>
      <x:c r="R263" s="373"/>
      <x:c r="S263" s="373"/>
      <x:c r="T263" s="373"/>
      <x:c r="U263" s="373"/>
      <x:c r="V263" s="373"/>
      <x:c r="W263" s="373"/>
      <x:c r="X263" s="373"/>
      <x:c r="Y263" s="373"/>
      <x:c r="Z263" s="373"/>
    </x:row>
    <x:row r="264">
      <x:c r="A264" s="373"/>
      <x:c r="B264" s="373"/>
      <x:c r="C264" s="373"/>
      <x:c r="D264" s="373"/>
      <x:c r="E264" s="373"/>
      <x:c r="F264" s="373"/>
      <x:c r="G264" s="373"/>
      <x:c r="H264" s="373"/>
      <x:c r="I264" s="373"/>
      <x:c r="J264" s="373"/>
      <x:c r="K264" s="373"/>
      <x:c r="L264" s="373"/>
      <x:c r="M264" s="373"/>
      <x:c r="N264" s="373"/>
      <x:c r="O264" s="373"/>
      <x:c r="P264" s="373"/>
      <x:c r="Q264" s="373"/>
      <x:c r="R264" s="373"/>
      <x:c r="S264" s="373"/>
      <x:c r="T264" s="373"/>
      <x:c r="U264" s="373"/>
      <x:c r="V264" s="373"/>
      <x:c r="W264" s="373"/>
      <x:c r="X264" s="373"/>
      <x:c r="Y264" s="373"/>
      <x:c r="Z264" s="373"/>
    </x:row>
    <x:row r="265">
      <x:c r="A265" s="373"/>
      <x:c r="B265" s="373"/>
      <x:c r="C265" s="373"/>
      <x:c r="D265" s="373"/>
      <x:c r="E265" s="373"/>
      <x:c r="F265" s="373"/>
      <x:c r="G265" s="373"/>
      <x:c r="H265" s="373"/>
      <x:c r="I265" s="373"/>
      <x:c r="J265" s="373"/>
      <x:c r="K265" s="373"/>
      <x:c r="L265" s="373"/>
      <x:c r="M265" s="373"/>
      <x:c r="N265" s="373"/>
      <x:c r="O265" s="373"/>
      <x:c r="P265" s="373"/>
      <x:c r="Q265" s="373"/>
      <x:c r="R265" s="373"/>
      <x:c r="S265" s="373"/>
      <x:c r="T265" s="373"/>
      <x:c r="U265" s="373"/>
      <x:c r="V265" s="373"/>
      <x:c r="W265" s="373"/>
      <x:c r="X265" s="373"/>
      <x:c r="Y265" s="373"/>
      <x:c r="Z265" s="373"/>
    </x:row>
    <x:row r="266">
      <x:c r="A266" s="373"/>
      <x:c r="B266" s="373"/>
      <x:c r="C266" s="373"/>
      <x:c r="D266" s="373"/>
      <x:c r="E266" s="373"/>
      <x:c r="F266" s="373"/>
      <x:c r="G266" s="373"/>
      <x:c r="H266" s="373"/>
      <x:c r="I266" s="373"/>
      <x:c r="J266" s="373"/>
      <x:c r="K266" s="373"/>
      <x:c r="L266" s="373"/>
      <x:c r="M266" s="373"/>
      <x:c r="N266" s="373"/>
      <x:c r="O266" s="373"/>
      <x:c r="P266" s="373"/>
      <x:c r="Q266" s="373"/>
      <x:c r="R266" s="373"/>
      <x:c r="S266" s="373"/>
      <x:c r="T266" s="373"/>
      <x:c r="U266" s="373"/>
      <x:c r="V266" s="373"/>
      <x:c r="W266" s="373"/>
      <x:c r="X266" s="373"/>
      <x:c r="Y266" s="373"/>
      <x:c r="Z266" s="373"/>
    </x:row>
    <x:row r="267">
      <x:c r="A267" s="373"/>
      <x:c r="B267" s="373"/>
      <x:c r="C267" s="373"/>
      <x:c r="D267" s="373"/>
      <x:c r="E267" s="373"/>
      <x:c r="F267" s="373"/>
      <x:c r="G267" s="373"/>
      <x:c r="H267" s="373"/>
      <x:c r="I267" s="373"/>
      <x:c r="J267" s="373"/>
      <x:c r="K267" s="373"/>
      <x:c r="L267" s="373"/>
      <x:c r="M267" s="373"/>
      <x:c r="N267" s="373"/>
      <x:c r="O267" s="373"/>
      <x:c r="P267" s="373"/>
      <x:c r="Q267" s="373"/>
      <x:c r="R267" s="373"/>
      <x:c r="S267" s="373"/>
      <x:c r="T267" s="373"/>
      <x:c r="U267" s="373"/>
      <x:c r="V267" s="373"/>
      <x:c r="W267" s="373"/>
      <x:c r="X267" s="373"/>
      <x:c r="Y267" s="373"/>
      <x:c r="Z267" s="373"/>
    </x:row>
    <x:row r="268">
      <x:c r="A268" s="373"/>
      <x:c r="B268" s="373"/>
      <x:c r="C268" s="373"/>
      <x:c r="D268" s="373"/>
      <x:c r="E268" s="373"/>
      <x:c r="F268" s="373"/>
      <x:c r="G268" s="373"/>
      <x:c r="H268" s="373"/>
      <x:c r="I268" s="373"/>
      <x:c r="J268" s="373"/>
      <x:c r="K268" s="373"/>
      <x:c r="L268" s="373"/>
      <x:c r="M268" s="373"/>
      <x:c r="N268" s="373"/>
      <x:c r="O268" s="373"/>
      <x:c r="P268" s="373"/>
      <x:c r="Q268" s="373"/>
      <x:c r="R268" s="373"/>
      <x:c r="S268" s="373"/>
      <x:c r="T268" s="373"/>
      <x:c r="U268" s="373"/>
      <x:c r="V268" s="373"/>
      <x:c r="W268" s="373"/>
      <x:c r="X268" s="373"/>
      <x:c r="Y268" s="373"/>
      <x:c r="Z268" s="373"/>
    </x:row>
    <x:row r="269">
      <x:c r="A269" s="373"/>
      <x:c r="B269" s="373"/>
      <x:c r="C269" s="373"/>
      <x:c r="D269" s="373"/>
      <x:c r="E269" s="373"/>
      <x:c r="F269" s="373"/>
      <x:c r="G269" s="373"/>
      <x:c r="H269" s="373"/>
      <x:c r="I269" s="373"/>
      <x:c r="J269" s="373"/>
      <x:c r="K269" s="373"/>
      <x:c r="L269" s="373"/>
      <x:c r="M269" s="373"/>
      <x:c r="N269" s="373"/>
      <x:c r="O269" s="373"/>
      <x:c r="P269" s="373"/>
      <x:c r="Q269" s="373"/>
      <x:c r="R269" s="373"/>
      <x:c r="S269" s="373"/>
      <x:c r="T269" s="373"/>
      <x:c r="U269" s="373"/>
      <x:c r="V269" s="373"/>
      <x:c r="W269" s="373"/>
      <x:c r="X269" s="373"/>
      <x:c r="Y269" s="373"/>
      <x:c r="Z269" s="373"/>
    </x:row>
    <x:row r="270">
      <x:c r="A270" s="373"/>
      <x:c r="B270" s="373"/>
      <x:c r="C270" s="373"/>
      <x:c r="D270" s="373"/>
      <x:c r="E270" s="373"/>
      <x:c r="F270" s="373"/>
      <x:c r="G270" s="373"/>
      <x:c r="H270" s="373"/>
      <x:c r="I270" s="373"/>
      <x:c r="J270" s="373"/>
      <x:c r="K270" s="373"/>
      <x:c r="L270" s="373"/>
      <x:c r="M270" s="373"/>
      <x:c r="N270" s="373"/>
      <x:c r="O270" s="373"/>
      <x:c r="P270" s="373"/>
      <x:c r="Q270" s="373"/>
      <x:c r="R270" s="373"/>
      <x:c r="S270" s="373"/>
      <x:c r="T270" s="373"/>
      <x:c r="U270" s="373"/>
      <x:c r="V270" s="373"/>
      <x:c r="W270" s="373"/>
      <x:c r="X270" s="373"/>
      <x:c r="Y270" s="373"/>
      <x:c r="Z270" s="373"/>
    </x:row>
    <x:row r="271">
      <x:c r="A271" s="373"/>
      <x:c r="B271" s="373"/>
      <x:c r="C271" s="373"/>
      <x:c r="D271" s="373"/>
      <x:c r="E271" s="373"/>
      <x:c r="F271" s="373"/>
      <x:c r="G271" s="373"/>
      <x:c r="H271" s="373"/>
      <x:c r="I271" s="373"/>
      <x:c r="J271" s="373"/>
      <x:c r="K271" s="373"/>
      <x:c r="L271" s="373"/>
      <x:c r="M271" s="373"/>
      <x:c r="N271" s="373"/>
      <x:c r="O271" s="373"/>
      <x:c r="P271" s="373"/>
      <x:c r="Q271" s="373"/>
      <x:c r="R271" s="373"/>
      <x:c r="S271" s="373"/>
      <x:c r="T271" s="373"/>
      <x:c r="U271" s="373"/>
      <x:c r="V271" s="373"/>
      <x:c r="W271" s="373"/>
      <x:c r="X271" s="373"/>
      <x:c r="Y271" s="373"/>
      <x:c r="Z271" s="373"/>
    </x:row>
    <x:row r="272">
      <x:c r="A272" s="373"/>
      <x:c r="B272" s="373"/>
      <x:c r="C272" s="373"/>
      <x:c r="D272" s="373"/>
      <x:c r="E272" s="373"/>
      <x:c r="F272" s="373"/>
      <x:c r="G272" s="373"/>
      <x:c r="H272" s="373"/>
      <x:c r="I272" s="373"/>
      <x:c r="J272" s="373"/>
      <x:c r="K272" s="373"/>
      <x:c r="L272" s="373"/>
      <x:c r="M272" s="373"/>
      <x:c r="N272" s="373"/>
      <x:c r="O272" s="373"/>
      <x:c r="P272" s="373"/>
      <x:c r="Q272" s="373"/>
      <x:c r="R272" s="373"/>
      <x:c r="S272" s="373"/>
      <x:c r="T272" s="373"/>
      <x:c r="U272" s="373"/>
      <x:c r="V272" s="373"/>
      <x:c r="W272" s="373"/>
      <x:c r="X272" s="373"/>
      <x:c r="Y272" s="373"/>
      <x:c r="Z272" s="373"/>
    </x:row>
    <x:row r="273">
      <x:c r="A273" s="373"/>
      <x:c r="B273" s="373"/>
      <x:c r="C273" s="373"/>
      <x:c r="D273" s="373"/>
      <x:c r="E273" s="373"/>
      <x:c r="F273" s="373"/>
      <x:c r="G273" s="373"/>
      <x:c r="H273" s="373"/>
      <x:c r="I273" s="373"/>
      <x:c r="J273" s="373"/>
      <x:c r="K273" s="373"/>
      <x:c r="L273" s="373"/>
      <x:c r="M273" s="373"/>
      <x:c r="N273" s="373"/>
      <x:c r="O273" s="373"/>
      <x:c r="P273" s="373"/>
      <x:c r="Q273" s="373"/>
      <x:c r="R273" s="373"/>
      <x:c r="S273" s="373"/>
      <x:c r="T273" s="373"/>
      <x:c r="U273" s="373"/>
      <x:c r="V273" s="373"/>
      <x:c r="W273" s="373"/>
      <x:c r="X273" s="373"/>
      <x:c r="Y273" s="373"/>
      <x:c r="Z273" s="373"/>
    </x:row>
    <x:row r="274">
      <x:c r="A274" s="373"/>
      <x:c r="B274" s="373"/>
      <x:c r="C274" s="373"/>
      <x:c r="D274" s="373"/>
      <x:c r="E274" s="373"/>
      <x:c r="F274" s="373"/>
      <x:c r="G274" s="373"/>
      <x:c r="H274" s="373"/>
      <x:c r="I274" s="373"/>
      <x:c r="J274" s="373"/>
      <x:c r="K274" s="373"/>
      <x:c r="L274" s="373"/>
      <x:c r="M274" s="373"/>
      <x:c r="N274" s="373"/>
      <x:c r="O274" s="373"/>
      <x:c r="P274" s="373"/>
      <x:c r="Q274" s="373"/>
      <x:c r="R274" s="373"/>
      <x:c r="S274" s="373"/>
      <x:c r="T274" s="373"/>
      <x:c r="U274" s="373"/>
      <x:c r="V274" s="373"/>
      <x:c r="W274" s="373"/>
      <x:c r="X274" s="373"/>
      <x:c r="Y274" s="373"/>
      <x:c r="Z274" s="373"/>
    </x:row>
    <x:row r="275">
      <x:c r="A275" s="373"/>
      <x:c r="B275" s="373"/>
      <x:c r="C275" s="373"/>
      <x:c r="D275" s="373"/>
      <x:c r="E275" s="373"/>
      <x:c r="F275" s="373"/>
      <x:c r="G275" s="373"/>
      <x:c r="H275" s="373"/>
      <x:c r="I275" s="373"/>
      <x:c r="J275" s="373"/>
      <x:c r="K275" s="373"/>
      <x:c r="L275" s="373"/>
      <x:c r="M275" s="373"/>
      <x:c r="N275" s="373"/>
      <x:c r="O275" s="373"/>
      <x:c r="P275" s="373"/>
      <x:c r="Q275" s="373"/>
      <x:c r="R275" s="373"/>
      <x:c r="S275" s="373"/>
      <x:c r="T275" s="373"/>
      <x:c r="U275" s="373"/>
      <x:c r="V275" s="373"/>
      <x:c r="W275" s="373"/>
      <x:c r="X275" s="373"/>
      <x:c r="Y275" s="373"/>
      <x:c r="Z275" s="373"/>
    </x:row>
    <x:row r="276">
      <x:c r="A276" s="373"/>
      <x:c r="B276" s="373"/>
      <x:c r="C276" s="373"/>
      <x:c r="D276" s="373"/>
      <x:c r="E276" s="373"/>
      <x:c r="F276" s="373"/>
      <x:c r="G276" s="373"/>
      <x:c r="H276" s="373"/>
      <x:c r="I276" s="373"/>
      <x:c r="J276" s="373"/>
      <x:c r="K276" s="373"/>
      <x:c r="L276" s="373"/>
      <x:c r="M276" s="373"/>
      <x:c r="N276" s="373"/>
      <x:c r="O276" s="373"/>
      <x:c r="P276" s="373"/>
      <x:c r="Q276" s="373"/>
      <x:c r="R276" s="373"/>
      <x:c r="S276" s="373"/>
      <x:c r="T276" s="373"/>
      <x:c r="U276" s="373"/>
      <x:c r="V276" s="373"/>
      <x:c r="W276" s="373"/>
      <x:c r="X276" s="373"/>
      <x:c r="Y276" s="373"/>
      <x:c r="Z276" s="373"/>
    </x:row>
    <x:row r="277">
      <x:c r="A277" s="373"/>
      <x:c r="B277" s="373"/>
      <x:c r="C277" s="373"/>
      <x:c r="D277" s="373"/>
      <x:c r="E277" s="373"/>
      <x:c r="F277" s="373"/>
      <x:c r="G277" s="373"/>
      <x:c r="H277" s="373"/>
      <x:c r="I277" s="373"/>
      <x:c r="J277" s="373"/>
      <x:c r="K277" s="373"/>
      <x:c r="L277" s="373"/>
      <x:c r="M277" s="373"/>
      <x:c r="N277" s="373"/>
      <x:c r="O277" s="373"/>
      <x:c r="P277" s="373"/>
      <x:c r="Q277" s="373"/>
      <x:c r="R277" s="373"/>
      <x:c r="S277" s="373"/>
      <x:c r="T277" s="373"/>
      <x:c r="U277" s="373"/>
      <x:c r="V277" s="373"/>
      <x:c r="W277" s="373"/>
      <x:c r="X277" s="373"/>
      <x:c r="Y277" s="373"/>
      <x:c r="Z277" s="373"/>
    </x:row>
    <x:row r="278">
      <x:c r="A278" s="373"/>
      <x:c r="B278" s="373"/>
      <x:c r="C278" s="373"/>
      <x:c r="D278" s="373"/>
      <x:c r="E278" s="373"/>
      <x:c r="F278" s="373"/>
      <x:c r="G278" s="373"/>
      <x:c r="H278" s="373"/>
      <x:c r="I278" s="373"/>
      <x:c r="J278" s="373"/>
      <x:c r="K278" s="373"/>
      <x:c r="L278" s="373"/>
      <x:c r="M278" s="373"/>
      <x:c r="N278" s="373"/>
      <x:c r="O278" s="373"/>
      <x:c r="P278" s="373"/>
      <x:c r="Q278" s="373"/>
      <x:c r="R278" s="373"/>
      <x:c r="S278" s="373"/>
      <x:c r="T278" s="373"/>
      <x:c r="U278" s="373"/>
      <x:c r="V278" s="373"/>
      <x:c r="W278" s="373"/>
      <x:c r="X278" s="373"/>
      <x:c r="Y278" s="373"/>
      <x:c r="Z278" s="373"/>
    </x:row>
    <x:row r="279">
      <x:c r="A279" s="373"/>
      <x:c r="B279" s="373"/>
      <x:c r="C279" s="373"/>
      <x:c r="D279" s="373"/>
      <x:c r="E279" s="373"/>
      <x:c r="F279" s="373"/>
      <x:c r="G279" s="373"/>
      <x:c r="H279" s="373"/>
      <x:c r="I279" s="373"/>
      <x:c r="J279" s="373"/>
      <x:c r="K279" s="373"/>
      <x:c r="L279" s="373"/>
      <x:c r="M279" s="373"/>
      <x:c r="N279" s="373"/>
      <x:c r="O279" s="373"/>
      <x:c r="P279" s="373"/>
      <x:c r="Q279" s="373"/>
      <x:c r="R279" s="373"/>
      <x:c r="S279" s="373"/>
      <x:c r="T279" s="373"/>
      <x:c r="U279" s="373"/>
      <x:c r="V279" s="373"/>
      <x:c r="W279" s="373"/>
      <x:c r="X279" s="373"/>
      <x:c r="Y279" s="373"/>
      <x:c r="Z279" s="373"/>
    </x:row>
    <x:row r="280">
      <x:c r="A280" s="373"/>
      <x:c r="B280" s="373"/>
      <x:c r="C280" s="373"/>
      <x:c r="D280" s="373"/>
      <x:c r="E280" s="373"/>
      <x:c r="F280" s="373"/>
      <x:c r="G280" s="373"/>
      <x:c r="H280" s="373"/>
      <x:c r="I280" s="373"/>
      <x:c r="J280" s="373"/>
      <x:c r="K280" s="373"/>
      <x:c r="L280" s="373"/>
      <x:c r="M280" s="373"/>
      <x:c r="N280" s="373"/>
      <x:c r="O280" s="373"/>
      <x:c r="P280" s="373"/>
      <x:c r="Q280" s="373"/>
      <x:c r="R280" s="373"/>
      <x:c r="S280" s="373"/>
      <x:c r="T280" s="373"/>
      <x:c r="U280" s="373"/>
      <x:c r="V280" s="373"/>
      <x:c r="W280" s="373"/>
      <x:c r="X280" s="373"/>
      <x:c r="Y280" s="373"/>
      <x:c r="Z280" s="373"/>
    </x:row>
    <x:row r="281">
      <x:c r="A281" s="373"/>
      <x:c r="B281" s="373"/>
      <x:c r="C281" s="373"/>
      <x:c r="D281" s="373"/>
      <x:c r="E281" s="373"/>
      <x:c r="F281" s="373"/>
      <x:c r="G281" s="373"/>
      <x:c r="H281" s="373"/>
      <x:c r="I281" s="373"/>
      <x:c r="J281" s="373"/>
      <x:c r="K281" s="373"/>
      <x:c r="L281" s="373"/>
      <x:c r="M281" s="373"/>
      <x:c r="N281" s="373"/>
      <x:c r="O281" s="373"/>
      <x:c r="P281" s="373"/>
      <x:c r="Q281" s="373"/>
      <x:c r="R281" s="373"/>
      <x:c r="S281" s="373"/>
      <x:c r="T281" s="373"/>
      <x:c r="U281" s="373"/>
      <x:c r="V281" s="373"/>
      <x:c r="W281" s="373"/>
      <x:c r="X281" s="373"/>
      <x:c r="Y281" s="373"/>
      <x:c r="Z281" s="373"/>
    </x:row>
    <x:row r="282">
      <x:c r="A282" s="373"/>
      <x:c r="B282" s="373"/>
      <x:c r="C282" s="373"/>
      <x:c r="D282" s="373"/>
      <x:c r="E282" s="373"/>
      <x:c r="F282" s="373"/>
      <x:c r="G282" s="373"/>
      <x:c r="H282" s="373"/>
      <x:c r="I282" s="373"/>
      <x:c r="J282" s="373"/>
      <x:c r="K282" s="373"/>
      <x:c r="L282" s="373"/>
      <x:c r="M282" s="373"/>
      <x:c r="N282" s="373"/>
      <x:c r="O282" s="373"/>
      <x:c r="P282" s="373"/>
      <x:c r="Q282" s="373"/>
      <x:c r="R282" s="373"/>
      <x:c r="S282" s="373"/>
      <x:c r="T282" s="373"/>
      <x:c r="U282" s="373"/>
      <x:c r="V282" s="373"/>
      <x:c r="W282" s="373"/>
      <x:c r="X282" s="373"/>
      <x:c r="Y282" s="373"/>
      <x:c r="Z282" s="373"/>
    </x:row>
    <x:row r="283">
      <x:c r="A283" s="373"/>
      <x:c r="B283" s="373"/>
      <x:c r="C283" s="373"/>
      <x:c r="D283" s="373"/>
      <x:c r="E283" s="373"/>
      <x:c r="F283" s="373"/>
      <x:c r="G283" s="373"/>
      <x:c r="H283" s="373"/>
      <x:c r="I283" s="373"/>
      <x:c r="J283" s="373"/>
      <x:c r="K283" s="373"/>
      <x:c r="L283" s="373"/>
      <x:c r="M283" s="373"/>
      <x:c r="N283" s="373"/>
      <x:c r="O283" s="373"/>
      <x:c r="P283" s="373"/>
      <x:c r="Q283" s="373"/>
      <x:c r="R283" s="373"/>
      <x:c r="S283" s="373"/>
      <x:c r="T283" s="373"/>
      <x:c r="U283" s="373"/>
      <x:c r="V283" s="373"/>
      <x:c r="W283" s="373"/>
      <x:c r="X283" s="373"/>
      <x:c r="Y283" s="373"/>
      <x:c r="Z283" s="373"/>
    </x:row>
    <x:row r="284">
      <x:c r="A284" s="373"/>
      <x:c r="B284" s="373"/>
      <x:c r="C284" s="373"/>
      <x:c r="D284" s="373"/>
      <x:c r="E284" s="373"/>
      <x:c r="F284" s="373"/>
      <x:c r="G284" s="373"/>
      <x:c r="H284" s="373"/>
      <x:c r="I284" s="373"/>
      <x:c r="J284" s="373"/>
      <x:c r="K284" s="373"/>
      <x:c r="L284" s="373"/>
      <x:c r="M284" s="373"/>
      <x:c r="N284" s="373"/>
      <x:c r="O284" s="373"/>
      <x:c r="P284" s="373"/>
      <x:c r="Q284" s="373"/>
      <x:c r="R284" s="373"/>
      <x:c r="S284" s="373"/>
      <x:c r="T284" s="373"/>
      <x:c r="U284" s="373"/>
      <x:c r="V284" s="373"/>
      <x:c r="W284" s="373"/>
      <x:c r="X284" s="373"/>
      <x:c r="Y284" s="373"/>
      <x:c r="Z284" s="373"/>
    </x:row>
    <x:row r="285">
      <x:c r="A285" s="373"/>
      <x:c r="B285" s="373"/>
      <x:c r="C285" s="373"/>
      <x:c r="D285" s="373"/>
      <x:c r="E285" s="373"/>
      <x:c r="F285" s="373"/>
      <x:c r="G285" s="373"/>
      <x:c r="H285" s="373"/>
      <x:c r="I285" s="373"/>
      <x:c r="J285" s="373"/>
      <x:c r="K285" s="373"/>
      <x:c r="L285" s="373"/>
      <x:c r="M285" s="373"/>
      <x:c r="N285" s="373"/>
      <x:c r="O285" s="373"/>
      <x:c r="P285" s="373"/>
      <x:c r="Q285" s="373"/>
      <x:c r="R285" s="373"/>
      <x:c r="S285" s="373"/>
      <x:c r="T285" s="373"/>
      <x:c r="U285" s="373"/>
      <x:c r="V285" s="373"/>
      <x:c r="W285" s="373"/>
      <x:c r="X285" s="373"/>
      <x:c r="Y285" s="373"/>
      <x:c r="Z285" s="373"/>
    </x:row>
    <x:row r="286">
      <x:c r="A286" s="373"/>
      <x:c r="B286" s="373"/>
      <x:c r="C286" s="373"/>
      <x:c r="D286" s="373"/>
      <x:c r="E286" s="373"/>
      <x:c r="F286" s="373"/>
      <x:c r="G286" s="373"/>
      <x:c r="H286" s="373"/>
      <x:c r="I286" s="373"/>
      <x:c r="J286" s="373"/>
      <x:c r="K286" s="373"/>
      <x:c r="L286" s="373"/>
      <x:c r="M286" s="373"/>
      <x:c r="N286" s="373"/>
      <x:c r="O286" s="373"/>
      <x:c r="P286" s="373"/>
      <x:c r="Q286" s="373"/>
      <x:c r="R286" s="373"/>
      <x:c r="S286" s="373"/>
      <x:c r="T286" s="373"/>
      <x:c r="U286" s="373"/>
      <x:c r="V286" s="373"/>
      <x:c r="W286" s="373"/>
      <x:c r="X286" s="373"/>
      <x:c r="Y286" s="373"/>
      <x:c r="Z286" s="373"/>
    </x:row>
    <x:row r="287">
      <x:c r="A287" s="373"/>
      <x:c r="B287" s="373"/>
      <x:c r="C287" s="373"/>
      <x:c r="D287" s="373"/>
      <x:c r="E287" s="373"/>
      <x:c r="F287" s="373"/>
      <x:c r="G287" s="373"/>
      <x:c r="H287" s="373"/>
      <x:c r="I287" s="373"/>
      <x:c r="J287" s="373"/>
      <x:c r="K287" s="373"/>
      <x:c r="L287" s="373"/>
      <x:c r="M287" s="373"/>
      <x:c r="N287" s="373"/>
      <x:c r="O287" s="373"/>
      <x:c r="P287" s="373"/>
      <x:c r="Q287" s="373"/>
      <x:c r="R287" s="373"/>
      <x:c r="S287" s="373"/>
      <x:c r="T287" s="373"/>
      <x:c r="U287" s="373"/>
      <x:c r="V287" s="373"/>
      <x:c r="W287" s="373"/>
      <x:c r="X287" s="373"/>
      <x:c r="Y287" s="373"/>
      <x:c r="Z287" s="373"/>
    </x:row>
    <x:row r="288">
      <x:c r="A288" s="373"/>
      <x:c r="B288" s="373"/>
      <x:c r="C288" s="373"/>
      <x:c r="D288" s="373"/>
      <x:c r="E288" s="373"/>
      <x:c r="F288" s="373"/>
      <x:c r="G288" s="373"/>
      <x:c r="H288" s="373"/>
      <x:c r="I288" s="373"/>
      <x:c r="J288" s="373"/>
      <x:c r="K288" s="373"/>
      <x:c r="L288" s="373"/>
      <x:c r="M288" s="373"/>
      <x:c r="N288" s="373"/>
      <x:c r="O288" s="373"/>
      <x:c r="P288" s="373"/>
      <x:c r="Q288" s="373"/>
      <x:c r="R288" s="373"/>
      <x:c r="S288" s="373"/>
      <x:c r="T288" s="373"/>
      <x:c r="U288" s="373"/>
      <x:c r="V288" s="373"/>
      <x:c r="W288" s="373"/>
      <x:c r="X288" s="373"/>
      <x:c r="Y288" s="373"/>
      <x:c r="Z288" s="373"/>
    </x:row>
    <x:row r="289">
      <x:c r="A289" s="373"/>
      <x:c r="B289" s="373"/>
      <x:c r="C289" s="373"/>
      <x:c r="D289" s="373"/>
      <x:c r="E289" s="373"/>
      <x:c r="F289" s="373"/>
      <x:c r="G289" s="373"/>
      <x:c r="H289" s="373"/>
      <x:c r="I289" s="373"/>
      <x:c r="J289" s="373"/>
      <x:c r="K289" s="373"/>
      <x:c r="L289" s="373"/>
      <x:c r="M289" s="373"/>
      <x:c r="N289" s="373"/>
      <x:c r="O289" s="373"/>
      <x:c r="P289" s="373"/>
      <x:c r="Q289" s="373"/>
      <x:c r="R289" s="373"/>
      <x:c r="S289" s="373"/>
      <x:c r="T289" s="373"/>
      <x:c r="U289" s="373"/>
      <x:c r="V289" s="373"/>
      <x:c r="W289" s="373"/>
      <x:c r="X289" s="373"/>
      <x:c r="Y289" s="373"/>
      <x:c r="Z289" s="373"/>
    </x:row>
    <x:row r="290">
      <x:c r="A290" s="373"/>
      <x:c r="B290" s="373"/>
      <x:c r="C290" s="373"/>
      <x:c r="D290" s="373"/>
      <x:c r="E290" s="373"/>
      <x:c r="F290" s="373"/>
      <x:c r="G290" s="373"/>
      <x:c r="H290" s="373"/>
      <x:c r="I290" s="373"/>
      <x:c r="J290" s="373"/>
      <x:c r="K290" s="373"/>
      <x:c r="L290" s="373"/>
      <x:c r="M290" s="373"/>
      <x:c r="N290" s="373"/>
      <x:c r="O290" s="373"/>
      <x:c r="P290" s="373"/>
      <x:c r="Q290" s="373"/>
      <x:c r="R290" s="373"/>
      <x:c r="S290" s="373"/>
      <x:c r="T290" s="373"/>
      <x:c r="U290" s="373"/>
      <x:c r="V290" s="373"/>
      <x:c r="W290" s="373"/>
      <x:c r="X290" s="373"/>
      <x:c r="Y290" s="373"/>
      <x:c r="Z290" s="373"/>
    </x:row>
    <x:row r="291">
      <x:c r="A291" s="373"/>
      <x:c r="B291" s="373"/>
      <x:c r="C291" s="373"/>
      <x:c r="D291" s="373"/>
      <x:c r="E291" s="373"/>
      <x:c r="F291" s="373"/>
      <x:c r="G291" s="373"/>
      <x:c r="H291" s="373"/>
      <x:c r="I291" s="373"/>
      <x:c r="J291" s="373"/>
      <x:c r="K291" s="373"/>
      <x:c r="L291" s="373"/>
      <x:c r="M291" s="373"/>
      <x:c r="N291" s="373"/>
      <x:c r="O291" s="373"/>
      <x:c r="P291" s="373"/>
      <x:c r="Q291" s="373"/>
      <x:c r="R291" s="373"/>
      <x:c r="S291" s="373"/>
      <x:c r="T291" s="373"/>
      <x:c r="U291" s="373"/>
      <x:c r="V291" s="373"/>
      <x:c r="W291" s="373"/>
      <x:c r="X291" s="373"/>
      <x:c r="Y291" s="373"/>
      <x:c r="Z291" s="373"/>
    </x:row>
    <x:row r="292">
      <x:c r="A292" s="373"/>
      <x:c r="B292" s="373"/>
      <x:c r="C292" s="373"/>
      <x:c r="D292" s="373"/>
      <x:c r="E292" s="373"/>
      <x:c r="F292" s="373"/>
      <x:c r="G292" s="373"/>
      <x:c r="H292" s="373"/>
      <x:c r="I292" s="373"/>
      <x:c r="J292" s="373"/>
      <x:c r="K292" s="373"/>
      <x:c r="L292" s="373"/>
      <x:c r="M292" s="373"/>
      <x:c r="N292" s="373"/>
      <x:c r="O292" s="373"/>
      <x:c r="P292" s="373"/>
      <x:c r="Q292" s="373"/>
      <x:c r="R292" s="373"/>
      <x:c r="S292" s="373"/>
      <x:c r="T292" s="373"/>
      <x:c r="U292" s="373"/>
      <x:c r="V292" s="373"/>
      <x:c r="W292" s="373"/>
      <x:c r="X292" s="373"/>
      <x:c r="Y292" s="373"/>
      <x:c r="Z292" s="373"/>
    </x:row>
    <x:row r="293">
      <x:c r="A293" s="373"/>
      <x:c r="B293" s="373"/>
      <x:c r="C293" s="373"/>
      <x:c r="D293" s="373"/>
      <x:c r="E293" s="373"/>
      <x:c r="F293" s="373"/>
      <x:c r="G293" s="373"/>
      <x:c r="H293" s="373"/>
      <x:c r="I293" s="373"/>
      <x:c r="J293" s="373"/>
      <x:c r="K293" s="373"/>
      <x:c r="L293" s="373"/>
      <x:c r="M293" s="373"/>
      <x:c r="N293" s="373"/>
      <x:c r="O293" s="373"/>
      <x:c r="P293" s="373"/>
      <x:c r="Q293" s="373"/>
      <x:c r="R293" s="373"/>
      <x:c r="S293" s="373"/>
      <x:c r="T293" s="373"/>
      <x:c r="U293" s="373"/>
      <x:c r="V293" s="373"/>
      <x:c r="W293" s="373"/>
      <x:c r="X293" s="373"/>
      <x:c r="Y293" s="373"/>
      <x:c r="Z293" s="373"/>
    </x:row>
    <x:row r="294">
      <x:c r="A294" s="373"/>
      <x:c r="B294" s="373"/>
      <x:c r="C294" s="373"/>
      <x:c r="D294" s="373"/>
      <x:c r="E294" s="373"/>
      <x:c r="F294" s="373"/>
      <x:c r="G294" s="373"/>
      <x:c r="H294" s="373"/>
      <x:c r="I294" s="373"/>
      <x:c r="J294" s="373"/>
      <x:c r="K294" s="373"/>
      <x:c r="L294" s="373"/>
      <x:c r="M294" s="373"/>
      <x:c r="N294" s="373"/>
      <x:c r="O294" s="373"/>
      <x:c r="P294" s="373"/>
      <x:c r="Q294" s="373"/>
      <x:c r="R294" s="373"/>
      <x:c r="S294" s="373"/>
      <x:c r="T294" s="373"/>
      <x:c r="U294" s="373"/>
      <x:c r="V294" s="373"/>
      <x:c r="W294" s="373"/>
      <x:c r="X294" s="373"/>
      <x:c r="Y294" s="373"/>
      <x:c r="Z294" s="373"/>
    </x:row>
    <x:row r="295">
      <x:c r="A295" s="373"/>
      <x:c r="B295" s="373"/>
      <x:c r="C295" s="373"/>
      <x:c r="D295" s="373"/>
      <x:c r="E295" s="373"/>
      <x:c r="F295" s="373"/>
      <x:c r="G295" s="373"/>
      <x:c r="H295" s="373"/>
      <x:c r="I295" s="373"/>
      <x:c r="J295" s="373"/>
      <x:c r="K295" s="373"/>
      <x:c r="L295" s="373"/>
      <x:c r="M295" s="373"/>
      <x:c r="N295" s="373"/>
      <x:c r="O295" s="373"/>
      <x:c r="P295" s="373"/>
      <x:c r="Q295" s="373"/>
      <x:c r="R295" s="373"/>
      <x:c r="S295" s="373"/>
      <x:c r="T295" s="373"/>
      <x:c r="U295" s="373"/>
      <x:c r="V295" s="373"/>
      <x:c r="W295" s="373"/>
      <x:c r="X295" s="373"/>
      <x:c r="Y295" s="373"/>
      <x:c r="Z295" s="373"/>
    </x:row>
    <x:row r="296">
      <x:c r="A296" s="373"/>
      <x:c r="B296" s="373"/>
      <x:c r="C296" s="373"/>
      <x:c r="D296" s="373"/>
      <x:c r="E296" s="373"/>
      <x:c r="F296" s="373"/>
      <x:c r="G296" s="373"/>
      <x:c r="H296" s="373"/>
      <x:c r="I296" s="373"/>
      <x:c r="J296" s="373"/>
      <x:c r="K296" s="373"/>
      <x:c r="L296" s="373"/>
      <x:c r="M296" s="373"/>
      <x:c r="N296" s="373"/>
      <x:c r="O296" s="373"/>
      <x:c r="P296" s="373"/>
      <x:c r="Q296" s="373"/>
      <x:c r="R296" s="373"/>
      <x:c r="S296" s="373"/>
      <x:c r="T296" s="373"/>
      <x:c r="U296" s="373"/>
      <x:c r="V296" s="373"/>
      <x:c r="W296" s="373"/>
      <x:c r="X296" s="373"/>
      <x:c r="Y296" s="373"/>
      <x:c r="Z296" s="373"/>
    </x:row>
    <x:row r="297">
      <x:c r="A297" s="373"/>
      <x:c r="B297" s="373"/>
      <x:c r="C297" s="373"/>
      <x:c r="D297" s="373"/>
      <x:c r="E297" s="373"/>
      <x:c r="F297" s="373"/>
      <x:c r="G297" s="373"/>
      <x:c r="H297" s="373"/>
      <x:c r="I297" s="373"/>
      <x:c r="J297" s="373"/>
      <x:c r="K297" s="373"/>
      <x:c r="L297" s="373"/>
      <x:c r="M297" s="373"/>
      <x:c r="N297" s="373"/>
      <x:c r="O297" s="373"/>
      <x:c r="P297" s="373"/>
      <x:c r="Q297" s="373"/>
      <x:c r="R297" s="373"/>
      <x:c r="S297" s="373"/>
      <x:c r="T297" s="373"/>
      <x:c r="U297" s="373"/>
      <x:c r="V297" s="373"/>
      <x:c r="W297" s="373"/>
      <x:c r="X297" s="373"/>
      <x:c r="Y297" s="373"/>
      <x:c r="Z297" s="373"/>
    </x:row>
    <x:row r="298">
      <x:c r="A298" s="373"/>
      <x:c r="B298" s="373"/>
      <x:c r="C298" s="373"/>
      <x:c r="D298" s="373"/>
      <x:c r="E298" s="373"/>
      <x:c r="F298" s="373"/>
      <x:c r="G298" s="373"/>
      <x:c r="H298" s="373"/>
      <x:c r="I298" s="373"/>
      <x:c r="J298" s="373"/>
      <x:c r="K298" s="373"/>
      <x:c r="L298" s="373"/>
      <x:c r="M298" s="373"/>
      <x:c r="N298" s="373"/>
      <x:c r="O298" s="373"/>
      <x:c r="P298" s="373"/>
      <x:c r="Q298" s="373"/>
      <x:c r="R298" s="373"/>
      <x:c r="S298" s="373"/>
      <x:c r="T298" s="373"/>
      <x:c r="U298" s="373"/>
      <x:c r="V298" s="373"/>
      <x:c r="W298" s="373"/>
      <x:c r="X298" s="373"/>
      <x:c r="Y298" s="373"/>
      <x:c r="Z298" s="373"/>
    </x:row>
    <x:row r="299">
      <x:c r="A299" s="373"/>
      <x:c r="B299" s="373"/>
      <x:c r="C299" s="373"/>
      <x:c r="D299" s="373"/>
      <x:c r="E299" s="373"/>
      <x:c r="F299" s="373"/>
      <x:c r="G299" s="373"/>
      <x:c r="H299" s="373"/>
      <x:c r="I299" s="373"/>
      <x:c r="J299" s="373"/>
      <x:c r="K299" s="373"/>
      <x:c r="L299" s="373"/>
      <x:c r="M299" s="373"/>
      <x:c r="N299" s="373"/>
      <x:c r="O299" s="373"/>
      <x:c r="P299" s="373"/>
      <x:c r="Q299" s="373"/>
      <x:c r="R299" s="373"/>
      <x:c r="S299" s="373"/>
      <x:c r="T299" s="373"/>
      <x:c r="U299" s="373"/>
      <x:c r="V299" s="373"/>
      <x:c r="W299" s="373"/>
      <x:c r="X299" s="373"/>
      <x:c r="Y299" s="373"/>
      <x:c r="Z299" s="373"/>
    </x:row>
    <x:row r="300">
      <x:c r="A300" s="373"/>
      <x:c r="B300" s="373"/>
      <x:c r="C300" s="373"/>
      <x:c r="D300" s="373"/>
      <x:c r="E300" s="373"/>
      <x:c r="F300" s="373"/>
      <x:c r="G300" s="373"/>
      <x:c r="H300" s="373"/>
      <x:c r="I300" s="373"/>
      <x:c r="J300" s="373"/>
      <x:c r="K300" s="373"/>
      <x:c r="L300" s="373"/>
      <x:c r="M300" s="373"/>
      <x:c r="N300" s="373"/>
      <x:c r="O300" s="373"/>
      <x:c r="P300" s="373"/>
      <x:c r="Q300" s="373"/>
      <x:c r="R300" s="373"/>
      <x:c r="S300" s="373"/>
      <x:c r="T300" s="373"/>
      <x:c r="U300" s="373"/>
      <x:c r="V300" s="373"/>
      <x:c r="W300" s="373"/>
      <x:c r="X300" s="373"/>
      <x:c r="Y300" s="373"/>
      <x:c r="Z300" s="373"/>
    </x:row>
    <x:row r="301">
      <x:c r="A301" s="373"/>
      <x:c r="B301" s="373"/>
      <x:c r="C301" s="373"/>
      <x:c r="D301" s="373"/>
      <x:c r="E301" s="373"/>
      <x:c r="F301" s="373"/>
      <x:c r="G301" s="373"/>
      <x:c r="H301" s="373"/>
      <x:c r="I301" s="373"/>
      <x:c r="J301" s="373"/>
      <x:c r="K301" s="373"/>
      <x:c r="L301" s="373"/>
      <x:c r="M301" s="373"/>
      <x:c r="N301" s="373"/>
      <x:c r="O301" s="373"/>
      <x:c r="P301" s="373"/>
      <x:c r="Q301" s="373"/>
      <x:c r="R301" s="373"/>
      <x:c r="S301" s="373"/>
      <x:c r="T301" s="373"/>
      <x:c r="U301" s="373"/>
      <x:c r="V301" s="373"/>
      <x:c r="W301" s="373"/>
      <x:c r="X301" s="373"/>
      <x:c r="Y301" s="373"/>
      <x:c r="Z301" s="373"/>
    </x:row>
    <x:row r="302">
      <x:c r="A302" s="373"/>
      <x:c r="B302" s="373"/>
      <x:c r="C302" s="373"/>
      <x:c r="D302" s="373"/>
      <x:c r="E302" s="373"/>
      <x:c r="F302" s="373"/>
      <x:c r="G302" s="373"/>
      <x:c r="H302" s="373"/>
      <x:c r="I302" s="373"/>
      <x:c r="J302" s="373"/>
      <x:c r="K302" s="373"/>
      <x:c r="L302" s="373"/>
      <x:c r="M302" s="373"/>
      <x:c r="N302" s="373"/>
      <x:c r="O302" s="373"/>
      <x:c r="P302" s="373"/>
      <x:c r="Q302" s="373"/>
      <x:c r="R302" s="373"/>
      <x:c r="S302" s="373"/>
      <x:c r="T302" s="373"/>
      <x:c r="U302" s="373"/>
      <x:c r="V302" s="373"/>
      <x:c r="W302" s="373"/>
      <x:c r="X302" s="373"/>
      <x:c r="Y302" s="373"/>
      <x:c r="Z302" s="373"/>
    </x:row>
    <x:row r="303">
      <x:c r="A303" s="373"/>
      <x:c r="B303" s="373"/>
      <x:c r="C303" s="373"/>
      <x:c r="D303" s="373"/>
      <x:c r="E303" s="373"/>
      <x:c r="F303" s="373"/>
      <x:c r="G303" s="373"/>
      <x:c r="H303" s="373"/>
      <x:c r="I303" s="373"/>
      <x:c r="J303" s="373"/>
      <x:c r="K303" s="373"/>
      <x:c r="L303" s="373"/>
      <x:c r="M303" s="373"/>
      <x:c r="N303" s="373"/>
      <x:c r="O303" s="373"/>
      <x:c r="P303" s="373"/>
      <x:c r="Q303" s="373"/>
      <x:c r="R303" s="373"/>
      <x:c r="S303" s="373"/>
      <x:c r="T303" s="373"/>
      <x:c r="U303" s="373"/>
      <x:c r="V303" s="373"/>
      <x:c r="W303" s="373"/>
      <x:c r="X303" s="373"/>
      <x:c r="Y303" s="373"/>
      <x:c r="Z303" s="373"/>
    </x:row>
    <x:row r="304">
      <x:c r="A304" s="373"/>
      <x:c r="B304" s="373"/>
      <x:c r="C304" s="373"/>
      <x:c r="D304" s="373"/>
      <x:c r="E304" s="373"/>
      <x:c r="F304" s="373"/>
      <x:c r="G304" s="373"/>
      <x:c r="H304" s="373"/>
      <x:c r="I304" s="373"/>
      <x:c r="J304" s="373"/>
      <x:c r="K304" s="373"/>
      <x:c r="L304" s="373"/>
      <x:c r="M304" s="373"/>
      <x:c r="N304" s="373"/>
      <x:c r="O304" s="373"/>
      <x:c r="P304" s="373"/>
      <x:c r="Q304" s="373"/>
      <x:c r="R304" s="373"/>
      <x:c r="S304" s="373"/>
      <x:c r="T304" s="373"/>
      <x:c r="U304" s="373"/>
      <x:c r="V304" s="373"/>
      <x:c r="W304" s="373"/>
      <x:c r="X304" s="373"/>
      <x:c r="Y304" s="373"/>
      <x:c r="Z304" s="373"/>
    </x:row>
    <x:row r="305">
      <x:c r="A305" s="373"/>
      <x:c r="B305" s="373"/>
      <x:c r="C305" s="373"/>
      <x:c r="D305" s="373"/>
      <x:c r="E305" s="373"/>
      <x:c r="F305" s="373"/>
      <x:c r="G305" s="373"/>
      <x:c r="H305" s="373"/>
      <x:c r="I305" s="373"/>
      <x:c r="J305" s="373"/>
      <x:c r="K305" s="373"/>
      <x:c r="L305" s="373"/>
      <x:c r="M305" s="373"/>
      <x:c r="N305" s="373"/>
      <x:c r="O305" s="373"/>
      <x:c r="P305" s="373"/>
      <x:c r="Q305" s="373"/>
      <x:c r="R305" s="373"/>
      <x:c r="S305" s="373"/>
      <x:c r="T305" s="373"/>
      <x:c r="U305" s="373"/>
      <x:c r="V305" s="373"/>
      <x:c r="W305" s="373"/>
      <x:c r="X305" s="373"/>
      <x:c r="Y305" s="373"/>
      <x:c r="Z305" s="373"/>
    </x:row>
    <x:row r="306">
      <x:c r="A306" s="373"/>
      <x:c r="B306" s="373"/>
      <x:c r="C306" s="373"/>
      <x:c r="D306" s="373"/>
      <x:c r="E306" s="373"/>
      <x:c r="F306" s="373"/>
      <x:c r="G306" s="373"/>
      <x:c r="H306" s="373"/>
      <x:c r="I306" s="373"/>
      <x:c r="J306" s="373"/>
      <x:c r="K306" s="373"/>
      <x:c r="L306" s="373"/>
      <x:c r="M306" s="373"/>
      <x:c r="N306" s="373"/>
      <x:c r="O306" s="373"/>
      <x:c r="P306" s="373"/>
      <x:c r="Q306" s="373"/>
      <x:c r="R306" s="373"/>
      <x:c r="S306" s="373"/>
      <x:c r="T306" s="373"/>
      <x:c r="U306" s="373"/>
      <x:c r="V306" s="373"/>
      <x:c r="W306" s="373"/>
      <x:c r="X306" s="373"/>
      <x:c r="Y306" s="373"/>
      <x:c r="Z306" s="373"/>
    </x:row>
    <x:row r="307">
      <x:c r="A307" s="373"/>
      <x:c r="B307" s="373"/>
      <x:c r="C307" s="373"/>
      <x:c r="D307" s="373"/>
      <x:c r="E307" s="373"/>
      <x:c r="F307" s="373"/>
      <x:c r="G307" s="373"/>
      <x:c r="H307" s="373"/>
      <x:c r="I307" s="373"/>
      <x:c r="J307" s="373"/>
      <x:c r="K307" s="373"/>
      <x:c r="L307" s="373"/>
      <x:c r="M307" s="373"/>
      <x:c r="N307" s="373"/>
      <x:c r="O307" s="373"/>
      <x:c r="P307" s="373"/>
      <x:c r="Q307" s="373"/>
      <x:c r="R307" s="373"/>
      <x:c r="S307" s="373"/>
      <x:c r="T307" s="373"/>
      <x:c r="U307" s="373"/>
      <x:c r="V307" s="373"/>
      <x:c r="W307" s="373"/>
      <x:c r="X307" s="373"/>
      <x:c r="Y307" s="373"/>
      <x:c r="Z307" s="373"/>
    </x:row>
    <x:row r="308">
      <x:c r="A308" s="373"/>
      <x:c r="B308" s="373"/>
      <x:c r="C308" s="373"/>
      <x:c r="D308" s="373"/>
      <x:c r="E308" s="373"/>
      <x:c r="F308" s="373"/>
      <x:c r="G308" s="373"/>
      <x:c r="H308" s="373"/>
      <x:c r="I308" s="373"/>
      <x:c r="J308" s="373"/>
      <x:c r="K308" s="373"/>
      <x:c r="L308" s="373"/>
      <x:c r="M308" s="373"/>
      <x:c r="N308" s="373"/>
      <x:c r="O308" s="373"/>
      <x:c r="P308" s="373"/>
      <x:c r="Q308" s="373"/>
      <x:c r="R308" s="373"/>
      <x:c r="S308" s="373"/>
      <x:c r="T308" s="373"/>
      <x:c r="U308" s="373"/>
      <x:c r="V308" s="373"/>
      <x:c r="W308" s="373"/>
      <x:c r="X308" s="373"/>
      <x:c r="Y308" s="373"/>
      <x:c r="Z308" s="373"/>
    </x:row>
    <x:row r="309">
      <x:c r="A309" s="373"/>
      <x:c r="B309" s="373"/>
      <x:c r="C309" s="373"/>
      <x:c r="D309" s="373"/>
      <x:c r="E309" s="373"/>
      <x:c r="F309" s="373"/>
      <x:c r="G309" s="373"/>
      <x:c r="H309" s="373"/>
      <x:c r="I309" s="373"/>
      <x:c r="J309" s="373"/>
      <x:c r="K309" s="373"/>
      <x:c r="L309" s="373"/>
      <x:c r="M309" s="373"/>
      <x:c r="N309" s="373"/>
      <x:c r="O309" s="373"/>
      <x:c r="P309" s="373"/>
      <x:c r="Q309" s="373"/>
      <x:c r="R309" s="373"/>
      <x:c r="S309" s="373"/>
      <x:c r="T309" s="373"/>
      <x:c r="U309" s="373"/>
      <x:c r="V309" s="373"/>
      <x:c r="W309" s="373"/>
      <x:c r="X309" s="373"/>
      <x:c r="Y309" s="373"/>
      <x:c r="Z309" s="373"/>
    </x:row>
    <x:row r="310">
      <x:c r="A310" s="373"/>
      <x:c r="B310" s="373"/>
      <x:c r="C310" s="373"/>
      <x:c r="D310" s="373"/>
      <x:c r="E310" s="373"/>
      <x:c r="F310" s="373"/>
      <x:c r="G310" s="373"/>
      <x:c r="H310" s="373"/>
      <x:c r="I310" s="373"/>
      <x:c r="J310" s="373"/>
      <x:c r="K310" s="373"/>
      <x:c r="L310" s="373"/>
      <x:c r="M310" s="373"/>
      <x:c r="N310" s="373"/>
      <x:c r="O310" s="373"/>
      <x:c r="P310" s="373"/>
      <x:c r="Q310" s="373"/>
      <x:c r="R310" s="373"/>
      <x:c r="S310" s="373"/>
      <x:c r="T310" s="373"/>
      <x:c r="U310" s="373"/>
      <x:c r="V310" s="373"/>
      <x:c r="W310" s="373"/>
      <x:c r="X310" s="373"/>
      <x:c r="Y310" s="373"/>
      <x:c r="Z310" s="373"/>
    </x:row>
    <x:row r="311">
      <x:c r="A311" s="373"/>
      <x:c r="B311" s="373"/>
      <x:c r="C311" s="373"/>
      <x:c r="D311" s="373"/>
      <x:c r="E311" s="373"/>
      <x:c r="F311" s="373"/>
      <x:c r="G311" s="373"/>
      <x:c r="H311" s="373"/>
      <x:c r="I311" s="373"/>
      <x:c r="J311" s="373"/>
      <x:c r="K311" s="373"/>
      <x:c r="L311" s="373"/>
      <x:c r="M311" s="373"/>
      <x:c r="N311" s="373"/>
      <x:c r="O311" s="373"/>
      <x:c r="P311" s="373"/>
      <x:c r="Q311" s="373"/>
      <x:c r="R311" s="373"/>
      <x:c r="S311" s="373"/>
      <x:c r="T311" s="373"/>
      <x:c r="U311" s="373"/>
      <x:c r="V311" s="373"/>
      <x:c r="W311" s="373"/>
      <x:c r="X311" s="373"/>
      <x:c r="Y311" s="373"/>
      <x:c r="Z311" s="373"/>
    </x:row>
    <x:row r="312">
      <x:c r="A312" s="373"/>
      <x:c r="B312" s="373"/>
      <x:c r="C312" s="373"/>
      <x:c r="D312" s="373"/>
      <x:c r="E312" s="373"/>
      <x:c r="F312" s="373"/>
      <x:c r="G312" s="373"/>
      <x:c r="H312" s="373"/>
      <x:c r="I312" s="373"/>
      <x:c r="J312" s="373"/>
      <x:c r="K312" s="373"/>
      <x:c r="L312" s="373"/>
      <x:c r="M312" s="373"/>
      <x:c r="N312" s="373"/>
      <x:c r="O312" s="373"/>
      <x:c r="P312" s="373"/>
      <x:c r="Q312" s="373"/>
      <x:c r="R312" s="373"/>
      <x:c r="S312" s="373"/>
      <x:c r="T312" s="373"/>
      <x:c r="U312" s="373"/>
      <x:c r="V312" s="373"/>
      <x:c r="W312" s="373"/>
      <x:c r="X312" s="373"/>
      <x:c r="Y312" s="373"/>
      <x:c r="Z312" s="373"/>
    </x:row>
    <x:row r="313">
      <x:c r="A313" s="373"/>
      <x:c r="B313" s="373"/>
      <x:c r="C313" s="373"/>
      <x:c r="D313" s="373"/>
      <x:c r="E313" s="373"/>
      <x:c r="F313" s="373"/>
      <x:c r="G313" s="373"/>
      <x:c r="H313" s="373"/>
      <x:c r="I313" s="373"/>
      <x:c r="J313" s="373"/>
      <x:c r="K313" s="373"/>
      <x:c r="L313" s="373"/>
      <x:c r="M313" s="373"/>
      <x:c r="N313" s="373"/>
      <x:c r="O313" s="373"/>
      <x:c r="P313" s="373"/>
      <x:c r="Q313" s="373"/>
      <x:c r="R313" s="373"/>
      <x:c r="S313" s="373"/>
      <x:c r="T313" s="373"/>
      <x:c r="U313" s="373"/>
      <x:c r="V313" s="373"/>
      <x:c r="W313" s="373"/>
      <x:c r="X313" s="373"/>
      <x:c r="Y313" s="373"/>
      <x:c r="Z313" s="373"/>
    </x:row>
    <x:row r="314">
      <x:c r="A314" s="373"/>
      <x:c r="B314" s="373"/>
      <x:c r="C314" s="373"/>
      <x:c r="D314" s="373"/>
      <x:c r="E314" s="373"/>
      <x:c r="F314" s="373"/>
      <x:c r="G314" s="373"/>
      <x:c r="H314" s="373"/>
      <x:c r="I314" s="373"/>
      <x:c r="J314" s="373"/>
      <x:c r="K314" s="373"/>
      <x:c r="L314" s="373"/>
      <x:c r="M314" s="373"/>
      <x:c r="N314" s="373"/>
      <x:c r="O314" s="373"/>
      <x:c r="P314" s="373"/>
      <x:c r="Q314" s="373"/>
      <x:c r="R314" s="373"/>
      <x:c r="S314" s="373"/>
      <x:c r="T314" s="373"/>
      <x:c r="U314" s="373"/>
      <x:c r="V314" s="373"/>
      <x:c r="W314" s="373"/>
      <x:c r="X314" s="373"/>
      <x:c r="Y314" s="373"/>
      <x:c r="Z314" s="373"/>
    </x:row>
    <x:row r="315">
      <x:c r="A315" s="373"/>
      <x:c r="B315" s="373"/>
      <x:c r="C315" s="373"/>
      <x:c r="D315" s="373"/>
      <x:c r="E315" s="373"/>
      <x:c r="F315" s="373"/>
      <x:c r="G315" s="373"/>
      <x:c r="H315" s="373"/>
      <x:c r="I315" s="373"/>
      <x:c r="J315" s="373"/>
      <x:c r="K315" s="373"/>
      <x:c r="L315" s="373"/>
      <x:c r="M315" s="373"/>
      <x:c r="N315" s="373"/>
      <x:c r="O315" s="373"/>
      <x:c r="P315" s="373"/>
      <x:c r="Q315" s="373"/>
      <x:c r="R315" s="373"/>
      <x:c r="S315" s="373"/>
      <x:c r="T315" s="373"/>
      <x:c r="U315" s="373"/>
      <x:c r="V315" s="373"/>
      <x:c r="W315" s="373"/>
      <x:c r="X315" s="373"/>
      <x:c r="Y315" s="373"/>
      <x:c r="Z315" s="373"/>
    </x:row>
    <x:row r="316">
      <x:c r="A316" s="373"/>
      <x:c r="B316" s="373"/>
      <x:c r="C316" s="373"/>
      <x:c r="D316" s="373"/>
      <x:c r="E316" s="373"/>
      <x:c r="F316" s="373"/>
      <x:c r="G316" s="373"/>
      <x:c r="H316" s="373"/>
      <x:c r="I316" s="373"/>
      <x:c r="J316" s="373"/>
      <x:c r="K316" s="373"/>
      <x:c r="L316" s="373"/>
      <x:c r="M316" s="373"/>
      <x:c r="N316" s="373"/>
      <x:c r="O316" s="373"/>
      <x:c r="P316" s="373"/>
      <x:c r="Q316" s="373"/>
      <x:c r="R316" s="373"/>
      <x:c r="S316" s="373"/>
      <x:c r="T316" s="373"/>
      <x:c r="U316" s="373"/>
      <x:c r="V316" s="373"/>
      <x:c r="W316" s="373"/>
      <x:c r="X316" s="373"/>
      <x:c r="Y316" s="373"/>
      <x:c r="Z316" s="373"/>
    </x:row>
    <x:row r="317">
      <x:c r="A317" s="373"/>
      <x:c r="B317" s="373"/>
      <x:c r="C317" s="373"/>
      <x:c r="D317" s="373"/>
      <x:c r="E317" s="373"/>
      <x:c r="F317" s="373"/>
      <x:c r="G317" s="373"/>
      <x:c r="H317" s="373"/>
      <x:c r="I317" s="373"/>
      <x:c r="J317" s="373"/>
      <x:c r="K317" s="373"/>
      <x:c r="L317" s="373"/>
      <x:c r="M317" s="373"/>
      <x:c r="N317" s="373"/>
      <x:c r="O317" s="373"/>
      <x:c r="P317" s="373"/>
      <x:c r="Q317" s="373"/>
      <x:c r="R317" s="373"/>
      <x:c r="S317" s="373"/>
      <x:c r="T317" s="373"/>
      <x:c r="U317" s="373"/>
      <x:c r="V317" s="373"/>
      <x:c r="W317" s="373"/>
      <x:c r="X317" s="373"/>
      <x:c r="Y317" s="373"/>
      <x:c r="Z317" s="373"/>
    </x:row>
    <x:row r="318">
      <x:c r="A318" s="373"/>
      <x:c r="B318" s="373"/>
      <x:c r="C318" s="373"/>
      <x:c r="D318" s="373"/>
      <x:c r="E318" s="373"/>
      <x:c r="F318" s="373"/>
      <x:c r="G318" s="373"/>
      <x:c r="H318" s="373"/>
      <x:c r="I318" s="373"/>
      <x:c r="J318" s="373"/>
      <x:c r="K318" s="373"/>
      <x:c r="L318" s="373"/>
      <x:c r="M318" s="373"/>
      <x:c r="N318" s="373"/>
      <x:c r="O318" s="373"/>
      <x:c r="P318" s="373"/>
      <x:c r="Q318" s="373"/>
      <x:c r="R318" s="373"/>
      <x:c r="S318" s="373"/>
      <x:c r="T318" s="373"/>
      <x:c r="U318" s="373"/>
      <x:c r="V318" s="373"/>
      <x:c r="W318" s="373"/>
      <x:c r="X318" s="373"/>
      <x:c r="Y318" s="373"/>
      <x:c r="Z318" s="373"/>
    </x:row>
    <x:row r="319">
      <x:c r="A319" s="373"/>
      <x:c r="B319" s="373"/>
      <x:c r="C319" s="373"/>
      <x:c r="D319" s="373"/>
      <x:c r="E319" s="373"/>
      <x:c r="F319" s="373"/>
      <x:c r="G319" s="373"/>
      <x:c r="H319" s="373"/>
      <x:c r="I319" s="373"/>
      <x:c r="J319" s="373"/>
      <x:c r="K319" s="373"/>
      <x:c r="L319" s="373"/>
      <x:c r="M319" s="373"/>
      <x:c r="N319" s="373"/>
      <x:c r="O319" s="373"/>
      <x:c r="P319" s="373"/>
      <x:c r="Q319" s="373"/>
      <x:c r="R319" s="373"/>
      <x:c r="S319" s="373"/>
      <x:c r="T319" s="373"/>
      <x:c r="U319" s="373"/>
      <x:c r="V319" s="373"/>
      <x:c r="W319" s="373"/>
      <x:c r="X319" s="373"/>
      <x:c r="Y319" s="373"/>
      <x:c r="Z319" s="373"/>
    </x:row>
    <x:row r="320">
      <x:c r="A320" s="373"/>
      <x:c r="B320" s="373"/>
      <x:c r="C320" s="373"/>
      <x:c r="D320" s="373"/>
      <x:c r="E320" s="373"/>
      <x:c r="F320" s="373"/>
      <x:c r="G320" s="373"/>
      <x:c r="H320" s="373"/>
      <x:c r="I320" s="373"/>
      <x:c r="J320" s="373"/>
      <x:c r="K320" s="373"/>
      <x:c r="L320" s="373"/>
      <x:c r="M320" s="373"/>
      <x:c r="N320" s="373"/>
      <x:c r="O320" s="373"/>
      <x:c r="P320" s="373"/>
      <x:c r="Q320" s="373"/>
      <x:c r="R320" s="373"/>
      <x:c r="S320" s="373"/>
      <x:c r="T320" s="373"/>
      <x:c r="U320" s="373"/>
      <x:c r="V320" s="373"/>
      <x:c r="W320" s="373"/>
      <x:c r="X320" s="373"/>
      <x:c r="Y320" s="373"/>
      <x:c r="Z320" s="373"/>
    </x:row>
    <x:row r="321">
      <x:c r="A321" s="373"/>
      <x:c r="B321" s="373"/>
      <x:c r="C321" s="373"/>
      <x:c r="D321" s="373"/>
      <x:c r="E321" s="373"/>
      <x:c r="F321" s="373"/>
      <x:c r="G321" s="373"/>
      <x:c r="H321" s="373"/>
      <x:c r="I321" s="373"/>
      <x:c r="J321" s="373"/>
      <x:c r="K321" s="373"/>
      <x:c r="L321" s="373"/>
      <x:c r="M321" s="373"/>
      <x:c r="N321" s="373"/>
      <x:c r="O321" s="373"/>
      <x:c r="P321" s="373"/>
      <x:c r="Q321" s="373"/>
      <x:c r="R321" s="373"/>
      <x:c r="S321" s="373"/>
      <x:c r="T321" s="373"/>
      <x:c r="U321" s="373"/>
      <x:c r="V321" s="373"/>
      <x:c r="W321" s="373"/>
      <x:c r="X321" s="373"/>
      <x:c r="Y321" s="373"/>
      <x:c r="Z321" s="373"/>
    </x:row>
    <x:row r="322">
      <x:c r="A322" s="373"/>
      <x:c r="B322" s="373"/>
      <x:c r="C322" s="373"/>
      <x:c r="D322" s="373"/>
      <x:c r="E322" s="373"/>
      <x:c r="F322" s="373"/>
      <x:c r="G322" s="373"/>
      <x:c r="H322" s="373"/>
      <x:c r="I322" s="373"/>
      <x:c r="J322" s="373"/>
      <x:c r="K322" s="373"/>
      <x:c r="L322" s="373"/>
      <x:c r="M322" s="373"/>
      <x:c r="N322" s="373"/>
      <x:c r="O322" s="373"/>
      <x:c r="P322" s="373"/>
      <x:c r="Q322" s="373"/>
      <x:c r="R322" s="373"/>
      <x:c r="S322" s="373"/>
      <x:c r="T322" s="373"/>
      <x:c r="U322" s="373"/>
      <x:c r="V322" s="373"/>
      <x:c r="W322" s="373"/>
      <x:c r="X322" s="373"/>
      <x:c r="Y322" s="373"/>
      <x:c r="Z322" s="373"/>
    </x:row>
    <x:row r="323">
      <x:c r="A323" s="373"/>
      <x:c r="B323" s="373"/>
      <x:c r="C323" s="373"/>
      <x:c r="D323" s="373"/>
      <x:c r="E323" s="373"/>
      <x:c r="F323" s="373"/>
      <x:c r="G323" s="373"/>
      <x:c r="H323" s="373"/>
      <x:c r="I323" s="373"/>
      <x:c r="J323" s="373"/>
      <x:c r="K323" s="373"/>
      <x:c r="L323" s="373"/>
      <x:c r="M323" s="373"/>
      <x:c r="N323" s="373"/>
      <x:c r="O323" s="373"/>
      <x:c r="P323" s="373"/>
      <x:c r="Q323" s="373"/>
      <x:c r="R323" s="373"/>
      <x:c r="S323" s="373"/>
      <x:c r="T323" s="373"/>
      <x:c r="U323" s="373"/>
      <x:c r="V323" s="373"/>
      <x:c r="W323" s="373"/>
      <x:c r="X323" s="373"/>
      <x:c r="Y323" s="373"/>
      <x:c r="Z323" s="373"/>
    </x:row>
    <x:row r="324">
      <x:c r="A324" s="373"/>
      <x:c r="B324" s="373"/>
      <x:c r="C324" s="373"/>
      <x:c r="D324" s="373"/>
      <x:c r="E324" s="373"/>
      <x:c r="F324" s="373"/>
      <x:c r="G324" s="373"/>
      <x:c r="H324" s="373"/>
      <x:c r="I324" s="373"/>
      <x:c r="J324" s="373"/>
      <x:c r="K324" s="373"/>
      <x:c r="L324" s="373"/>
      <x:c r="M324" s="373"/>
      <x:c r="N324" s="373"/>
      <x:c r="O324" s="373"/>
      <x:c r="P324" s="373"/>
      <x:c r="Q324" s="373"/>
      <x:c r="R324" s="373"/>
      <x:c r="S324" s="373"/>
      <x:c r="T324" s="373"/>
      <x:c r="U324" s="373"/>
      <x:c r="V324" s="373"/>
      <x:c r="W324" s="373"/>
      <x:c r="X324" s="373"/>
      <x:c r="Y324" s="373"/>
      <x:c r="Z324" s="373"/>
    </x:row>
    <x:row r="325">
      <x:c r="A325" s="373"/>
      <x:c r="B325" s="373"/>
      <x:c r="C325" s="373"/>
      <x:c r="D325" s="373"/>
      <x:c r="E325" s="373"/>
      <x:c r="F325" s="373"/>
      <x:c r="G325" s="373"/>
      <x:c r="H325" s="373"/>
      <x:c r="I325" s="373"/>
      <x:c r="J325" s="373"/>
      <x:c r="K325" s="373"/>
      <x:c r="L325" s="373"/>
      <x:c r="M325" s="373"/>
      <x:c r="N325" s="373"/>
      <x:c r="O325" s="373"/>
      <x:c r="P325" s="373"/>
      <x:c r="Q325" s="373"/>
      <x:c r="R325" s="373"/>
      <x:c r="S325" s="373"/>
      <x:c r="T325" s="373"/>
      <x:c r="U325" s="373"/>
      <x:c r="V325" s="373"/>
      <x:c r="W325" s="373"/>
      <x:c r="X325" s="373"/>
      <x:c r="Y325" s="373"/>
      <x:c r="Z325" s="373"/>
    </x:row>
    <x:row r="326">
      <x:c r="A326" s="373"/>
      <x:c r="B326" s="373"/>
      <x:c r="C326" s="373"/>
      <x:c r="D326" s="373"/>
      <x:c r="E326" s="373"/>
      <x:c r="F326" s="373"/>
      <x:c r="G326" s="373"/>
      <x:c r="H326" s="373"/>
      <x:c r="I326" s="373"/>
      <x:c r="J326" s="373"/>
      <x:c r="K326" s="373"/>
      <x:c r="L326" s="373"/>
      <x:c r="M326" s="373"/>
      <x:c r="N326" s="373"/>
      <x:c r="O326" s="373"/>
      <x:c r="P326" s="373"/>
      <x:c r="Q326" s="373"/>
      <x:c r="R326" s="373"/>
      <x:c r="S326" s="373"/>
      <x:c r="T326" s="373"/>
      <x:c r="U326" s="373"/>
      <x:c r="V326" s="373"/>
      <x:c r="W326" s="373"/>
      <x:c r="X326" s="373"/>
      <x:c r="Y326" s="373"/>
      <x:c r="Z326" s="373"/>
    </x:row>
    <x:row r="327">
      <x:c r="A327" s="373"/>
      <x:c r="B327" s="373"/>
      <x:c r="C327" s="373"/>
      <x:c r="D327" s="373"/>
      <x:c r="E327" s="373"/>
      <x:c r="F327" s="373"/>
      <x:c r="G327" s="373"/>
      <x:c r="H327" s="373"/>
      <x:c r="I327" s="373"/>
      <x:c r="J327" s="373"/>
      <x:c r="K327" s="373"/>
      <x:c r="L327" s="373"/>
      <x:c r="M327" s="373"/>
      <x:c r="N327" s="373"/>
      <x:c r="O327" s="373"/>
      <x:c r="P327" s="373"/>
      <x:c r="Q327" s="373"/>
      <x:c r="R327" s="373"/>
      <x:c r="S327" s="373"/>
      <x:c r="T327" s="373"/>
      <x:c r="U327" s="373"/>
      <x:c r="V327" s="373"/>
      <x:c r="W327" s="373"/>
      <x:c r="X327" s="373"/>
      <x:c r="Y327" s="373"/>
      <x:c r="Z327" s="373"/>
    </x:row>
    <x:row r="328">
      <x:c r="A328" s="373"/>
      <x:c r="B328" s="373"/>
      <x:c r="C328" s="373"/>
      <x:c r="D328" s="373"/>
      <x:c r="E328" s="373"/>
      <x:c r="F328" s="373"/>
      <x:c r="G328" s="373"/>
      <x:c r="H328" s="373"/>
      <x:c r="I328" s="373"/>
      <x:c r="J328" s="373"/>
      <x:c r="K328" s="373"/>
      <x:c r="L328" s="373"/>
      <x:c r="M328" s="373"/>
      <x:c r="N328" s="373"/>
      <x:c r="O328" s="373"/>
      <x:c r="P328" s="373"/>
      <x:c r="Q328" s="373"/>
      <x:c r="R328" s="373"/>
      <x:c r="S328" s="373"/>
      <x:c r="T328" s="373"/>
      <x:c r="U328" s="373"/>
      <x:c r="V328" s="373"/>
      <x:c r="W328" s="373"/>
      <x:c r="X328" s="373"/>
      <x:c r="Y328" s="373"/>
      <x:c r="Z328" s="373"/>
    </x:row>
    <x:row r="329">
      <x:c r="A329" s="373"/>
      <x:c r="B329" s="373"/>
      <x:c r="C329" s="373"/>
      <x:c r="D329" s="373"/>
      <x:c r="E329" s="373"/>
      <x:c r="F329" s="373"/>
      <x:c r="G329" s="373"/>
      <x:c r="H329" s="373"/>
      <x:c r="I329" s="373"/>
      <x:c r="J329" s="373"/>
      <x:c r="K329" s="373"/>
      <x:c r="L329" s="373"/>
      <x:c r="M329" s="373"/>
      <x:c r="N329" s="373"/>
      <x:c r="O329" s="373"/>
      <x:c r="P329" s="373"/>
      <x:c r="Q329" s="373"/>
      <x:c r="R329" s="373"/>
      <x:c r="S329" s="373"/>
      <x:c r="T329" s="373"/>
      <x:c r="U329" s="373"/>
      <x:c r="V329" s="373"/>
      <x:c r="W329" s="373"/>
      <x:c r="X329" s="373"/>
      <x:c r="Y329" s="373"/>
      <x:c r="Z329" s="373"/>
    </x:row>
    <x:row r="330">
      <x:c r="A330" s="373"/>
      <x:c r="B330" s="373"/>
      <x:c r="C330" s="373"/>
      <x:c r="D330" s="373"/>
      <x:c r="E330" s="373"/>
      <x:c r="F330" s="373"/>
      <x:c r="G330" s="373"/>
      <x:c r="H330" s="373"/>
      <x:c r="I330" s="373"/>
      <x:c r="J330" s="373"/>
      <x:c r="K330" s="373"/>
      <x:c r="L330" s="373"/>
      <x:c r="M330" s="373"/>
      <x:c r="N330" s="373"/>
      <x:c r="O330" s="373"/>
      <x:c r="P330" s="373"/>
      <x:c r="Q330" s="373"/>
      <x:c r="R330" s="373"/>
      <x:c r="S330" s="373"/>
      <x:c r="T330" s="373"/>
      <x:c r="U330" s="373"/>
      <x:c r="V330" s="373"/>
      <x:c r="W330" s="373"/>
      <x:c r="X330" s="373"/>
      <x:c r="Y330" s="373"/>
      <x:c r="Z330" s="373"/>
    </x:row>
    <x:row r="331">
      <x:c r="A331" s="373"/>
      <x:c r="B331" s="373"/>
      <x:c r="C331" s="373"/>
      <x:c r="D331" s="373"/>
      <x:c r="E331" s="373"/>
      <x:c r="F331" s="373"/>
      <x:c r="G331" s="373"/>
      <x:c r="H331" s="373"/>
      <x:c r="I331" s="373"/>
      <x:c r="J331" s="373"/>
      <x:c r="K331" s="373"/>
      <x:c r="L331" s="373"/>
      <x:c r="M331" s="373"/>
      <x:c r="N331" s="373"/>
      <x:c r="O331" s="373"/>
      <x:c r="P331" s="373"/>
      <x:c r="Q331" s="373"/>
      <x:c r="R331" s="373"/>
      <x:c r="S331" s="373"/>
      <x:c r="T331" s="373"/>
      <x:c r="U331" s="373"/>
      <x:c r="V331" s="373"/>
      <x:c r="W331" s="373"/>
      <x:c r="X331" s="373"/>
      <x:c r="Y331" s="373"/>
      <x:c r="Z331" s="373"/>
    </x:row>
    <x:row r="332">
      <x:c r="A332" s="373"/>
      <x:c r="B332" s="373"/>
      <x:c r="C332" s="373"/>
      <x:c r="D332" s="373"/>
      <x:c r="E332" s="373"/>
      <x:c r="F332" s="373"/>
      <x:c r="G332" s="373"/>
      <x:c r="H332" s="373"/>
      <x:c r="I332" s="373"/>
      <x:c r="J332" s="373"/>
      <x:c r="K332" s="373"/>
      <x:c r="L332" s="373"/>
      <x:c r="M332" s="373"/>
      <x:c r="N332" s="373"/>
      <x:c r="O332" s="373"/>
      <x:c r="P332" s="373"/>
      <x:c r="Q332" s="373"/>
      <x:c r="R332" s="373"/>
      <x:c r="S332" s="373"/>
      <x:c r="T332" s="373"/>
      <x:c r="U332" s="373"/>
      <x:c r="V332" s="373"/>
      <x:c r="W332" s="373"/>
      <x:c r="X332" s="373"/>
      <x:c r="Y332" s="373"/>
      <x:c r="Z332" s="373"/>
    </x:row>
    <x:row r="333">
      <x:c r="A333" s="373"/>
      <x:c r="B333" s="373"/>
      <x:c r="C333" s="373"/>
      <x:c r="D333" s="373"/>
      <x:c r="E333" s="373"/>
      <x:c r="F333" s="373"/>
      <x:c r="G333" s="373"/>
      <x:c r="H333" s="373"/>
      <x:c r="I333" s="373"/>
      <x:c r="J333" s="373"/>
      <x:c r="K333" s="373"/>
      <x:c r="L333" s="373"/>
      <x:c r="M333" s="373"/>
      <x:c r="N333" s="373"/>
      <x:c r="O333" s="373"/>
      <x:c r="P333" s="373"/>
      <x:c r="Q333" s="373"/>
      <x:c r="R333" s="373"/>
      <x:c r="S333" s="373"/>
      <x:c r="T333" s="373"/>
      <x:c r="U333" s="373"/>
      <x:c r="V333" s="373"/>
      <x:c r="W333" s="373"/>
      <x:c r="X333" s="373"/>
      <x:c r="Y333" s="373"/>
      <x:c r="Z333" s="373"/>
    </x:row>
    <x:row r="334">
      <x:c r="A334" s="373"/>
      <x:c r="B334" s="373"/>
      <x:c r="C334" s="373"/>
      <x:c r="D334" s="373"/>
      <x:c r="E334" s="373"/>
      <x:c r="F334" s="373"/>
      <x:c r="G334" s="373"/>
      <x:c r="H334" s="373"/>
      <x:c r="I334" s="373"/>
      <x:c r="J334" s="373"/>
      <x:c r="K334" s="373"/>
      <x:c r="L334" s="373"/>
      <x:c r="M334" s="373"/>
      <x:c r="N334" s="373"/>
      <x:c r="O334" s="373"/>
      <x:c r="P334" s="373"/>
      <x:c r="Q334" s="373"/>
      <x:c r="R334" s="373"/>
      <x:c r="S334" s="373"/>
      <x:c r="T334" s="373"/>
      <x:c r="U334" s="373"/>
      <x:c r="V334" s="373"/>
      <x:c r="W334" s="373"/>
      <x:c r="X334" s="373"/>
      <x:c r="Y334" s="373"/>
      <x:c r="Z334" s="373"/>
    </x:row>
    <x:row r="335">
      <x:c r="A335" s="373"/>
      <x:c r="B335" s="373"/>
      <x:c r="C335" s="373"/>
      <x:c r="D335" s="373"/>
      <x:c r="E335" s="373"/>
      <x:c r="F335" s="373"/>
      <x:c r="G335" s="373"/>
      <x:c r="H335" s="373"/>
      <x:c r="I335" s="373"/>
      <x:c r="J335" s="373"/>
      <x:c r="K335" s="373"/>
      <x:c r="L335" s="373"/>
      <x:c r="M335" s="373"/>
      <x:c r="N335" s="373"/>
      <x:c r="O335" s="373"/>
      <x:c r="P335" s="373"/>
      <x:c r="Q335" s="373"/>
      <x:c r="R335" s="373"/>
      <x:c r="S335" s="373"/>
      <x:c r="T335" s="373"/>
      <x:c r="U335" s="373"/>
      <x:c r="V335" s="373"/>
      <x:c r="W335" s="373"/>
      <x:c r="X335" s="373"/>
      <x:c r="Y335" s="373"/>
      <x:c r="Z335" s="373"/>
    </x:row>
    <x:row r="336">
      <x:c r="A336" s="373"/>
      <x:c r="B336" s="373"/>
      <x:c r="C336" s="373"/>
      <x:c r="D336" s="373"/>
      <x:c r="E336" s="373"/>
      <x:c r="F336" s="373"/>
      <x:c r="G336" s="373"/>
      <x:c r="H336" s="373"/>
      <x:c r="I336" s="373"/>
      <x:c r="J336" s="373"/>
      <x:c r="K336" s="373"/>
      <x:c r="L336" s="373"/>
      <x:c r="M336" s="373"/>
      <x:c r="N336" s="373"/>
      <x:c r="O336" s="373"/>
      <x:c r="P336" s="373"/>
      <x:c r="Q336" s="373"/>
      <x:c r="R336" s="373"/>
      <x:c r="S336" s="373"/>
      <x:c r="T336" s="373"/>
      <x:c r="U336" s="373"/>
      <x:c r="V336" s="373"/>
      <x:c r="W336" s="373"/>
      <x:c r="X336" s="373"/>
      <x:c r="Y336" s="373"/>
      <x:c r="Z336" s="373"/>
    </x:row>
    <x:row r="337">
      <x:c r="A337" s="373"/>
      <x:c r="B337" s="373"/>
      <x:c r="C337" s="373"/>
      <x:c r="D337" s="373"/>
      <x:c r="E337" s="373"/>
      <x:c r="F337" s="373"/>
      <x:c r="G337" s="373"/>
      <x:c r="H337" s="373"/>
      <x:c r="I337" s="373"/>
      <x:c r="J337" s="373"/>
      <x:c r="K337" s="373"/>
      <x:c r="L337" s="373"/>
      <x:c r="M337" s="373"/>
      <x:c r="N337" s="373"/>
      <x:c r="O337" s="373"/>
      <x:c r="P337" s="373"/>
      <x:c r="Q337" s="373"/>
      <x:c r="R337" s="373"/>
      <x:c r="S337" s="373"/>
      <x:c r="T337" s="373"/>
      <x:c r="U337" s="373"/>
      <x:c r="V337" s="373"/>
      <x:c r="W337" s="373"/>
      <x:c r="X337" s="373"/>
      <x:c r="Y337" s="373"/>
      <x:c r="Z337" s="373"/>
    </x:row>
    <x:row r="338">
      <x:c r="A338" s="373"/>
      <x:c r="B338" s="373"/>
      <x:c r="C338" s="373"/>
      <x:c r="D338" s="373"/>
      <x:c r="E338" s="373"/>
      <x:c r="F338" s="373"/>
      <x:c r="G338" s="373"/>
      <x:c r="H338" s="373"/>
      <x:c r="I338" s="373"/>
      <x:c r="J338" s="373"/>
      <x:c r="K338" s="373"/>
      <x:c r="L338" s="373"/>
      <x:c r="M338" s="373"/>
      <x:c r="N338" s="373"/>
      <x:c r="O338" s="373"/>
      <x:c r="P338" s="373"/>
      <x:c r="Q338" s="373"/>
      <x:c r="R338" s="373"/>
      <x:c r="S338" s="373"/>
      <x:c r="T338" s="373"/>
      <x:c r="U338" s="373"/>
      <x:c r="V338" s="373"/>
      <x:c r="W338" s="373"/>
      <x:c r="X338" s="373"/>
      <x:c r="Y338" s="373"/>
      <x:c r="Z338" s="373"/>
    </x:row>
    <x:row r="339">
      <x:c r="A339" s="373"/>
      <x:c r="B339" s="373"/>
      <x:c r="C339" s="373"/>
      <x:c r="D339" s="373"/>
      <x:c r="E339" s="373"/>
      <x:c r="F339" s="373"/>
      <x:c r="G339" s="373"/>
      <x:c r="H339" s="373"/>
      <x:c r="I339" s="373"/>
      <x:c r="J339" s="373"/>
      <x:c r="K339" s="373"/>
      <x:c r="L339" s="373"/>
      <x:c r="M339" s="373"/>
      <x:c r="N339" s="373"/>
      <x:c r="O339" s="373"/>
      <x:c r="P339" s="373"/>
      <x:c r="Q339" s="373"/>
      <x:c r="R339" s="373"/>
      <x:c r="S339" s="373"/>
      <x:c r="T339" s="373"/>
      <x:c r="U339" s="373"/>
      <x:c r="V339" s="373"/>
      <x:c r="W339" s="373"/>
      <x:c r="X339" s="373"/>
      <x:c r="Y339" s="373"/>
      <x:c r="Z339" s="373"/>
    </x:row>
    <x:row r="340">
      <x:c r="A340" s="373"/>
      <x:c r="B340" s="373"/>
      <x:c r="C340" s="373"/>
      <x:c r="D340" s="373"/>
      <x:c r="E340" s="373"/>
      <x:c r="F340" s="373"/>
      <x:c r="G340" s="373"/>
      <x:c r="H340" s="373"/>
      <x:c r="I340" s="373"/>
      <x:c r="J340" s="373"/>
      <x:c r="K340" s="373"/>
      <x:c r="L340" s="373"/>
      <x:c r="M340" s="373"/>
      <x:c r="N340" s="373"/>
      <x:c r="O340" s="373"/>
      <x:c r="P340" s="373"/>
      <x:c r="Q340" s="373"/>
      <x:c r="R340" s="373"/>
      <x:c r="S340" s="373"/>
      <x:c r="T340" s="373"/>
      <x:c r="U340" s="373"/>
      <x:c r="V340" s="373"/>
      <x:c r="W340" s="373"/>
      <x:c r="X340" s="373"/>
      <x:c r="Y340" s="373"/>
      <x:c r="Z340" s="373"/>
    </x:row>
    <x:row r="341">
      <x:c r="A341" s="373"/>
      <x:c r="B341" s="373"/>
      <x:c r="C341" s="373"/>
      <x:c r="D341" s="373"/>
      <x:c r="E341" s="373"/>
      <x:c r="F341" s="373"/>
      <x:c r="G341" s="373"/>
      <x:c r="H341" s="373"/>
      <x:c r="I341" s="373"/>
      <x:c r="J341" s="373"/>
      <x:c r="K341" s="373"/>
      <x:c r="L341" s="373"/>
      <x:c r="M341" s="373"/>
      <x:c r="N341" s="373"/>
      <x:c r="O341" s="373"/>
      <x:c r="P341" s="373"/>
      <x:c r="Q341" s="373"/>
      <x:c r="R341" s="373"/>
      <x:c r="S341" s="373"/>
      <x:c r="T341" s="373"/>
      <x:c r="U341" s="373"/>
      <x:c r="V341" s="373"/>
      <x:c r="W341" s="373"/>
      <x:c r="X341" s="373"/>
      <x:c r="Y341" s="373"/>
      <x:c r="Z341" s="373"/>
    </x:row>
    <x:row r="342">
      <x:c r="A342" s="373"/>
      <x:c r="B342" s="373"/>
      <x:c r="C342" s="373"/>
      <x:c r="D342" s="373"/>
      <x:c r="E342" s="373"/>
      <x:c r="F342" s="373"/>
      <x:c r="G342" s="373"/>
      <x:c r="H342" s="373"/>
      <x:c r="I342" s="373"/>
      <x:c r="J342" s="373"/>
      <x:c r="K342" s="373"/>
      <x:c r="L342" s="373"/>
      <x:c r="M342" s="373"/>
      <x:c r="N342" s="373"/>
      <x:c r="O342" s="373"/>
      <x:c r="P342" s="373"/>
      <x:c r="Q342" s="373"/>
      <x:c r="R342" s="373"/>
      <x:c r="S342" s="373"/>
      <x:c r="T342" s="373"/>
      <x:c r="U342" s="373"/>
      <x:c r="V342" s="373"/>
      <x:c r="W342" s="373"/>
      <x:c r="X342" s="373"/>
      <x:c r="Y342" s="373"/>
      <x:c r="Z342" s="373"/>
    </x:row>
    <x:row r="343">
      <x:c r="A343" s="373"/>
      <x:c r="B343" s="373"/>
      <x:c r="C343" s="373"/>
      <x:c r="D343" s="373"/>
      <x:c r="E343" s="373"/>
      <x:c r="F343" s="373"/>
      <x:c r="G343" s="373"/>
      <x:c r="H343" s="373"/>
      <x:c r="I343" s="373"/>
      <x:c r="J343" s="373"/>
      <x:c r="K343" s="373"/>
      <x:c r="L343" s="373"/>
      <x:c r="M343" s="373"/>
      <x:c r="N343" s="373"/>
      <x:c r="O343" s="373"/>
      <x:c r="P343" s="373"/>
      <x:c r="Q343" s="373"/>
      <x:c r="R343" s="373"/>
      <x:c r="S343" s="373"/>
      <x:c r="T343" s="373"/>
      <x:c r="U343" s="373"/>
      <x:c r="V343" s="373"/>
      <x:c r="W343" s="373"/>
      <x:c r="X343" s="373"/>
      <x:c r="Y343" s="373"/>
      <x:c r="Z343" s="373"/>
    </x:row>
    <x:row r="344">
      <x:c r="A344" s="373"/>
      <x:c r="B344" s="373"/>
      <x:c r="C344" s="373"/>
      <x:c r="D344" s="373"/>
      <x:c r="E344" s="373"/>
      <x:c r="F344" s="373"/>
      <x:c r="G344" s="373"/>
      <x:c r="H344" s="373"/>
      <x:c r="I344" s="373"/>
      <x:c r="J344" s="373"/>
      <x:c r="K344" s="373"/>
      <x:c r="L344" s="373"/>
      <x:c r="M344" s="373"/>
      <x:c r="N344" s="373"/>
      <x:c r="O344" s="373"/>
      <x:c r="P344" s="373"/>
      <x:c r="Q344" s="373"/>
      <x:c r="R344" s="373"/>
      <x:c r="S344" s="373"/>
      <x:c r="T344" s="373"/>
      <x:c r="U344" s="373"/>
      <x:c r="V344" s="373"/>
      <x:c r="W344" s="373"/>
      <x:c r="X344" s="373"/>
      <x:c r="Y344" s="373"/>
      <x:c r="Z344" s="373"/>
    </x:row>
    <x:row r="345">
      <x:c r="A345" s="373"/>
      <x:c r="B345" s="373"/>
      <x:c r="C345" s="373"/>
      <x:c r="D345" s="373"/>
      <x:c r="E345" s="373"/>
      <x:c r="F345" s="373"/>
      <x:c r="G345" s="373"/>
      <x:c r="H345" s="373"/>
      <x:c r="I345" s="373"/>
      <x:c r="J345" s="373"/>
      <x:c r="K345" s="373"/>
      <x:c r="L345" s="373"/>
      <x:c r="M345" s="373"/>
      <x:c r="N345" s="373"/>
      <x:c r="O345" s="373"/>
      <x:c r="P345" s="373"/>
      <x:c r="Q345" s="373"/>
      <x:c r="R345" s="373"/>
      <x:c r="S345" s="373"/>
      <x:c r="T345" s="373"/>
      <x:c r="U345" s="373"/>
      <x:c r="V345" s="373"/>
      <x:c r="W345" s="373"/>
      <x:c r="X345" s="373"/>
      <x:c r="Y345" s="373"/>
      <x:c r="Z345" s="373"/>
    </x:row>
    <x:row r="346">
      <x:c r="A346" s="373"/>
      <x:c r="B346" s="373"/>
      <x:c r="C346" s="373"/>
      <x:c r="D346" s="373"/>
      <x:c r="E346" s="373"/>
      <x:c r="F346" s="373"/>
      <x:c r="G346" s="373"/>
      <x:c r="H346" s="373"/>
      <x:c r="I346" s="373"/>
      <x:c r="J346" s="373"/>
      <x:c r="K346" s="373"/>
      <x:c r="L346" s="373"/>
      <x:c r="M346" s="373"/>
      <x:c r="N346" s="373"/>
      <x:c r="O346" s="373"/>
      <x:c r="P346" s="373"/>
      <x:c r="Q346" s="373"/>
      <x:c r="R346" s="373"/>
      <x:c r="S346" s="373"/>
      <x:c r="T346" s="373"/>
      <x:c r="U346" s="373"/>
      <x:c r="V346" s="373"/>
      <x:c r="W346" s="373"/>
      <x:c r="X346" s="373"/>
      <x:c r="Y346" s="373"/>
      <x:c r="Z346" s="373"/>
    </x:row>
    <x:row r="347">
      <x:c r="A347" s="373"/>
      <x:c r="B347" s="373"/>
      <x:c r="C347" s="373"/>
      <x:c r="D347" s="373"/>
      <x:c r="E347" s="373"/>
      <x:c r="F347" s="373"/>
      <x:c r="G347" s="373"/>
      <x:c r="H347" s="373"/>
      <x:c r="I347" s="373"/>
      <x:c r="J347" s="373"/>
      <x:c r="K347" s="373"/>
      <x:c r="L347" s="373"/>
      <x:c r="M347" s="373"/>
      <x:c r="N347" s="373"/>
      <x:c r="O347" s="373"/>
      <x:c r="P347" s="373"/>
      <x:c r="Q347" s="373"/>
      <x:c r="R347" s="373"/>
      <x:c r="S347" s="373"/>
      <x:c r="T347" s="373"/>
      <x:c r="U347" s="373"/>
      <x:c r="V347" s="373"/>
      <x:c r="W347" s="373"/>
      <x:c r="X347" s="373"/>
      <x:c r="Y347" s="373"/>
      <x:c r="Z347" s="373"/>
    </x:row>
    <x:row r="348">
      <x:c r="A348" s="373"/>
      <x:c r="B348" s="373"/>
      <x:c r="C348" s="373"/>
      <x:c r="D348" s="373"/>
      <x:c r="E348" s="373"/>
      <x:c r="F348" s="373"/>
      <x:c r="G348" s="373"/>
      <x:c r="H348" s="373"/>
      <x:c r="I348" s="373"/>
      <x:c r="J348" s="373"/>
      <x:c r="K348" s="373"/>
      <x:c r="L348" s="373"/>
      <x:c r="M348" s="373"/>
      <x:c r="N348" s="373"/>
      <x:c r="O348" s="373"/>
      <x:c r="P348" s="373"/>
      <x:c r="Q348" s="373"/>
      <x:c r="R348" s="373"/>
      <x:c r="S348" s="373"/>
      <x:c r="T348" s="373"/>
      <x:c r="U348" s="373"/>
      <x:c r="V348" s="373"/>
      <x:c r="W348" s="373"/>
      <x:c r="X348" s="373"/>
      <x:c r="Y348" s="373"/>
      <x:c r="Z348" s="373"/>
    </x:row>
    <x:row r="349">
      <x:c r="A349" s="373"/>
      <x:c r="B349" s="373"/>
      <x:c r="C349" s="373"/>
      <x:c r="D349" s="373"/>
      <x:c r="E349" s="373"/>
      <x:c r="F349" s="373"/>
      <x:c r="G349" s="373"/>
      <x:c r="H349" s="373"/>
      <x:c r="I349" s="373"/>
      <x:c r="J349" s="373"/>
      <x:c r="K349" s="373"/>
      <x:c r="L349" s="373"/>
      <x:c r="M349" s="373"/>
      <x:c r="N349" s="373"/>
      <x:c r="O349" s="373"/>
      <x:c r="P349" s="373"/>
      <x:c r="Q349" s="373"/>
      <x:c r="R349" s="373"/>
      <x:c r="S349" s="373"/>
      <x:c r="T349" s="373"/>
      <x:c r="U349" s="373"/>
      <x:c r="V349" s="373"/>
      <x:c r="W349" s="373"/>
      <x:c r="X349" s="373"/>
      <x:c r="Y349" s="373"/>
      <x:c r="Z349" s="373"/>
    </x:row>
    <x:row r="350">
      <x:c r="A350" s="373"/>
      <x:c r="B350" s="373"/>
      <x:c r="C350" s="373"/>
      <x:c r="D350" s="373"/>
      <x:c r="E350" s="373"/>
      <x:c r="F350" s="373"/>
      <x:c r="G350" s="373"/>
      <x:c r="H350" s="373"/>
      <x:c r="I350" s="373"/>
      <x:c r="J350" s="373"/>
      <x:c r="K350" s="373"/>
      <x:c r="L350" s="373"/>
      <x:c r="M350" s="373"/>
      <x:c r="N350" s="373"/>
      <x:c r="O350" s="373"/>
      <x:c r="P350" s="373"/>
      <x:c r="Q350" s="373"/>
      <x:c r="R350" s="373"/>
      <x:c r="S350" s="373"/>
      <x:c r="T350" s="373"/>
      <x:c r="U350" s="373"/>
      <x:c r="V350" s="373"/>
      <x:c r="W350" s="373"/>
      <x:c r="X350" s="373"/>
      <x:c r="Y350" s="373"/>
      <x:c r="Z350" s="373"/>
    </x:row>
    <x:row r="351">
      <x:c r="A351" s="373"/>
      <x:c r="B351" s="373"/>
      <x:c r="C351" s="373"/>
      <x:c r="D351" s="373"/>
      <x:c r="E351" s="373"/>
      <x:c r="F351" s="373"/>
      <x:c r="G351" s="373"/>
      <x:c r="H351" s="373"/>
      <x:c r="I351" s="373"/>
      <x:c r="J351" s="373"/>
      <x:c r="K351" s="373"/>
      <x:c r="L351" s="373"/>
      <x:c r="M351" s="373"/>
      <x:c r="N351" s="373"/>
      <x:c r="O351" s="373"/>
      <x:c r="P351" s="373"/>
      <x:c r="Q351" s="373"/>
      <x:c r="R351" s="373"/>
      <x:c r="S351" s="373"/>
      <x:c r="T351" s="373"/>
      <x:c r="U351" s="373"/>
      <x:c r="V351" s="373"/>
      <x:c r="W351" s="373"/>
      <x:c r="X351" s="373"/>
      <x:c r="Y351" s="373"/>
      <x:c r="Z351" s="373"/>
    </x:row>
    <x:row r="352">
      <x:c r="A352" s="373"/>
      <x:c r="B352" s="373"/>
      <x:c r="C352" s="373"/>
      <x:c r="D352" s="373"/>
      <x:c r="E352" s="373"/>
      <x:c r="F352" s="373"/>
      <x:c r="G352" s="373"/>
      <x:c r="H352" s="373"/>
      <x:c r="I352" s="373"/>
      <x:c r="J352" s="373"/>
      <x:c r="K352" s="373"/>
      <x:c r="L352" s="373"/>
      <x:c r="M352" s="373"/>
      <x:c r="N352" s="373"/>
      <x:c r="O352" s="373"/>
      <x:c r="P352" s="373"/>
      <x:c r="Q352" s="373"/>
      <x:c r="R352" s="373"/>
      <x:c r="S352" s="373"/>
      <x:c r="T352" s="373"/>
      <x:c r="U352" s="373"/>
      <x:c r="V352" s="373"/>
      <x:c r="W352" s="373"/>
      <x:c r="X352" s="373"/>
      <x:c r="Y352" s="373"/>
      <x:c r="Z352" s="373"/>
    </x:row>
    <x:row r="353">
      <x:c r="A353" s="373"/>
      <x:c r="B353" s="373"/>
      <x:c r="C353" s="373"/>
      <x:c r="D353" s="373"/>
      <x:c r="E353" s="373"/>
      <x:c r="F353" s="373"/>
      <x:c r="G353" s="373"/>
      <x:c r="H353" s="373"/>
      <x:c r="I353" s="373"/>
      <x:c r="J353" s="373"/>
      <x:c r="K353" s="373"/>
      <x:c r="L353" s="373"/>
      <x:c r="M353" s="373"/>
      <x:c r="N353" s="373"/>
      <x:c r="O353" s="373"/>
      <x:c r="P353" s="373"/>
      <x:c r="Q353" s="373"/>
      <x:c r="R353" s="373"/>
      <x:c r="S353" s="373"/>
      <x:c r="T353" s="373"/>
      <x:c r="U353" s="373"/>
      <x:c r="V353" s="373"/>
      <x:c r="W353" s="373"/>
      <x:c r="X353" s="373"/>
      <x:c r="Y353" s="373"/>
      <x:c r="Z353" s="373"/>
    </x:row>
    <x:row r="354">
      <x:c r="A354" s="373"/>
      <x:c r="B354" s="373"/>
      <x:c r="C354" s="373"/>
      <x:c r="D354" s="373"/>
      <x:c r="E354" s="373"/>
      <x:c r="F354" s="373"/>
      <x:c r="G354" s="373"/>
      <x:c r="H354" s="373"/>
      <x:c r="I354" s="373"/>
      <x:c r="J354" s="373"/>
      <x:c r="K354" s="373"/>
      <x:c r="L354" s="373"/>
      <x:c r="M354" s="373"/>
      <x:c r="N354" s="373"/>
      <x:c r="O354" s="373"/>
      <x:c r="P354" s="373"/>
      <x:c r="Q354" s="373"/>
      <x:c r="R354" s="373"/>
      <x:c r="S354" s="373"/>
      <x:c r="T354" s="373"/>
      <x:c r="U354" s="373"/>
      <x:c r="V354" s="373"/>
      <x:c r="W354" s="373"/>
      <x:c r="X354" s="373"/>
      <x:c r="Y354" s="373"/>
      <x:c r="Z354" s="373"/>
    </x:row>
    <x:row r="355">
      <x:c r="A355" s="373"/>
      <x:c r="B355" s="373"/>
      <x:c r="C355" s="373"/>
      <x:c r="D355" s="373"/>
      <x:c r="E355" s="373"/>
      <x:c r="F355" s="373"/>
      <x:c r="G355" s="373"/>
      <x:c r="H355" s="373"/>
      <x:c r="I355" s="373"/>
      <x:c r="J355" s="373"/>
      <x:c r="K355" s="373"/>
      <x:c r="L355" s="373"/>
      <x:c r="M355" s="373"/>
      <x:c r="N355" s="373"/>
      <x:c r="O355" s="373"/>
      <x:c r="P355" s="373"/>
      <x:c r="Q355" s="373"/>
      <x:c r="R355" s="373"/>
      <x:c r="S355" s="373"/>
      <x:c r="T355" s="373"/>
      <x:c r="U355" s="373"/>
      <x:c r="V355" s="373"/>
      <x:c r="W355" s="373"/>
      <x:c r="X355" s="373"/>
      <x:c r="Y355" s="373"/>
      <x:c r="Z355" s="373"/>
    </x:row>
    <x:row r="356">
      <x:c r="A356" s="373"/>
      <x:c r="B356" s="373"/>
      <x:c r="C356" s="373"/>
      <x:c r="D356" s="373"/>
      <x:c r="E356" s="373"/>
      <x:c r="F356" s="373"/>
      <x:c r="G356" s="373"/>
      <x:c r="H356" s="373"/>
      <x:c r="I356" s="373"/>
      <x:c r="J356" s="373"/>
      <x:c r="K356" s="373"/>
      <x:c r="L356" s="373"/>
      <x:c r="M356" s="373"/>
      <x:c r="N356" s="373"/>
      <x:c r="O356" s="373"/>
      <x:c r="P356" s="373"/>
      <x:c r="Q356" s="373"/>
      <x:c r="R356" s="373"/>
      <x:c r="S356" s="373"/>
      <x:c r="T356" s="373"/>
      <x:c r="U356" s="373"/>
      <x:c r="V356" s="373"/>
      <x:c r="W356" s="373"/>
      <x:c r="X356" s="373"/>
      <x:c r="Y356" s="373"/>
      <x:c r="Z356" s="373"/>
    </x:row>
    <x:row r="357">
      <x:c r="A357" s="373"/>
      <x:c r="B357" s="373"/>
      <x:c r="C357" s="373"/>
      <x:c r="D357" s="373"/>
      <x:c r="E357" s="373"/>
      <x:c r="F357" s="373"/>
      <x:c r="G357" s="373"/>
      <x:c r="H357" s="373"/>
      <x:c r="I357" s="373"/>
      <x:c r="J357" s="373"/>
      <x:c r="K357" s="373"/>
      <x:c r="L357" s="373"/>
      <x:c r="M357" s="373"/>
      <x:c r="N357" s="373"/>
      <x:c r="O357" s="373"/>
      <x:c r="P357" s="373"/>
      <x:c r="Q357" s="373"/>
      <x:c r="R357" s="373"/>
      <x:c r="S357" s="373"/>
      <x:c r="T357" s="373"/>
      <x:c r="U357" s="373"/>
      <x:c r="V357" s="373"/>
      <x:c r="W357" s="373"/>
      <x:c r="X357" s="373"/>
      <x:c r="Y357" s="373"/>
      <x:c r="Z357" s="373"/>
    </x:row>
    <x:row r="358">
      <x:c r="A358" s="373"/>
      <x:c r="B358" s="373"/>
      <x:c r="C358" s="373"/>
      <x:c r="D358" s="373"/>
      <x:c r="E358" s="373"/>
      <x:c r="F358" s="373"/>
      <x:c r="G358" s="373"/>
      <x:c r="H358" s="373"/>
      <x:c r="I358" s="373"/>
      <x:c r="J358" s="373"/>
      <x:c r="K358" s="373"/>
      <x:c r="L358" s="373"/>
      <x:c r="M358" s="373"/>
      <x:c r="N358" s="373"/>
      <x:c r="O358" s="373"/>
      <x:c r="P358" s="373"/>
      <x:c r="Q358" s="373"/>
      <x:c r="R358" s="373"/>
      <x:c r="S358" s="373"/>
      <x:c r="T358" s="373"/>
      <x:c r="U358" s="373"/>
      <x:c r="V358" s="373"/>
      <x:c r="W358" s="373"/>
      <x:c r="X358" s="373"/>
      <x:c r="Y358" s="373"/>
      <x:c r="Z358" s="373"/>
    </x:row>
    <x:row r="359">
      <x:c r="A359" s="373"/>
      <x:c r="B359" s="373"/>
      <x:c r="C359" s="373"/>
      <x:c r="D359" s="373"/>
      <x:c r="E359" s="373"/>
      <x:c r="F359" s="373"/>
      <x:c r="G359" s="373"/>
      <x:c r="H359" s="373"/>
      <x:c r="I359" s="373"/>
      <x:c r="J359" s="373"/>
      <x:c r="K359" s="373"/>
      <x:c r="L359" s="373"/>
      <x:c r="M359" s="373"/>
      <x:c r="N359" s="373"/>
      <x:c r="O359" s="373"/>
      <x:c r="P359" s="373"/>
      <x:c r="Q359" s="373"/>
      <x:c r="R359" s="373"/>
      <x:c r="S359" s="373"/>
      <x:c r="T359" s="373"/>
      <x:c r="U359" s="373"/>
      <x:c r="V359" s="373"/>
      <x:c r="W359" s="373"/>
      <x:c r="X359" s="373"/>
      <x:c r="Y359" s="373"/>
      <x:c r="Z359" s="373"/>
    </x:row>
    <x:row r="360">
      <x:c r="A360" s="373"/>
      <x:c r="B360" s="373"/>
      <x:c r="C360" s="373"/>
      <x:c r="D360" s="373"/>
      <x:c r="E360" s="373"/>
      <x:c r="F360" s="373"/>
      <x:c r="G360" s="373"/>
      <x:c r="H360" s="373"/>
      <x:c r="I360" s="373"/>
      <x:c r="J360" s="373"/>
      <x:c r="K360" s="373"/>
      <x:c r="L360" s="373"/>
      <x:c r="M360" s="373"/>
      <x:c r="N360" s="373"/>
      <x:c r="O360" s="373"/>
      <x:c r="P360" s="373"/>
      <x:c r="Q360" s="373"/>
      <x:c r="R360" s="373"/>
      <x:c r="S360" s="373"/>
      <x:c r="T360" s="373"/>
      <x:c r="U360" s="373"/>
      <x:c r="V360" s="373"/>
      <x:c r="W360" s="373"/>
      <x:c r="X360" s="373"/>
      <x:c r="Y360" s="373"/>
      <x:c r="Z360" s="373"/>
    </x:row>
    <x:row r="361">
      <x:c r="A361" s="373"/>
      <x:c r="B361" s="373"/>
      <x:c r="C361" s="373"/>
      <x:c r="D361" s="373"/>
      <x:c r="E361" s="373"/>
      <x:c r="F361" s="373"/>
      <x:c r="G361" s="373"/>
      <x:c r="H361" s="373"/>
      <x:c r="I361" s="373"/>
      <x:c r="J361" s="373"/>
      <x:c r="K361" s="373"/>
      <x:c r="L361" s="373"/>
      <x:c r="M361" s="373"/>
      <x:c r="N361" s="373"/>
      <x:c r="O361" s="373"/>
      <x:c r="P361" s="373"/>
      <x:c r="Q361" s="373"/>
      <x:c r="R361" s="373"/>
      <x:c r="S361" s="373"/>
      <x:c r="T361" s="373"/>
      <x:c r="U361" s="373"/>
      <x:c r="V361" s="373"/>
      <x:c r="W361" s="373"/>
      <x:c r="X361" s="373"/>
      <x:c r="Y361" s="373"/>
      <x:c r="Z361" s="373"/>
    </x:row>
    <x:row r="362">
      <x:c r="A362" s="373"/>
      <x:c r="B362" s="373"/>
      <x:c r="C362" s="373"/>
      <x:c r="D362" s="373"/>
      <x:c r="E362" s="373"/>
      <x:c r="F362" s="373"/>
      <x:c r="G362" s="373"/>
      <x:c r="H362" s="373"/>
      <x:c r="I362" s="373"/>
      <x:c r="J362" s="373"/>
      <x:c r="K362" s="373"/>
      <x:c r="L362" s="373"/>
      <x:c r="M362" s="373"/>
      <x:c r="N362" s="373"/>
      <x:c r="O362" s="373"/>
      <x:c r="P362" s="373"/>
      <x:c r="Q362" s="373"/>
      <x:c r="R362" s="373"/>
      <x:c r="S362" s="373"/>
      <x:c r="T362" s="373"/>
      <x:c r="U362" s="373"/>
      <x:c r="V362" s="373"/>
      <x:c r="W362" s="373"/>
      <x:c r="X362" s="373"/>
      <x:c r="Y362" s="373"/>
      <x:c r="Z362" s="373"/>
    </x:row>
    <x:row r="363">
      <x:c r="A363" s="373"/>
      <x:c r="B363" s="373"/>
      <x:c r="C363" s="373"/>
      <x:c r="D363" s="373"/>
      <x:c r="E363" s="373"/>
      <x:c r="F363" s="373"/>
      <x:c r="G363" s="373"/>
      <x:c r="H363" s="373"/>
      <x:c r="I363" s="373"/>
      <x:c r="J363" s="373"/>
      <x:c r="K363" s="373"/>
      <x:c r="L363" s="373"/>
      <x:c r="M363" s="373"/>
      <x:c r="N363" s="373"/>
      <x:c r="O363" s="373"/>
      <x:c r="P363" s="373"/>
      <x:c r="Q363" s="373"/>
      <x:c r="R363" s="373"/>
      <x:c r="S363" s="373"/>
      <x:c r="T363" s="373"/>
      <x:c r="U363" s="373"/>
      <x:c r="V363" s="373"/>
      <x:c r="W363" s="373"/>
      <x:c r="X363" s="373"/>
      <x:c r="Y363" s="373"/>
      <x:c r="Z363" s="373"/>
    </x:row>
    <x:row r="364">
      <x:c r="A364" s="373"/>
      <x:c r="B364" s="373"/>
      <x:c r="C364" s="373"/>
      <x:c r="D364" s="373"/>
      <x:c r="E364" s="373"/>
      <x:c r="F364" s="373"/>
      <x:c r="G364" s="373"/>
      <x:c r="H364" s="373"/>
      <x:c r="I364" s="373"/>
      <x:c r="J364" s="373"/>
      <x:c r="K364" s="373"/>
      <x:c r="L364" s="373"/>
      <x:c r="M364" s="373"/>
      <x:c r="N364" s="373"/>
      <x:c r="O364" s="373"/>
      <x:c r="P364" s="373"/>
      <x:c r="Q364" s="373"/>
      <x:c r="R364" s="373"/>
      <x:c r="S364" s="373"/>
      <x:c r="T364" s="373"/>
      <x:c r="U364" s="373"/>
      <x:c r="V364" s="373"/>
      <x:c r="W364" s="373"/>
      <x:c r="X364" s="373"/>
      <x:c r="Y364" s="373"/>
      <x:c r="Z364" s="373"/>
    </x:row>
    <x:row r="365">
      <x:c r="A365" s="373"/>
      <x:c r="B365" s="373"/>
      <x:c r="C365" s="373"/>
      <x:c r="D365" s="373"/>
      <x:c r="E365" s="373"/>
      <x:c r="F365" s="373"/>
      <x:c r="G365" s="373"/>
      <x:c r="H365" s="373"/>
      <x:c r="I365" s="373"/>
      <x:c r="J365" s="373"/>
      <x:c r="K365" s="373"/>
      <x:c r="L365" s="373"/>
      <x:c r="M365" s="373"/>
      <x:c r="N365" s="373"/>
      <x:c r="O365" s="373"/>
      <x:c r="P365" s="373"/>
      <x:c r="Q365" s="373"/>
      <x:c r="R365" s="373"/>
      <x:c r="S365" s="373"/>
      <x:c r="T365" s="373"/>
      <x:c r="U365" s="373"/>
      <x:c r="V365" s="373"/>
      <x:c r="W365" s="373"/>
      <x:c r="X365" s="373"/>
      <x:c r="Y365" s="373"/>
      <x:c r="Z365" s="373"/>
    </x:row>
    <x:row r="366">
      <x:c r="A366" s="373"/>
      <x:c r="B366" s="373"/>
      <x:c r="C366" s="373"/>
      <x:c r="D366" s="373"/>
      <x:c r="E366" s="373"/>
      <x:c r="F366" s="373"/>
      <x:c r="G366" s="373"/>
      <x:c r="H366" s="373"/>
      <x:c r="I366" s="373"/>
      <x:c r="J366" s="373"/>
      <x:c r="K366" s="373"/>
      <x:c r="L366" s="373"/>
      <x:c r="M366" s="373"/>
      <x:c r="N366" s="373"/>
      <x:c r="O366" s="373"/>
      <x:c r="P366" s="373"/>
      <x:c r="Q366" s="373"/>
      <x:c r="R366" s="373"/>
      <x:c r="S366" s="373"/>
      <x:c r="T366" s="373"/>
      <x:c r="U366" s="373"/>
      <x:c r="V366" s="373"/>
      <x:c r="W366" s="373"/>
      <x:c r="X366" s="373"/>
      <x:c r="Y366" s="373"/>
      <x:c r="Z366" s="373"/>
    </x:row>
    <x:row r="367">
      <x:c r="A367" s="373"/>
      <x:c r="B367" s="373"/>
      <x:c r="C367" s="373"/>
      <x:c r="D367" s="373"/>
      <x:c r="E367" s="373"/>
      <x:c r="F367" s="373"/>
      <x:c r="G367" s="373"/>
      <x:c r="H367" s="373"/>
      <x:c r="I367" s="373"/>
      <x:c r="J367" s="373"/>
      <x:c r="K367" s="373"/>
      <x:c r="L367" s="373"/>
      <x:c r="M367" s="373"/>
      <x:c r="N367" s="373"/>
      <x:c r="O367" s="373"/>
      <x:c r="P367" s="373"/>
      <x:c r="Q367" s="373"/>
      <x:c r="R367" s="373"/>
      <x:c r="S367" s="373"/>
      <x:c r="T367" s="373"/>
      <x:c r="U367" s="373"/>
      <x:c r="V367" s="373"/>
      <x:c r="W367" s="373"/>
      <x:c r="X367" s="373"/>
      <x:c r="Y367" s="373"/>
      <x:c r="Z367" s="373"/>
    </x:row>
    <x:row r="368">
      <x:c r="A368" s="373"/>
      <x:c r="B368" s="373"/>
      <x:c r="C368" s="373"/>
      <x:c r="D368" s="373"/>
      <x:c r="E368" s="373"/>
      <x:c r="F368" s="373"/>
      <x:c r="G368" s="373"/>
      <x:c r="H368" s="373"/>
      <x:c r="I368" s="373"/>
      <x:c r="J368" s="373"/>
      <x:c r="K368" s="373"/>
      <x:c r="L368" s="373"/>
      <x:c r="M368" s="373"/>
      <x:c r="N368" s="373"/>
      <x:c r="O368" s="373"/>
      <x:c r="P368" s="373"/>
      <x:c r="Q368" s="373"/>
      <x:c r="R368" s="373"/>
      <x:c r="S368" s="373"/>
      <x:c r="T368" s="373"/>
      <x:c r="U368" s="373"/>
      <x:c r="V368" s="373"/>
      <x:c r="W368" s="373"/>
      <x:c r="X368" s="373"/>
      <x:c r="Y368" s="373"/>
      <x:c r="Z368" s="373"/>
    </x:row>
    <x:row r="369">
      <x:c r="A369" s="373"/>
      <x:c r="B369" s="373"/>
      <x:c r="C369" s="373"/>
      <x:c r="D369" s="373"/>
      <x:c r="E369" s="373"/>
      <x:c r="F369" s="373"/>
      <x:c r="G369" s="373"/>
      <x:c r="H369" s="373"/>
      <x:c r="I369" s="373"/>
      <x:c r="J369" s="373"/>
      <x:c r="K369" s="373"/>
      <x:c r="L369" s="373"/>
      <x:c r="M369" s="373"/>
      <x:c r="N369" s="373"/>
      <x:c r="O369" s="373"/>
      <x:c r="P369" s="373"/>
      <x:c r="Q369" s="373"/>
      <x:c r="R369" s="373"/>
      <x:c r="S369" s="373"/>
      <x:c r="T369" s="373"/>
      <x:c r="U369" s="373"/>
      <x:c r="V369" s="373"/>
      <x:c r="W369" s="373"/>
      <x:c r="X369" s="373"/>
      <x:c r="Y369" s="373"/>
      <x:c r="Z369" s="373"/>
    </x:row>
    <x:row r="370">
      <x:c r="A370" s="373"/>
      <x:c r="B370" s="373"/>
      <x:c r="C370" s="373"/>
      <x:c r="D370" s="373"/>
      <x:c r="E370" s="373"/>
      <x:c r="F370" s="373"/>
      <x:c r="G370" s="373"/>
      <x:c r="H370" s="373"/>
      <x:c r="I370" s="373"/>
      <x:c r="J370" s="373"/>
      <x:c r="K370" s="373"/>
      <x:c r="L370" s="373"/>
      <x:c r="M370" s="373"/>
      <x:c r="N370" s="373"/>
      <x:c r="O370" s="373"/>
      <x:c r="P370" s="373"/>
      <x:c r="Q370" s="373"/>
      <x:c r="R370" s="373"/>
      <x:c r="S370" s="373"/>
      <x:c r="T370" s="373"/>
      <x:c r="U370" s="373"/>
      <x:c r="V370" s="373"/>
      <x:c r="W370" s="373"/>
      <x:c r="X370" s="373"/>
      <x:c r="Y370" s="373"/>
      <x:c r="Z370" s="373"/>
    </x:row>
    <x:row r="371">
      <x:c r="A371" s="373"/>
      <x:c r="B371" s="373"/>
      <x:c r="C371" s="373"/>
      <x:c r="D371" s="373"/>
      <x:c r="E371" s="373"/>
      <x:c r="F371" s="373"/>
      <x:c r="G371" s="373"/>
      <x:c r="H371" s="373"/>
      <x:c r="I371" s="373"/>
      <x:c r="J371" s="373"/>
      <x:c r="K371" s="373"/>
      <x:c r="L371" s="373"/>
      <x:c r="M371" s="373"/>
      <x:c r="N371" s="373"/>
      <x:c r="O371" s="373"/>
      <x:c r="P371" s="373"/>
      <x:c r="Q371" s="373"/>
      <x:c r="R371" s="373"/>
      <x:c r="S371" s="373"/>
      <x:c r="T371" s="373"/>
      <x:c r="U371" s="373"/>
      <x:c r="V371" s="373"/>
      <x:c r="W371" s="373"/>
      <x:c r="X371" s="373"/>
      <x:c r="Y371" s="373"/>
      <x:c r="Z371" s="373"/>
    </x:row>
    <x:row r="372">
      <x:c r="A372" s="373"/>
      <x:c r="B372" s="373"/>
      <x:c r="C372" s="373"/>
      <x:c r="D372" s="373"/>
      <x:c r="E372" s="373"/>
      <x:c r="F372" s="373"/>
      <x:c r="G372" s="373"/>
      <x:c r="H372" s="373"/>
      <x:c r="I372" s="373"/>
      <x:c r="J372" s="373"/>
      <x:c r="K372" s="373"/>
      <x:c r="L372" s="373"/>
      <x:c r="M372" s="373"/>
      <x:c r="N372" s="373"/>
      <x:c r="O372" s="373"/>
      <x:c r="P372" s="373"/>
      <x:c r="Q372" s="373"/>
      <x:c r="R372" s="373"/>
      <x:c r="S372" s="373"/>
      <x:c r="T372" s="373"/>
      <x:c r="U372" s="373"/>
      <x:c r="V372" s="373"/>
      <x:c r="W372" s="373"/>
      <x:c r="X372" s="373"/>
      <x:c r="Y372" s="373"/>
      <x:c r="Z372" s="373"/>
    </x:row>
    <x:row r="373">
      <x:c r="A373" s="373"/>
      <x:c r="B373" s="373"/>
      <x:c r="C373" s="373"/>
      <x:c r="D373" s="373"/>
      <x:c r="E373" s="373"/>
      <x:c r="F373" s="373"/>
      <x:c r="G373" s="373"/>
      <x:c r="H373" s="373"/>
      <x:c r="I373" s="373"/>
      <x:c r="J373" s="373"/>
      <x:c r="K373" s="373"/>
      <x:c r="L373" s="373"/>
      <x:c r="M373" s="373"/>
      <x:c r="N373" s="373"/>
      <x:c r="O373" s="373"/>
      <x:c r="P373" s="373"/>
      <x:c r="Q373" s="373"/>
      <x:c r="R373" s="373"/>
      <x:c r="S373" s="373"/>
      <x:c r="T373" s="373"/>
      <x:c r="U373" s="373"/>
      <x:c r="V373" s="373"/>
      <x:c r="W373" s="373"/>
      <x:c r="X373" s="373"/>
      <x:c r="Y373" s="373"/>
      <x:c r="Z373" s="373"/>
    </x:row>
    <x:row r="374">
      <x:c r="A374" s="373"/>
      <x:c r="B374" s="373"/>
      <x:c r="C374" s="373"/>
      <x:c r="D374" s="373"/>
      <x:c r="E374" s="373"/>
      <x:c r="F374" s="373"/>
      <x:c r="G374" s="373"/>
      <x:c r="H374" s="373"/>
      <x:c r="I374" s="373"/>
      <x:c r="J374" s="373"/>
      <x:c r="K374" s="373"/>
      <x:c r="L374" s="373"/>
      <x:c r="M374" s="373"/>
      <x:c r="N374" s="373"/>
      <x:c r="O374" s="373"/>
      <x:c r="P374" s="373"/>
      <x:c r="Q374" s="373"/>
      <x:c r="R374" s="373"/>
      <x:c r="S374" s="373"/>
      <x:c r="T374" s="373"/>
      <x:c r="U374" s="373"/>
      <x:c r="V374" s="373"/>
      <x:c r="W374" s="373"/>
      <x:c r="X374" s="373"/>
      <x:c r="Y374" s="373"/>
      <x:c r="Z374" s="373"/>
    </x:row>
    <x:row r="375">
      <x:c r="A375" s="373"/>
      <x:c r="B375" s="373"/>
      <x:c r="C375" s="373"/>
      <x:c r="D375" s="373"/>
      <x:c r="E375" s="373"/>
      <x:c r="F375" s="373"/>
      <x:c r="G375" s="373"/>
      <x:c r="H375" s="373"/>
      <x:c r="I375" s="373"/>
      <x:c r="J375" s="373"/>
      <x:c r="K375" s="373"/>
      <x:c r="L375" s="373"/>
      <x:c r="M375" s="373"/>
      <x:c r="N375" s="373"/>
      <x:c r="O375" s="373"/>
      <x:c r="P375" s="373"/>
      <x:c r="Q375" s="373"/>
      <x:c r="R375" s="373"/>
      <x:c r="S375" s="373"/>
      <x:c r="T375" s="373"/>
      <x:c r="U375" s="373"/>
      <x:c r="V375" s="373"/>
      <x:c r="W375" s="373"/>
      <x:c r="X375" s="373"/>
      <x:c r="Y375" s="373"/>
      <x:c r="Z375" s="373"/>
    </x:row>
    <x:row r="376">
      <x:c r="A376" s="373"/>
      <x:c r="B376" s="373"/>
      <x:c r="C376" s="373"/>
      <x:c r="D376" s="373"/>
      <x:c r="E376" s="373"/>
      <x:c r="F376" s="373"/>
      <x:c r="G376" s="373"/>
      <x:c r="H376" s="373"/>
      <x:c r="I376" s="373"/>
      <x:c r="J376" s="373"/>
      <x:c r="K376" s="373"/>
      <x:c r="L376" s="373"/>
      <x:c r="M376" s="373"/>
      <x:c r="N376" s="373"/>
      <x:c r="O376" s="373"/>
      <x:c r="P376" s="373"/>
      <x:c r="Q376" s="373"/>
      <x:c r="R376" s="373"/>
      <x:c r="S376" s="373"/>
      <x:c r="T376" s="373"/>
      <x:c r="U376" s="373"/>
      <x:c r="V376" s="373"/>
      <x:c r="W376" s="373"/>
      <x:c r="X376" s="373"/>
      <x:c r="Y376" s="373"/>
      <x:c r="Z376" s="373"/>
    </x:row>
    <x:row r="377">
      <x:c r="A377" s="373"/>
      <x:c r="B377" s="373"/>
      <x:c r="C377" s="373"/>
      <x:c r="D377" s="373"/>
      <x:c r="E377" s="373"/>
      <x:c r="F377" s="373"/>
      <x:c r="G377" s="373"/>
      <x:c r="H377" s="373"/>
      <x:c r="I377" s="373"/>
      <x:c r="J377" s="373"/>
      <x:c r="K377" s="373"/>
      <x:c r="L377" s="373"/>
      <x:c r="M377" s="373"/>
      <x:c r="N377" s="373"/>
      <x:c r="O377" s="373"/>
      <x:c r="P377" s="373"/>
      <x:c r="Q377" s="373"/>
      <x:c r="R377" s="373"/>
      <x:c r="S377" s="373"/>
      <x:c r="T377" s="373"/>
      <x:c r="U377" s="373"/>
      <x:c r="V377" s="373"/>
      <x:c r="W377" s="373"/>
      <x:c r="X377" s="373"/>
      <x:c r="Y377" s="373"/>
      <x:c r="Z377" s="373"/>
    </x:row>
    <x:row r="378">
      <x:c r="A378" s="373"/>
      <x:c r="B378" s="373"/>
      <x:c r="C378" s="373"/>
      <x:c r="D378" s="373"/>
      <x:c r="E378" s="373"/>
      <x:c r="F378" s="373"/>
      <x:c r="G378" s="373"/>
      <x:c r="H378" s="373"/>
      <x:c r="I378" s="373"/>
      <x:c r="J378" s="373"/>
      <x:c r="K378" s="373"/>
      <x:c r="L378" s="373"/>
      <x:c r="M378" s="373"/>
      <x:c r="N378" s="373"/>
      <x:c r="O378" s="373"/>
      <x:c r="P378" s="373"/>
      <x:c r="Q378" s="373"/>
      <x:c r="R378" s="373"/>
      <x:c r="S378" s="373"/>
      <x:c r="T378" s="373"/>
      <x:c r="U378" s="373"/>
      <x:c r="V378" s="373"/>
      <x:c r="W378" s="373"/>
      <x:c r="X378" s="373"/>
      <x:c r="Y378" s="373"/>
      <x:c r="Z378" s="373"/>
    </x:row>
    <x:row r="379">
      <x:c r="A379" s="373"/>
      <x:c r="B379" s="373"/>
      <x:c r="C379" s="373"/>
      <x:c r="D379" s="373"/>
      <x:c r="E379" s="373"/>
      <x:c r="F379" s="373"/>
      <x:c r="G379" s="373"/>
      <x:c r="H379" s="373"/>
      <x:c r="I379" s="373"/>
      <x:c r="J379" s="373"/>
      <x:c r="K379" s="373"/>
      <x:c r="L379" s="373"/>
      <x:c r="M379" s="373"/>
      <x:c r="N379" s="373"/>
      <x:c r="O379" s="373"/>
      <x:c r="P379" s="373"/>
      <x:c r="Q379" s="373"/>
      <x:c r="R379" s="373"/>
      <x:c r="S379" s="373"/>
      <x:c r="T379" s="373"/>
      <x:c r="U379" s="373"/>
      <x:c r="V379" s="373"/>
      <x:c r="W379" s="373"/>
      <x:c r="X379" s="373"/>
      <x:c r="Y379" s="373"/>
      <x:c r="Z379" s="373"/>
    </x:row>
    <x:row r="380">
      <x:c r="A380" s="373"/>
      <x:c r="B380" s="373"/>
      <x:c r="C380" s="373"/>
      <x:c r="D380" s="373"/>
      <x:c r="E380" s="373"/>
      <x:c r="F380" s="373"/>
      <x:c r="G380" s="373"/>
      <x:c r="H380" s="373"/>
      <x:c r="I380" s="373"/>
      <x:c r="J380" s="373"/>
      <x:c r="K380" s="373"/>
      <x:c r="L380" s="373"/>
      <x:c r="M380" s="373"/>
      <x:c r="N380" s="373"/>
      <x:c r="O380" s="373"/>
      <x:c r="P380" s="373"/>
      <x:c r="Q380" s="373"/>
      <x:c r="R380" s="373"/>
      <x:c r="S380" s="373"/>
      <x:c r="T380" s="373"/>
      <x:c r="U380" s="373"/>
      <x:c r="V380" s="373"/>
      <x:c r="W380" s="373"/>
      <x:c r="X380" s="373"/>
      <x:c r="Y380" s="373"/>
      <x:c r="Z380" s="373"/>
    </x:row>
    <x:row r="381">
      <x:c r="A381" s="373"/>
      <x:c r="B381" s="373"/>
      <x:c r="C381" s="373"/>
      <x:c r="D381" s="373"/>
      <x:c r="E381" s="373"/>
      <x:c r="F381" s="373"/>
      <x:c r="G381" s="373"/>
      <x:c r="H381" s="373"/>
      <x:c r="I381" s="373"/>
      <x:c r="J381" s="373"/>
      <x:c r="K381" s="373"/>
      <x:c r="L381" s="373"/>
      <x:c r="M381" s="373"/>
      <x:c r="N381" s="373"/>
      <x:c r="O381" s="373"/>
      <x:c r="P381" s="373"/>
      <x:c r="Q381" s="373"/>
      <x:c r="R381" s="373"/>
      <x:c r="S381" s="373"/>
      <x:c r="T381" s="373"/>
      <x:c r="U381" s="373"/>
      <x:c r="V381" s="373"/>
      <x:c r="W381" s="373"/>
      <x:c r="X381" s="373"/>
      <x:c r="Y381" s="373"/>
      <x:c r="Z381" s="373"/>
    </x:row>
    <x:row r="382">
      <x:c r="A382" s="373"/>
      <x:c r="B382" s="373"/>
      <x:c r="C382" s="373"/>
      <x:c r="D382" s="373"/>
      <x:c r="E382" s="373"/>
      <x:c r="F382" s="373"/>
      <x:c r="G382" s="373"/>
      <x:c r="H382" s="373"/>
      <x:c r="I382" s="373"/>
      <x:c r="J382" s="373"/>
      <x:c r="K382" s="373"/>
      <x:c r="L382" s="373"/>
      <x:c r="M382" s="373"/>
      <x:c r="N382" s="373"/>
      <x:c r="O382" s="373"/>
      <x:c r="P382" s="373"/>
      <x:c r="Q382" s="373"/>
      <x:c r="R382" s="373"/>
      <x:c r="S382" s="373"/>
      <x:c r="T382" s="373"/>
      <x:c r="U382" s="373"/>
      <x:c r="V382" s="373"/>
      <x:c r="W382" s="373"/>
      <x:c r="X382" s="373"/>
      <x:c r="Y382" s="373"/>
      <x:c r="Z382" s="373"/>
    </x:row>
    <x:row r="383">
      <x:c r="A383" s="373"/>
      <x:c r="B383" s="373"/>
      <x:c r="C383" s="373"/>
      <x:c r="D383" s="373"/>
      <x:c r="E383" s="373"/>
      <x:c r="F383" s="373"/>
      <x:c r="G383" s="373"/>
      <x:c r="H383" s="373"/>
      <x:c r="I383" s="373"/>
      <x:c r="J383" s="373"/>
      <x:c r="K383" s="373"/>
      <x:c r="L383" s="373"/>
      <x:c r="M383" s="373"/>
      <x:c r="N383" s="373"/>
      <x:c r="O383" s="373"/>
      <x:c r="P383" s="373"/>
      <x:c r="Q383" s="373"/>
      <x:c r="R383" s="373"/>
      <x:c r="S383" s="373"/>
      <x:c r="T383" s="373"/>
      <x:c r="U383" s="373"/>
      <x:c r="V383" s="373"/>
      <x:c r="W383" s="373"/>
      <x:c r="X383" s="373"/>
      <x:c r="Y383" s="373"/>
      <x:c r="Z383" s="373"/>
    </x:row>
    <x:row r="384">
      <x:c r="A384" s="373"/>
      <x:c r="B384" s="373"/>
      <x:c r="C384" s="373"/>
      <x:c r="D384" s="373"/>
      <x:c r="E384" s="373"/>
      <x:c r="F384" s="373"/>
      <x:c r="G384" s="373"/>
      <x:c r="H384" s="373"/>
      <x:c r="I384" s="373"/>
      <x:c r="J384" s="373"/>
      <x:c r="K384" s="373"/>
      <x:c r="L384" s="373"/>
      <x:c r="M384" s="373"/>
      <x:c r="N384" s="373"/>
      <x:c r="O384" s="373"/>
      <x:c r="P384" s="373"/>
      <x:c r="Q384" s="373"/>
      <x:c r="R384" s="373"/>
      <x:c r="S384" s="373"/>
      <x:c r="T384" s="373"/>
      <x:c r="U384" s="373"/>
      <x:c r="V384" s="373"/>
      <x:c r="W384" s="373"/>
      <x:c r="X384" s="373"/>
      <x:c r="Y384" s="373"/>
      <x:c r="Z384" s="373"/>
    </x:row>
    <x:row r="385">
      <x:c r="A385" s="373"/>
      <x:c r="B385" s="373"/>
      <x:c r="C385" s="373"/>
      <x:c r="D385" s="373"/>
      <x:c r="E385" s="373"/>
      <x:c r="F385" s="373"/>
      <x:c r="G385" s="373"/>
      <x:c r="H385" s="373"/>
      <x:c r="I385" s="373"/>
      <x:c r="J385" s="373"/>
      <x:c r="K385" s="373"/>
      <x:c r="L385" s="373"/>
      <x:c r="M385" s="373"/>
      <x:c r="N385" s="373"/>
      <x:c r="O385" s="373"/>
      <x:c r="P385" s="373"/>
      <x:c r="Q385" s="373"/>
      <x:c r="R385" s="373"/>
      <x:c r="S385" s="373"/>
      <x:c r="T385" s="373"/>
      <x:c r="U385" s="373"/>
      <x:c r="V385" s="373"/>
      <x:c r="W385" s="373"/>
      <x:c r="X385" s="373"/>
      <x:c r="Y385" s="373"/>
      <x:c r="Z385" s="373"/>
    </x:row>
    <x:row r="386">
      <x:c r="A386" s="373"/>
      <x:c r="B386" s="373"/>
      <x:c r="C386" s="373"/>
      <x:c r="D386" s="373"/>
      <x:c r="E386" s="373"/>
      <x:c r="F386" s="373"/>
      <x:c r="G386" s="373"/>
      <x:c r="H386" s="373"/>
      <x:c r="I386" s="373"/>
      <x:c r="J386" s="373"/>
      <x:c r="K386" s="373"/>
      <x:c r="L386" s="373"/>
      <x:c r="M386" s="373"/>
      <x:c r="N386" s="373"/>
      <x:c r="O386" s="373"/>
      <x:c r="P386" s="373"/>
      <x:c r="Q386" s="373"/>
      <x:c r="R386" s="373"/>
      <x:c r="S386" s="373"/>
      <x:c r="T386" s="373"/>
      <x:c r="U386" s="373"/>
      <x:c r="V386" s="373"/>
      <x:c r="W386" s="373"/>
      <x:c r="X386" s="373"/>
      <x:c r="Y386" s="373"/>
      <x:c r="Z386" s="373"/>
    </x:row>
    <x:row r="387">
      <x:c r="A387" s="373"/>
      <x:c r="B387" s="373"/>
      <x:c r="C387" s="373"/>
      <x:c r="D387" s="373"/>
      <x:c r="E387" s="373"/>
      <x:c r="F387" s="373"/>
      <x:c r="G387" s="373"/>
      <x:c r="H387" s="373"/>
      <x:c r="I387" s="373"/>
      <x:c r="J387" s="373"/>
      <x:c r="K387" s="373"/>
      <x:c r="L387" s="373"/>
      <x:c r="M387" s="373"/>
      <x:c r="N387" s="373"/>
      <x:c r="O387" s="373"/>
      <x:c r="P387" s="373"/>
      <x:c r="Q387" s="373"/>
      <x:c r="R387" s="373"/>
      <x:c r="S387" s="373"/>
      <x:c r="T387" s="373"/>
      <x:c r="U387" s="373"/>
      <x:c r="V387" s="373"/>
      <x:c r="W387" s="373"/>
      <x:c r="X387" s="373"/>
      <x:c r="Y387" s="373"/>
      <x:c r="Z387" s="373"/>
    </x:row>
    <x:row r="388">
      <x:c r="A388" s="373"/>
      <x:c r="B388" s="373"/>
      <x:c r="C388" s="373"/>
      <x:c r="D388" s="373"/>
      <x:c r="E388" s="373"/>
      <x:c r="F388" s="373"/>
      <x:c r="G388" s="373"/>
      <x:c r="H388" s="373"/>
      <x:c r="I388" s="373"/>
      <x:c r="J388" s="373"/>
      <x:c r="K388" s="373"/>
      <x:c r="L388" s="373"/>
      <x:c r="M388" s="373"/>
      <x:c r="N388" s="373"/>
      <x:c r="O388" s="373"/>
      <x:c r="P388" s="373"/>
      <x:c r="Q388" s="373"/>
      <x:c r="R388" s="373"/>
      <x:c r="S388" s="373"/>
      <x:c r="T388" s="373"/>
      <x:c r="U388" s="373"/>
      <x:c r="V388" s="373"/>
      <x:c r="W388" s="373"/>
      <x:c r="X388" s="373"/>
      <x:c r="Y388" s="373"/>
      <x:c r="Z388" s="373"/>
    </x:row>
    <x:row r="389">
      <x:c r="A389" s="373"/>
      <x:c r="B389" s="373"/>
      <x:c r="C389" s="373"/>
      <x:c r="D389" s="373"/>
      <x:c r="E389" s="373"/>
      <x:c r="F389" s="373"/>
      <x:c r="G389" s="373"/>
      <x:c r="H389" s="373"/>
      <x:c r="I389" s="373"/>
      <x:c r="J389" s="373"/>
      <x:c r="K389" s="373"/>
      <x:c r="L389" s="373"/>
      <x:c r="M389" s="373"/>
      <x:c r="N389" s="373"/>
      <x:c r="O389" s="373"/>
      <x:c r="P389" s="373"/>
      <x:c r="Q389" s="373"/>
      <x:c r="R389" s="373"/>
      <x:c r="S389" s="373"/>
      <x:c r="T389" s="373"/>
      <x:c r="U389" s="373"/>
      <x:c r="V389" s="373"/>
      <x:c r="W389" s="373"/>
      <x:c r="X389" s="373"/>
      <x:c r="Y389" s="373"/>
      <x:c r="Z389" s="373"/>
    </x:row>
    <x:row r="390">
      <x:c r="A390" s="373"/>
      <x:c r="B390" s="373"/>
      <x:c r="C390" s="373"/>
      <x:c r="D390" s="373"/>
      <x:c r="E390" s="373"/>
      <x:c r="F390" s="373"/>
      <x:c r="G390" s="373"/>
      <x:c r="H390" s="373"/>
      <x:c r="I390" s="373"/>
      <x:c r="J390" s="373"/>
      <x:c r="K390" s="373"/>
      <x:c r="L390" s="373"/>
      <x:c r="M390" s="373"/>
      <x:c r="N390" s="373"/>
      <x:c r="O390" s="373"/>
      <x:c r="P390" s="373"/>
      <x:c r="Q390" s="373"/>
      <x:c r="R390" s="373"/>
      <x:c r="S390" s="373"/>
      <x:c r="T390" s="373"/>
      <x:c r="U390" s="373"/>
      <x:c r="V390" s="373"/>
      <x:c r="W390" s="373"/>
      <x:c r="X390" s="373"/>
      <x:c r="Y390" s="373"/>
      <x:c r="Z390" s="373"/>
    </x:row>
    <x:row r="391">
      <x:c r="A391" s="373"/>
      <x:c r="B391" s="373"/>
      <x:c r="C391" s="373"/>
      <x:c r="D391" s="373"/>
      <x:c r="E391" s="373"/>
      <x:c r="F391" s="373"/>
      <x:c r="G391" s="373"/>
      <x:c r="H391" s="373"/>
      <x:c r="I391" s="373"/>
      <x:c r="J391" s="373"/>
      <x:c r="K391" s="373"/>
      <x:c r="L391" s="373"/>
      <x:c r="M391" s="373"/>
      <x:c r="N391" s="373"/>
      <x:c r="O391" s="373"/>
      <x:c r="P391" s="373"/>
      <x:c r="Q391" s="373"/>
      <x:c r="R391" s="373"/>
      <x:c r="S391" s="373"/>
      <x:c r="T391" s="373"/>
      <x:c r="U391" s="373"/>
      <x:c r="V391" s="373"/>
      <x:c r="W391" s="373"/>
      <x:c r="X391" s="373"/>
      <x:c r="Y391" s="373"/>
      <x:c r="Z391" s="373"/>
    </x:row>
    <x:row r="392">
      <x:c r="A392" s="373"/>
      <x:c r="B392" s="373"/>
      <x:c r="C392" s="373"/>
      <x:c r="D392" s="373"/>
      <x:c r="E392" s="373"/>
      <x:c r="F392" s="373"/>
      <x:c r="G392" s="373"/>
      <x:c r="H392" s="373"/>
      <x:c r="I392" s="373"/>
      <x:c r="J392" s="373"/>
      <x:c r="K392" s="373"/>
      <x:c r="L392" s="373"/>
      <x:c r="M392" s="373"/>
      <x:c r="N392" s="373"/>
      <x:c r="O392" s="373"/>
      <x:c r="P392" s="373"/>
      <x:c r="Q392" s="373"/>
      <x:c r="R392" s="373"/>
      <x:c r="S392" s="373"/>
      <x:c r="T392" s="373"/>
      <x:c r="U392" s="373"/>
      <x:c r="V392" s="373"/>
      <x:c r="W392" s="373"/>
      <x:c r="X392" s="373"/>
      <x:c r="Y392" s="373"/>
      <x:c r="Z392" s="373"/>
    </x:row>
    <x:row r="393">
      <x:c r="A393" s="373"/>
      <x:c r="B393" s="373"/>
      <x:c r="C393" s="373"/>
      <x:c r="D393" s="373"/>
      <x:c r="E393" s="373"/>
      <x:c r="F393" s="373"/>
      <x:c r="G393" s="373"/>
      <x:c r="H393" s="373"/>
      <x:c r="I393" s="373"/>
      <x:c r="J393" s="373"/>
      <x:c r="K393" s="373"/>
      <x:c r="L393" s="373"/>
      <x:c r="M393" s="373"/>
      <x:c r="N393" s="373"/>
      <x:c r="O393" s="373"/>
      <x:c r="P393" s="373"/>
      <x:c r="Q393" s="373"/>
      <x:c r="R393" s="373"/>
      <x:c r="S393" s="373"/>
      <x:c r="T393" s="373"/>
      <x:c r="U393" s="373"/>
      <x:c r="V393" s="373"/>
      <x:c r="W393" s="373"/>
      <x:c r="X393" s="373"/>
      <x:c r="Y393" s="373"/>
      <x:c r="Z393" s="373"/>
    </x:row>
    <x:row r="394">
      <x:c r="A394" s="373"/>
      <x:c r="B394" s="373"/>
      <x:c r="C394" s="373"/>
      <x:c r="D394" s="373"/>
      <x:c r="E394" s="373"/>
      <x:c r="F394" s="373"/>
      <x:c r="G394" s="373"/>
      <x:c r="H394" s="373"/>
      <x:c r="I394" s="373"/>
      <x:c r="J394" s="373"/>
      <x:c r="K394" s="373"/>
      <x:c r="L394" s="373"/>
      <x:c r="M394" s="373"/>
      <x:c r="N394" s="373"/>
      <x:c r="O394" s="373"/>
      <x:c r="P394" s="373"/>
      <x:c r="Q394" s="373"/>
      <x:c r="R394" s="373"/>
      <x:c r="S394" s="373"/>
      <x:c r="T394" s="373"/>
      <x:c r="U394" s="373"/>
      <x:c r="V394" s="373"/>
      <x:c r="W394" s="373"/>
      <x:c r="X394" s="373"/>
      <x:c r="Y394" s="373"/>
      <x:c r="Z394" s="373"/>
    </x:row>
    <x:row r="395">
      <x:c r="A395" s="373"/>
      <x:c r="B395" s="373"/>
      <x:c r="C395" s="373"/>
      <x:c r="D395" s="373"/>
      <x:c r="E395" s="373"/>
      <x:c r="F395" s="373"/>
      <x:c r="G395" s="373"/>
      <x:c r="H395" s="373"/>
      <x:c r="I395" s="373"/>
      <x:c r="J395" s="373"/>
      <x:c r="K395" s="373"/>
      <x:c r="L395" s="373"/>
      <x:c r="M395" s="373"/>
      <x:c r="N395" s="373"/>
      <x:c r="O395" s="373"/>
      <x:c r="P395" s="373"/>
      <x:c r="Q395" s="373"/>
      <x:c r="R395" s="373"/>
      <x:c r="S395" s="373"/>
      <x:c r="T395" s="373"/>
      <x:c r="U395" s="373"/>
      <x:c r="V395" s="373"/>
      <x:c r="W395" s="373"/>
      <x:c r="X395" s="373"/>
      <x:c r="Y395" s="373"/>
      <x:c r="Z395" s="373"/>
    </x:row>
    <x:row r="396">
      <x:c r="A396" s="373"/>
      <x:c r="B396" s="373"/>
      <x:c r="C396" s="373"/>
      <x:c r="D396" s="373"/>
      <x:c r="E396" s="373"/>
      <x:c r="F396" s="373"/>
      <x:c r="G396" s="373"/>
      <x:c r="H396" s="373"/>
      <x:c r="I396" s="373"/>
      <x:c r="J396" s="373"/>
      <x:c r="K396" s="373"/>
      <x:c r="L396" s="373"/>
      <x:c r="M396" s="373"/>
      <x:c r="N396" s="373"/>
      <x:c r="O396" s="373"/>
      <x:c r="P396" s="373"/>
      <x:c r="Q396" s="373"/>
      <x:c r="R396" s="373"/>
      <x:c r="S396" s="373"/>
      <x:c r="T396" s="373"/>
      <x:c r="U396" s="373"/>
      <x:c r="V396" s="373"/>
      <x:c r="W396" s="373"/>
      <x:c r="X396" s="373"/>
      <x:c r="Y396" s="373"/>
      <x:c r="Z396" s="373"/>
    </x:row>
    <x:row r="397">
      <x:c r="A397" s="373"/>
      <x:c r="B397" s="373"/>
      <x:c r="C397" s="373"/>
      <x:c r="D397" s="373"/>
      <x:c r="E397" s="373"/>
      <x:c r="F397" s="373"/>
      <x:c r="G397" s="373"/>
      <x:c r="H397" s="373"/>
      <x:c r="I397" s="373"/>
      <x:c r="J397" s="373"/>
      <x:c r="K397" s="373"/>
      <x:c r="L397" s="373"/>
      <x:c r="M397" s="373"/>
      <x:c r="N397" s="373"/>
      <x:c r="O397" s="373"/>
      <x:c r="P397" s="373"/>
      <x:c r="Q397" s="373"/>
      <x:c r="R397" s="373"/>
      <x:c r="S397" s="373"/>
      <x:c r="T397" s="373"/>
      <x:c r="U397" s="373"/>
      <x:c r="V397" s="373"/>
      <x:c r="W397" s="373"/>
      <x:c r="X397" s="373"/>
      <x:c r="Y397" s="373"/>
      <x:c r="Z397" s="373"/>
    </x:row>
    <x:row r="398">
      <x:c r="A398" s="373"/>
      <x:c r="B398" s="373"/>
      <x:c r="C398" s="373"/>
      <x:c r="D398" s="373"/>
      <x:c r="E398" s="373"/>
      <x:c r="F398" s="373"/>
      <x:c r="G398" s="373"/>
      <x:c r="H398" s="373"/>
      <x:c r="I398" s="373"/>
      <x:c r="J398" s="373"/>
      <x:c r="K398" s="373"/>
      <x:c r="L398" s="373"/>
      <x:c r="M398" s="373"/>
      <x:c r="N398" s="373"/>
      <x:c r="O398" s="373"/>
      <x:c r="P398" s="373"/>
      <x:c r="Q398" s="373"/>
      <x:c r="R398" s="373"/>
      <x:c r="S398" s="373"/>
      <x:c r="T398" s="373"/>
      <x:c r="U398" s="373"/>
      <x:c r="V398" s="373"/>
      <x:c r="W398" s="373"/>
      <x:c r="X398" s="373"/>
      <x:c r="Y398" s="373"/>
      <x:c r="Z398" s="373"/>
    </x:row>
    <x:row r="399">
      <x:c r="A399" s="373"/>
      <x:c r="B399" s="373"/>
      <x:c r="C399" s="373"/>
      <x:c r="D399" s="373"/>
      <x:c r="E399" s="373"/>
      <x:c r="F399" s="373"/>
      <x:c r="G399" s="373"/>
      <x:c r="H399" s="373"/>
      <x:c r="I399" s="373"/>
      <x:c r="J399" s="373"/>
      <x:c r="K399" s="373"/>
      <x:c r="L399" s="373"/>
      <x:c r="M399" s="373"/>
      <x:c r="N399" s="373"/>
      <x:c r="O399" s="373"/>
      <x:c r="P399" s="373"/>
      <x:c r="Q399" s="373"/>
      <x:c r="R399" s="373"/>
      <x:c r="S399" s="373"/>
      <x:c r="T399" s="373"/>
      <x:c r="U399" s="373"/>
      <x:c r="V399" s="373"/>
      <x:c r="W399" s="373"/>
      <x:c r="X399" s="373"/>
      <x:c r="Y399" s="373"/>
      <x:c r="Z399" s="373"/>
    </x:row>
    <x:row r="400">
      <x:c r="A400" s="373"/>
      <x:c r="B400" s="373"/>
      <x:c r="C400" s="373"/>
      <x:c r="D400" s="373"/>
      <x:c r="E400" s="373"/>
      <x:c r="F400" s="373"/>
      <x:c r="G400" s="373"/>
      <x:c r="H400" s="373"/>
      <x:c r="I400" s="373"/>
      <x:c r="J400" s="373"/>
      <x:c r="K400" s="373"/>
      <x:c r="L400" s="373"/>
      <x:c r="M400" s="373"/>
      <x:c r="N400" s="373"/>
      <x:c r="O400" s="373"/>
      <x:c r="P400" s="373"/>
      <x:c r="Q400" s="373"/>
      <x:c r="R400" s="373"/>
      <x:c r="S400" s="373"/>
      <x:c r="T400" s="373"/>
      <x:c r="U400" s="373"/>
      <x:c r="V400" s="373"/>
      <x:c r="W400" s="373"/>
      <x:c r="X400" s="373"/>
      <x:c r="Y400" s="373"/>
      <x:c r="Z400" s="373"/>
    </x:row>
    <x:row r="401">
      <x:c r="A401" s="373"/>
      <x:c r="B401" s="373"/>
      <x:c r="C401" s="373"/>
      <x:c r="D401" s="373"/>
      <x:c r="E401" s="373"/>
      <x:c r="F401" s="373"/>
      <x:c r="G401" s="373"/>
      <x:c r="H401" s="373"/>
      <x:c r="I401" s="373"/>
      <x:c r="J401" s="373"/>
      <x:c r="K401" s="373"/>
      <x:c r="L401" s="373"/>
      <x:c r="M401" s="373"/>
      <x:c r="N401" s="373"/>
      <x:c r="O401" s="373"/>
      <x:c r="P401" s="373"/>
      <x:c r="Q401" s="373"/>
      <x:c r="R401" s="373"/>
      <x:c r="S401" s="373"/>
      <x:c r="T401" s="373"/>
      <x:c r="U401" s="373"/>
      <x:c r="V401" s="373"/>
      <x:c r="W401" s="373"/>
      <x:c r="X401" s="373"/>
      <x:c r="Y401" s="373"/>
      <x:c r="Z401" s="373"/>
    </x:row>
    <x:row r="402">
      <x:c r="A402" s="373"/>
      <x:c r="B402" s="373"/>
      <x:c r="C402" s="373"/>
      <x:c r="D402" s="373"/>
      <x:c r="E402" s="373"/>
      <x:c r="F402" s="373"/>
      <x:c r="G402" s="373"/>
      <x:c r="H402" s="373"/>
      <x:c r="I402" s="373"/>
      <x:c r="J402" s="373"/>
      <x:c r="K402" s="373"/>
      <x:c r="L402" s="373"/>
      <x:c r="M402" s="373"/>
      <x:c r="N402" s="373"/>
      <x:c r="O402" s="373"/>
      <x:c r="P402" s="373"/>
      <x:c r="Q402" s="373"/>
      <x:c r="R402" s="373"/>
      <x:c r="S402" s="373"/>
      <x:c r="T402" s="373"/>
      <x:c r="U402" s="373"/>
      <x:c r="V402" s="373"/>
      <x:c r="W402" s="373"/>
      <x:c r="X402" s="373"/>
      <x:c r="Y402" s="373"/>
      <x:c r="Z402" s="373"/>
    </x:row>
    <x:row r="403">
      <x:c r="A403" s="373"/>
      <x:c r="B403" s="373"/>
      <x:c r="C403" s="373"/>
      <x:c r="D403" s="373"/>
      <x:c r="E403" s="373"/>
      <x:c r="F403" s="373"/>
      <x:c r="G403" s="373"/>
      <x:c r="H403" s="373"/>
      <x:c r="I403" s="373"/>
      <x:c r="J403" s="373"/>
      <x:c r="K403" s="373"/>
      <x:c r="L403" s="373"/>
      <x:c r="M403" s="373"/>
      <x:c r="N403" s="373"/>
      <x:c r="O403" s="373"/>
      <x:c r="P403" s="373"/>
      <x:c r="Q403" s="373"/>
      <x:c r="R403" s="373"/>
      <x:c r="S403" s="373"/>
      <x:c r="T403" s="373"/>
      <x:c r="U403" s="373"/>
      <x:c r="V403" s="373"/>
      <x:c r="W403" s="373"/>
      <x:c r="X403" s="373"/>
      <x:c r="Y403" s="373"/>
      <x:c r="Z403" s="373"/>
    </x:row>
    <x:row r="404">
      <x:c r="A404" s="373"/>
      <x:c r="B404" s="373"/>
      <x:c r="C404" s="373"/>
      <x:c r="D404" s="373"/>
      <x:c r="E404" s="373"/>
      <x:c r="F404" s="373"/>
      <x:c r="G404" s="373"/>
      <x:c r="H404" s="373"/>
      <x:c r="I404" s="373"/>
      <x:c r="J404" s="373"/>
      <x:c r="K404" s="373"/>
      <x:c r="L404" s="373"/>
      <x:c r="M404" s="373"/>
      <x:c r="N404" s="373"/>
      <x:c r="O404" s="373"/>
      <x:c r="P404" s="373"/>
      <x:c r="Q404" s="373"/>
      <x:c r="R404" s="373"/>
      <x:c r="S404" s="373"/>
      <x:c r="T404" s="373"/>
      <x:c r="U404" s="373"/>
      <x:c r="V404" s="373"/>
      <x:c r="W404" s="373"/>
      <x:c r="X404" s="373"/>
      <x:c r="Y404" s="373"/>
      <x:c r="Z404" s="373"/>
    </x:row>
    <x:row r="405">
      <x:c r="A405" s="373"/>
      <x:c r="B405" s="373"/>
      <x:c r="C405" s="373"/>
      <x:c r="D405" s="373"/>
      <x:c r="E405" s="373"/>
      <x:c r="F405" s="373"/>
      <x:c r="G405" s="373"/>
      <x:c r="H405" s="373"/>
      <x:c r="I405" s="373"/>
      <x:c r="J405" s="373"/>
      <x:c r="K405" s="373"/>
      <x:c r="L405" s="373"/>
      <x:c r="M405" s="373"/>
      <x:c r="N405" s="373"/>
      <x:c r="O405" s="373"/>
      <x:c r="P405" s="373"/>
      <x:c r="Q405" s="373"/>
      <x:c r="R405" s="373"/>
      <x:c r="S405" s="373"/>
      <x:c r="T405" s="373"/>
      <x:c r="U405" s="373"/>
      <x:c r="V405" s="373"/>
      <x:c r="W405" s="373"/>
      <x:c r="X405" s="373"/>
      <x:c r="Y405" s="373"/>
      <x:c r="Z405" s="373"/>
    </x:row>
    <x:row r="406">
      <x:c r="A406" s="373"/>
      <x:c r="B406" s="373"/>
      <x:c r="C406" s="373"/>
      <x:c r="D406" s="373"/>
      <x:c r="E406" s="373"/>
      <x:c r="F406" s="373"/>
      <x:c r="G406" s="373"/>
      <x:c r="H406" s="373"/>
      <x:c r="I406" s="373"/>
      <x:c r="J406" s="373"/>
      <x:c r="K406" s="373"/>
      <x:c r="L406" s="373"/>
      <x:c r="M406" s="373"/>
      <x:c r="N406" s="373"/>
      <x:c r="O406" s="373"/>
      <x:c r="P406" s="373"/>
      <x:c r="Q406" s="373"/>
      <x:c r="R406" s="373"/>
      <x:c r="S406" s="373"/>
      <x:c r="T406" s="373"/>
      <x:c r="U406" s="373"/>
      <x:c r="V406" s="373"/>
      <x:c r="W406" s="373"/>
      <x:c r="X406" s="373"/>
      <x:c r="Y406" s="373"/>
      <x:c r="Z406" s="373"/>
    </x:row>
    <x:row r="407">
      <x:c r="A407" s="373"/>
      <x:c r="B407" s="373"/>
      <x:c r="C407" s="373"/>
      <x:c r="D407" s="373"/>
      <x:c r="E407" s="373"/>
      <x:c r="F407" s="373"/>
      <x:c r="G407" s="373"/>
      <x:c r="H407" s="373"/>
      <x:c r="I407" s="373"/>
      <x:c r="J407" s="373"/>
      <x:c r="K407" s="373"/>
      <x:c r="L407" s="373"/>
      <x:c r="M407" s="373"/>
      <x:c r="N407" s="373"/>
      <x:c r="O407" s="373"/>
      <x:c r="P407" s="373"/>
      <x:c r="Q407" s="373"/>
      <x:c r="R407" s="373"/>
      <x:c r="S407" s="373"/>
      <x:c r="T407" s="373"/>
      <x:c r="U407" s="373"/>
      <x:c r="V407" s="373"/>
      <x:c r="W407" s="373"/>
      <x:c r="X407" s="373"/>
      <x:c r="Y407" s="373"/>
      <x:c r="Z407" s="373"/>
    </x:row>
    <x:row r="408">
      <x:c r="A408" s="373"/>
      <x:c r="B408" s="373"/>
      <x:c r="C408" s="373"/>
      <x:c r="D408" s="373"/>
      <x:c r="E408" s="373"/>
      <x:c r="F408" s="373"/>
      <x:c r="G408" s="373"/>
      <x:c r="H408" s="373"/>
      <x:c r="I408" s="373"/>
      <x:c r="J408" s="373"/>
      <x:c r="K408" s="373"/>
      <x:c r="L408" s="373"/>
      <x:c r="M408" s="373"/>
      <x:c r="N408" s="373"/>
      <x:c r="O408" s="373"/>
      <x:c r="P408" s="373"/>
      <x:c r="Q408" s="373"/>
      <x:c r="R408" s="373"/>
      <x:c r="S408" s="373"/>
      <x:c r="T408" s="373"/>
      <x:c r="U408" s="373"/>
      <x:c r="V408" s="373"/>
      <x:c r="W408" s="373"/>
      <x:c r="X408" s="373"/>
      <x:c r="Y408" s="373"/>
      <x:c r="Z408" s="373"/>
    </x:row>
    <x:row r="409">
      <x:c r="A409" s="373"/>
      <x:c r="B409" s="373"/>
      <x:c r="C409" s="373"/>
      <x:c r="D409" s="373"/>
      <x:c r="E409" s="373"/>
      <x:c r="F409" s="373"/>
      <x:c r="G409" s="373"/>
      <x:c r="H409" s="373"/>
      <x:c r="I409" s="373"/>
      <x:c r="J409" s="373"/>
      <x:c r="K409" s="373"/>
      <x:c r="L409" s="373"/>
      <x:c r="M409" s="373"/>
      <x:c r="N409" s="373"/>
      <x:c r="O409" s="373"/>
      <x:c r="P409" s="373"/>
      <x:c r="Q409" s="373"/>
      <x:c r="R409" s="373"/>
      <x:c r="S409" s="373"/>
      <x:c r="T409" s="373"/>
      <x:c r="U409" s="373"/>
      <x:c r="V409" s="373"/>
      <x:c r="W409" s="373"/>
      <x:c r="X409" s="373"/>
      <x:c r="Y409" s="373"/>
      <x:c r="Z409" s="373"/>
    </x:row>
    <x:row r="410">
      <x:c r="A410" s="373"/>
      <x:c r="B410" s="373"/>
      <x:c r="C410" s="373"/>
      <x:c r="D410" s="373"/>
      <x:c r="E410" s="373"/>
      <x:c r="F410" s="373"/>
      <x:c r="G410" s="373"/>
      <x:c r="H410" s="373"/>
      <x:c r="I410" s="373"/>
      <x:c r="J410" s="373"/>
      <x:c r="K410" s="373"/>
      <x:c r="L410" s="373"/>
      <x:c r="M410" s="373"/>
      <x:c r="N410" s="373"/>
      <x:c r="O410" s="373"/>
      <x:c r="P410" s="373"/>
      <x:c r="Q410" s="373"/>
      <x:c r="R410" s="373"/>
      <x:c r="S410" s="373"/>
      <x:c r="T410" s="373"/>
      <x:c r="U410" s="373"/>
      <x:c r="V410" s="373"/>
      <x:c r="W410" s="373"/>
      <x:c r="X410" s="373"/>
      <x:c r="Y410" s="373"/>
      <x:c r="Z410" s="373"/>
    </x:row>
    <x:row r="411">
      <x:c r="A411" s="373"/>
      <x:c r="B411" s="373"/>
      <x:c r="C411" s="373"/>
      <x:c r="D411" s="373"/>
      <x:c r="E411" s="373"/>
      <x:c r="F411" s="373"/>
      <x:c r="G411" s="373"/>
      <x:c r="H411" s="373"/>
      <x:c r="I411" s="373"/>
      <x:c r="J411" s="373"/>
      <x:c r="K411" s="373"/>
      <x:c r="L411" s="373"/>
      <x:c r="M411" s="373"/>
      <x:c r="N411" s="373"/>
      <x:c r="O411" s="373"/>
      <x:c r="P411" s="373"/>
      <x:c r="Q411" s="373"/>
      <x:c r="R411" s="373"/>
      <x:c r="S411" s="373"/>
      <x:c r="T411" s="373"/>
      <x:c r="U411" s="373"/>
      <x:c r="V411" s="373"/>
      <x:c r="W411" s="373"/>
      <x:c r="X411" s="373"/>
      <x:c r="Y411" s="373"/>
      <x:c r="Z411" s="373"/>
    </x:row>
    <x:row r="412">
      <x:c r="A412" s="373"/>
      <x:c r="B412" s="373"/>
      <x:c r="C412" s="373"/>
      <x:c r="D412" s="373"/>
      <x:c r="E412" s="373"/>
      <x:c r="F412" s="373"/>
      <x:c r="G412" s="373"/>
      <x:c r="H412" s="373"/>
      <x:c r="I412" s="373"/>
      <x:c r="J412" s="373"/>
      <x:c r="K412" s="373"/>
      <x:c r="L412" s="373"/>
      <x:c r="M412" s="373"/>
      <x:c r="N412" s="373"/>
      <x:c r="O412" s="373"/>
      <x:c r="P412" s="373"/>
      <x:c r="Q412" s="373"/>
      <x:c r="R412" s="373"/>
      <x:c r="S412" s="373"/>
      <x:c r="T412" s="373"/>
      <x:c r="U412" s="373"/>
      <x:c r="V412" s="373"/>
      <x:c r="W412" s="373"/>
      <x:c r="X412" s="373"/>
      <x:c r="Y412" s="373"/>
      <x:c r="Z412" s="373"/>
    </x:row>
    <x:row r="413">
      <x:c r="A413" s="373"/>
      <x:c r="B413" s="373"/>
      <x:c r="C413" s="373"/>
      <x:c r="D413" s="373"/>
      <x:c r="E413" s="373"/>
      <x:c r="F413" s="373"/>
      <x:c r="G413" s="373"/>
      <x:c r="H413" s="373"/>
      <x:c r="I413" s="373"/>
      <x:c r="J413" s="373"/>
      <x:c r="K413" s="373"/>
      <x:c r="L413" s="373"/>
      <x:c r="M413" s="373"/>
      <x:c r="N413" s="373"/>
      <x:c r="O413" s="373"/>
      <x:c r="P413" s="373"/>
      <x:c r="Q413" s="373"/>
      <x:c r="R413" s="373"/>
      <x:c r="S413" s="373"/>
      <x:c r="T413" s="373"/>
      <x:c r="U413" s="373"/>
      <x:c r="V413" s="373"/>
      <x:c r="W413" s="373"/>
      <x:c r="X413" s="373"/>
      <x:c r="Y413" s="373"/>
      <x:c r="Z413" s="373"/>
    </x:row>
    <x:row r="414">
      <x:c r="A414" s="373"/>
      <x:c r="B414" s="373"/>
      <x:c r="C414" s="373"/>
      <x:c r="D414" s="373"/>
      <x:c r="E414" s="373"/>
      <x:c r="F414" s="373"/>
      <x:c r="G414" s="373"/>
      <x:c r="H414" s="373"/>
      <x:c r="I414" s="373"/>
      <x:c r="J414" s="373"/>
      <x:c r="K414" s="373"/>
      <x:c r="L414" s="373"/>
      <x:c r="M414" s="373"/>
      <x:c r="N414" s="373"/>
      <x:c r="O414" s="373"/>
      <x:c r="P414" s="373"/>
      <x:c r="Q414" s="373"/>
      <x:c r="R414" s="373"/>
      <x:c r="S414" s="373"/>
      <x:c r="T414" s="373"/>
      <x:c r="U414" s="373"/>
      <x:c r="V414" s="373"/>
      <x:c r="W414" s="373"/>
      <x:c r="X414" s="373"/>
      <x:c r="Y414" s="373"/>
      <x:c r="Z414" s="373"/>
    </x:row>
    <x:row r="415">
      <x:c r="A415" s="373"/>
      <x:c r="B415" s="373"/>
      <x:c r="C415" s="373"/>
      <x:c r="D415" s="373"/>
      <x:c r="E415" s="373"/>
      <x:c r="F415" s="373"/>
      <x:c r="G415" s="373"/>
      <x:c r="H415" s="373"/>
      <x:c r="I415" s="373"/>
      <x:c r="J415" s="373"/>
      <x:c r="K415" s="373"/>
      <x:c r="L415" s="373"/>
      <x:c r="M415" s="373"/>
      <x:c r="N415" s="373"/>
      <x:c r="O415" s="373"/>
      <x:c r="P415" s="373"/>
      <x:c r="Q415" s="373"/>
      <x:c r="R415" s="373"/>
      <x:c r="S415" s="373"/>
      <x:c r="T415" s="373"/>
      <x:c r="U415" s="373"/>
      <x:c r="V415" s="373"/>
      <x:c r="W415" s="373"/>
      <x:c r="X415" s="373"/>
      <x:c r="Y415" s="373"/>
      <x:c r="Z415" s="373"/>
    </x:row>
    <x:row r="416">
      <x:c r="A416" s="373"/>
      <x:c r="B416" s="373"/>
      <x:c r="C416" s="373"/>
      <x:c r="D416" s="373"/>
      <x:c r="E416" s="373"/>
      <x:c r="F416" s="373"/>
      <x:c r="G416" s="373"/>
      <x:c r="H416" s="373"/>
      <x:c r="I416" s="373"/>
      <x:c r="J416" s="373"/>
      <x:c r="K416" s="373"/>
      <x:c r="L416" s="373"/>
      <x:c r="M416" s="373"/>
      <x:c r="N416" s="373"/>
      <x:c r="O416" s="373"/>
      <x:c r="P416" s="373"/>
      <x:c r="Q416" s="373"/>
      <x:c r="R416" s="373"/>
      <x:c r="S416" s="373"/>
      <x:c r="T416" s="373"/>
      <x:c r="U416" s="373"/>
      <x:c r="V416" s="373"/>
      <x:c r="W416" s="373"/>
      <x:c r="X416" s="373"/>
      <x:c r="Y416" s="373"/>
      <x:c r="Z416" s="373"/>
    </x:row>
    <x:row r="417">
      <x:c r="A417" s="373"/>
      <x:c r="B417" s="373"/>
      <x:c r="C417" s="373"/>
      <x:c r="D417" s="373"/>
      <x:c r="E417" s="373"/>
      <x:c r="F417" s="373"/>
      <x:c r="G417" s="373"/>
      <x:c r="H417" s="373"/>
      <x:c r="I417" s="373"/>
      <x:c r="J417" s="373"/>
      <x:c r="K417" s="373"/>
      <x:c r="L417" s="373"/>
      <x:c r="M417" s="373"/>
      <x:c r="N417" s="373"/>
      <x:c r="O417" s="373"/>
      <x:c r="P417" s="373"/>
      <x:c r="Q417" s="373"/>
      <x:c r="R417" s="373"/>
      <x:c r="S417" s="373"/>
      <x:c r="T417" s="373"/>
      <x:c r="U417" s="373"/>
      <x:c r="V417" s="373"/>
      <x:c r="W417" s="373"/>
      <x:c r="X417" s="373"/>
      <x:c r="Y417" s="373"/>
      <x:c r="Z417" s="373"/>
    </x:row>
    <x:row r="418">
      <x:c r="A418" s="373"/>
      <x:c r="B418" s="373"/>
      <x:c r="C418" s="373"/>
      <x:c r="D418" s="373"/>
      <x:c r="E418" s="373"/>
      <x:c r="F418" s="373"/>
      <x:c r="G418" s="373"/>
      <x:c r="H418" s="373"/>
      <x:c r="I418" s="373"/>
      <x:c r="J418" s="373"/>
      <x:c r="K418" s="373"/>
      <x:c r="L418" s="373"/>
      <x:c r="M418" s="373"/>
      <x:c r="N418" s="373"/>
      <x:c r="O418" s="373"/>
      <x:c r="P418" s="373"/>
      <x:c r="Q418" s="373"/>
      <x:c r="R418" s="373"/>
      <x:c r="S418" s="373"/>
      <x:c r="T418" s="373"/>
      <x:c r="U418" s="373"/>
      <x:c r="V418" s="373"/>
      <x:c r="W418" s="373"/>
      <x:c r="X418" s="373"/>
      <x:c r="Y418" s="373"/>
      <x:c r="Z418" s="373"/>
    </x:row>
    <x:row r="419">
      <x:c r="A419" s="373"/>
      <x:c r="B419" s="373"/>
      <x:c r="C419" s="373"/>
      <x:c r="D419" s="373"/>
      <x:c r="E419" s="373"/>
      <x:c r="F419" s="373"/>
      <x:c r="G419" s="373"/>
      <x:c r="H419" s="373"/>
      <x:c r="I419" s="373"/>
      <x:c r="J419" s="373"/>
      <x:c r="K419" s="373"/>
      <x:c r="L419" s="373"/>
      <x:c r="M419" s="373"/>
      <x:c r="N419" s="373"/>
      <x:c r="O419" s="373"/>
      <x:c r="P419" s="373"/>
      <x:c r="Q419" s="373"/>
      <x:c r="R419" s="373"/>
      <x:c r="S419" s="373"/>
      <x:c r="T419" s="373"/>
      <x:c r="U419" s="373"/>
      <x:c r="V419" s="373"/>
      <x:c r="W419" s="373"/>
      <x:c r="X419" s="373"/>
      <x:c r="Y419" s="373"/>
      <x:c r="Z419" s="373"/>
    </x:row>
    <x:row r="420">
      <x:c r="A420" s="373"/>
      <x:c r="B420" s="373"/>
      <x:c r="C420" s="373"/>
      <x:c r="D420" s="373"/>
      <x:c r="E420" s="373"/>
      <x:c r="F420" s="373"/>
      <x:c r="G420" s="373"/>
      <x:c r="H420" s="373"/>
      <x:c r="I420" s="373"/>
      <x:c r="J420" s="373"/>
      <x:c r="K420" s="373"/>
      <x:c r="L420" s="373"/>
      <x:c r="M420" s="373"/>
      <x:c r="N420" s="373"/>
      <x:c r="O420" s="373"/>
      <x:c r="P420" s="373"/>
      <x:c r="Q420" s="373"/>
      <x:c r="R420" s="373"/>
      <x:c r="S420" s="373"/>
      <x:c r="T420" s="373"/>
      <x:c r="U420" s="373"/>
      <x:c r="V420" s="373"/>
      <x:c r="W420" s="373"/>
      <x:c r="X420" s="373"/>
      <x:c r="Y420" s="373"/>
      <x:c r="Z420" s="373"/>
    </x:row>
    <x:row r="421">
      <x:c r="A421" s="373"/>
      <x:c r="B421" s="373"/>
      <x:c r="C421" s="373"/>
      <x:c r="D421" s="373"/>
      <x:c r="E421" s="373"/>
      <x:c r="F421" s="373"/>
      <x:c r="G421" s="373"/>
      <x:c r="H421" s="373"/>
      <x:c r="I421" s="373"/>
      <x:c r="J421" s="373"/>
      <x:c r="K421" s="373"/>
      <x:c r="L421" s="373"/>
      <x:c r="M421" s="373"/>
      <x:c r="N421" s="373"/>
      <x:c r="O421" s="373"/>
      <x:c r="P421" s="373"/>
      <x:c r="Q421" s="373"/>
      <x:c r="R421" s="373"/>
      <x:c r="S421" s="373"/>
      <x:c r="T421" s="373"/>
      <x:c r="U421" s="373"/>
      <x:c r="V421" s="373"/>
      <x:c r="W421" s="373"/>
      <x:c r="X421" s="373"/>
      <x:c r="Y421" s="373"/>
      <x:c r="Z421" s="373"/>
    </x:row>
    <x:row r="422">
      <x:c r="A422" s="373"/>
      <x:c r="B422" s="373"/>
      <x:c r="C422" s="373"/>
      <x:c r="D422" s="373"/>
      <x:c r="E422" s="373"/>
      <x:c r="F422" s="373"/>
      <x:c r="G422" s="373"/>
      <x:c r="H422" s="373"/>
      <x:c r="I422" s="373"/>
      <x:c r="J422" s="373"/>
      <x:c r="K422" s="373"/>
      <x:c r="L422" s="373"/>
      <x:c r="M422" s="373"/>
      <x:c r="N422" s="373"/>
      <x:c r="O422" s="373"/>
      <x:c r="P422" s="373"/>
      <x:c r="Q422" s="373"/>
      <x:c r="R422" s="373"/>
      <x:c r="S422" s="373"/>
      <x:c r="T422" s="373"/>
      <x:c r="U422" s="373"/>
      <x:c r="V422" s="373"/>
      <x:c r="W422" s="373"/>
      <x:c r="X422" s="373"/>
      <x:c r="Y422" s="373"/>
      <x:c r="Z422" s="373"/>
    </x:row>
    <x:row r="423">
      <x:c r="A423" s="373"/>
      <x:c r="B423" s="373"/>
      <x:c r="C423" s="373"/>
      <x:c r="D423" s="373"/>
      <x:c r="E423" s="373"/>
      <x:c r="F423" s="373"/>
      <x:c r="G423" s="373"/>
      <x:c r="H423" s="373"/>
      <x:c r="I423" s="373"/>
      <x:c r="J423" s="373"/>
      <x:c r="K423" s="373"/>
      <x:c r="L423" s="373"/>
      <x:c r="M423" s="373"/>
      <x:c r="N423" s="373"/>
      <x:c r="O423" s="373"/>
      <x:c r="P423" s="373"/>
      <x:c r="Q423" s="373"/>
      <x:c r="R423" s="373"/>
      <x:c r="S423" s="373"/>
      <x:c r="T423" s="373"/>
      <x:c r="U423" s="373"/>
      <x:c r="V423" s="373"/>
      <x:c r="W423" s="373"/>
      <x:c r="X423" s="373"/>
      <x:c r="Y423" s="373"/>
      <x:c r="Z423" s="373"/>
    </x:row>
    <x:row r="424">
      <x:c r="A424" s="373"/>
      <x:c r="B424" s="373"/>
      <x:c r="C424" s="373"/>
      <x:c r="D424" s="373"/>
      <x:c r="E424" s="373"/>
      <x:c r="F424" s="373"/>
      <x:c r="G424" s="373"/>
      <x:c r="H424" s="373"/>
      <x:c r="I424" s="373"/>
      <x:c r="J424" s="373"/>
      <x:c r="K424" s="373"/>
      <x:c r="L424" s="373"/>
      <x:c r="M424" s="373"/>
      <x:c r="N424" s="373"/>
      <x:c r="O424" s="373"/>
      <x:c r="P424" s="373"/>
      <x:c r="Q424" s="373"/>
      <x:c r="R424" s="373"/>
      <x:c r="S424" s="373"/>
      <x:c r="T424" s="373"/>
      <x:c r="U424" s="373"/>
      <x:c r="V424" s="373"/>
      <x:c r="W424" s="373"/>
      <x:c r="X424" s="373"/>
      <x:c r="Y424" s="373"/>
      <x:c r="Z424" s="373"/>
    </x:row>
    <x:row r="425">
      <x:c r="A425" s="373"/>
      <x:c r="B425" s="373"/>
      <x:c r="C425" s="373"/>
      <x:c r="D425" s="373"/>
      <x:c r="E425" s="373"/>
      <x:c r="F425" s="373"/>
      <x:c r="G425" s="373"/>
      <x:c r="H425" s="373"/>
      <x:c r="I425" s="373"/>
      <x:c r="J425" s="373"/>
      <x:c r="K425" s="373"/>
      <x:c r="L425" s="373"/>
      <x:c r="M425" s="373"/>
      <x:c r="N425" s="373"/>
      <x:c r="O425" s="373"/>
      <x:c r="P425" s="373"/>
      <x:c r="Q425" s="373"/>
      <x:c r="R425" s="373"/>
      <x:c r="S425" s="373"/>
      <x:c r="T425" s="373"/>
      <x:c r="U425" s="373"/>
      <x:c r="V425" s="373"/>
      <x:c r="W425" s="373"/>
      <x:c r="X425" s="373"/>
      <x:c r="Y425" s="373"/>
      <x:c r="Z425" s="373"/>
    </x:row>
    <x:row r="426">
      <x:c r="A426" s="373"/>
      <x:c r="B426" s="373"/>
      <x:c r="C426" s="373"/>
      <x:c r="D426" s="373"/>
      <x:c r="E426" s="373"/>
      <x:c r="F426" s="373"/>
      <x:c r="G426" s="373"/>
      <x:c r="H426" s="373"/>
      <x:c r="I426" s="373"/>
      <x:c r="J426" s="373"/>
      <x:c r="K426" s="373"/>
      <x:c r="L426" s="373"/>
      <x:c r="M426" s="373"/>
      <x:c r="N426" s="373"/>
      <x:c r="O426" s="373"/>
      <x:c r="P426" s="373"/>
      <x:c r="Q426" s="373"/>
      <x:c r="R426" s="373"/>
      <x:c r="S426" s="373"/>
      <x:c r="T426" s="373"/>
      <x:c r="U426" s="373"/>
      <x:c r="V426" s="373"/>
      <x:c r="W426" s="373"/>
      <x:c r="X426" s="373"/>
      <x:c r="Y426" s="373"/>
      <x:c r="Z426" s="373"/>
    </x:row>
    <x:row r="427">
      <x:c r="A427" s="373"/>
      <x:c r="B427" s="373"/>
      <x:c r="C427" s="373"/>
      <x:c r="D427" s="373"/>
      <x:c r="E427" s="373"/>
      <x:c r="F427" s="373"/>
      <x:c r="G427" s="373"/>
      <x:c r="H427" s="373"/>
      <x:c r="I427" s="373"/>
      <x:c r="J427" s="373"/>
      <x:c r="K427" s="373"/>
      <x:c r="L427" s="373"/>
      <x:c r="M427" s="373"/>
      <x:c r="N427" s="373"/>
      <x:c r="O427" s="373"/>
      <x:c r="P427" s="373"/>
      <x:c r="Q427" s="373"/>
      <x:c r="R427" s="373"/>
      <x:c r="S427" s="373"/>
      <x:c r="T427" s="373"/>
      <x:c r="U427" s="373"/>
      <x:c r="V427" s="373"/>
      <x:c r="W427" s="373"/>
      <x:c r="X427" s="373"/>
      <x:c r="Y427" s="373"/>
      <x:c r="Z427" s="373"/>
    </x:row>
    <x:row r="428">
      <x:c r="A428" s="373"/>
      <x:c r="B428" s="373"/>
      <x:c r="C428" s="373"/>
      <x:c r="D428" s="373"/>
      <x:c r="E428" s="373"/>
      <x:c r="F428" s="373"/>
      <x:c r="G428" s="373"/>
      <x:c r="H428" s="373"/>
      <x:c r="I428" s="373"/>
      <x:c r="J428" s="373"/>
      <x:c r="K428" s="373"/>
      <x:c r="L428" s="373"/>
      <x:c r="M428" s="373"/>
      <x:c r="N428" s="373"/>
      <x:c r="O428" s="373"/>
      <x:c r="P428" s="373"/>
      <x:c r="Q428" s="373"/>
      <x:c r="R428" s="373"/>
      <x:c r="S428" s="373"/>
      <x:c r="T428" s="373"/>
      <x:c r="U428" s="373"/>
      <x:c r="V428" s="373"/>
      <x:c r="W428" s="373"/>
      <x:c r="X428" s="373"/>
      <x:c r="Y428" s="373"/>
      <x:c r="Z428" s="373"/>
    </x:row>
    <x:row r="429">
      <x:c r="A429" s="373"/>
      <x:c r="B429" s="373"/>
      <x:c r="C429" s="373"/>
      <x:c r="D429" s="373"/>
      <x:c r="E429" s="373"/>
      <x:c r="F429" s="373"/>
      <x:c r="G429" s="373"/>
      <x:c r="H429" s="373"/>
      <x:c r="I429" s="373"/>
      <x:c r="J429" s="373"/>
      <x:c r="K429" s="373"/>
      <x:c r="L429" s="373"/>
      <x:c r="M429" s="373"/>
      <x:c r="N429" s="373"/>
      <x:c r="O429" s="373"/>
      <x:c r="P429" s="373"/>
      <x:c r="Q429" s="373"/>
      <x:c r="R429" s="373"/>
      <x:c r="S429" s="373"/>
      <x:c r="T429" s="373"/>
      <x:c r="U429" s="373"/>
      <x:c r="V429" s="373"/>
      <x:c r="W429" s="373"/>
      <x:c r="X429" s="373"/>
      <x:c r="Y429" s="373"/>
      <x:c r="Z429" s="373"/>
    </x:row>
    <x:row r="430">
      <x:c r="A430" s="373"/>
      <x:c r="B430" s="373"/>
      <x:c r="C430" s="373"/>
      <x:c r="D430" s="373"/>
      <x:c r="E430" s="373"/>
      <x:c r="F430" s="373"/>
      <x:c r="G430" s="373"/>
      <x:c r="H430" s="373"/>
      <x:c r="I430" s="373"/>
      <x:c r="J430" s="373"/>
      <x:c r="K430" s="373"/>
      <x:c r="L430" s="373"/>
      <x:c r="M430" s="373"/>
      <x:c r="N430" s="373"/>
      <x:c r="O430" s="373"/>
      <x:c r="P430" s="373"/>
      <x:c r="Q430" s="373"/>
      <x:c r="R430" s="373"/>
      <x:c r="S430" s="373"/>
      <x:c r="T430" s="373"/>
      <x:c r="U430" s="373"/>
      <x:c r="V430" s="373"/>
      <x:c r="W430" s="373"/>
      <x:c r="X430" s="373"/>
      <x:c r="Y430" s="373"/>
      <x:c r="Z430" s="373"/>
    </x:row>
    <x:row r="431">
      <x:c r="A431" s="373"/>
      <x:c r="B431" s="373"/>
      <x:c r="C431" s="373"/>
      <x:c r="D431" s="373"/>
      <x:c r="E431" s="373"/>
      <x:c r="F431" s="373"/>
      <x:c r="G431" s="373"/>
      <x:c r="H431" s="373"/>
      <x:c r="I431" s="373"/>
      <x:c r="J431" s="373"/>
      <x:c r="K431" s="373"/>
      <x:c r="L431" s="373"/>
      <x:c r="M431" s="373"/>
      <x:c r="N431" s="373"/>
      <x:c r="O431" s="373"/>
      <x:c r="P431" s="373"/>
      <x:c r="Q431" s="373"/>
      <x:c r="R431" s="373"/>
      <x:c r="S431" s="373"/>
      <x:c r="T431" s="373"/>
      <x:c r="U431" s="373"/>
      <x:c r="V431" s="373"/>
      <x:c r="W431" s="373"/>
      <x:c r="X431" s="373"/>
      <x:c r="Y431" s="373"/>
      <x:c r="Z431" s="373"/>
    </x:row>
    <x:row r="432">
      <x:c r="A432" s="373"/>
      <x:c r="B432" s="373"/>
      <x:c r="C432" s="373"/>
      <x:c r="D432" s="373"/>
      <x:c r="E432" s="373"/>
      <x:c r="F432" s="373"/>
      <x:c r="G432" s="373"/>
      <x:c r="H432" s="373"/>
      <x:c r="I432" s="373"/>
      <x:c r="J432" s="373"/>
      <x:c r="K432" s="373"/>
      <x:c r="L432" s="373"/>
      <x:c r="M432" s="373"/>
      <x:c r="N432" s="373"/>
      <x:c r="O432" s="373"/>
      <x:c r="P432" s="373"/>
      <x:c r="Q432" s="373"/>
      <x:c r="R432" s="373"/>
      <x:c r="S432" s="373"/>
      <x:c r="T432" s="373"/>
      <x:c r="U432" s="373"/>
      <x:c r="V432" s="373"/>
      <x:c r="W432" s="373"/>
      <x:c r="X432" s="373"/>
      <x:c r="Y432" s="373"/>
      <x:c r="Z432" s="373"/>
    </x:row>
    <x:row r="433">
      <x:c r="A433" s="373"/>
      <x:c r="B433" s="373"/>
      <x:c r="C433" s="373"/>
      <x:c r="D433" s="373"/>
      <x:c r="E433" s="373"/>
      <x:c r="F433" s="373"/>
      <x:c r="G433" s="373"/>
      <x:c r="H433" s="373"/>
      <x:c r="I433" s="373"/>
      <x:c r="J433" s="373"/>
      <x:c r="K433" s="373"/>
      <x:c r="L433" s="373"/>
      <x:c r="M433" s="373"/>
      <x:c r="N433" s="373"/>
      <x:c r="O433" s="373"/>
      <x:c r="P433" s="373"/>
      <x:c r="Q433" s="373"/>
      <x:c r="R433" s="373"/>
      <x:c r="S433" s="373"/>
      <x:c r="T433" s="373"/>
      <x:c r="U433" s="373"/>
      <x:c r="V433" s="373"/>
      <x:c r="W433" s="373"/>
      <x:c r="X433" s="373"/>
      <x:c r="Y433" s="373"/>
      <x:c r="Z433" s="373"/>
    </x:row>
    <x:row r="434">
      <x:c r="A434" s="373"/>
      <x:c r="B434" s="373"/>
      <x:c r="C434" s="373"/>
      <x:c r="D434" s="373"/>
      <x:c r="E434" s="373"/>
      <x:c r="F434" s="373"/>
      <x:c r="G434" s="373"/>
      <x:c r="H434" s="373"/>
      <x:c r="I434" s="373"/>
      <x:c r="J434" s="373"/>
      <x:c r="K434" s="373"/>
      <x:c r="L434" s="373"/>
      <x:c r="M434" s="373"/>
      <x:c r="N434" s="373"/>
      <x:c r="O434" s="373"/>
      <x:c r="P434" s="373"/>
      <x:c r="Q434" s="373"/>
      <x:c r="R434" s="373"/>
      <x:c r="S434" s="373"/>
      <x:c r="T434" s="373"/>
      <x:c r="U434" s="373"/>
      <x:c r="V434" s="373"/>
      <x:c r="W434" s="373"/>
      <x:c r="X434" s="373"/>
      <x:c r="Y434" s="373"/>
      <x:c r="Z434" s="373"/>
    </x:row>
    <x:row r="435">
      <x:c r="A435" s="373"/>
      <x:c r="B435" s="373"/>
      <x:c r="C435" s="373"/>
      <x:c r="D435" s="373"/>
      <x:c r="E435" s="373"/>
      <x:c r="F435" s="373"/>
      <x:c r="G435" s="373"/>
      <x:c r="H435" s="373"/>
      <x:c r="I435" s="373"/>
      <x:c r="J435" s="373"/>
      <x:c r="K435" s="373"/>
      <x:c r="L435" s="373"/>
      <x:c r="M435" s="373"/>
      <x:c r="N435" s="373"/>
      <x:c r="O435" s="373"/>
      <x:c r="P435" s="373"/>
      <x:c r="Q435" s="373"/>
      <x:c r="R435" s="373"/>
      <x:c r="S435" s="373"/>
      <x:c r="T435" s="373"/>
      <x:c r="U435" s="373"/>
      <x:c r="V435" s="373"/>
      <x:c r="W435" s="373"/>
      <x:c r="X435" s="373"/>
      <x:c r="Y435" s="373"/>
      <x:c r="Z435" s="373"/>
    </x:row>
    <x:row r="436">
      <x:c r="A436" s="373"/>
      <x:c r="B436" s="373"/>
      <x:c r="C436" s="373"/>
      <x:c r="D436" s="373"/>
      <x:c r="E436" s="373"/>
      <x:c r="F436" s="373"/>
      <x:c r="G436" s="373"/>
      <x:c r="H436" s="373"/>
      <x:c r="I436" s="373"/>
      <x:c r="J436" s="373"/>
      <x:c r="K436" s="373"/>
      <x:c r="L436" s="373"/>
      <x:c r="M436" s="373"/>
      <x:c r="N436" s="373"/>
      <x:c r="O436" s="373"/>
      <x:c r="P436" s="373"/>
      <x:c r="Q436" s="373"/>
      <x:c r="R436" s="373"/>
      <x:c r="S436" s="373"/>
      <x:c r="T436" s="373"/>
      <x:c r="U436" s="373"/>
      <x:c r="V436" s="373"/>
      <x:c r="W436" s="373"/>
      <x:c r="X436" s="373"/>
      <x:c r="Y436" s="373"/>
      <x:c r="Z436" s="373"/>
    </x:row>
    <x:row r="437">
      <x:c r="A437" s="373"/>
      <x:c r="B437" s="373"/>
      <x:c r="C437" s="373"/>
      <x:c r="D437" s="373"/>
      <x:c r="E437" s="373"/>
      <x:c r="F437" s="373"/>
      <x:c r="G437" s="373"/>
      <x:c r="H437" s="373"/>
      <x:c r="I437" s="373"/>
      <x:c r="J437" s="373"/>
      <x:c r="K437" s="373"/>
      <x:c r="L437" s="373"/>
      <x:c r="M437" s="373"/>
      <x:c r="N437" s="373"/>
      <x:c r="O437" s="373"/>
      <x:c r="P437" s="373"/>
      <x:c r="Q437" s="373"/>
      <x:c r="R437" s="373"/>
      <x:c r="S437" s="373"/>
      <x:c r="T437" s="373"/>
      <x:c r="U437" s="373"/>
      <x:c r="V437" s="373"/>
      <x:c r="W437" s="373"/>
      <x:c r="X437" s="373"/>
      <x:c r="Y437" s="373"/>
      <x:c r="Z437" s="373"/>
    </x:row>
    <x:row r="438">
      <x:c r="A438" s="373"/>
      <x:c r="B438" s="373"/>
      <x:c r="C438" s="373"/>
      <x:c r="D438" s="373"/>
      <x:c r="E438" s="373"/>
      <x:c r="F438" s="373"/>
      <x:c r="G438" s="373"/>
      <x:c r="H438" s="373"/>
      <x:c r="I438" s="373"/>
      <x:c r="J438" s="373"/>
      <x:c r="K438" s="373"/>
      <x:c r="L438" s="373"/>
      <x:c r="M438" s="373"/>
      <x:c r="N438" s="373"/>
      <x:c r="O438" s="373"/>
      <x:c r="P438" s="373"/>
      <x:c r="Q438" s="373"/>
      <x:c r="R438" s="373"/>
      <x:c r="S438" s="373"/>
      <x:c r="T438" s="373"/>
      <x:c r="U438" s="373"/>
      <x:c r="V438" s="373"/>
      <x:c r="W438" s="373"/>
      <x:c r="X438" s="373"/>
      <x:c r="Y438" s="373"/>
      <x:c r="Z438" s="373"/>
    </x:row>
    <x:row r="439">
      <x:c r="A439" s="373"/>
      <x:c r="B439" s="373"/>
      <x:c r="C439" s="373"/>
      <x:c r="D439" s="373"/>
      <x:c r="E439" s="373"/>
      <x:c r="F439" s="373"/>
      <x:c r="G439" s="373"/>
      <x:c r="H439" s="373"/>
      <x:c r="I439" s="373"/>
      <x:c r="J439" s="373"/>
      <x:c r="K439" s="373"/>
      <x:c r="L439" s="373"/>
      <x:c r="M439" s="373"/>
      <x:c r="N439" s="373"/>
      <x:c r="O439" s="373"/>
      <x:c r="P439" s="373"/>
      <x:c r="Q439" s="373"/>
      <x:c r="R439" s="373"/>
      <x:c r="S439" s="373"/>
      <x:c r="T439" s="373"/>
      <x:c r="U439" s="373"/>
      <x:c r="V439" s="373"/>
      <x:c r="W439" s="373"/>
      <x:c r="X439" s="373"/>
      <x:c r="Y439" s="373"/>
      <x:c r="Z439" s="373"/>
    </x:row>
    <x:row r="440">
      <x:c r="A440" s="373"/>
      <x:c r="B440" s="373"/>
      <x:c r="C440" s="373"/>
      <x:c r="D440" s="373"/>
      <x:c r="E440" s="373"/>
      <x:c r="F440" s="373"/>
      <x:c r="G440" s="373"/>
      <x:c r="H440" s="373"/>
      <x:c r="I440" s="373"/>
      <x:c r="J440" s="373"/>
      <x:c r="K440" s="373"/>
      <x:c r="L440" s="373"/>
      <x:c r="M440" s="373"/>
      <x:c r="N440" s="373"/>
      <x:c r="O440" s="373"/>
      <x:c r="P440" s="373"/>
      <x:c r="Q440" s="373"/>
      <x:c r="R440" s="373"/>
      <x:c r="S440" s="373"/>
      <x:c r="T440" s="373"/>
      <x:c r="U440" s="373"/>
      <x:c r="V440" s="373"/>
      <x:c r="W440" s="373"/>
      <x:c r="X440" s="373"/>
      <x:c r="Y440" s="373"/>
      <x:c r="Z440" s="373"/>
    </x:row>
    <x:row r="441">
      <x:c r="A441" s="373"/>
      <x:c r="B441" s="373"/>
      <x:c r="C441" s="373"/>
      <x:c r="D441" s="373"/>
      <x:c r="E441" s="373"/>
      <x:c r="F441" s="373"/>
      <x:c r="G441" s="373"/>
      <x:c r="H441" s="373"/>
      <x:c r="I441" s="373"/>
      <x:c r="J441" s="373"/>
      <x:c r="K441" s="373"/>
      <x:c r="L441" s="373"/>
      <x:c r="M441" s="373"/>
      <x:c r="N441" s="373"/>
      <x:c r="O441" s="373"/>
      <x:c r="P441" s="373"/>
      <x:c r="Q441" s="373"/>
      <x:c r="R441" s="373"/>
      <x:c r="S441" s="373"/>
      <x:c r="T441" s="373"/>
      <x:c r="U441" s="373"/>
      <x:c r="V441" s="373"/>
      <x:c r="W441" s="373"/>
      <x:c r="X441" s="373"/>
      <x:c r="Y441" s="373"/>
      <x:c r="Z441" s="373"/>
    </x:row>
    <x:row r="442">
      <x:c r="A442" s="373"/>
      <x:c r="B442" s="373"/>
      <x:c r="C442" s="373"/>
      <x:c r="D442" s="373"/>
      <x:c r="E442" s="373"/>
      <x:c r="F442" s="373"/>
      <x:c r="G442" s="373"/>
      <x:c r="H442" s="373"/>
      <x:c r="I442" s="373"/>
      <x:c r="J442" s="373"/>
      <x:c r="K442" s="373"/>
      <x:c r="L442" s="373"/>
      <x:c r="M442" s="373"/>
      <x:c r="N442" s="373"/>
      <x:c r="O442" s="373"/>
      <x:c r="P442" s="373"/>
      <x:c r="Q442" s="373"/>
      <x:c r="R442" s="373"/>
      <x:c r="S442" s="373"/>
      <x:c r="T442" s="373"/>
      <x:c r="U442" s="373"/>
      <x:c r="V442" s="373"/>
      <x:c r="W442" s="373"/>
      <x:c r="X442" s="373"/>
      <x:c r="Y442" s="373"/>
      <x:c r="Z442" s="373"/>
    </x:row>
    <x:row r="443">
      <x:c r="A443" s="373"/>
      <x:c r="B443" s="373"/>
      <x:c r="C443" s="373"/>
      <x:c r="D443" s="373"/>
      <x:c r="E443" s="373"/>
      <x:c r="F443" s="373"/>
      <x:c r="G443" s="373"/>
      <x:c r="H443" s="373"/>
      <x:c r="I443" s="373"/>
      <x:c r="J443" s="373"/>
      <x:c r="K443" s="373"/>
      <x:c r="L443" s="373"/>
      <x:c r="M443" s="373"/>
      <x:c r="N443" s="373"/>
      <x:c r="O443" s="373"/>
      <x:c r="P443" s="373"/>
      <x:c r="Q443" s="373"/>
      <x:c r="R443" s="373"/>
      <x:c r="S443" s="373"/>
      <x:c r="T443" s="373"/>
      <x:c r="U443" s="373"/>
      <x:c r="V443" s="373"/>
      <x:c r="W443" s="373"/>
      <x:c r="X443" s="373"/>
      <x:c r="Y443" s="373"/>
      <x:c r="Z443" s="373"/>
    </x:row>
    <x:row r="444">
      <x:c r="A444" s="373"/>
      <x:c r="B444" s="373"/>
      <x:c r="C444" s="373"/>
      <x:c r="D444" s="373"/>
      <x:c r="E444" s="373"/>
      <x:c r="F444" s="373"/>
      <x:c r="G444" s="373"/>
      <x:c r="H444" s="373"/>
      <x:c r="I444" s="373"/>
      <x:c r="J444" s="373"/>
      <x:c r="K444" s="373"/>
      <x:c r="L444" s="373"/>
      <x:c r="M444" s="373"/>
      <x:c r="N444" s="373"/>
      <x:c r="O444" s="373"/>
      <x:c r="P444" s="373"/>
      <x:c r="Q444" s="373"/>
      <x:c r="R444" s="373"/>
      <x:c r="S444" s="373"/>
      <x:c r="T444" s="373"/>
      <x:c r="U444" s="373"/>
      <x:c r="V444" s="373"/>
      <x:c r="W444" s="373"/>
      <x:c r="X444" s="373"/>
      <x:c r="Y444" s="373"/>
      <x:c r="Z444" s="373"/>
    </x:row>
    <x:row r="445">
      <x:c r="A445" s="373"/>
      <x:c r="B445" s="373"/>
      <x:c r="C445" s="373"/>
      <x:c r="D445" s="373"/>
      <x:c r="E445" s="373"/>
      <x:c r="F445" s="373"/>
      <x:c r="G445" s="373"/>
      <x:c r="H445" s="373"/>
      <x:c r="I445" s="373"/>
      <x:c r="J445" s="373"/>
      <x:c r="K445" s="373"/>
      <x:c r="L445" s="373"/>
      <x:c r="M445" s="373"/>
      <x:c r="N445" s="373"/>
      <x:c r="O445" s="373"/>
      <x:c r="P445" s="373"/>
      <x:c r="Q445" s="373"/>
      <x:c r="R445" s="373"/>
      <x:c r="S445" s="373"/>
      <x:c r="T445" s="373"/>
      <x:c r="U445" s="373"/>
      <x:c r="V445" s="373"/>
      <x:c r="W445" s="373"/>
      <x:c r="X445" s="373"/>
      <x:c r="Y445" s="373"/>
      <x:c r="Z445" s="373"/>
    </x:row>
    <x:row r="446">
      <x:c r="A446" s="373"/>
      <x:c r="B446" s="373"/>
      <x:c r="C446" s="373"/>
      <x:c r="D446" s="373"/>
      <x:c r="E446" s="373"/>
      <x:c r="F446" s="373"/>
      <x:c r="G446" s="373"/>
      <x:c r="H446" s="373"/>
      <x:c r="I446" s="373"/>
      <x:c r="J446" s="373"/>
      <x:c r="K446" s="373"/>
      <x:c r="L446" s="373"/>
      <x:c r="M446" s="373"/>
      <x:c r="N446" s="373"/>
      <x:c r="O446" s="373"/>
      <x:c r="P446" s="373"/>
      <x:c r="Q446" s="373"/>
      <x:c r="R446" s="373"/>
      <x:c r="S446" s="373"/>
      <x:c r="T446" s="373"/>
      <x:c r="U446" s="373"/>
      <x:c r="V446" s="373"/>
      <x:c r="W446" s="373"/>
      <x:c r="X446" s="373"/>
      <x:c r="Y446" s="373"/>
      <x:c r="Z446" s="373"/>
    </x:row>
    <x:row r="447">
      <x:c r="A447" s="373"/>
      <x:c r="B447" s="373"/>
      <x:c r="C447" s="373"/>
      <x:c r="D447" s="373"/>
      <x:c r="E447" s="373"/>
      <x:c r="F447" s="373"/>
      <x:c r="G447" s="373"/>
      <x:c r="H447" s="373"/>
      <x:c r="I447" s="373"/>
      <x:c r="J447" s="373"/>
      <x:c r="K447" s="373"/>
      <x:c r="L447" s="373"/>
      <x:c r="M447" s="373"/>
      <x:c r="N447" s="373"/>
      <x:c r="O447" s="373"/>
      <x:c r="P447" s="373"/>
      <x:c r="Q447" s="373"/>
      <x:c r="R447" s="373"/>
      <x:c r="S447" s="373"/>
      <x:c r="T447" s="373"/>
      <x:c r="U447" s="373"/>
      <x:c r="V447" s="373"/>
      <x:c r="W447" s="373"/>
      <x:c r="X447" s="373"/>
      <x:c r="Y447" s="373"/>
      <x:c r="Z447" s="373"/>
    </x:row>
    <x:row r="448">
      <x:c r="A448" s="373"/>
      <x:c r="B448" s="373"/>
      <x:c r="C448" s="373"/>
      <x:c r="D448" s="373"/>
      <x:c r="E448" s="373"/>
      <x:c r="F448" s="373"/>
      <x:c r="G448" s="373"/>
      <x:c r="H448" s="373"/>
      <x:c r="I448" s="373"/>
      <x:c r="J448" s="373"/>
      <x:c r="K448" s="373"/>
      <x:c r="L448" s="373"/>
      <x:c r="M448" s="373"/>
      <x:c r="N448" s="373"/>
      <x:c r="O448" s="373"/>
      <x:c r="P448" s="373"/>
      <x:c r="Q448" s="373"/>
      <x:c r="R448" s="373"/>
      <x:c r="S448" s="373"/>
      <x:c r="T448" s="373"/>
      <x:c r="U448" s="373"/>
      <x:c r="V448" s="373"/>
      <x:c r="W448" s="373"/>
      <x:c r="X448" s="373"/>
      <x:c r="Y448" s="373"/>
      <x:c r="Z448" s="373"/>
    </x:row>
    <x:row r="449">
      <x:c r="A449" s="373"/>
      <x:c r="B449" s="373"/>
      <x:c r="C449" s="373"/>
      <x:c r="D449" s="373"/>
      <x:c r="E449" s="373"/>
      <x:c r="F449" s="373"/>
      <x:c r="G449" s="373"/>
      <x:c r="H449" s="373"/>
      <x:c r="I449" s="373"/>
      <x:c r="J449" s="373"/>
      <x:c r="K449" s="373"/>
      <x:c r="L449" s="373"/>
      <x:c r="M449" s="373"/>
      <x:c r="N449" s="373"/>
      <x:c r="O449" s="373"/>
      <x:c r="P449" s="373"/>
      <x:c r="Q449" s="373"/>
      <x:c r="R449" s="373"/>
      <x:c r="S449" s="373"/>
      <x:c r="T449" s="373"/>
      <x:c r="U449" s="373"/>
      <x:c r="V449" s="373"/>
      <x:c r="W449" s="373"/>
      <x:c r="X449" s="373"/>
      <x:c r="Y449" s="373"/>
      <x:c r="Z449" s="373"/>
    </x:row>
    <x:row r="450">
      <x:c r="A450" s="373"/>
      <x:c r="B450" s="373"/>
      <x:c r="C450" s="373"/>
      <x:c r="D450" s="373"/>
      <x:c r="E450" s="373"/>
      <x:c r="F450" s="373"/>
      <x:c r="G450" s="373"/>
      <x:c r="H450" s="373"/>
      <x:c r="I450" s="373"/>
      <x:c r="J450" s="373"/>
      <x:c r="K450" s="373"/>
      <x:c r="L450" s="373"/>
      <x:c r="M450" s="373"/>
      <x:c r="N450" s="373"/>
      <x:c r="O450" s="373"/>
      <x:c r="P450" s="373"/>
      <x:c r="Q450" s="373"/>
      <x:c r="R450" s="373"/>
      <x:c r="S450" s="373"/>
      <x:c r="T450" s="373"/>
      <x:c r="U450" s="373"/>
      <x:c r="V450" s="373"/>
      <x:c r="W450" s="373"/>
      <x:c r="X450" s="373"/>
      <x:c r="Y450" s="373"/>
      <x:c r="Z450" s="373"/>
    </x:row>
    <x:row r="451">
      <x:c r="A451" s="373"/>
      <x:c r="B451" s="373"/>
      <x:c r="C451" s="373"/>
      <x:c r="D451" s="373"/>
      <x:c r="E451" s="373"/>
      <x:c r="F451" s="373"/>
      <x:c r="G451" s="373"/>
      <x:c r="H451" s="373"/>
      <x:c r="I451" s="373"/>
      <x:c r="J451" s="373"/>
      <x:c r="K451" s="373"/>
      <x:c r="L451" s="373"/>
      <x:c r="M451" s="373"/>
      <x:c r="N451" s="373"/>
      <x:c r="O451" s="373"/>
      <x:c r="P451" s="373"/>
      <x:c r="Q451" s="373"/>
      <x:c r="R451" s="373"/>
      <x:c r="S451" s="373"/>
      <x:c r="T451" s="373"/>
      <x:c r="U451" s="373"/>
      <x:c r="V451" s="373"/>
      <x:c r="W451" s="373"/>
      <x:c r="X451" s="373"/>
      <x:c r="Y451" s="373"/>
      <x:c r="Z451" s="373"/>
    </x:row>
    <x:row r="452">
      <x:c r="A452" s="373"/>
      <x:c r="B452" s="373"/>
      <x:c r="C452" s="373"/>
      <x:c r="D452" s="373"/>
      <x:c r="E452" s="373"/>
      <x:c r="F452" s="373"/>
      <x:c r="G452" s="373"/>
      <x:c r="H452" s="373"/>
      <x:c r="I452" s="373"/>
      <x:c r="J452" s="373"/>
      <x:c r="K452" s="373"/>
      <x:c r="L452" s="373"/>
      <x:c r="M452" s="373"/>
      <x:c r="N452" s="373"/>
      <x:c r="O452" s="373"/>
      <x:c r="P452" s="373"/>
      <x:c r="Q452" s="373"/>
      <x:c r="R452" s="373"/>
      <x:c r="S452" s="373"/>
      <x:c r="T452" s="373"/>
      <x:c r="U452" s="373"/>
      <x:c r="V452" s="373"/>
      <x:c r="W452" s="373"/>
      <x:c r="X452" s="373"/>
      <x:c r="Y452" s="373"/>
      <x:c r="Z452" s="373"/>
    </x:row>
    <x:row r="453">
      <x:c r="A453" s="373"/>
      <x:c r="B453" s="373"/>
      <x:c r="C453" s="373"/>
      <x:c r="D453" s="373"/>
      <x:c r="E453" s="373"/>
      <x:c r="F453" s="373"/>
      <x:c r="G453" s="373"/>
      <x:c r="H453" s="373"/>
      <x:c r="I453" s="373"/>
      <x:c r="J453" s="373"/>
      <x:c r="K453" s="373"/>
      <x:c r="L453" s="373"/>
      <x:c r="M453" s="373"/>
      <x:c r="N453" s="373"/>
      <x:c r="O453" s="373"/>
      <x:c r="P453" s="373"/>
      <x:c r="Q453" s="373"/>
      <x:c r="R453" s="373"/>
      <x:c r="S453" s="373"/>
      <x:c r="T453" s="373"/>
      <x:c r="U453" s="373"/>
      <x:c r="V453" s="373"/>
      <x:c r="W453" s="373"/>
      <x:c r="X453" s="373"/>
      <x:c r="Y453" s="373"/>
      <x:c r="Z453" s="373"/>
    </x:row>
    <x:row r="454">
      <x:c r="A454" s="373"/>
      <x:c r="B454" s="373"/>
      <x:c r="C454" s="373"/>
      <x:c r="D454" s="373"/>
      <x:c r="E454" s="373"/>
      <x:c r="F454" s="373"/>
      <x:c r="G454" s="373"/>
      <x:c r="H454" s="373"/>
      <x:c r="I454" s="373"/>
      <x:c r="J454" s="373"/>
      <x:c r="K454" s="373"/>
      <x:c r="L454" s="373"/>
      <x:c r="M454" s="373"/>
      <x:c r="N454" s="373"/>
      <x:c r="O454" s="373"/>
      <x:c r="P454" s="373"/>
      <x:c r="Q454" s="373"/>
      <x:c r="R454" s="373"/>
      <x:c r="S454" s="373"/>
      <x:c r="T454" s="373"/>
      <x:c r="U454" s="373"/>
      <x:c r="V454" s="373"/>
      <x:c r="W454" s="373"/>
      <x:c r="X454" s="373"/>
      <x:c r="Y454" s="373"/>
      <x:c r="Z454" s="373"/>
    </x:row>
    <x:row r="455">
      <x:c r="A455" s="373"/>
      <x:c r="B455" s="373"/>
      <x:c r="C455" s="373"/>
      <x:c r="D455" s="373"/>
      <x:c r="E455" s="373"/>
      <x:c r="F455" s="373"/>
      <x:c r="G455" s="373"/>
      <x:c r="H455" s="373"/>
      <x:c r="I455" s="373"/>
      <x:c r="J455" s="373"/>
      <x:c r="K455" s="373"/>
      <x:c r="L455" s="373"/>
      <x:c r="M455" s="373"/>
      <x:c r="N455" s="373"/>
      <x:c r="O455" s="373"/>
      <x:c r="P455" s="373"/>
      <x:c r="Q455" s="373"/>
      <x:c r="R455" s="373"/>
      <x:c r="S455" s="373"/>
      <x:c r="T455" s="373"/>
      <x:c r="U455" s="373"/>
      <x:c r="V455" s="373"/>
      <x:c r="W455" s="373"/>
      <x:c r="X455" s="373"/>
      <x:c r="Y455" s="373"/>
      <x:c r="Z455" s="373"/>
    </x:row>
    <x:row r="456">
      <x:c r="A456" s="373"/>
      <x:c r="B456" s="373"/>
      <x:c r="C456" s="373"/>
      <x:c r="D456" s="373"/>
      <x:c r="E456" s="373"/>
      <x:c r="F456" s="373"/>
      <x:c r="G456" s="373"/>
      <x:c r="H456" s="373"/>
      <x:c r="I456" s="373"/>
      <x:c r="J456" s="373"/>
      <x:c r="K456" s="373"/>
      <x:c r="L456" s="373"/>
      <x:c r="M456" s="373"/>
      <x:c r="N456" s="373"/>
      <x:c r="O456" s="373"/>
      <x:c r="P456" s="373"/>
      <x:c r="Q456" s="373"/>
      <x:c r="R456" s="373"/>
      <x:c r="S456" s="373"/>
      <x:c r="T456" s="373"/>
      <x:c r="U456" s="373"/>
      <x:c r="V456" s="373"/>
      <x:c r="W456" s="373"/>
      <x:c r="X456" s="373"/>
      <x:c r="Y456" s="373"/>
      <x:c r="Z456" s="373"/>
    </x:row>
    <x:row r="457">
      <x:c r="A457" s="373"/>
      <x:c r="B457" s="373"/>
      <x:c r="C457" s="373"/>
      <x:c r="D457" s="373"/>
      <x:c r="E457" s="373"/>
      <x:c r="F457" s="373"/>
      <x:c r="G457" s="373"/>
      <x:c r="H457" s="373"/>
      <x:c r="I457" s="373"/>
      <x:c r="J457" s="373"/>
      <x:c r="K457" s="373"/>
      <x:c r="L457" s="373"/>
      <x:c r="M457" s="373"/>
      <x:c r="N457" s="373"/>
      <x:c r="O457" s="373"/>
      <x:c r="P457" s="373"/>
      <x:c r="Q457" s="373"/>
      <x:c r="R457" s="373"/>
      <x:c r="S457" s="373"/>
      <x:c r="T457" s="373"/>
      <x:c r="U457" s="373"/>
      <x:c r="V457" s="373"/>
      <x:c r="W457" s="373"/>
      <x:c r="X457" s="373"/>
      <x:c r="Y457" s="373"/>
      <x:c r="Z457" s="373"/>
    </x:row>
    <x:row r="458">
      <x:c r="A458" s="373"/>
      <x:c r="B458" s="373"/>
      <x:c r="C458" s="373"/>
      <x:c r="D458" s="373"/>
      <x:c r="E458" s="373"/>
      <x:c r="F458" s="373"/>
      <x:c r="G458" s="373"/>
      <x:c r="H458" s="373"/>
      <x:c r="I458" s="373"/>
      <x:c r="J458" s="373"/>
      <x:c r="K458" s="373"/>
      <x:c r="L458" s="373"/>
      <x:c r="M458" s="373"/>
      <x:c r="N458" s="373"/>
      <x:c r="O458" s="373"/>
      <x:c r="P458" s="373"/>
      <x:c r="Q458" s="373"/>
      <x:c r="R458" s="373"/>
      <x:c r="S458" s="373"/>
      <x:c r="T458" s="373"/>
      <x:c r="U458" s="373"/>
      <x:c r="V458" s="373"/>
      <x:c r="W458" s="373"/>
      <x:c r="X458" s="373"/>
      <x:c r="Y458" s="373"/>
      <x:c r="Z458" s="373"/>
    </x:row>
    <x:row r="459">
      <x:c r="A459" s="373"/>
      <x:c r="B459" s="373"/>
      <x:c r="C459" s="373"/>
      <x:c r="D459" s="373"/>
      <x:c r="E459" s="373"/>
      <x:c r="F459" s="373"/>
      <x:c r="G459" s="373"/>
      <x:c r="H459" s="373"/>
      <x:c r="I459" s="373"/>
      <x:c r="J459" s="373"/>
      <x:c r="K459" s="373"/>
      <x:c r="L459" s="373"/>
      <x:c r="M459" s="373"/>
      <x:c r="N459" s="373"/>
      <x:c r="O459" s="373"/>
      <x:c r="P459" s="373"/>
      <x:c r="Q459" s="373"/>
      <x:c r="R459" s="373"/>
      <x:c r="S459" s="373"/>
      <x:c r="T459" s="373"/>
      <x:c r="U459" s="373"/>
      <x:c r="V459" s="373"/>
      <x:c r="W459" s="373"/>
      <x:c r="X459" s="373"/>
      <x:c r="Y459" s="373"/>
      <x:c r="Z459" s="373"/>
    </x:row>
    <x:row r="460">
      <x:c r="A460" s="373"/>
      <x:c r="B460" s="373"/>
      <x:c r="C460" s="373"/>
      <x:c r="D460" s="373"/>
      <x:c r="E460" s="373"/>
      <x:c r="F460" s="373"/>
      <x:c r="G460" s="373"/>
      <x:c r="H460" s="373"/>
      <x:c r="I460" s="373"/>
      <x:c r="J460" s="373"/>
      <x:c r="K460" s="373"/>
      <x:c r="L460" s="373"/>
      <x:c r="M460" s="373"/>
      <x:c r="N460" s="373"/>
      <x:c r="O460" s="373"/>
      <x:c r="P460" s="373"/>
      <x:c r="Q460" s="373"/>
      <x:c r="R460" s="373"/>
      <x:c r="S460" s="373"/>
      <x:c r="T460" s="373"/>
      <x:c r="U460" s="373"/>
      <x:c r="V460" s="373"/>
      <x:c r="W460" s="373"/>
      <x:c r="X460" s="373"/>
      <x:c r="Y460" s="373"/>
      <x:c r="Z460" s="373"/>
    </x:row>
    <x:row r="461">
      <x:c r="A461" s="373"/>
      <x:c r="B461" s="373"/>
      <x:c r="C461" s="373"/>
      <x:c r="D461" s="373"/>
      <x:c r="E461" s="373"/>
      <x:c r="F461" s="373"/>
      <x:c r="G461" s="373"/>
      <x:c r="H461" s="373"/>
      <x:c r="I461" s="373"/>
      <x:c r="J461" s="373"/>
      <x:c r="K461" s="373"/>
      <x:c r="L461" s="373"/>
      <x:c r="M461" s="373"/>
      <x:c r="N461" s="373"/>
      <x:c r="O461" s="373"/>
      <x:c r="P461" s="373"/>
      <x:c r="Q461" s="373"/>
      <x:c r="R461" s="373"/>
      <x:c r="S461" s="373"/>
      <x:c r="T461" s="373"/>
      <x:c r="U461" s="373"/>
      <x:c r="V461" s="373"/>
      <x:c r="W461" s="373"/>
      <x:c r="X461" s="373"/>
      <x:c r="Y461" s="373"/>
      <x:c r="Z461" s="373"/>
    </x:row>
    <x:row r="462">
      <x:c r="A462" s="373"/>
      <x:c r="B462" s="373"/>
      <x:c r="C462" s="373"/>
      <x:c r="D462" s="373"/>
      <x:c r="E462" s="373"/>
      <x:c r="F462" s="373"/>
      <x:c r="G462" s="373"/>
      <x:c r="H462" s="373"/>
      <x:c r="I462" s="373"/>
      <x:c r="J462" s="373"/>
      <x:c r="K462" s="373"/>
      <x:c r="L462" s="373"/>
      <x:c r="M462" s="373"/>
      <x:c r="N462" s="373"/>
      <x:c r="O462" s="373"/>
      <x:c r="P462" s="373"/>
      <x:c r="Q462" s="373"/>
      <x:c r="R462" s="373"/>
      <x:c r="S462" s="373"/>
      <x:c r="T462" s="373"/>
      <x:c r="U462" s="373"/>
      <x:c r="V462" s="373"/>
      <x:c r="W462" s="373"/>
      <x:c r="X462" s="373"/>
      <x:c r="Y462" s="373"/>
      <x:c r="Z462" s="373"/>
    </x:row>
    <x:row r="463">
      <x:c r="A463" s="373"/>
      <x:c r="B463" s="373"/>
      <x:c r="C463" s="373"/>
      <x:c r="D463" s="373"/>
      <x:c r="E463" s="373"/>
      <x:c r="F463" s="373"/>
      <x:c r="G463" s="373"/>
      <x:c r="H463" s="373"/>
      <x:c r="I463" s="373"/>
      <x:c r="J463" s="373"/>
      <x:c r="K463" s="373"/>
      <x:c r="L463" s="373"/>
      <x:c r="M463" s="373"/>
      <x:c r="N463" s="373"/>
      <x:c r="O463" s="373"/>
      <x:c r="P463" s="373"/>
      <x:c r="Q463" s="373"/>
      <x:c r="R463" s="373"/>
      <x:c r="S463" s="373"/>
      <x:c r="T463" s="373"/>
      <x:c r="U463" s="373"/>
      <x:c r="V463" s="373"/>
      <x:c r="W463" s="373"/>
      <x:c r="X463" s="373"/>
      <x:c r="Y463" s="373"/>
      <x:c r="Z463" s="373"/>
    </x:row>
    <x:row r="464">
      <x:c r="A464" s="373"/>
      <x:c r="B464" s="373"/>
      <x:c r="C464" s="373"/>
      <x:c r="D464" s="373"/>
      <x:c r="E464" s="373"/>
      <x:c r="F464" s="373"/>
      <x:c r="G464" s="373"/>
      <x:c r="H464" s="373"/>
      <x:c r="I464" s="373"/>
      <x:c r="J464" s="373"/>
      <x:c r="K464" s="373"/>
      <x:c r="L464" s="373"/>
      <x:c r="M464" s="373"/>
      <x:c r="N464" s="373"/>
      <x:c r="O464" s="373"/>
      <x:c r="P464" s="373"/>
      <x:c r="Q464" s="373"/>
      <x:c r="R464" s="373"/>
      <x:c r="S464" s="373"/>
      <x:c r="T464" s="373"/>
      <x:c r="U464" s="373"/>
      <x:c r="V464" s="373"/>
      <x:c r="W464" s="373"/>
      <x:c r="X464" s="373"/>
      <x:c r="Y464" s="373"/>
      <x:c r="Z464" s="373"/>
    </x:row>
    <x:row r="465">
      <x:c r="A465" s="373"/>
      <x:c r="B465" s="373"/>
      <x:c r="C465" s="373"/>
      <x:c r="D465" s="373"/>
      <x:c r="E465" s="373"/>
      <x:c r="F465" s="373"/>
      <x:c r="G465" s="373"/>
      <x:c r="H465" s="373"/>
      <x:c r="I465" s="373"/>
      <x:c r="J465" s="373"/>
      <x:c r="K465" s="373"/>
      <x:c r="L465" s="373"/>
      <x:c r="M465" s="373"/>
      <x:c r="N465" s="373"/>
      <x:c r="O465" s="373"/>
      <x:c r="P465" s="373"/>
      <x:c r="Q465" s="373"/>
      <x:c r="R465" s="373"/>
      <x:c r="S465" s="373"/>
      <x:c r="T465" s="373"/>
      <x:c r="U465" s="373"/>
      <x:c r="V465" s="373"/>
      <x:c r="W465" s="373"/>
      <x:c r="X465" s="373"/>
      <x:c r="Y465" s="373"/>
      <x:c r="Z465" s="373"/>
    </x:row>
    <x:row r="466">
      <x:c r="A466" s="373"/>
      <x:c r="B466" s="373"/>
      <x:c r="C466" s="373"/>
      <x:c r="D466" s="373"/>
      <x:c r="E466" s="373"/>
      <x:c r="F466" s="373"/>
      <x:c r="G466" s="373"/>
      <x:c r="H466" s="373"/>
      <x:c r="I466" s="373"/>
      <x:c r="J466" s="373"/>
      <x:c r="K466" s="373"/>
      <x:c r="L466" s="373"/>
      <x:c r="M466" s="373"/>
      <x:c r="N466" s="373"/>
      <x:c r="O466" s="373"/>
      <x:c r="P466" s="373"/>
      <x:c r="Q466" s="373"/>
      <x:c r="R466" s="373"/>
      <x:c r="S466" s="373"/>
      <x:c r="T466" s="373"/>
      <x:c r="U466" s="373"/>
      <x:c r="V466" s="373"/>
      <x:c r="W466" s="373"/>
      <x:c r="X466" s="373"/>
      <x:c r="Y466" s="373"/>
      <x:c r="Z466" s="373"/>
    </x:row>
    <x:row r="467">
      <x:c r="A467" s="373"/>
      <x:c r="B467" s="373"/>
      <x:c r="C467" s="373"/>
      <x:c r="D467" s="373"/>
      <x:c r="E467" s="373"/>
      <x:c r="F467" s="373"/>
      <x:c r="G467" s="373"/>
      <x:c r="H467" s="373"/>
      <x:c r="I467" s="373"/>
      <x:c r="J467" s="373"/>
      <x:c r="K467" s="373"/>
      <x:c r="L467" s="373"/>
      <x:c r="M467" s="373"/>
      <x:c r="N467" s="373"/>
      <x:c r="O467" s="373"/>
      <x:c r="P467" s="373"/>
      <x:c r="Q467" s="373"/>
      <x:c r="R467" s="373"/>
      <x:c r="S467" s="373"/>
      <x:c r="T467" s="373"/>
      <x:c r="U467" s="373"/>
      <x:c r="V467" s="373"/>
      <x:c r="W467" s="373"/>
      <x:c r="X467" s="373"/>
      <x:c r="Y467" s="373"/>
      <x:c r="Z467" s="373"/>
    </x:row>
    <x:row r="468">
      <x:c r="A468" s="373"/>
      <x:c r="B468" s="373"/>
      <x:c r="C468" s="373"/>
      <x:c r="D468" s="373"/>
      <x:c r="E468" s="373"/>
      <x:c r="F468" s="373"/>
      <x:c r="G468" s="373"/>
      <x:c r="H468" s="373"/>
      <x:c r="I468" s="373"/>
      <x:c r="J468" s="373"/>
      <x:c r="K468" s="373"/>
      <x:c r="L468" s="373"/>
      <x:c r="M468" s="373"/>
      <x:c r="N468" s="373"/>
      <x:c r="O468" s="373"/>
      <x:c r="P468" s="373"/>
      <x:c r="Q468" s="373"/>
      <x:c r="R468" s="373"/>
      <x:c r="S468" s="373"/>
      <x:c r="T468" s="373"/>
      <x:c r="U468" s="373"/>
      <x:c r="V468" s="373"/>
      <x:c r="W468" s="373"/>
      <x:c r="X468" s="373"/>
      <x:c r="Y468" s="373"/>
      <x:c r="Z468" s="373"/>
    </x:row>
    <x:row r="469">
      <x:c r="A469" s="373"/>
      <x:c r="B469" s="373"/>
      <x:c r="C469" s="373"/>
      <x:c r="D469" s="373"/>
      <x:c r="E469" s="373"/>
      <x:c r="F469" s="373"/>
      <x:c r="G469" s="373"/>
      <x:c r="H469" s="373"/>
      <x:c r="I469" s="373"/>
      <x:c r="J469" s="373"/>
      <x:c r="K469" s="373"/>
      <x:c r="L469" s="373"/>
      <x:c r="M469" s="373"/>
      <x:c r="N469" s="373"/>
      <x:c r="O469" s="373"/>
      <x:c r="P469" s="373"/>
      <x:c r="Q469" s="373"/>
      <x:c r="R469" s="373"/>
      <x:c r="S469" s="373"/>
      <x:c r="T469" s="373"/>
      <x:c r="U469" s="373"/>
      <x:c r="V469" s="373"/>
      <x:c r="W469" s="373"/>
      <x:c r="X469" s="373"/>
      <x:c r="Y469" s="373"/>
      <x:c r="Z469" s="373"/>
    </x:row>
    <x:row r="470">
      <x:c r="A470" s="373"/>
      <x:c r="B470" s="373"/>
      <x:c r="C470" s="373"/>
      <x:c r="D470" s="373"/>
      <x:c r="E470" s="373"/>
      <x:c r="F470" s="373"/>
      <x:c r="G470" s="373"/>
      <x:c r="H470" s="373"/>
      <x:c r="I470" s="373"/>
      <x:c r="J470" s="373"/>
      <x:c r="K470" s="373"/>
      <x:c r="L470" s="373"/>
      <x:c r="M470" s="373"/>
      <x:c r="N470" s="373"/>
      <x:c r="O470" s="373"/>
      <x:c r="P470" s="373"/>
      <x:c r="Q470" s="373"/>
      <x:c r="R470" s="373"/>
      <x:c r="S470" s="373"/>
      <x:c r="T470" s="373"/>
      <x:c r="U470" s="373"/>
      <x:c r="V470" s="373"/>
      <x:c r="W470" s="373"/>
      <x:c r="X470" s="373"/>
      <x:c r="Y470" s="373"/>
      <x:c r="Z470" s="373"/>
    </x:row>
    <x:row r="471">
      <x:c r="A471" s="373"/>
      <x:c r="B471" s="373"/>
      <x:c r="C471" s="373"/>
      <x:c r="D471" s="373"/>
      <x:c r="E471" s="373"/>
      <x:c r="F471" s="373"/>
      <x:c r="G471" s="373"/>
      <x:c r="H471" s="373"/>
      <x:c r="I471" s="373"/>
      <x:c r="J471" s="373"/>
      <x:c r="K471" s="373"/>
      <x:c r="L471" s="373"/>
      <x:c r="M471" s="373"/>
      <x:c r="N471" s="373"/>
      <x:c r="O471" s="373"/>
      <x:c r="P471" s="373"/>
      <x:c r="Q471" s="373"/>
      <x:c r="R471" s="373"/>
      <x:c r="S471" s="373"/>
      <x:c r="T471" s="373"/>
      <x:c r="U471" s="373"/>
      <x:c r="V471" s="373"/>
      <x:c r="W471" s="373"/>
      <x:c r="X471" s="373"/>
      <x:c r="Y471" s="373"/>
      <x:c r="Z471" s="373"/>
    </x:row>
    <x:row r="472">
      <x:c r="A472" s="373"/>
      <x:c r="B472" s="373"/>
      <x:c r="C472" s="373"/>
      <x:c r="D472" s="373"/>
      <x:c r="E472" s="373"/>
      <x:c r="F472" s="373"/>
      <x:c r="G472" s="373"/>
      <x:c r="H472" s="373"/>
      <x:c r="I472" s="373"/>
      <x:c r="J472" s="373"/>
      <x:c r="K472" s="373"/>
      <x:c r="L472" s="373"/>
      <x:c r="M472" s="373"/>
      <x:c r="N472" s="373"/>
      <x:c r="O472" s="373"/>
      <x:c r="P472" s="373"/>
      <x:c r="Q472" s="373"/>
      <x:c r="R472" s="373"/>
      <x:c r="S472" s="373"/>
      <x:c r="T472" s="373"/>
      <x:c r="U472" s="373"/>
      <x:c r="V472" s="373"/>
      <x:c r="W472" s="373"/>
      <x:c r="X472" s="373"/>
      <x:c r="Y472" s="373"/>
      <x:c r="Z472" s="373"/>
    </x:row>
    <x:row r="473">
      <x:c r="A473" s="373"/>
      <x:c r="B473" s="373"/>
      <x:c r="C473" s="373"/>
      <x:c r="D473" s="373"/>
      <x:c r="E473" s="373"/>
      <x:c r="F473" s="373"/>
      <x:c r="G473" s="373"/>
      <x:c r="H473" s="373"/>
      <x:c r="I473" s="373"/>
      <x:c r="J473" s="373"/>
      <x:c r="K473" s="373"/>
      <x:c r="L473" s="373"/>
      <x:c r="M473" s="373"/>
      <x:c r="N473" s="373"/>
      <x:c r="O473" s="373"/>
      <x:c r="P473" s="373"/>
      <x:c r="Q473" s="373"/>
      <x:c r="R473" s="373"/>
      <x:c r="S473" s="373"/>
      <x:c r="T473" s="373"/>
      <x:c r="U473" s="373"/>
      <x:c r="V473" s="373"/>
      <x:c r="W473" s="373"/>
      <x:c r="X473" s="373"/>
      <x:c r="Y473" s="373"/>
      <x:c r="Z473" s="373"/>
    </x:row>
    <x:row r="474">
      <x:c r="A474" s="373"/>
      <x:c r="B474" s="373"/>
      <x:c r="C474" s="373"/>
      <x:c r="D474" s="373"/>
      <x:c r="E474" s="373"/>
      <x:c r="F474" s="373"/>
      <x:c r="G474" s="373"/>
      <x:c r="H474" s="373"/>
      <x:c r="I474" s="373"/>
      <x:c r="J474" s="373"/>
      <x:c r="K474" s="373"/>
      <x:c r="L474" s="373"/>
      <x:c r="M474" s="373"/>
      <x:c r="N474" s="373"/>
      <x:c r="O474" s="373"/>
      <x:c r="P474" s="373"/>
      <x:c r="Q474" s="373"/>
      <x:c r="R474" s="373"/>
      <x:c r="S474" s="373"/>
      <x:c r="T474" s="373"/>
      <x:c r="U474" s="373"/>
      <x:c r="V474" s="373"/>
      <x:c r="W474" s="373"/>
      <x:c r="X474" s="373"/>
      <x:c r="Y474" s="373"/>
      <x:c r="Z474" s="373"/>
    </x:row>
    <x:row r="475">
      <x:c r="A475" s="373"/>
      <x:c r="B475" s="373"/>
      <x:c r="C475" s="373"/>
      <x:c r="D475" s="373"/>
      <x:c r="E475" s="373"/>
      <x:c r="F475" s="373"/>
      <x:c r="G475" s="373"/>
      <x:c r="H475" s="373"/>
      <x:c r="I475" s="373"/>
      <x:c r="J475" s="373"/>
      <x:c r="K475" s="373"/>
      <x:c r="L475" s="373"/>
      <x:c r="M475" s="373"/>
      <x:c r="N475" s="373"/>
      <x:c r="O475" s="373"/>
      <x:c r="P475" s="373"/>
      <x:c r="Q475" s="373"/>
      <x:c r="R475" s="373"/>
      <x:c r="S475" s="373"/>
      <x:c r="T475" s="373"/>
      <x:c r="U475" s="373"/>
      <x:c r="V475" s="373"/>
      <x:c r="W475" s="373"/>
      <x:c r="X475" s="373"/>
      <x:c r="Y475" s="373"/>
      <x:c r="Z475" s="373"/>
    </x:row>
    <x:row r="476">
      <x:c r="A476" s="373"/>
      <x:c r="B476" s="373"/>
      <x:c r="C476" s="373"/>
      <x:c r="D476" s="373"/>
      <x:c r="E476" s="373"/>
      <x:c r="F476" s="373"/>
      <x:c r="G476" s="373"/>
      <x:c r="H476" s="373"/>
      <x:c r="I476" s="373"/>
      <x:c r="J476" s="373"/>
      <x:c r="K476" s="373"/>
      <x:c r="L476" s="373"/>
      <x:c r="M476" s="373"/>
      <x:c r="N476" s="373"/>
      <x:c r="O476" s="373"/>
      <x:c r="P476" s="373"/>
      <x:c r="Q476" s="373"/>
      <x:c r="R476" s="373"/>
      <x:c r="S476" s="373"/>
      <x:c r="T476" s="373"/>
      <x:c r="U476" s="373"/>
      <x:c r="V476" s="373"/>
      <x:c r="W476" s="373"/>
      <x:c r="X476" s="373"/>
      <x:c r="Y476" s="373"/>
      <x:c r="Z476" s="373"/>
    </x:row>
    <x:row r="477">
      <x:c r="A477" s="373"/>
      <x:c r="B477" s="373"/>
      <x:c r="C477" s="373"/>
      <x:c r="D477" s="373"/>
      <x:c r="E477" s="373"/>
      <x:c r="F477" s="373"/>
      <x:c r="G477" s="373"/>
      <x:c r="H477" s="373"/>
      <x:c r="I477" s="373"/>
      <x:c r="J477" s="373"/>
      <x:c r="K477" s="373"/>
      <x:c r="L477" s="373"/>
      <x:c r="M477" s="373"/>
      <x:c r="N477" s="373"/>
      <x:c r="O477" s="373"/>
      <x:c r="P477" s="373"/>
      <x:c r="Q477" s="373"/>
      <x:c r="R477" s="373"/>
      <x:c r="S477" s="373"/>
      <x:c r="T477" s="373"/>
      <x:c r="U477" s="373"/>
      <x:c r="V477" s="373"/>
      <x:c r="W477" s="373"/>
      <x:c r="X477" s="373"/>
      <x:c r="Y477" s="373"/>
      <x:c r="Z477" s="373"/>
    </x:row>
    <x:row r="478">
      <x:c r="A478" s="373"/>
      <x:c r="B478" s="373"/>
      <x:c r="C478" s="373"/>
      <x:c r="D478" s="373"/>
      <x:c r="E478" s="373"/>
      <x:c r="F478" s="373"/>
      <x:c r="G478" s="373"/>
      <x:c r="H478" s="373"/>
      <x:c r="I478" s="373"/>
      <x:c r="J478" s="373"/>
      <x:c r="K478" s="373"/>
      <x:c r="L478" s="373"/>
      <x:c r="M478" s="373"/>
      <x:c r="N478" s="373"/>
      <x:c r="O478" s="373"/>
      <x:c r="P478" s="373"/>
      <x:c r="Q478" s="373"/>
      <x:c r="R478" s="373"/>
      <x:c r="S478" s="373"/>
      <x:c r="T478" s="373"/>
      <x:c r="U478" s="373"/>
      <x:c r="V478" s="373"/>
      <x:c r="W478" s="373"/>
      <x:c r="X478" s="373"/>
      <x:c r="Y478" s="373"/>
      <x:c r="Z478" s="373"/>
    </x:row>
    <x:row r="479">
      <x:c r="A479" s="373"/>
      <x:c r="B479" s="373"/>
      <x:c r="C479" s="373"/>
      <x:c r="D479" s="373"/>
      <x:c r="E479" s="373"/>
      <x:c r="F479" s="373"/>
      <x:c r="G479" s="373"/>
      <x:c r="H479" s="373"/>
      <x:c r="I479" s="373"/>
      <x:c r="J479" s="373"/>
      <x:c r="K479" s="373"/>
      <x:c r="L479" s="373"/>
      <x:c r="M479" s="373"/>
      <x:c r="N479" s="373"/>
      <x:c r="O479" s="373"/>
      <x:c r="P479" s="373"/>
      <x:c r="Q479" s="373"/>
      <x:c r="R479" s="373"/>
      <x:c r="S479" s="373"/>
      <x:c r="T479" s="373"/>
      <x:c r="U479" s="373"/>
      <x:c r="V479" s="373"/>
      <x:c r="W479" s="373"/>
      <x:c r="X479" s="373"/>
      <x:c r="Y479" s="373"/>
      <x:c r="Z479" s="373"/>
    </x:row>
    <x:row r="480">
      <x:c r="A480" s="373"/>
      <x:c r="B480" s="373"/>
      <x:c r="C480" s="373"/>
      <x:c r="D480" s="373"/>
      <x:c r="E480" s="373"/>
      <x:c r="F480" s="373"/>
      <x:c r="G480" s="373"/>
      <x:c r="H480" s="373"/>
      <x:c r="I480" s="373"/>
      <x:c r="J480" s="373"/>
      <x:c r="K480" s="373"/>
      <x:c r="L480" s="373"/>
      <x:c r="M480" s="373"/>
      <x:c r="N480" s="373"/>
      <x:c r="O480" s="373"/>
      <x:c r="P480" s="373"/>
      <x:c r="Q480" s="373"/>
      <x:c r="R480" s="373"/>
      <x:c r="S480" s="373"/>
      <x:c r="T480" s="373"/>
      <x:c r="U480" s="373"/>
      <x:c r="V480" s="373"/>
      <x:c r="W480" s="373"/>
      <x:c r="X480" s="373"/>
      <x:c r="Y480" s="373"/>
      <x:c r="Z480" s="373"/>
    </x:row>
    <x:row r="481">
      <x:c r="A481" s="373"/>
      <x:c r="B481" s="373"/>
      <x:c r="C481" s="373"/>
      <x:c r="D481" s="373"/>
      <x:c r="E481" s="373"/>
      <x:c r="F481" s="373"/>
      <x:c r="G481" s="373"/>
      <x:c r="H481" s="373"/>
      <x:c r="I481" s="373"/>
      <x:c r="J481" s="373"/>
      <x:c r="K481" s="373"/>
      <x:c r="L481" s="373"/>
      <x:c r="M481" s="373"/>
      <x:c r="N481" s="373"/>
      <x:c r="O481" s="373"/>
      <x:c r="P481" s="373"/>
      <x:c r="Q481" s="373"/>
      <x:c r="R481" s="373"/>
      <x:c r="S481" s="373"/>
      <x:c r="T481" s="373"/>
      <x:c r="U481" s="373"/>
      <x:c r="V481" s="373"/>
      <x:c r="W481" s="373"/>
      <x:c r="X481" s="373"/>
      <x:c r="Y481" s="373"/>
      <x:c r="Z481" s="373"/>
    </x:row>
    <x:row r="482">
      <x:c r="A482" s="373"/>
      <x:c r="B482" s="373"/>
      <x:c r="C482" s="373"/>
      <x:c r="D482" s="373"/>
      <x:c r="E482" s="373"/>
      <x:c r="F482" s="373"/>
      <x:c r="G482" s="373"/>
      <x:c r="H482" s="373"/>
      <x:c r="I482" s="373"/>
      <x:c r="J482" s="373"/>
      <x:c r="K482" s="373"/>
      <x:c r="L482" s="373"/>
      <x:c r="M482" s="373"/>
      <x:c r="N482" s="373"/>
      <x:c r="O482" s="373"/>
      <x:c r="P482" s="373"/>
      <x:c r="Q482" s="373"/>
      <x:c r="R482" s="373"/>
      <x:c r="S482" s="373"/>
      <x:c r="T482" s="373"/>
      <x:c r="U482" s="373"/>
      <x:c r="V482" s="373"/>
      <x:c r="W482" s="373"/>
      <x:c r="X482" s="373"/>
      <x:c r="Y482" s="373"/>
      <x:c r="Z482" s="373"/>
    </x:row>
    <x:row r="483">
      <x:c r="A483" s="373"/>
      <x:c r="B483" s="373"/>
      <x:c r="C483" s="373"/>
      <x:c r="D483" s="373"/>
      <x:c r="E483" s="373"/>
      <x:c r="F483" s="373"/>
      <x:c r="G483" s="373"/>
      <x:c r="H483" s="373"/>
      <x:c r="I483" s="373"/>
      <x:c r="J483" s="373"/>
      <x:c r="K483" s="373"/>
      <x:c r="L483" s="373"/>
      <x:c r="M483" s="373"/>
      <x:c r="N483" s="373"/>
      <x:c r="O483" s="373"/>
      <x:c r="P483" s="373"/>
      <x:c r="Q483" s="373"/>
      <x:c r="R483" s="373"/>
      <x:c r="S483" s="373"/>
      <x:c r="T483" s="373"/>
      <x:c r="U483" s="373"/>
      <x:c r="V483" s="373"/>
      <x:c r="W483" s="373"/>
      <x:c r="X483" s="373"/>
      <x:c r="Y483" s="373"/>
      <x:c r="Z483" s="373"/>
    </x:row>
    <x:row r="484">
      <x:c r="A484" s="373"/>
      <x:c r="B484" s="373"/>
      <x:c r="C484" s="373"/>
      <x:c r="D484" s="373"/>
      <x:c r="E484" s="373"/>
      <x:c r="F484" s="373"/>
      <x:c r="G484" s="373"/>
      <x:c r="H484" s="373"/>
      <x:c r="I484" s="373"/>
      <x:c r="J484" s="373"/>
      <x:c r="K484" s="373"/>
      <x:c r="L484" s="373"/>
      <x:c r="M484" s="373"/>
      <x:c r="N484" s="373"/>
      <x:c r="O484" s="373"/>
      <x:c r="P484" s="373"/>
      <x:c r="Q484" s="373"/>
      <x:c r="R484" s="373"/>
      <x:c r="S484" s="373"/>
      <x:c r="T484" s="373"/>
      <x:c r="U484" s="373"/>
      <x:c r="V484" s="373"/>
      <x:c r="W484" s="373"/>
      <x:c r="X484" s="373"/>
      <x:c r="Y484" s="373"/>
      <x:c r="Z484" s="373"/>
    </x:row>
    <x:row r="485">
      <x:c r="A485" s="373"/>
      <x:c r="B485" s="373"/>
      <x:c r="C485" s="373"/>
      <x:c r="D485" s="373"/>
      <x:c r="E485" s="373"/>
      <x:c r="F485" s="373"/>
      <x:c r="G485" s="373"/>
      <x:c r="H485" s="373"/>
      <x:c r="I485" s="373"/>
      <x:c r="J485" s="373"/>
      <x:c r="K485" s="373"/>
      <x:c r="L485" s="373"/>
      <x:c r="M485" s="373"/>
      <x:c r="N485" s="373"/>
      <x:c r="O485" s="373"/>
      <x:c r="P485" s="373"/>
      <x:c r="Q485" s="373"/>
      <x:c r="R485" s="373"/>
      <x:c r="S485" s="373"/>
      <x:c r="T485" s="373"/>
      <x:c r="U485" s="373"/>
      <x:c r="V485" s="373"/>
      <x:c r="W485" s="373"/>
      <x:c r="X485" s="373"/>
      <x:c r="Y485" s="373"/>
      <x:c r="Z485" s="373"/>
    </x:row>
    <x:row r="486">
      <x:c r="A486" s="373"/>
      <x:c r="B486" s="373"/>
      <x:c r="C486" s="373"/>
      <x:c r="D486" s="373"/>
      <x:c r="E486" s="373"/>
      <x:c r="F486" s="373"/>
      <x:c r="G486" s="373"/>
      <x:c r="H486" s="373"/>
      <x:c r="I486" s="373"/>
      <x:c r="J486" s="373"/>
      <x:c r="K486" s="373"/>
      <x:c r="L486" s="373"/>
      <x:c r="M486" s="373"/>
      <x:c r="N486" s="373"/>
      <x:c r="O486" s="373"/>
      <x:c r="P486" s="373"/>
      <x:c r="Q486" s="373"/>
      <x:c r="R486" s="373"/>
      <x:c r="S486" s="373"/>
      <x:c r="T486" s="373"/>
      <x:c r="U486" s="373"/>
      <x:c r="V486" s="373"/>
      <x:c r="W486" s="373"/>
      <x:c r="X486" s="373"/>
      <x:c r="Y486" s="373"/>
      <x:c r="Z486" s="373"/>
    </x:row>
    <x:row r="487">
      <x:c r="A487" s="373"/>
      <x:c r="B487" s="373"/>
      <x:c r="C487" s="373"/>
      <x:c r="D487" s="373"/>
      <x:c r="E487" s="373"/>
      <x:c r="F487" s="373"/>
      <x:c r="G487" s="373"/>
      <x:c r="H487" s="373"/>
      <x:c r="I487" s="373"/>
      <x:c r="J487" s="373"/>
      <x:c r="K487" s="373"/>
      <x:c r="L487" s="373"/>
      <x:c r="M487" s="373"/>
      <x:c r="N487" s="373"/>
      <x:c r="O487" s="373"/>
      <x:c r="P487" s="373"/>
      <x:c r="Q487" s="373"/>
      <x:c r="R487" s="373"/>
      <x:c r="S487" s="373"/>
      <x:c r="T487" s="373"/>
      <x:c r="U487" s="373"/>
      <x:c r="V487" s="373"/>
      <x:c r="W487" s="373"/>
      <x:c r="X487" s="373"/>
      <x:c r="Y487" s="373"/>
      <x:c r="Z487" s="373"/>
    </x:row>
    <x:row r="488">
      <x:c r="A488" s="373"/>
      <x:c r="B488" s="373"/>
      <x:c r="C488" s="373"/>
      <x:c r="D488" s="373"/>
      <x:c r="E488" s="373"/>
      <x:c r="F488" s="373"/>
      <x:c r="G488" s="373"/>
      <x:c r="H488" s="373"/>
      <x:c r="I488" s="373"/>
      <x:c r="J488" s="373"/>
      <x:c r="K488" s="373"/>
      <x:c r="L488" s="373"/>
      <x:c r="M488" s="373"/>
      <x:c r="N488" s="373"/>
      <x:c r="O488" s="373"/>
      <x:c r="P488" s="373"/>
      <x:c r="Q488" s="373"/>
      <x:c r="R488" s="373"/>
      <x:c r="S488" s="373"/>
      <x:c r="T488" s="373"/>
      <x:c r="U488" s="373"/>
      <x:c r="V488" s="373"/>
      <x:c r="W488" s="373"/>
      <x:c r="X488" s="373"/>
      <x:c r="Y488" s="373"/>
      <x:c r="Z488" s="373"/>
    </x:row>
    <x:row r="489">
      <x:c r="A489" s="373"/>
      <x:c r="B489" s="373"/>
      <x:c r="C489" s="373"/>
      <x:c r="D489" s="373"/>
      <x:c r="E489" s="373"/>
      <x:c r="F489" s="373"/>
      <x:c r="G489" s="373"/>
      <x:c r="H489" s="373"/>
      <x:c r="I489" s="373"/>
      <x:c r="J489" s="373"/>
      <x:c r="K489" s="373"/>
      <x:c r="L489" s="373"/>
      <x:c r="M489" s="373"/>
      <x:c r="N489" s="373"/>
      <x:c r="O489" s="373"/>
      <x:c r="P489" s="373"/>
      <x:c r="Q489" s="373"/>
      <x:c r="R489" s="373"/>
      <x:c r="S489" s="373"/>
      <x:c r="T489" s="373"/>
      <x:c r="U489" s="373"/>
      <x:c r="V489" s="373"/>
      <x:c r="W489" s="373"/>
      <x:c r="X489" s="373"/>
      <x:c r="Y489" s="373"/>
      <x:c r="Z489" s="373"/>
    </x:row>
    <x:row r="490">
      <x:c r="A490" s="373"/>
      <x:c r="B490" s="373"/>
      <x:c r="C490" s="373"/>
      <x:c r="D490" s="373"/>
      <x:c r="E490" s="373"/>
      <x:c r="F490" s="373"/>
      <x:c r="G490" s="373"/>
      <x:c r="H490" s="373"/>
      <x:c r="I490" s="373"/>
      <x:c r="J490" s="373"/>
      <x:c r="K490" s="373"/>
      <x:c r="L490" s="373"/>
      <x:c r="M490" s="373"/>
      <x:c r="N490" s="373"/>
      <x:c r="O490" s="373"/>
      <x:c r="P490" s="373"/>
      <x:c r="Q490" s="373"/>
      <x:c r="R490" s="373"/>
      <x:c r="S490" s="373"/>
      <x:c r="T490" s="373"/>
      <x:c r="U490" s="373"/>
      <x:c r="V490" s="373"/>
      <x:c r="W490" s="373"/>
      <x:c r="X490" s="373"/>
      <x:c r="Y490" s="373"/>
      <x:c r="Z490" s="373"/>
    </x:row>
    <x:row r="491">
      <x:c r="A491" s="373"/>
      <x:c r="B491" s="373"/>
      <x:c r="C491" s="373"/>
      <x:c r="D491" s="373"/>
      <x:c r="E491" s="373"/>
      <x:c r="F491" s="373"/>
      <x:c r="G491" s="373"/>
      <x:c r="H491" s="373"/>
      <x:c r="I491" s="373"/>
      <x:c r="J491" s="373"/>
      <x:c r="K491" s="373"/>
      <x:c r="L491" s="373"/>
      <x:c r="M491" s="373"/>
      <x:c r="N491" s="373"/>
      <x:c r="O491" s="373"/>
      <x:c r="P491" s="373"/>
      <x:c r="Q491" s="373"/>
      <x:c r="R491" s="373"/>
      <x:c r="S491" s="373"/>
      <x:c r="T491" s="373"/>
      <x:c r="U491" s="373"/>
      <x:c r="V491" s="373"/>
      <x:c r="W491" s="373"/>
      <x:c r="X491" s="373"/>
      <x:c r="Y491" s="373"/>
      <x:c r="Z491" s="373"/>
    </x:row>
    <x:row r="492">
      <x:c r="A492" s="373"/>
      <x:c r="B492" s="373"/>
      <x:c r="C492" s="373"/>
      <x:c r="D492" s="373"/>
      <x:c r="E492" s="373"/>
      <x:c r="F492" s="373"/>
      <x:c r="G492" s="373"/>
      <x:c r="H492" s="373"/>
      <x:c r="I492" s="373"/>
      <x:c r="J492" s="373"/>
      <x:c r="K492" s="373"/>
      <x:c r="L492" s="373"/>
      <x:c r="M492" s="373"/>
      <x:c r="N492" s="373"/>
      <x:c r="O492" s="373"/>
      <x:c r="P492" s="373"/>
      <x:c r="Q492" s="373"/>
      <x:c r="R492" s="373"/>
      <x:c r="S492" s="373"/>
      <x:c r="T492" s="373"/>
      <x:c r="U492" s="373"/>
      <x:c r="V492" s="373"/>
      <x:c r="W492" s="373"/>
      <x:c r="X492" s="373"/>
      <x:c r="Y492" s="373"/>
      <x:c r="Z492" s="373"/>
    </x:row>
    <x:row r="493">
      <x:c r="A493" s="373"/>
      <x:c r="B493" s="373"/>
      <x:c r="C493" s="373"/>
      <x:c r="D493" s="373"/>
      <x:c r="E493" s="373"/>
      <x:c r="F493" s="373"/>
      <x:c r="G493" s="373"/>
      <x:c r="H493" s="373"/>
      <x:c r="I493" s="373"/>
      <x:c r="J493" s="373"/>
      <x:c r="K493" s="373"/>
      <x:c r="L493" s="373"/>
      <x:c r="M493" s="373"/>
      <x:c r="N493" s="373"/>
      <x:c r="O493" s="373"/>
      <x:c r="P493" s="373"/>
      <x:c r="Q493" s="373"/>
      <x:c r="R493" s="373"/>
      <x:c r="S493" s="373"/>
      <x:c r="T493" s="373"/>
      <x:c r="U493" s="373"/>
      <x:c r="V493" s="373"/>
      <x:c r="W493" s="373"/>
      <x:c r="X493" s="373"/>
      <x:c r="Y493" s="373"/>
      <x:c r="Z493" s="373"/>
    </x:row>
    <x:row r="494">
      <x:c r="A494" s="373"/>
      <x:c r="B494" s="373"/>
      <x:c r="C494" s="373"/>
      <x:c r="D494" s="373"/>
      <x:c r="E494" s="373"/>
      <x:c r="F494" s="373"/>
      <x:c r="G494" s="373"/>
      <x:c r="H494" s="373"/>
      <x:c r="I494" s="373"/>
      <x:c r="J494" s="373"/>
      <x:c r="K494" s="373"/>
      <x:c r="L494" s="373"/>
      <x:c r="M494" s="373"/>
      <x:c r="N494" s="373"/>
      <x:c r="O494" s="373"/>
      <x:c r="P494" s="373"/>
      <x:c r="Q494" s="373"/>
      <x:c r="R494" s="373"/>
      <x:c r="S494" s="373"/>
      <x:c r="T494" s="373"/>
      <x:c r="U494" s="373"/>
      <x:c r="V494" s="373"/>
      <x:c r="W494" s="373"/>
      <x:c r="X494" s="373"/>
      <x:c r="Y494" s="373"/>
      <x:c r="Z494" s="373"/>
    </x:row>
    <x:row r="495">
      <x:c r="A495" s="373"/>
      <x:c r="B495" s="373"/>
      <x:c r="C495" s="373"/>
      <x:c r="D495" s="373"/>
      <x:c r="E495" s="373"/>
      <x:c r="F495" s="373"/>
      <x:c r="G495" s="373"/>
      <x:c r="H495" s="373"/>
      <x:c r="I495" s="373"/>
      <x:c r="J495" s="373"/>
      <x:c r="K495" s="373"/>
      <x:c r="L495" s="373"/>
      <x:c r="M495" s="373"/>
      <x:c r="N495" s="373"/>
      <x:c r="O495" s="373"/>
      <x:c r="P495" s="373"/>
      <x:c r="Q495" s="373"/>
      <x:c r="R495" s="373"/>
      <x:c r="S495" s="373"/>
      <x:c r="T495" s="373"/>
      <x:c r="U495" s="373"/>
      <x:c r="V495" s="373"/>
      <x:c r="W495" s="373"/>
      <x:c r="X495" s="373"/>
      <x:c r="Y495" s="373"/>
      <x:c r="Z495" s="373"/>
    </x:row>
    <x:row r="496">
      <x:c r="A496" s="373"/>
      <x:c r="B496" s="373"/>
      <x:c r="C496" s="373"/>
      <x:c r="D496" s="373"/>
      <x:c r="E496" s="373"/>
      <x:c r="F496" s="373"/>
      <x:c r="G496" s="373"/>
      <x:c r="H496" s="373"/>
      <x:c r="I496" s="373"/>
      <x:c r="J496" s="373"/>
      <x:c r="K496" s="373"/>
      <x:c r="L496" s="373"/>
      <x:c r="M496" s="373"/>
      <x:c r="N496" s="373"/>
      <x:c r="O496" s="373"/>
      <x:c r="P496" s="373"/>
      <x:c r="Q496" s="373"/>
      <x:c r="R496" s="373"/>
      <x:c r="S496" s="373"/>
      <x:c r="T496" s="373"/>
      <x:c r="U496" s="373"/>
      <x:c r="V496" s="373"/>
      <x:c r="W496" s="373"/>
      <x:c r="X496" s="373"/>
      <x:c r="Y496" s="373"/>
      <x:c r="Z496" s="373"/>
    </x:row>
    <x:row r="497">
      <x:c r="A497" s="373"/>
      <x:c r="B497" s="373"/>
      <x:c r="C497" s="373"/>
      <x:c r="D497" s="373"/>
      <x:c r="E497" s="373"/>
      <x:c r="F497" s="373"/>
      <x:c r="G497" s="373"/>
      <x:c r="H497" s="373"/>
      <x:c r="I497" s="373"/>
      <x:c r="J497" s="373"/>
      <x:c r="K497" s="373"/>
      <x:c r="L497" s="373"/>
      <x:c r="M497" s="373"/>
      <x:c r="N497" s="373"/>
      <x:c r="O497" s="373"/>
      <x:c r="P497" s="373"/>
      <x:c r="Q497" s="373"/>
      <x:c r="R497" s="373"/>
      <x:c r="S497" s="373"/>
      <x:c r="T497" s="373"/>
      <x:c r="U497" s="373"/>
      <x:c r="V497" s="373"/>
      <x:c r="W497" s="373"/>
      <x:c r="X497" s="373"/>
      <x:c r="Y497" s="373"/>
      <x:c r="Z497" s="373"/>
    </x:row>
    <x:row r="498">
      <x:c r="A498" s="373"/>
      <x:c r="B498" s="373"/>
      <x:c r="C498" s="373"/>
      <x:c r="D498" s="373"/>
      <x:c r="E498" s="373"/>
      <x:c r="F498" s="373"/>
      <x:c r="G498" s="373"/>
      <x:c r="H498" s="373"/>
      <x:c r="I498" s="373"/>
      <x:c r="J498" s="373"/>
      <x:c r="K498" s="373"/>
      <x:c r="L498" s="373"/>
      <x:c r="M498" s="373"/>
      <x:c r="N498" s="373"/>
      <x:c r="O498" s="373"/>
      <x:c r="P498" s="373"/>
      <x:c r="Q498" s="373"/>
      <x:c r="R498" s="373"/>
      <x:c r="S498" s="373"/>
      <x:c r="T498" s="373"/>
      <x:c r="U498" s="373"/>
      <x:c r="V498" s="373"/>
      <x:c r="W498" s="373"/>
      <x:c r="X498" s="373"/>
      <x:c r="Y498" s="373"/>
      <x:c r="Z498" s="373"/>
    </x:row>
    <x:row r="499">
      <x:c r="A499" s="373"/>
      <x:c r="B499" s="373"/>
      <x:c r="C499" s="373"/>
      <x:c r="D499" s="373"/>
      <x:c r="E499" s="373"/>
      <x:c r="F499" s="373"/>
      <x:c r="G499" s="373"/>
      <x:c r="H499" s="373"/>
      <x:c r="I499" s="373"/>
      <x:c r="J499" s="373"/>
      <x:c r="K499" s="373"/>
      <x:c r="L499" s="373"/>
      <x:c r="M499" s="373"/>
      <x:c r="N499" s="373"/>
      <x:c r="O499" s="373"/>
      <x:c r="P499" s="373"/>
      <x:c r="Q499" s="373"/>
      <x:c r="R499" s="373"/>
      <x:c r="S499" s="373"/>
      <x:c r="T499" s="373"/>
      <x:c r="U499" s="373"/>
      <x:c r="V499" s="373"/>
      <x:c r="W499" s="373"/>
      <x:c r="X499" s="373"/>
      <x:c r="Y499" s="373"/>
      <x:c r="Z499" s="373"/>
    </x:row>
    <x:row r="500">
      <x:c r="A500" s="373"/>
      <x:c r="B500" s="373"/>
      <x:c r="C500" s="373"/>
      <x:c r="D500" s="373"/>
      <x:c r="E500" s="373"/>
      <x:c r="F500" s="373"/>
      <x:c r="G500" s="373"/>
      <x:c r="H500" s="373"/>
      <x:c r="I500" s="373"/>
      <x:c r="J500" s="373"/>
      <x:c r="K500" s="373"/>
      <x:c r="L500" s="373"/>
      <x:c r="M500" s="373"/>
      <x:c r="N500" s="373"/>
      <x:c r="O500" s="373"/>
      <x:c r="P500" s="373"/>
      <x:c r="Q500" s="373"/>
      <x:c r="R500" s="373"/>
      <x:c r="S500" s="373"/>
      <x:c r="T500" s="373"/>
      <x:c r="U500" s="373"/>
      <x:c r="V500" s="373"/>
      <x:c r="W500" s="373"/>
      <x:c r="X500" s="373"/>
      <x:c r="Y500" s="373"/>
      <x:c r="Z500" s="373"/>
    </x:row>
  </x:sheetData>
  <x:mergeCells>
    <x:mergeCell ref="A1:J1"/>
    <x:mergeCell ref="A2:J2"/>
  </x:mergeCells>
  <x:pageMargins left="0.7" right="0.7" top="0.75" bottom="0.75" header="0.3" footer="0.3"/>
</x:worksheet>
</file>

<file path=xl/worksheets/sheet15.xml><?xml version="1.0" encoding="utf-8"?>
<x:worksheet xmlns:x="http://schemas.openxmlformats.org/spreadsheetml/2006/main">
  <x:sheetFormatPr defaultRowHeight="15"/>
  <x:cols>
    <x:col min="1" max="1" width="15" hidden="0" customWidth="1"/>
    <x:col min="2" max="2" width="15" hidden="0" customWidth="1"/>
    <x:col min="3" max="3" width="15" hidden="0" customWidth="1"/>
    <x:col min="4" max="4" width="15" hidden="0" customWidth="1"/>
    <x:col min="5" max="5" width="15" hidden="0" customWidth="1"/>
    <x:col min="6" max="6" width="15" hidden="0" customWidth="1"/>
    <x:col min="7" max="7" width="15" hidden="0" customWidth="1"/>
    <x:col min="8" max="8" width="15" hidden="0" customWidth="1"/>
    <x:col min="9" max="9" width="15" hidden="0" customWidth="1"/>
    <x:col min="10" max="10" width="15" hidden="0" customWidth="1"/>
  </x:cols>
  <x:sheetData>
    <x:row r="1" ht="32" customHeight="1">
      <x:c r="A1" s="486" t="str">
        <x:v>AMR Release &amp; Verification Workbook — Operating Guide</x:v>
      </x:c>
      <x:c r="B1" s="486"/>
      <x:c r="C1" s="486"/>
      <x:c r="D1" s="486"/>
      <x:c r="E1" s="486"/>
      <x:c r="F1" s="486"/>
      <x:c r="G1" s="486"/>
      <x:c r="H1" s="486"/>
      <x:c r="I1" s="486"/>
      <x:c r="J1" s="486"/>
      <x:c r="K1" s="373"/>
      <x:c r="L1" s="373"/>
      <x:c r="M1" s="373"/>
      <x:c r="N1" s="373"/>
      <x:c r="O1" s="373"/>
      <x:c r="P1" s="373"/>
      <x:c r="Q1" s="373"/>
      <x:c r="R1" s="373"/>
      <x:c r="S1" s="373"/>
      <x:c r="T1" s="373"/>
      <x:c r="U1" s="373"/>
      <x:c r="V1" s="373"/>
      <x:c r="W1" s="373"/>
      <x:c r="X1" s="373"/>
      <x:c r="Y1" s="373"/>
      <x:c r="Z1" s="373"/>
    </x:row>
    <x:row r="2" ht="22" customHeight="1">
      <x:c r="A2" s="374" t="str">
        <x:v>This workbook is designed to be the single planning and evidence index for v0.1.1 through v0.3.0.</x:v>
      </x:c>
      <x:c r="B2" s="374"/>
      <x:c r="C2" s="374"/>
      <x:c r="D2" s="374"/>
      <x:c r="E2" s="374"/>
      <x:c r="F2" s="374"/>
      <x:c r="G2" s="374"/>
      <x:c r="H2" s="374"/>
      <x:c r="I2" s="374"/>
      <x:c r="J2" s="374"/>
      <x:c r="K2" s="373"/>
      <x:c r="L2" s="373"/>
      <x:c r="M2" s="373"/>
      <x:c r="N2" s="373"/>
      <x:c r="O2" s="373"/>
      <x:c r="P2" s="373"/>
      <x:c r="Q2" s="373"/>
      <x:c r="R2" s="373"/>
      <x:c r="S2" s="373"/>
      <x:c r="T2" s="373"/>
      <x:c r="U2" s="373"/>
      <x:c r="V2" s="373"/>
      <x:c r="W2" s="373"/>
      <x:c r="X2" s="373"/>
      <x:c r="Y2" s="373"/>
      <x:c r="Z2" s="373"/>
    </x:row>
    <x:row r="3">
      <x:c r="A3" s="373"/>
      <x:c r="B3" s="373"/>
      <x:c r="C3" s="373"/>
      <x:c r="D3" s="373"/>
      <x:c r="E3" s="373"/>
      <x:c r="F3" s="373"/>
      <x:c r="G3" s="373"/>
      <x:c r="H3" s="373"/>
      <x:c r="I3" s="373"/>
      <x:c r="J3" s="373"/>
      <x:c r="K3" s="373"/>
      <x:c r="L3" s="373"/>
      <x:c r="M3" s="373"/>
      <x:c r="N3" s="373"/>
      <x:c r="O3" s="373"/>
      <x:c r="P3" s="373"/>
      <x:c r="Q3" s="373"/>
      <x:c r="R3" s="373"/>
      <x:c r="S3" s="373"/>
      <x:c r="T3" s="373"/>
      <x:c r="U3" s="373"/>
      <x:c r="V3" s="373"/>
      <x:c r="W3" s="373"/>
      <x:c r="X3" s="373"/>
      <x:c r="Y3" s="373"/>
      <x:c r="Z3" s="373"/>
    </x:row>
    <x:row r="4">
      <x:c r="A4" s="406" t="str">
        <x:v>1. Daily operating flow</x:v>
      </x:c>
      <x:c r="B4" s="406"/>
      <x:c r="C4" s="406"/>
      <x:c r="D4" s="406"/>
      <x:c r="E4" s="406"/>
      <x:c r="F4" s="406"/>
      <x:c r="G4" s="406"/>
      <x:c r="H4" s="406"/>
      <x:c r="I4" s="406"/>
      <x:c r="J4" s="406"/>
      <x:c r="K4" s="373"/>
      <x:c r="L4" s="373"/>
      <x:c r="M4" s="373"/>
      <x:c r="N4" s="373"/>
      <x:c r="O4" s="373"/>
      <x:c r="P4" s="373"/>
      <x:c r="Q4" s="373"/>
      <x:c r="R4" s="373"/>
      <x:c r="S4" s="373"/>
      <x:c r="T4" s="373"/>
      <x:c r="U4" s="373"/>
      <x:c r="V4" s="373"/>
      <x:c r="W4" s="373"/>
      <x:c r="X4" s="373"/>
      <x:c r="Y4" s="373"/>
      <x:c r="Z4" s="373"/>
    </x:row>
    <x:row r="5">
      <x:c r="A5" s="482" t="str">
        <x:v>Start in Dashboard → review active release and blockers → update Features → implement and test → append Test_Executions → link Defects/Evidence → evaluate Release_Gates → update Daily_Log.</x:v>
      </x:c>
      <x:c r="B5" s="482"/>
      <x:c r="C5" s="482"/>
      <x:c r="D5" s="482"/>
      <x:c r="E5" s="482"/>
      <x:c r="F5" s="482"/>
      <x:c r="G5" s="482"/>
      <x:c r="H5" s="482"/>
      <x:c r="I5" s="482"/>
      <x:c r="J5" s="482"/>
      <x:c r="K5" s="373"/>
      <x:c r="L5" s="373"/>
      <x:c r="M5" s="373"/>
      <x:c r="N5" s="373"/>
      <x:c r="O5" s="373"/>
      <x:c r="P5" s="373"/>
      <x:c r="Q5" s="373"/>
      <x:c r="R5" s="373"/>
      <x:c r="S5" s="373"/>
      <x:c r="T5" s="373"/>
      <x:c r="U5" s="373"/>
      <x:c r="V5" s="373"/>
      <x:c r="W5" s="373"/>
      <x:c r="X5" s="373"/>
      <x:c r="Y5" s="373"/>
      <x:c r="Z5" s="373"/>
    </x:row>
    <x:row r="6">
      <x:c r="A6" s="483"/>
      <x:c r="B6" s="483"/>
      <x:c r="C6" s="483"/>
      <x:c r="D6" s="483"/>
      <x:c r="E6" s="483"/>
      <x:c r="F6" s="483"/>
      <x:c r="G6" s="483"/>
      <x:c r="H6" s="483"/>
      <x:c r="I6" s="483"/>
      <x:c r="J6" s="483"/>
      <x:c r="K6" s="373"/>
      <x:c r="L6" s="373"/>
      <x:c r="M6" s="373"/>
      <x:c r="N6" s="373"/>
      <x:c r="O6" s="373"/>
      <x:c r="P6" s="373"/>
      <x:c r="Q6" s="373"/>
      <x:c r="R6" s="373"/>
      <x:c r="S6" s="373"/>
      <x:c r="T6" s="373"/>
      <x:c r="U6" s="373"/>
      <x:c r="V6" s="373"/>
      <x:c r="W6" s="373"/>
      <x:c r="X6" s="373"/>
      <x:c r="Y6" s="373"/>
      <x:c r="Z6" s="373"/>
    </x:row>
    <x:row r="7">
      <x:c r="A7" s="373"/>
      <x:c r="B7" s="373"/>
      <x:c r="C7" s="373"/>
      <x:c r="D7" s="373"/>
      <x:c r="E7" s="373"/>
      <x:c r="F7" s="373"/>
      <x:c r="G7" s="373"/>
      <x:c r="H7" s="373"/>
      <x:c r="I7" s="373"/>
      <x:c r="J7" s="373"/>
      <x:c r="K7" s="373"/>
      <x:c r="L7" s="373"/>
      <x:c r="M7" s="373"/>
      <x:c r="N7" s="373"/>
      <x:c r="O7" s="373"/>
      <x:c r="P7" s="373"/>
      <x:c r="Q7" s="373"/>
      <x:c r="R7" s="373"/>
      <x:c r="S7" s="373"/>
      <x:c r="T7" s="373"/>
      <x:c r="U7" s="373"/>
      <x:c r="V7" s="373"/>
      <x:c r="W7" s="373"/>
      <x:c r="X7" s="373"/>
      <x:c r="Y7" s="373"/>
      <x:c r="Z7" s="373"/>
    </x:row>
    <x:row r="8">
      <x:c r="A8" s="406" t="str">
        <x:v>2. Industry-standard traceability</x:v>
      </x:c>
      <x:c r="B8" s="406"/>
      <x:c r="C8" s="406"/>
      <x:c r="D8" s="406"/>
      <x:c r="E8" s="406"/>
      <x:c r="F8" s="406"/>
      <x:c r="G8" s="406"/>
      <x:c r="H8" s="406"/>
      <x:c r="I8" s="406"/>
      <x:c r="J8" s="406"/>
      <x:c r="K8" s="373"/>
      <x:c r="L8" s="373"/>
      <x:c r="M8" s="373"/>
      <x:c r="N8" s="373"/>
      <x:c r="O8" s="373"/>
      <x:c r="P8" s="373"/>
      <x:c r="Q8" s="373"/>
      <x:c r="R8" s="373"/>
      <x:c r="S8" s="373"/>
      <x:c r="T8" s="373"/>
      <x:c r="U8" s="373"/>
      <x:c r="V8" s="373"/>
      <x:c r="W8" s="373"/>
      <x:c r="X8" s="373"/>
      <x:c r="Y8" s="373"/>
      <x:c r="Z8" s="373"/>
    </x:row>
    <x:row r="9">
      <x:c r="A9" s="482" t="str">
        <x:v>Use stable IDs. Every Feature links to one Requirement. Every Requirement links to one or more Test Cases. Every execution preserves commit, environment, seed, result, metric, and evidence. Defects link back to the feature and test that exposed them.</x:v>
      </x:c>
      <x:c r="B9" s="482"/>
      <x:c r="C9" s="482"/>
      <x:c r="D9" s="482"/>
      <x:c r="E9" s="482"/>
      <x:c r="F9" s="482"/>
      <x:c r="G9" s="482"/>
      <x:c r="H9" s="482"/>
      <x:c r="I9" s="482"/>
      <x:c r="J9" s="482"/>
      <x:c r="K9" s="373"/>
      <x:c r="L9" s="373"/>
      <x:c r="M9" s="373"/>
      <x:c r="N9" s="373"/>
      <x:c r="O9" s="373"/>
      <x:c r="P9" s="373"/>
      <x:c r="Q9" s="373"/>
      <x:c r="R9" s="373"/>
      <x:c r="S9" s="373"/>
      <x:c r="T9" s="373"/>
      <x:c r="U9" s="373"/>
      <x:c r="V9" s="373"/>
      <x:c r="W9" s="373"/>
      <x:c r="X9" s="373"/>
      <x:c r="Y9" s="373"/>
      <x:c r="Z9" s="373"/>
    </x:row>
    <x:row r="10">
      <x:c r="A10" s="483"/>
      <x:c r="B10" s="483"/>
      <x:c r="C10" s="483"/>
      <x:c r="D10" s="483"/>
      <x:c r="E10" s="483"/>
      <x:c r="F10" s="483"/>
      <x:c r="G10" s="483"/>
      <x:c r="H10" s="483"/>
      <x:c r="I10" s="483"/>
      <x:c r="J10" s="483"/>
      <x:c r="K10" s="373"/>
      <x:c r="L10" s="373"/>
      <x:c r="M10" s="373"/>
      <x:c r="N10" s="373"/>
      <x:c r="O10" s="373"/>
      <x:c r="P10" s="373"/>
      <x:c r="Q10" s="373"/>
      <x:c r="R10" s="373"/>
      <x:c r="S10" s="373"/>
      <x:c r="T10" s="373"/>
      <x:c r="U10" s="373"/>
      <x:c r="V10" s="373"/>
      <x:c r="W10" s="373"/>
      <x:c r="X10" s="373"/>
      <x:c r="Y10" s="373"/>
      <x:c r="Z10" s="373"/>
    </x:row>
    <x:row r="11">
      <x:c r="A11" s="373"/>
      <x:c r="B11" s="373"/>
      <x:c r="C11" s="373"/>
      <x:c r="D11" s="373"/>
      <x:c r="E11" s="373"/>
      <x:c r="F11" s="373"/>
      <x:c r="G11" s="373"/>
      <x:c r="H11" s="373"/>
      <x:c r="I11" s="373"/>
      <x:c r="J11" s="373"/>
      <x:c r="K11" s="373"/>
      <x:c r="L11" s="373"/>
      <x:c r="M11" s="373"/>
      <x:c r="N11" s="373"/>
      <x:c r="O11" s="373"/>
      <x:c r="P11" s="373"/>
      <x:c r="Q11" s="373"/>
      <x:c r="R11" s="373"/>
      <x:c r="S11" s="373"/>
      <x:c r="T11" s="373"/>
      <x:c r="U11" s="373"/>
      <x:c r="V11" s="373"/>
      <x:c r="W11" s="373"/>
      <x:c r="X11" s="373"/>
      <x:c r="Y11" s="373"/>
      <x:c r="Z11" s="373"/>
    </x:row>
    <x:row r="12">
      <x:c r="A12" s="406" t="str">
        <x:v>3. Formula cells</x:v>
      </x:c>
      <x:c r="B12" s="406"/>
      <x:c r="C12" s="406"/>
      <x:c r="D12" s="406"/>
      <x:c r="E12" s="406"/>
      <x:c r="F12" s="406"/>
      <x:c r="G12" s="406"/>
      <x:c r="H12" s="406"/>
      <x:c r="I12" s="406"/>
      <x:c r="J12" s="406"/>
      <x:c r="K12" s="373"/>
      <x:c r="L12" s="373"/>
      <x:c r="M12" s="373"/>
      <x:c r="N12" s="373"/>
      <x:c r="O12" s="373"/>
      <x:c r="P12" s="373"/>
      <x:c r="Q12" s="373"/>
      <x:c r="R12" s="373"/>
      <x:c r="S12" s="373"/>
      <x:c r="T12" s="373"/>
      <x:c r="U12" s="373"/>
      <x:c r="V12" s="373"/>
      <x:c r="W12" s="373"/>
      <x:c r="X12" s="373"/>
      <x:c r="Y12" s="373"/>
      <x:c r="Z12" s="373"/>
    </x:row>
    <x:row r="13">
      <x:c r="A13" s="482" t="str">
        <x:v>Light-blue cells are formula-driven. Do not type over Feature Progress, test counts, requirement coverage, risk score, metric delta/status, release progress/readiness, or dashboard KPIs.</x:v>
      </x:c>
      <x:c r="B13" s="482"/>
      <x:c r="C13" s="482"/>
      <x:c r="D13" s="482"/>
      <x:c r="E13" s="482"/>
      <x:c r="F13" s="482"/>
      <x:c r="G13" s="482"/>
      <x:c r="H13" s="482"/>
      <x:c r="I13" s="482"/>
      <x:c r="J13" s="482"/>
      <x:c r="K13" s="373"/>
      <x:c r="L13" s="373"/>
      <x:c r="M13" s="373"/>
      <x:c r="N13" s="373"/>
      <x:c r="O13" s="373"/>
      <x:c r="P13" s="373"/>
      <x:c r="Q13" s="373"/>
      <x:c r="R13" s="373"/>
      <x:c r="S13" s="373"/>
      <x:c r="T13" s="373"/>
      <x:c r="U13" s="373"/>
      <x:c r="V13" s="373"/>
      <x:c r="W13" s="373"/>
      <x:c r="X13" s="373"/>
      <x:c r="Y13" s="373"/>
      <x:c r="Z13" s="373"/>
    </x:row>
    <x:row r="14">
      <x:c r="A14" s="483"/>
      <x:c r="B14" s="483"/>
      <x:c r="C14" s="483"/>
      <x:c r="D14" s="483"/>
      <x:c r="E14" s="483"/>
      <x:c r="F14" s="483"/>
      <x:c r="G14" s="483"/>
      <x:c r="H14" s="483"/>
      <x:c r="I14" s="483"/>
      <x:c r="J14" s="483"/>
      <x:c r="K14" s="373"/>
      <x:c r="L14" s="373"/>
      <x:c r="M14" s="373"/>
      <x:c r="N14" s="373"/>
      <x:c r="O14" s="373"/>
      <x:c r="P14" s="373"/>
      <x:c r="Q14" s="373"/>
      <x:c r="R14" s="373"/>
      <x:c r="S14" s="373"/>
      <x:c r="T14" s="373"/>
      <x:c r="U14" s="373"/>
      <x:c r="V14" s="373"/>
      <x:c r="W14" s="373"/>
      <x:c r="X14" s="373"/>
      <x:c r="Y14" s="373"/>
      <x:c r="Z14" s="373"/>
    </x:row>
    <x:row r="15">
      <x:c r="A15" s="373"/>
      <x:c r="B15" s="373"/>
      <x:c r="C15" s="373"/>
      <x:c r="D15" s="373"/>
      <x:c r="E15" s="373"/>
      <x:c r="F15" s="373"/>
      <x:c r="G15" s="373"/>
      <x:c r="H15" s="373"/>
      <x:c r="I15" s="373"/>
      <x:c r="J15" s="373"/>
      <x:c r="K15" s="373"/>
      <x:c r="L15" s="373"/>
      <x:c r="M15" s="373"/>
      <x:c r="N15" s="373"/>
      <x:c r="O15" s="373"/>
      <x:c r="P15" s="373"/>
      <x:c r="Q15" s="373"/>
      <x:c r="R15" s="373"/>
      <x:c r="S15" s="373"/>
      <x:c r="T15" s="373"/>
      <x:c r="U15" s="373"/>
      <x:c r="V15" s="373"/>
      <x:c r="W15" s="373"/>
      <x:c r="X15" s="373"/>
      <x:c r="Y15" s="373"/>
      <x:c r="Z15" s="373"/>
    </x:row>
    <x:row r="16">
      <x:c r="A16" s="406" t="str">
        <x:v>4. Release discipline</x:v>
      </x:c>
      <x:c r="B16" s="406"/>
      <x:c r="C16" s="406"/>
      <x:c r="D16" s="406"/>
      <x:c r="E16" s="406"/>
      <x:c r="F16" s="406"/>
      <x:c r="G16" s="406"/>
      <x:c r="H16" s="406"/>
      <x:c r="I16" s="406"/>
      <x:c r="J16" s="406"/>
      <x:c r="K16" s="373"/>
      <x:c r="L16" s="373"/>
      <x:c r="M16" s="373"/>
      <x:c r="N16" s="373"/>
      <x:c r="O16" s="373"/>
      <x:c r="P16" s="373"/>
      <x:c r="Q16" s="373"/>
      <x:c r="R16" s="373"/>
      <x:c r="S16" s="373"/>
      <x:c r="T16" s="373"/>
      <x:c r="U16" s="373"/>
      <x:c r="V16" s="373"/>
      <x:c r="W16" s="373"/>
      <x:c r="X16" s="373"/>
      <x:c r="Y16" s="373"/>
      <x:c r="Z16" s="373"/>
    </x:row>
    <x:row r="17">
      <x:c r="A17" s="482" t="str">
        <x:v>A feature is Done only after acceptance criteria, failure behavior, tests, documentation, and evidence are complete. A release is tagged only after its mandatory gates pass or an explicit waiver is documented.</x:v>
      </x:c>
      <x:c r="B17" s="482"/>
      <x:c r="C17" s="482"/>
      <x:c r="D17" s="482"/>
      <x:c r="E17" s="482"/>
      <x:c r="F17" s="482"/>
      <x:c r="G17" s="482"/>
      <x:c r="H17" s="482"/>
      <x:c r="I17" s="482"/>
      <x:c r="J17" s="482"/>
      <x:c r="K17" s="373"/>
      <x:c r="L17" s="373"/>
      <x:c r="M17" s="373"/>
      <x:c r="N17" s="373"/>
      <x:c r="O17" s="373"/>
      <x:c r="P17" s="373"/>
      <x:c r="Q17" s="373"/>
      <x:c r="R17" s="373"/>
      <x:c r="S17" s="373"/>
      <x:c r="T17" s="373"/>
      <x:c r="U17" s="373"/>
      <x:c r="V17" s="373"/>
      <x:c r="W17" s="373"/>
      <x:c r="X17" s="373"/>
      <x:c r="Y17" s="373"/>
      <x:c r="Z17" s="373"/>
    </x:row>
    <x:row r="18">
      <x:c r="A18" s="483"/>
      <x:c r="B18" s="483"/>
      <x:c r="C18" s="483"/>
      <x:c r="D18" s="483"/>
      <x:c r="E18" s="483"/>
      <x:c r="F18" s="483"/>
      <x:c r="G18" s="483"/>
      <x:c r="H18" s="483"/>
      <x:c r="I18" s="483"/>
      <x:c r="J18" s="483"/>
      <x:c r="K18" s="373"/>
      <x:c r="L18" s="373"/>
      <x:c r="M18" s="373"/>
      <x:c r="N18" s="373"/>
      <x:c r="O18" s="373"/>
      <x:c r="P18" s="373"/>
      <x:c r="Q18" s="373"/>
      <x:c r="R18" s="373"/>
      <x:c r="S18" s="373"/>
      <x:c r="T18" s="373"/>
      <x:c r="U18" s="373"/>
      <x:c r="V18" s="373"/>
      <x:c r="W18" s="373"/>
      <x:c r="X18" s="373"/>
      <x:c r="Y18" s="373"/>
      <x:c r="Z18" s="373"/>
    </x:row>
    <x:row r="19">
      <x:c r="A19" s="373"/>
      <x:c r="B19" s="373"/>
      <x:c r="C19" s="373"/>
      <x:c r="D19" s="373"/>
      <x:c r="E19" s="373"/>
      <x:c r="F19" s="373"/>
      <x:c r="G19" s="373"/>
      <x:c r="H19" s="373"/>
      <x:c r="I19" s="373"/>
      <x:c r="J19" s="373"/>
      <x:c r="K19" s="373"/>
      <x:c r="L19" s="373"/>
      <x:c r="M19" s="373"/>
      <x:c r="N19" s="373"/>
      <x:c r="O19" s="373"/>
      <x:c r="P19" s="373"/>
      <x:c r="Q19" s="373"/>
      <x:c r="R19" s="373"/>
      <x:c r="S19" s="373"/>
      <x:c r="T19" s="373"/>
      <x:c r="U19" s="373"/>
      <x:c r="V19" s="373"/>
      <x:c r="W19" s="373"/>
      <x:c r="X19" s="373"/>
      <x:c r="Y19" s="373"/>
      <x:c r="Z19" s="373"/>
    </x:row>
    <x:row r="20">
      <x:c r="A20" s="406" t="str">
        <x:v>5. Test catalog vs execution history</x:v>
      </x:c>
      <x:c r="B20" s="406"/>
      <x:c r="C20" s="406"/>
      <x:c r="D20" s="406"/>
      <x:c r="E20" s="406"/>
      <x:c r="F20" s="406"/>
      <x:c r="G20" s="406"/>
      <x:c r="H20" s="406"/>
      <x:c r="I20" s="406"/>
      <x:c r="J20" s="406"/>
      <x:c r="K20" s="373"/>
      <x:c r="L20" s="373"/>
      <x:c r="M20" s="373"/>
      <x:c r="N20" s="373"/>
      <x:c r="O20" s="373"/>
      <x:c r="P20" s="373"/>
      <x:c r="Q20" s="373"/>
      <x:c r="R20" s="373"/>
      <x:c r="S20" s="373"/>
      <x:c r="T20" s="373"/>
      <x:c r="U20" s="373"/>
      <x:c r="V20" s="373"/>
      <x:c r="W20" s="373"/>
      <x:c r="X20" s="373"/>
      <x:c r="Y20" s="373"/>
      <x:c r="Z20" s="373"/>
    </x:row>
    <x:row r="21">
      <x:c r="A21" s="482" t="str">
        <x:v>Test_Cases defines what should be tested and the current summary status. Test_Executions preserves every historical run. Append execution rows; do not replace previous evidence.</x:v>
      </x:c>
      <x:c r="B21" s="482"/>
      <x:c r="C21" s="482"/>
      <x:c r="D21" s="482"/>
      <x:c r="E21" s="482"/>
      <x:c r="F21" s="482"/>
      <x:c r="G21" s="482"/>
      <x:c r="H21" s="482"/>
      <x:c r="I21" s="482"/>
      <x:c r="J21" s="482"/>
      <x:c r="K21" s="373"/>
      <x:c r="L21" s="373"/>
      <x:c r="M21" s="373"/>
      <x:c r="N21" s="373"/>
      <x:c r="O21" s="373"/>
      <x:c r="P21" s="373"/>
      <x:c r="Q21" s="373"/>
      <x:c r="R21" s="373"/>
      <x:c r="S21" s="373"/>
      <x:c r="T21" s="373"/>
      <x:c r="U21" s="373"/>
      <x:c r="V21" s="373"/>
      <x:c r="W21" s="373"/>
      <x:c r="X21" s="373"/>
      <x:c r="Y21" s="373"/>
      <x:c r="Z21" s="373"/>
    </x:row>
    <x:row r="22">
      <x:c r="A22" s="483"/>
      <x:c r="B22" s="483"/>
      <x:c r="C22" s="483"/>
      <x:c r="D22" s="483"/>
      <x:c r="E22" s="483"/>
      <x:c r="F22" s="483"/>
      <x:c r="G22" s="483"/>
      <x:c r="H22" s="483"/>
      <x:c r="I22" s="483"/>
      <x:c r="J22" s="483"/>
      <x:c r="K22" s="373"/>
      <x:c r="L22" s="373"/>
      <x:c r="M22" s="373"/>
      <x:c r="N22" s="373"/>
      <x:c r="O22" s="373"/>
      <x:c r="P22" s="373"/>
      <x:c r="Q22" s="373"/>
      <x:c r="R22" s="373"/>
      <x:c r="S22" s="373"/>
      <x:c r="T22" s="373"/>
      <x:c r="U22" s="373"/>
      <x:c r="V22" s="373"/>
      <x:c r="W22" s="373"/>
      <x:c r="X22" s="373"/>
      <x:c r="Y22" s="373"/>
      <x:c r="Z22" s="373"/>
    </x:row>
    <x:row r="23">
      <x:c r="A23" s="373"/>
      <x:c r="B23" s="373"/>
      <x:c r="C23" s="373"/>
      <x:c r="D23" s="373"/>
      <x:c r="E23" s="373"/>
      <x:c r="F23" s="373"/>
      <x:c r="G23" s="373"/>
      <x:c r="H23" s="373"/>
      <x:c r="I23" s="373"/>
      <x:c r="J23" s="373"/>
      <x:c r="K23" s="373"/>
      <x:c r="L23" s="373"/>
      <x:c r="M23" s="373"/>
      <x:c r="N23" s="373"/>
      <x:c r="O23" s="373"/>
      <x:c r="P23" s="373"/>
      <x:c r="Q23" s="373"/>
      <x:c r="R23" s="373"/>
      <x:c r="S23" s="373"/>
      <x:c r="T23" s="373"/>
      <x:c r="U23" s="373"/>
      <x:c r="V23" s="373"/>
      <x:c r="W23" s="373"/>
      <x:c r="X23" s="373"/>
      <x:c r="Y23" s="373"/>
      <x:c r="Z23" s="373"/>
    </x:row>
    <x:row r="24">
      <x:c r="A24" s="406" t="str">
        <x:v>6. JavaScript integration</x:v>
      </x:c>
      <x:c r="B24" s="406"/>
      <x:c r="C24" s="406"/>
      <x:c r="D24" s="406"/>
      <x:c r="E24" s="406"/>
      <x:c r="F24" s="406"/>
      <x:c r="G24" s="406"/>
      <x:c r="H24" s="406"/>
      <x:c r="I24" s="406"/>
      <x:c r="J24" s="406"/>
      <x:c r="K24" s="373"/>
      <x:c r="L24" s="373"/>
      <x:c r="M24" s="373"/>
      <x:c r="N24" s="373"/>
      <x:c r="O24" s="373"/>
      <x:c r="P24" s="373"/>
      <x:c r="Q24" s="373"/>
      <x:c r="R24" s="373"/>
      <x:c r="S24" s="373"/>
      <x:c r="T24" s="373"/>
      <x:c r="U24" s="373"/>
      <x:c r="V24" s="373"/>
      <x:c r="W24" s="373"/>
      <x:c r="X24" s="373"/>
      <x:c r="Y24" s="373"/>
      <x:c r="Z24" s="373"/>
    </x:row>
    <x:row r="25">
      <x:c r="A25" s="482" t="str">
        <x:v>Use JS_Data_Map as the field contract. The web dashboard should consume normalized JSON records using stable IDs and keys. Do not scrape formatted cell positions. Prefer a Python/Node export step or backend API that reads normalized tables.</x:v>
      </x:c>
      <x:c r="B25" s="482"/>
      <x:c r="C25" s="482"/>
      <x:c r="D25" s="482"/>
      <x:c r="E25" s="482"/>
      <x:c r="F25" s="482"/>
      <x:c r="G25" s="482"/>
      <x:c r="H25" s="482"/>
      <x:c r="I25" s="482"/>
      <x:c r="J25" s="482"/>
      <x:c r="K25" s="373"/>
      <x:c r="L25" s="373"/>
      <x:c r="M25" s="373"/>
      <x:c r="N25" s="373"/>
      <x:c r="O25" s="373"/>
      <x:c r="P25" s="373"/>
      <x:c r="Q25" s="373"/>
      <x:c r="R25" s="373"/>
      <x:c r="S25" s="373"/>
      <x:c r="T25" s="373"/>
      <x:c r="U25" s="373"/>
      <x:c r="V25" s="373"/>
      <x:c r="W25" s="373"/>
      <x:c r="X25" s="373"/>
      <x:c r="Y25" s="373"/>
      <x:c r="Z25" s="373"/>
    </x:row>
    <x:row r="26">
      <x:c r="A26" s="483"/>
      <x:c r="B26" s="483"/>
      <x:c r="C26" s="483"/>
      <x:c r="D26" s="483"/>
      <x:c r="E26" s="483"/>
      <x:c r="F26" s="483"/>
      <x:c r="G26" s="483"/>
      <x:c r="H26" s="483"/>
      <x:c r="I26" s="483"/>
      <x:c r="J26" s="483"/>
      <x:c r="K26" s="373"/>
      <x:c r="L26" s="373"/>
      <x:c r="M26" s="373"/>
      <x:c r="N26" s="373"/>
      <x:c r="O26" s="373"/>
      <x:c r="P26" s="373"/>
      <x:c r="Q26" s="373"/>
      <x:c r="R26" s="373"/>
      <x:c r="S26" s="373"/>
      <x:c r="T26" s="373"/>
      <x:c r="U26" s="373"/>
      <x:c r="V26" s="373"/>
      <x:c r="W26" s="373"/>
      <x:c r="X26" s="373"/>
      <x:c r="Y26" s="373"/>
      <x:c r="Z26" s="373"/>
    </x:row>
    <x:row r="27">
      <x:c r="A27" s="373"/>
      <x:c r="B27" s="373"/>
      <x:c r="C27" s="373"/>
      <x:c r="D27" s="373"/>
      <x:c r="E27" s="373"/>
      <x:c r="F27" s="373"/>
      <x:c r="G27" s="373"/>
      <x:c r="H27" s="373"/>
      <x:c r="I27" s="373"/>
      <x:c r="J27" s="373"/>
      <x:c r="K27" s="373"/>
      <x:c r="L27" s="373"/>
      <x:c r="M27" s="373"/>
      <x:c r="N27" s="373"/>
      <x:c r="O27" s="373"/>
      <x:c r="P27" s="373"/>
      <x:c r="Q27" s="373"/>
      <x:c r="R27" s="373"/>
      <x:c r="S27" s="373"/>
      <x:c r="T27" s="373"/>
      <x:c r="U27" s="373"/>
      <x:c r="V27" s="373"/>
      <x:c r="W27" s="373"/>
      <x:c r="X27" s="373"/>
      <x:c r="Y27" s="373"/>
      <x:c r="Z27" s="373"/>
    </x:row>
    <x:row r="28">
      <x:c r="A28" s="406" t="str">
        <x:v>7. Current focus: v0.1.1</x:v>
      </x:c>
      <x:c r="B28" s="406"/>
      <x:c r="C28" s="406"/>
      <x:c r="D28" s="406"/>
      <x:c r="E28" s="406"/>
      <x:c r="F28" s="406"/>
      <x:c r="G28" s="406"/>
      <x:c r="H28" s="406"/>
      <x:c r="I28" s="406"/>
      <x:c r="J28" s="406"/>
      <x:c r="K28" s="373"/>
      <x:c r="L28" s="373"/>
      <x:c r="M28" s="373"/>
      <x:c r="N28" s="373"/>
      <x:c r="O28" s="373"/>
      <x:c r="P28" s="373"/>
      <x:c r="Q28" s="373"/>
      <x:c r="R28" s="373"/>
      <x:c r="S28" s="373"/>
      <x:c r="T28" s="373"/>
      <x:c r="U28" s="373"/>
      <x:c r="V28" s="373"/>
      <x:c r="W28" s="373"/>
      <x:c r="X28" s="373"/>
      <x:c r="Y28" s="373"/>
      <x:c r="Z28" s="373"/>
    </x:row>
    <x:row r="29">
      <x:c r="A29" s="482" t="str">
        <x:v>Inventory the current runtime, prevent duplicate launches, centralize process ownership, implement deterministic shutdown, reset state, generate diagnostics, and prove 10 consecutive clean cycles.</x:v>
      </x:c>
      <x:c r="B29" s="482"/>
      <x:c r="C29" s="482"/>
      <x:c r="D29" s="482"/>
      <x:c r="E29" s="482"/>
      <x:c r="F29" s="482"/>
      <x:c r="G29" s="482"/>
      <x:c r="H29" s="482"/>
      <x:c r="I29" s="482"/>
      <x:c r="J29" s="482"/>
      <x:c r="K29" s="373"/>
      <x:c r="L29" s="373"/>
      <x:c r="M29" s="373"/>
      <x:c r="N29" s="373"/>
      <x:c r="O29" s="373"/>
      <x:c r="P29" s="373"/>
      <x:c r="Q29" s="373"/>
      <x:c r="R29" s="373"/>
      <x:c r="S29" s="373"/>
      <x:c r="T29" s="373"/>
      <x:c r="U29" s="373"/>
      <x:c r="V29" s="373"/>
      <x:c r="W29" s="373"/>
      <x:c r="X29" s="373"/>
      <x:c r="Y29" s="373"/>
      <x:c r="Z29" s="373"/>
    </x:row>
    <x:row r="30">
      <x:c r="A30" s="483"/>
      <x:c r="B30" s="483"/>
      <x:c r="C30" s="483"/>
      <x:c r="D30" s="483"/>
      <x:c r="E30" s="483"/>
      <x:c r="F30" s="483"/>
      <x:c r="G30" s="483"/>
      <x:c r="H30" s="483"/>
      <x:c r="I30" s="483"/>
      <x:c r="J30" s="483"/>
      <x:c r="K30" s="373"/>
      <x:c r="L30" s="373"/>
      <x:c r="M30" s="373"/>
      <x:c r="N30" s="373"/>
      <x:c r="O30" s="373"/>
      <x:c r="P30" s="373"/>
      <x:c r="Q30" s="373"/>
      <x:c r="R30" s="373"/>
      <x:c r="S30" s="373"/>
      <x:c r="T30" s="373"/>
      <x:c r="U30" s="373"/>
      <x:c r="V30" s="373"/>
      <x:c r="W30" s="373"/>
      <x:c r="X30" s="373"/>
      <x:c r="Y30" s="373"/>
      <x:c r="Z30" s="373"/>
    </x:row>
    <x:row r="31">
      <x:c r="A31" s="373"/>
      <x:c r="B31" s="373"/>
      <x:c r="C31" s="373"/>
      <x:c r="D31" s="373"/>
      <x:c r="E31" s="373"/>
      <x:c r="F31" s="373"/>
      <x:c r="G31" s="373"/>
      <x:c r="H31" s="373"/>
      <x:c r="I31" s="373"/>
      <x:c r="J31" s="373"/>
      <x:c r="K31" s="373"/>
      <x:c r="L31" s="373"/>
      <x:c r="M31" s="373"/>
      <x:c r="N31" s="373"/>
      <x:c r="O31" s="373"/>
      <x:c r="P31" s="373"/>
      <x:c r="Q31" s="373"/>
      <x:c r="R31" s="373"/>
      <x:c r="S31" s="373"/>
      <x:c r="T31" s="373"/>
      <x:c r="U31" s="373"/>
      <x:c r="V31" s="373"/>
      <x:c r="W31" s="373"/>
      <x:c r="X31" s="373"/>
      <x:c r="Y31" s="373"/>
      <x:c r="Z31" s="373"/>
    </x:row>
    <x:row r="32">
      <x:c r="A32" s="406" t="str">
        <x:v>8. Minimum daily closure</x:v>
      </x:c>
      <x:c r="B32" s="406"/>
      <x:c r="C32" s="406"/>
      <x:c r="D32" s="406"/>
      <x:c r="E32" s="406"/>
      <x:c r="F32" s="406"/>
      <x:c r="G32" s="406"/>
      <x:c r="H32" s="406"/>
      <x:c r="I32" s="406"/>
      <x:c r="J32" s="406"/>
      <x:c r="K32" s="373"/>
      <x:c r="L32" s="373"/>
      <x:c r="M32" s="373"/>
      <x:c r="N32" s="373"/>
      <x:c r="O32" s="373"/>
      <x:c r="P32" s="373"/>
      <x:c r="Q32" s="373"/>
      <x:c r="R32" s="373"/>
      <x:c r="S32" s="373"/>
      <x:c r="T32" s="373"/>
      <x:c r="U32" s="373"/>
      <x:c r="V32" s="373"/>
      <x:c r="W32" s="373"/>
      <x:c r="X32" s="373"/>
      <x:c r="Y32" s="373"/>
      <x:c r="Z32" s="373"/>
    </x:row>
    <x:row r="33">
      <x:c r="A33" s="482" t="str">
        <x:v>Commit SHA recorded; tests added and run; defects linked; evidence saved; actual deliverable written; blocker documented; next first task defined.</x:v>
      </x:c>
      <x:c r="B33" s="482"/>
      <x:c r="C33" s="482"/>
      <x:c r="D33" s="482"/>
      <x:c r="E33" s="482"/>
      <x:c r="F33" s="482"/>
      <x:c r="G33" s="482"/>
      <x:c r="H33" s="482"/>
      <x:c r="I33" s="482"/>
      <x:c r="J33" s="482"/>
      <x:c r="K33" s="373"/>
      <x:c r="L33" s="373"/>
      <x:c r="M33" s="373"/>
      <x:c r="N33" s="373"/>
      <x:c r="O33" s="373"/>
      <x:c r="P33" s="373"/>
      <x:c r="Q33" s="373"/>
      <x:c r="R33" s="373"/>
      <x:c r="S33" s="373"/>
      <x:c r="T33" s="373"/>
      <x:c r="U33" s="373"/>
      <x:c r="V33" s="373"/>
      <x:c r="W33" s="373"/>
      <x:c r="X33" s="373"/>
      <x:c r="Y33" s="373"/>
      <x:c r="Z33" s="373"/>
    </x:row>
    <x:row r="34">
      <x:c r="A34" s="483"/>
      <x:c r="B34" s="483"/>
      <x:c r="C34" s="483"/>
      <x:c r="D34" s="483"/>
      <x:c r="E34" s="483"/>
      <x:c r="F34" s="483"/>
      <x:c r="G34" s="483"/>
      <x:c r="H34" s="483"/>
      <x:c r="I34" s="483"/>
      <x:c r="J34" s="483"/>
      <x:c r="K34" s="373"/>
      <x:c r="L34" s="373"/>
      <x:c r="M34" s="373"/>
      <x:c r="N34" s="373"/>
      <x:c r="O34" s="373"/>
      <x:c r="P34" s="373"/>
      <x:c r="Q34" s="373"/>
      <x:c r="R34" s="373"/>
      <x:c r="S34" s="373"/>
      <x:c r="T34" s="373"/>
      <x:c r="U34" s="373"/>
      <x:c r="V34" s="373"/>
      <x:c r="W34" s="373"/>
      <x:c r="X34" s="373"/>
      <x:c r="Y34" s="373"/>
      <x:c r="Z34" s="373"/>
    </x:row>
    <x:row r="35">
      <x:c r="A35" s="373"/>
      <x:c r="B35" s="373"/>
      <x:c r="C35" s="373"/>
      <x:c r="D35" s="373"/>
      <x:c r="E35" s="373"/>
      <x:c r="F35" s="373"/>
      <x:c r="G35" s="373"/>
      <x:c r="H35" s="373"/>
      <x:c r="I35" s="373"/>
      <x:c r="J35" s="373"/>
      <x:c r="K35" s="373"/>
      <x:c r="L35" s="373"/>
      <x:c r="M35" s="373"/>
      <x:c r="N35" s="373"/>
      <x:c r="O35" s="373"/>
      <x:c r="P35" s="373"/>
      <x:c r="Q35" s="373"/>
      <x:c r="R35" s="373"/>
      <x:c r="S35" s="373"/>
      <x:c r="T35" s="373"/>
      <x:c r="U35" s="373"/>
      <x:c r="V35" s="373"/>
      <x:c r="W35" s="373"/>
      <x:c r="X35" s="373"/>
      <x:c r="Y35" s="373"/>
      <x:c r="Z35" s="373"/>
    </x:row>
    <x:row r="36">
      <x:c r="A36" s="373"/>
      <x:c r="B36" s="373"/>
      <x:c r="C36" s="373"/>
      <x:c r="D36" s="373"/>
      <x:c r="E36" s="373"/>
      <x:c r="F36" s="373"/>
      <x:c r="G36" s="373"/>
      <x:c r="H36" s="373"/>
      <x:c r="I36" s="373"/>
      <x:c r="J36" s="373"/>
      <x:c r="K36" s="373"/>
      <x:c r="L36" s="373"/>
      <x:c r="M36" s="373"/>
      <x:c r="N36" s="373"/>
      <x:c r="O36" s="373"/>
      <x:c r="P36" s="373"/>
      <x:c r="Q36" s="373"/>
      <x:c r="R36" s="373"/>
      <x:c r="S36" s="373"/>
      <x:c r="T36" s="373"/>
      <x:c r="U36" s="373"/>
      <x:c r="V36" s="373"/>
      <x:c r="W36" s="373"/>
      <x:c r="X36" s="373"/>
      <x:c r="Y36" s="373"/>
      <x:c r="Z36" s="373"/>
    </x:row>
    <x:row r="37">
      <x:c r="A37" s="373"/>
      <x:c r="B37" s="373"/>
      <x:c r="C37" s="373"/>
      <x:c r="D37" s="373"/>
      <x:c r="E37" s="373"/>
      <x:c r="F37" s="373"/>
      <x:c r="G37" s="373"/>
      <x:c r="H37" s="373"/>
      <x:c r="I37" s="373"/>
      <x:c r="J37" s="373"/>
      <x:c r="K37" s="373"/>
      <x:c r="L37" s="373"/>
      <x:c r="M37" s="373"/>
      <x:c r="N37" s="373"/>
      <x:c r="O37" s="373"/>
      <x:c r="P37" s="373"/>
      <x:c r="Q37" s="373"/>
      <x:c r="R37" s="373"/>
      <x:c r="S37" s="373"/>
      <x:c r="T37" s="373"/>
      <x:c r="U37" s="373"/>
      <x:c r="V37" s="373"/>
      <x:c r="W37" s="373"/>
      <x:c r="X37" s="373"/>
      <x:c r="Y37" s="373"/>
      <x:c r="Z37" s="373"/>
    </x:row>
    <x:row r="38">
      <x:c r="A38" s="373"/>
      <x:c r="B38" s="373"/>
      <x:c r="C38" s="373"/>
      <x:c r="D38" s="373"/>
      <x:c r="E38" s="373"/>
      <x:c r="F38" s="373"/>
      <x:c r="G38" s="373"/>
      <x:c r="H38" s="373"/>
      <x:c r="I38" s="373"/>
      <x:c r="J38" s="373"/>
      <x:c r="K38" s="373"/>
      <x:c r="L38" s="373"/>
      <x:c r="M38" s="373"/>
      <x:c r="N38" s="373"/>
      <x:c r="O38" s="373"/>
      <x:c r="P38" s="373"/>
      <x:c r="Q38" s="373"/>
      <x:c r="R38" s="373"/>
      <x:c r="S38" s="373"/>
      <x:c r="T38" s="373"/>
      <x:c r="U38" s="373"/>
      <x:c r="V38" s="373"/>
      <x:c r="W38" s="373"/>
      <x:c r="X38" s="373"/>
      <x:c r="Y38" s="373"/>
      <x:c r="Z38" s="373"/>
    </x:row>
    <x:row r="39">
      <x:c r="A39" s="373"/>
      <x:c r="B39" s="373"/>
      <x:c r="C39" s="373"/>
      <x:c r="D39" s="373"/>
      <x:c r="E39" s="373"/>
      <x:c r="F39" s="373"/>
      <x:c r="G39" s="373"/>
      <x:c r="H39" s="373"/>
      <x:c r="I39" s="373"/>
      <x:c r="J39" s="373"/>
      <x:c r="K39" s="373"/>
      <x:c r="L39" s="373"/>
      <x:c r="M39" s="373"/>
      <x:c r="N39" s="373"/>
      <x:c r="O39" s="373"/>
      <x:c r="P39" s="373"/>
      <x:c r="Q39" s="373"/>
      <x:c r="R39" s="373"/>
      <x:c r="S39" s="373"/>
      <x:c r="T39" s="373"/>
      <x:c r="U39" s="373"/>
      <x:c r="V39" s="373"/>
      <x:c r="W39" s="373"/>
      <x:c r="X39" s="373"/>
      <x:c r="Y39" s="373"/>
      <x:c r="Z39" s="373"/>
    </x:row>
    <x:row r="40">
      <x:c r="A40" s="373"/>
      <x:c r="B40" s="373"/>
      <x:c r="C40" s="373"/>
      <x:c r="D40" s="373"/>
      <x:c r="E40" s="373"/>
      <x:c r="F40" s="373"/>
      <x:c r="G40" s="373"/>
      <x:c r="H40" s="373"/>
      <x:c r="I40" s="373"/>
      <x:c r="J40" s="373"/>
      <x:c r="K40" s="373"/>
      <x:c r="L40" s="373"/>
      <x:c r="M40" s="373"/>
      <x:c r="N40" s="373"/>
      <x:c r="O40" s="373"/>
      <x:c r="P40" s="373"/>
      <x:c r="Q40" s="373"/>
      <x:c r="R40" s="373"/>
      <x:c r="S40" s="373"/>
      <x:c r="T40" s="373"/>
      <x:c r="U40" s="373"/>
      <x:c r="V40" s="373"/>
      <x:c r="W40" s="373"/>
      <x:c r="X40" s="373"/>
      <x:c r="Y40" s="373"/>
      <x:c r="Z40" s="373"/>
    </x:row>
    <x:row r="41">
      <x:c r="A41" s="373"/>
      <x:c r="B41" s="373"/>
      <x:c r="C41" s="373"/>
      <x:c r="D41" s="373"/>
      <x:c r="E41" s="373"/>
      <x:c r="F41" s="373"/>
      <x:c r="G41" s="373"/>
      <x:c r="H41" s="373"/>
      <x:c r="I41" s="373"/>
      <x:c r="J41" s="373"/>
      <x:c r="K41" s="373"/>
      <x:c r="L41" s="373"/>
      <x:c r="M41" s="373"/>
      <x:c r="N41" s="373"/>
      <x:c r="O41" s="373"/>
      <x:c r="P41" s="373"/>
      <x:c r="Q41" s="373"/>
      <x:c r="R41" s="373"/>
      <x:c r="S41" s="373"/>
      <x:c r="T41" s="373"/>
      <x:c r="U41" s="373"/>
      <x:c r="V41" s="373"/>
      <x:c r="W41" s="373"/>
      <x:c r="X41" s="373"/>
      <x:c r="Y41" s="373"/>
      <x:c r="Z41" s="373"/>
    </x:row>
    <x:row r="42">
      <x:c r="A42" s="373"/>
      <x:c r="B42" s="373"/>
      <x:c r="C42" s="373"/>
      <x:c r="D42" s="373"/>
      <x:c r="E42" s="373"/>
      <x:c r="F42" s="373"/>
      <x:c r="G42" s="373"/>
      <x:c r="H42" s="373"/>
      <x:c r="I42" s="373"/>
      <x:c r="J42" s="373"/>
      <x:c r="K42" s="373"/>
      <x:c r="L42" s="373"/>
      <x:c r="M42" s="373"/>
      <x:c r="N42" s="373"/>
      <x:c r="O42" s="373"/>
      <x:c r="P42" s="373"/>
      <x:c r="Q42" s="373"/>
      <x:c r="R42" s="373"/>
      <x:c r="S42" s="373"/>
      <x:c r="T42" s="373"/>
      <x:c r="U42" s="373"/>
      <x:c r="V42" s="373"/>
      <x:c r="W42" s="373"/>
      <x:c r="X42" s="373"/>
      <x:c r="Y42" s="373"/>
      <x:c r="Z42" s="373"/>
    </x:row>
    <x:row r="43">
      <x:c r="A43" s="373"/>
      <x:c r="B43" s="373"/>
      <x:c r="C43" s="373"/>
      <x:c r="D43" s="373"/>
      <x:c r="E43" s="373"/>
      <x:c r="F43" s="373"/>
      <x:c r="G43" s="373"/>
      <x:c r="H43" s="373"/>
      <x:c r="I43" s="373"/>
      <x:c r="J43" s="373"/>
      <x:c r="K43" s="373"/>
      <x:c r="L43" s="373"/>
      <x:c r="M43" s="373"/>
      <x:c r="N43" s="373"/>
      <x:c r="O43" s="373"/>
      <x:c r="P43" s="373"/>
      <x:c r="Q43" s="373"/>
      <x:c r="R43" s="373"/>
      <x:c r="S43" s="373"/>
      <x:c r="T43" s="373"/>
      <x:c r="U43" s="373"/>
      <x:c r="V43" s="373"/>
      <x:c r="W43" s="373"/>
      <x:c r="X43" s="373"/>
      <x:c r="Y43" s="373"/>
      <x:c r="Z43" s="373"/>
    </x:row>
    <x:row r="44">
      <x:c r="A44" s="373"/>
      <x:c r="B44" s="373"/>
      <x:c r="C44" s="373"/>
      <x:c r="D44" s="373"/>
      <x:c r="E44" s="373"/>
      <x:c r="F44" s="373"/>
      <x:c r="G44" s="373"/>
      <x:c r="H44" s="373"/>
      <x:c r="I44" s="373"/>
      <x:c r="J44" s="373"/>
      <x:c r="K44" s="373"/>
      <x:c r="L44" s="373"/>
      <x:c r="M44" s="373"/>
      <x:c r="N44" s="373"/>
      <x:c r="O44" s="373"/>
      <x:c r="P44" s="373"/>
      <x:c r="Q44" s="373"/>
      <x:c r="R44" s="373"/>
      <x:c r="S44" s="373"/>
      <x:c r="T44" s="373"/>
      <x:c r="U44" s="373"/>
      <x:c r="V44" s="373"/>
      <x:c r="W44" s="373"/>
      <x:c r="X44" s="373"/>
      <x:c r="Y44" s="373"/>
      <x:c r="Z44" s="373"/>
    </x:row>
    <x:row r="45">
      <x:c r="A45" s="373"/>
      <x:c r="B45" s="373"/>
      <x:c r="C45" s="373"/>
      <x:c r="D45" s="373"/>
      <x:c r="E45" s="373"/>
      <x:c r="F45" s="373"/>
      <x:c r="G45" s="373"/>
      <x:c r="H45" s="373"/>
      <x:c r="I45" s="373"/>
      <x:c r="J45" s="373"/>
      <x:c r="K45" s="373"/>
      <x:c r="L45" s="373"/>
      <x:c r="M45" s="373"/>
      <x:c r="N45" s="373"/>
      <x:c r="O45" s="373"/>
      <x:c r="P45" s="373"/>
      <x:c r="Q45" s="373"/>
      <x:c r="R45" s="373"/>
      <x:c r="S45" s="373"/>
      <x:c r="T45" s="373"/>
      <x:c r="U45" s="373"/>
      <x:c r="V45" s="373"/>
      <x:c r="W45" s="373"/>
      <x:c r="X45" s="373"/>
      <x:c r="Y45" s="373"/>
      <x:c r="Z45" s="373"/>
    </x:row>
    <x:row r="46">
      <x:c r="A46" s="373"/>
      <x:c r="B46" s="373"/>
      <x:c r="C46" s="373"/>
      <x:c r="D46" s="373"/>
      <x:c r="E46" s="373"/>
      <x:c r="F46" s="373"/>
      <x:c r="G46" s="373"/>
      <x:c r="H46" s="373"/>
      <x:c r="I46" s="373"/>
      <x:c r="J46" s="373"/>
      <x:c r="K46" s="373"/>
      <x:c r="L46" s="373"/>
      <x:c r="M46" s="373"/>
      <x:c r="N46" s="373"/>
      <x:c r="O46" s="373"/>
      <x:c r="P46" s="373"/>
      <x:c r="Q46" s="373"/>
      <x:c r="R46" s="373"/>
      <x:c r="S46" s="373"/>
      <x:c r="T46" s="373"/>
      <x:c r="U46" s="373"/>
      <x:c r="V46" s="373"/>
      <x:c r="W46" s="373"/>
      <x:c r="X46" s="373"/>
      <x:c r="Y46" s="373"/>
      <x:c r="Z46" s="373"/>
    </x:row>
    <x:row r="47">
      <x:c r="A47" s="373"/>
      <x:c r="B47" s="373"/>
      <x:c r="C47" s="373"/>
      <x:c r="D47" s="373"/>
      <x:c r="E47" s="373"/>
      <x:c r="F47" s="373"/>
      <x:c r="G47" s="373"/>
      <x:c r="H47" s="373"/>
      <x:c r="I47" s="373"/>
      <x:c r="J47" s="373"/>
      <x:c r="K47" s="373"/>
      <x:c r="L47" s="373"/>
      <x:c r="M47" s="373"/>
      <x:c r="N47" s="373"/>
      <x:c r="O47" s="373"/>
      <x:c r="P47" s="373"/>
      <x:c r="Q47" s="373"/>
      <x:c r="R47" s="373"/>
      <x:c r="S47" s="373"/>
      <x:c r="T47" s="373"/>
      <x:c r="U47" s="373"/>
      <x:c r="V47" s="373"/>
      <x:c r="W47" s="373"/>
      <x:c r="X47" s="373"/>
      <x:c r="Y47" s="373"/>
      <x:c r="Z47" s="373"/>
    </x:row>
    <x:row r="48">
      <x:c r="A48" s="373"/>
      <x:c r="B48" s="373"/>
      <x:c r="C48" s="373"/>
      <x:c r="D48" s="373"/>
      <x:c r="E48" s="373"/>
      <x:c r="F48" s="373"/>
      <x:c r="G48" s="373"/>
      <x:c r="H48" s="373"/>
      <x:c r="I48" s="373"/>
      <x:c r="J48" s="373"/>
      <x:c r="K48" s="373"/>
      <x:c r="L48" s="373"/>
      <x:c r="M48" s="373"/>
      <x:c r="N48" s="373"/>
      <x:c r="O48" s="373"/>
      <x:c r="P48" s="373"/>
      <x:c r="Q48" s="373"/>
      <x:c r="R48" s="373"/>
      <x:c r="S48" s="373"/>
      <x:c r="T48" s="373"/>
      <x:c r="U48" s="373"/>
      <x:c r="V48" s="373"/>
      <x:c r="W48" s="373"/>
      <x:c r="X48" s="373"/>
      <x:c r="Y48" s="373"/>
      <x:c r="Z48" s="373"/>
    </x:row>
    <x:row r="49">
      <x:c r="A49" s="373"/>
      <x:c r="B49" s="373"/>
      <x:c r="C49" s="373"/>
      <x:c r="D49" s="373"/>
      <x:c r="E49" s="373"/>
      <x:c r="F49" s="373"/>
      <x:c r="G49" s="373"/>
      <x:c r="H49" s="373"/>
      <x:c r="I49" s="373"/>
      <x:c r="J49" s="373"/>
      <x:c r="K49" s="373"/>
      <x:c r="L49" s="373"/>
      <x:c r="M49" s="373"/>
      <x:c r="N49" s="373"/>
      <x:c r="O49" s="373"/>
      <x:c r="P49" s="373"/>
      <x:c r="Q49" s="373"/>
      <x:c r="R49" s="373"/>
      <x:c r="S49" s="373"/>
      <x:c r="T49" s="373"/>
      <x:c r="U49" s="373"/>
      <x:c r="V49" s="373"/>
      <x:c r="W49" s="373"/>
      <x:c r="X49" s="373"/>
      <x:c r="Y49" s="373"/>
      <x:c r="Z49" s="373"/>
    </x:row>
    <x:row r="50">
      <x:c r="A50" s="373"/>
      <x:c r="B50" s="373"/>
      <x:c r="C50" s="373"/>
      <x:c r="D50" s="373"/>
      <x:c r="E50" s="373"/>
      <x:c r="F50" s="373"/>
      <x:c r="G50" s="373"/>
      <x:c r="H50" s="373"/>
      <x:c r="I50" s="373"/>
      <x:c r="J50" s="373"/>
      <x:c r="K50" s="373"/>
      <x:c r="L50" s="373"/>
      <x:c r="M50" s="373"/>
      <x:c r="N50" s="373"/>
      <x:c r="O50" s="373"/>
      <x:c r="P50" s="373"/>
      <x:c r="Q50" s="373"/>
      <x:c r="R50" s="373"/>
      <x:c r="S50" s="373"/>
      <x:c r="T50" s="373"/>
      <x:c r="U50" s="373"/>
      <x:c r="V50" s="373"/>
      <x:c r="W50" s="373"/>
      <x:c r="X50" s="373"/>
      <x:c r="Y50" s="373"/>
      <x:c r="Z50" s="373"/>
    </x:row>
    <x:row r="51">
      <x:c r="A51" s="373"/>
      <x:c r="B51" s="373"/>
      <x:c r="C51" s="373"/>
      <x:c r="D51" s="373"/>
      <x:c r="E51" s="373"/>
      <x:c r="F51" s="373"/>
      <x:c r="G51" s="373"/>
      <x:c r="H51" s="373"/>
      <x:c r="I51" s="373"/>
      <x:c r="J51" s="373"/>
      <x:c r="K51" s="373"/>
      <x:c r="L51" s="373"/>
      <x:c r="M51" s="373"/>
      <x:c r="N51" s="373"/>
      <x:c r="O51" s="373"/>
      <x:c r="P51" s="373"/>
      <x:c r="Q51" s="373"/>
      <x:c r="R51" s="373"/>
      <x:c r="S51" s="373"/>
      <x:c r="T51" s="373"/>
      <x:c r="U51" s="373"/>
      <x:c r="V51" s="373"/>
      <x:c r="W51" s="373"/>
      <x:c r="X51" s="373"/>
      <x:c r="Y51" s="373"/>
      <x:c r="Z51" s="373"/>
    </x:row>
    <x:row r="52">
      <x:c r="A52" s="373"/>
      <x:c r="B52" s="373"/>
      <x:c r="C52" s="373"/>
      <x:c r="D52" s="373"/>
      <x:c r="E52" s="373"/>
      <x:c r="F52" s="373"/>
      <x:c r="G52" s="373"/>
      <x:c r="H52" s="373"/>
      <x:c r="I52" s="373"/>
      <x:c r="J52" s="373"/>
      <x:c r="K52" s="373"/>
      <x:c r="L52" s="373"/>
      <x:c r="M52" s="373"/>
      <x:c r="N52" s="373"/>
      <x:c r="O52" s="373"/>
      <x:c r="P52" s="373"/>
      <x:c r="Q52" s="373"/>
      <x:c r="R52" s="373"/>
      <x:c r="S52" s="373"/>
      <x:c r="T52" s="373"/>
      <x:c r="U52" s="373"/>
      <x:c r="V52" s="373"/>
      <x:c r="W52" s="373"/>
      <x:c r="X52" s="373"/>
      <x:c r="Y52" s="373"/>
      <x:c r="Z52" s="373"/>
    </x:row>
    <x:row r="53">
      <x:c r="A53" s="373"/>
      <x:c r="B53" s="373"/>
      <x:c r="C53" s="373"/>
      <x:c r="D53" s="373"/>
      <x:c r="E53" s="373"/>
      <x:c r="F53" s="373"/>
      <x:c r="G53" s="373"/>
      <x:c r="H53" s="373"/>
      <x:c r="I53" s="373"/>
      <x:c r="J53" s="373"/>
      <x:c r="K53" s="373"/>
      <x:c r="L53" s="373"/>
      <x:c r="M53" s="373"/>
      <x:c r="N53" s="373"/>
      <x:c r="O53" s="373"/>
      <x:c r="P53" s="373"/>
      <x:c r="Q53" s="373"/>
      <x:c r="R53" s="373"/>
      <x:c r="S53" s="373"/>
      <x:c r="T53" s="373"/>
      <x:c r="U53" s="373"/>
      <x:c r="V53" s="373"/>
      <x:c r="W53" s="373"/>
      <x:c r="X53" s="373"/>
      <x:c r="Y53" s="373"/>
      <x:c r="Z53" s="373"/>
    </x:row>
    <x:row r="54">
      <x:c r="A54" s="373"/>
      <x:c r="B54" s="373"/>
      <x:c r="C54" s="373"/>
      <x:c r="D54" s="373"/>
      <x:c r="E54" s="373"/>
      <x:c r="F54" s="373"/>
      <x:c r="G54" s="373"/>
      <x:c r="H54" s="373"/>
      <x:c r="I54" s="373"/>
      <x:c r="J54" s="373"/>
      <x:c r="K54" s="373"/>
      <x:c r="L54" s="373"/>
      <x:c r="M54" s="373"/>
      <x:c r="N54" s="373"/>
      <x:c r="O54" s="373"/>
      <x:c r="P54" s="373"/>
      <x:c r="Q54" s="373"/>
      <x:c r="R54" s="373"/>
      <x:c r="S54" s="373"/>
      <x:c r="T54" s="373"/>
      <x:c r="U54" s="373"/>
      <x:c r="V54" s="373"/>
      <x:c r="W54" s="373"/>
      <x:c r="X54" s="373"/>
      <x:c r="Y54" s="373"/>
      <x:c r="Z54" s="373"/>
    </x:row>
    <x:row r="55">
      <x:c r="A55" s="373"/>
      <x:c r="B55" s="373"/>
      <x:c r="C55" s="373"/>
      <x:c r="D55" s="373"/>
      <x:c r="E55" s="373"/>
      <x:c r="F55" s="373"/>
      <x:c r="G55" s="373"/>
      <x:c r="H55" s="373"/>
      <x:c r="I55" s="373"/>
      <x:c r="J55" s="373"/>
      <x:c r="K55" s="373"/>
      <x:c r="L55" s="373"/>
      <x:c r="M55" s="373"/>
      <x:c r="N55" s="373"/>
      <x:c r="O55" s="373"/>
      <x:c r="P55" s="373"/>
      <x:c r="Q55" s="373"/>
      <x:c r="R55" s="373"/>
      <x:c r="S55" s="373"/>
      <x:c r="T55" s="373"/>
      <x:c r="U55" s="373"/>
      <x:c r="V55" s="373"/>
      <x:c r="W55" s="373"/>
      <x:c r="X55" s="373"/>
      <x:c r="Y55" s="373"/>
      <x:c r="Z55" s="373"/>
    </x:row>
    <x:row r="56">
      <x:c r="A56" s="373"/>
      <x:c r="B56" s="373"/>
      <x:c r="C56" s="373"/>
      <x:c r="D56" s="373"/>
      <x:c r="E56" s="373"/>
      <x:c r="F56" s="373"/>
      <x:c r="G56" s="373"/>
      <x:c r="H56" s="373"/>
      <x:c r="I56" s="373"/>
      <x:c r="J56" s="373"/>
      <x:c r="K56" s="373"/>
      <x:c r="L56" s="373"/>
      <x:c r="M56" s="373"/>
      <x:c r="N56" s="373"/>
      <x:c r="O56" s="373"/>
      <x:c r="P56" s="373"/>
      <x:c r="Q56" s="373"/>
      <x:c r="R56" s="373"/>
      <x:c r="S56" s="373"/>
      <x:c r="T56" s="373"/>
      <x:c r="U56" s="373"/>
      <x:c r="V56" s="373"/>
      <x:c r="W56" s="373"/>
      <x:c r="X56" s="373"/>
      <x:c r="Y56" s="373"/>
      <x:c r="Z56" s="373"/>
    </x:row>
    <x:row r="57">
      <x:c r="A57" s="373"/>
      <x:c r="B57" s="373"/>
      <x:c r="C57" s="373"/>
      <x:c r="D57" s="373"/>
      <x:c r="E57" s="373"/>
      <x:c r="F57" s="373"/>
      <x:c r="G57" s="373"/>
      <x:c r="H57" s="373"/>
      <x:c r="I57" s="373"/>
      <x:c r="J57" s="373"/>
      <x:c r="K57" s="373"/>
      <x:c r="L57" s="373"/>
      <x:c r="M57" s="373"/>
      <x:c r="N57" s="373"/>
      <x:c r="O57" s="373"/>
      <x:c r="P57" s="373"/>
      <x:c r="Q57" s="373"/>
      <x:c r="R57" s="373"/>
      <x:c r="S57" s="373"/>
      <x:c r="T57" s="373"/>
      <x:c r="U57" s="373"/>
      <x:c r="V57" s="373"/>
      <x:c r="W57" s="373"/>
      <x:c r="X57" s="373"/>
      <x:c r="Y57" s="373"/>
      <x:c r="Z57" s="373"/>
    </x:row>
    <x:row r="58">
      <x:c r="A58" s="373"/>
      <x:c r="B58" s="373"/>
      <x:c r="C58" s="373"/>
      <x:c r="D58" s="373"/>
      <x:c r="E58" s="373"/>
      <x:c r="F58" s="373"/>
      <x:c r="G58" s="373"/>
      <x:c r="H58" s="373"/>
      <x:c r="I58" s="373"/>
      <x:c r="J58" s="373"/>
      <x:c r="K58" s="373"/>
      <x:c r="L58" s="373"/>
      <x:c r="M58" s="373"/>
      <x:c r="N58" s="373"/>
      <x:c r="O58" s="373"/>
      <x:c r="P58" s="373"/>
      <x:c r="Q58" s="373"/>
      <x:c r="R58" s="373"/>
      <x:c r="S58" s="373"/>
      <x:c r="T58" s="373"/>
      <x:c r="U58" s="373"/>
      <x:c r="V58" s="373"/>
      <x:c r="W58" s="373"/>
      <x:c r="X58" s="373"/>
      <x:c r="Y58" s="373"/>
      <x:c r="Z58" s="373"/>
    </x:row>
    <x:row r="59">
      <x:c r="A59" s="373"/>
      <x:c r="B59" s="373"/>
      <x:c r="C59" s="373"/>
      <x:c r="D59" s="373"/>
      <x:c r="E59" s="373"/>
      <x:c r="F59" s="373"/>
      <x:c r="G59" s="373"/>
      <x:c r="H59" s="373"/>
      <x:c r="I59" s="373"/>
      <x:c r="J59" s="373"/>
      <x:c r="K59" s="373"/>
      <x:c r="L59" s="373"/>
      <x:c r="M59" s="373"/>
      <x:c r="N59" s="373"/>
      <x:c r="O59" s="373"/>
      <x:c r="P59" s="373"/>
      <x:c r="Q59" s="373"/>
      <x:c r="R59" s="373"/>
      <x:c r="S59" s="373"/>
      <x:c r="T59" s="373"/>
      <x:c r="U59" s="373"/>
      <x:c r="V59" s="373"/>
      <x:c r="W59" s="373"/>
      <x:c r="X59" s="373"/>
      <x:c r="Y59" s="373"/>
      <x:c r="Z59" s="373"/>
    </x:row>
    <x:row r="60">
      <x:c r="A60" s="373"/>
      <x:c r="B60" s="373"/>
      <x:c r="C60" s="373"/>
      <x:c r="D60" s="373"/>
      <x:c r="E60" s="373"/>
      <x:c r="F60" s="373"/>
      <x:c r="G60" s="373"/>
      <x:c r="H60" s="373"/>
      <x:c r="I60" s="373"/>
      <x:c r="J60" s="373"/>
      <x:c r="K60" s="373"/>
      <x:c r="L60" s="373"/>
      <x:c r="M60" s="373"/>
      <x:c r="N60" s="373"/>
      <x:c r="O60" s="373"/>
      <x:c r="P60" s="373"/>
      <x:c r="Q60" s="373"/>
      <x:c r="R60" s="373"/>
      <x:c r="S60" s="373"/>
      <x:c r="T60" s="373"/>
      <x:c r="U60" s="373"/>
      <x:c r="V60" s="373"/>
      <x:c r="W60" s="373"/>
      <x:c r="X60" s="373"/>
      <x:c r="Y60" s="373"/>
      <x:c r="Z60" s="373"/>
    </x:row>
    <x:row r="61">
      <x:c r="A61" s="373"/>
      <x:c r="B61" s="373"/>
      <x:c r="C61" s="373"/>
      <x:c r="D61" s="373"/>
      <x:c r="E61" s="373"/>
      <x:c r="F61" s="373"/>
      <x:c r="G61" s="373"/>
      <x:c r="H61" s="373"/>
      <x:c r="I61" s="373"/>
      <x:c r="J61" s="373"/>
      <x:c r="K61" s="373"/>
      <x:c r="L61" s="373"/>
      <x:c r="M61" s="373"/>
      <x:c r="N61" s="373"/>
      <x:c r="O61" s="373"/>
      <x:c r="P61" s="373"/>
      <x:c r="Q61" s="373"/>
      <x:c r="R61" s="373"/>
      <x:c r="S61" s="373"/>
      <x:c r="T61" s="373"/>
      <x:c r="U61" s="373"/>
      <x:c r="V61" s="373"/>
      <x:c r="W61" s="373"/>
      <x:c r="X61" s="373"/>
      <x:c r="Y61" s="373"/>
      <x:c r="Z61" s="373"/>
    </x:row>
    <x:row r="62">
      <x:c r="A62" s="373"/>
      <x:c r="B62" s="373"/>
      <x:c r="C62" s="373"/>
      <x:c r="D62" s="373"/>
      <x:c r="E62" s="373"/>
      <x:c r="F62" s="373"/>
      <x:c r="G62" s="373"/>
      <x:c r="H62" s="373"/>
      <x:c r="I62" s="373"/>
      <x:c r="J62" s="373"/>
      <x:c r="K62" s="373"/>
      <x:c r="L62" s="373"/>
      <x:c r="M62" s="373"/>
      <x:c r="N62" s="373"/>
      <x:c r="O62" s="373"/>
      <x:c r="P62" s="373"/>
      <x:c r="Q62" s="373"/>
      <x:c r="R62" s="373"/>
      <x:c r="S62" s="373"/>
      <x:c r="T62" s="373"/>
      <x:c r="U62" s="373"/>
      <x:c r="V62" s="373"/>
      <x:c r="W62" s="373"/>
      <x:c r="X62" s="373"/>
      <x:c r="Y62" s="373"/>
      <x:c r="Z62" s="373"/>
    </x:row>
    <x:row r="63">
      <x:c r="A63" s="373"/>
      <x:c r="B63" s="373"/>
      <x:c r="C63" s="373"/>
      <x:c r="D63" s="373"/>
      <x:c r="E63" s="373"/>
      <x:c r="F63" s="373"/>
      <x:c r="G63" s="373"/>
      <x:c r="H63" s="373"/>
      <x:c r="I63" s="373"/>
      <x:c r="J63" s="373"/>
      <x:c r="K63" s="373"/>
      <x:c r="L63" s="373"/>
      <x:c r="M63" s="373"/>
      <x:c r="N63" s="373"/>
      <x:c r="O63" s="373"/>
      <x:c r="P63" s="373"/>
      <x:c r="Q63" s="373"/>
      <x:c r="R63" s="373"/>
      <x:c r="S63" s="373"/>
      <x:c r="T63" s="373"/>
      <x:c r="U63" s="373"/>
      <x:c r="V63" s="373"/>
      <x:c r="W63" s="373"/>
      <x:c r="X63" s="373"/>
      <x:c r="Y63" s="373"/>
      <x:c r="Z63" s="373"/>
    </x:row>
    <x:row r="64">
      <x:c r="A64" s="373"/>
      <x:c r="B64" s="373"/>
      <x:c r="C64" s="373"/>
      <x:c r="D64" s="373"/>
      <x:c r="E64" s="373"/>
      <x:c r="F64" s="373"/>
      <x:c r="G64" s="373"/>
      <x:c r="H64" s="373"/>
      <x:c r="I64" s="373"/>
      <x:c r="J64" s="373"/>
      <x:c r="K64" s="373"/>
      <x:c r="L64" s="373"/>
      <x:c r="M64" s="373"/>
      <x:c r="N64" s="373"/>
      <x:c r="O64" s="373"/>
      <x:c r="P64" s="373"/>
      <x:c r="Q64" s="373"/>
      <x:c r="R64" s="373"/>
      <x:c r="S64" s="373"/>
      <x:c r="T64" s="373"/>
      <x:c r="U64" s="373"/>
      <x:c r="V64" s="373"/>
      <x:c r="W64" s="373"/>
      <x:c r="X64" s="373"/>
      <x:c r="Y64" s="373"/>
      <x:c r="Z64" s="373"/>
    </x:row>
    <x:row r="65">
      <x:c r="A65" s="373"/>
      <x:c r="B65" s="373"/>
      <x:c r="C65" s="373"/>
      <x:c r="D65" s="373"/>
      <x:c r="E65" s="373"/>
      <x:c r="F65" s="373"/>
      <x:c r="G65" s="373"/>
      <x:c r="H65" s="373"/>
      <x:c r="I65" s="373"/>
      <x:c r="J65" s="373"/>
      <x:c r="K65" s="373"/>
      <x:c r="L65" s="373"/>
      <x:c r="M65" s="373"/>
      <x:c r="N65" s="373"/>
      <x:c r="O65" s="373"/>
      <x:c r="P65" s="373"/>
      <x:c r="Q65" s="373"/>
      <x:c r="R65" s="373"/>
      <x:c r="S65" s="373"/>
      <x:c r="T65" s="373"/>
      <x:c r="U65" s="373"/>
      <x:c r="V65" s="373"/>
      <x:c r="W65" s="373"/>
      <x:c r="X65" s="373"/>
      <x:c r="Y65" s="373"/>
      <x:c r="Z65" s="373"/>
    </x:row>
    <x:row r="66">
      <x:c r="A66" s="373"/>
      <x:c r="B66" s="373"/>
      <x:c r="C66" s="373"/>
      <x:c r="D66" s="373"/>
      <x:c r="E66" s="373"/>
      <x:c r="F66" s="373"/>
      <x:c r="G66" s="373"/>
      <x:c r="H66" s="373"/>
      <x:c r="I66" s="373"/>
      <x:c r="J66" s="373"/>
      <x:c r="K66" s="373"/>
      <x:c r="L66" s="373"/>
      <x:c r="M66" s="373"/>
      <x:c r="N66" s="373"/>
      <x:c r="O66" s="373"/>
      <x:c r="P66" s="373"/>
      <x:c r="Q66" s="373"/>
      <x:c r="R66" s="373"/>
      <x:c r="S66" s="373"/>
      <x:c r="T66" s="373"/>
      <x:c r="U66" s="373"/>
      <x:c r="V66" s="373"/>
      <x:c r="W66" s="373"/>
      <x:c r="X66" s="373"/>
      <x:c r="Y66" s="373"/>
      <x:c r="Z66" s="373"/>
    </x:row>
    <x:row r="67">
      <x:c r="A67" s="373"/>
      <x:c r="B67" s="373"/>
      <x:c r="C67" s="373"/>
      <x:c r="D67" s="373"/>
      <x:c r="E67" s="373"/>
      <x:c r="F67" s="373"/>
      <x:c r="G67" s="373"/>
      <x:c r="H67" s="373"/>
      <x:c r="I67" s="373"/>
      <x:c r="J67" s="373"/>
      <x:c r="K67" s="373"/>
      <x:c r="L67" s="373"/>
      <x:c r="M67" s="373"/>
      <x:c r="N67" s="373"/>
      <x:c r="O67" s="373"/>
      <x:c r="P67" s="373"/>
      <x:c r="Q67" s="373"/>
      <x:c r="R67" s="373"/>
      <x:c r="S67" s="373"/>
      <x:c r="T67" s="373"/>
      <x:c r="U67" s="373"/>
      <x:c r="V67" s="373"/>
      <x:c r="W67" s="373"/>
      <x:c r="X67" s="373"/>
      <x:c r="Y67" s="373"/>
      <x:c r="Z67" s="373"/>
    </x:row>
    <x:row r="68">
      <x:c r="A68" s="373"/>
      <x:c r="B68" s="373"/>
      <x:c r="C68" s="373"/>
      <x:c r="D68" s="373"/>
      <x:c r="E68" s="373"/>
      <x:c r="F68" s="373"/>
      <x:c r="G68" s="373"/>
      <x:c r="H68" s="373"/>
      <x:c r="I68" s="373"/>
      <x:c r="J68" s="373"/>
      <x:c r="K68" s="373"/>
      <x:c r="L68" s="373"/>
      <x:c r="M68" s="373"/>
      <x:c r="N68" s="373"/>
      <x:c r="O68" s="373"/>
      <x:c r="P68" s="373"/>
      <x:c r="Q68" s="373"/>
      <x:c r="R68" s="373"/>
      <x:c r="S68" s="373"/>
      <x:c r="T68" s="373"/>
      <x:c r="U68" s="373"/>
      <x:c r="V68" s="373"/>
      <x:c r="W68" s="373"/>
      <x:c r="X68" s="373"/>
      <x:c r="Y68" s="373"/>
      <x:c r="Z68" s="373"/>
    </x:row>
    <x:row r="69">
      <x:c r="A69" s="373"/>
      <x:c r="B69" s="373"/>
      <x:c r="C69" s="373"/>
      <x:c r="D69" s="373"/>
      <x:c r="E69" s="373"/>
      <x:c r="F69" s="373"/>
      <x:c r="G69" s="373"/>
      <x:c r="H69" s="373"/>
      <x:c r="I69" s="373"/>
      <x:c r="J69" s="373"/>
      <x:c r="K69" s="373"/>
      <x:c r="L69" s="373"/>
      <x:c r="M69" s="373"/>
      <x:c r="N69" s="373"/>
      <x:c r="O69" s="373"/>
      <x:c r="P69" s="373"/>
      <x:c r="Q69" s="373"/>
      <x:c r="R69" s="373"/>
      <x:c r="S69" s="373"/>
      <x:c r="T69" s="373"/>
      <x:c r="U69" s="373"/>
      <x:c r="V69" s="373"/>
      <x:c r="W69" s="373"/>
      <x:c r="X69" s="373"/>
      <x:c r="Y69" s="373"/>
      <x:c r="Z69" s="373"/>
    </x:row>
    <x:row r="70">
      <x:c r="A70" s="373"/>
      <x:c r="B70" s="373"/>
      <x:c r="C70" s="373"/>
      <x:c r="D70" s="373"/>
      <x:c r="E70" s="373"/>
      <x:c r="F70" s="373"/>
      <x:c r="G70" s="373"/>
      <x:c r="H70" s="373"/>
      <x:c r="I70" s="373"/>
      <x:c r="J70" s="373"/>
      <x:c r="K70" s="373"/>
      <x:c r="L70" s="373"/>
      <x:c r="M70" s="373"/>
      <x:c r="N70" s="373"/>
      <x:c r="O70" s="373"/>
      <x:c r="P70" s="373"/>
      <x:c r="Q70" s="373"/>
      <x:c r="R70" s="373"/>
      <x:c r="S70" s="373"/>
      <x:c r="T70" s="373"/>
      <x:c r="U70" s="373"/>
      <x:c r="V70" s="373"/>
      <x:c r="W70" s="373"/>
      <x:c r="X70" s="373"/>
      <x:c r="Y70" s="373"/>
      <x:c r="Z70" s="373"/>
    </x:row>
    <x:row r="71">
      <x:c r="A71" s="373"/>
      <x:c r="B71" s="373"/>
      <x:c r="C71" s="373"/>
      <x:c r="D71" s="373"/>
      <x:c r="E71" s="373"/>
      <x:c r="F71" s="373"/>
      <x:c r="G71" s="373"/>
      <x:c r="H71" s="373"/>
      <x:c r="I71" s="373"/>
      <x:c r="J71" s="373"/>
      <x:c r="K71" s="373"/>
      <x:c r="L71" s="373"/>
      <x:c r="M71" s="373"/>
      <x:c r="N71" s="373"/>
      <x:c r="O71" s="373"/>
      <x:c r="P71" s="373"/>
      <x:c r="Q71" s="373"/>
      <x:c r="R71" s="373"/>
      <x:c r="S71" s="373"/>
      <x:c r="T71" s="373"/>
      <x:c r="U71" s="373"/>
      <x:c r="V71" s="373"/>
      <x:c r="W71" s="373"/>
      <x:c r="X71" s="373"/>
      <x:c r="Y71" s="373"/>
      <x:c r="Z71" s="373"/>
    </x:row>
    <x:row r="72">
      <x:c r="A72" s="373"/>
      <x:c r="B72" s="373"/>
      <x:c r="C72" s="373"/>
      <x:c r="D72" s="373"/>
      <x:c r="E72" s="373"/>
      <x:c r="F72" s="373"/>
      <x:c r="G72" s="373"/>
      <x:c r="H72" s="373"/>
      <x:c r="I72" s="373"/>
      <x:c r="J72" s="373"/>
      <x:c r="K72" s="373"/>
      <x:c r="L72" s="373"/>
      <x:c r="M72" s="373"/>
      <x:c r="N72" s="373"/>
      <x:c r="O72" s="373"/>
      <x:c r="P72" s="373"/>
      <x:c r="Q72" s="373"/>
      <x:c r="R72" s="373"/>
      <x:c r="S72" s="373"/>
      <x:c r="T72" s="373"/>
      <x:c r="U72" s="373"/>
      <x:c r="V72" s="373"/>
      <x:c r="W72" s="373"/>
      <x:c r="X72" s="373"/>
      <x:c r="Y72" s="373"/>
      <x:c r="Z72" s="373"/>
    </x:row>
    <x:row r="73">
      <x:c r="A73" s="373"/>
      <x:c r="B73" s="373"/>
      <x:c r="C73" s="373"/>
      <x:c r="D73" s="373"/>
      <x:c r="E73" s="373"/>
      <x:c r="F73" s="373"/>
      <x:c r="G73" s="373"/>
      <x:c r="H73" s="373"/>
      <x:c r="I73" s="373"/>
      <x:c r="J73" s="373"/>
      <x:c r="K73" s="373"/>
      <x:c r="L73" s="373"/>
      <x:c r="M73" s="373"/>
      <x:c r="N73" s="373"/>
      <x:c r="O73" s="373"/>
      <x:c r="P73" s="373"/>
      <x:c r="Q73" s="373"/>
      <x:c r="R73" s="373"/>
      <x:c r="S73" s="373"/>
      <x:c r="T73" s="373"/>
      <x:c r="U73" s="373"/>
      <x:c r="V73" s="373"/>
      <x:c r="W73" s="373"/>
      <x:c r="X73" s="373"/>
      <x:c r="Y73" s="373"/>
      <x:c r="Z73" s="373"/>
    </x:row>
    <x:row r="74">
      <x:c r="A74" s="373"/>
      <x:c r="B74" s="373"/>
      <x:c r="C74" s="373"/>
      <x:c r="D74" s="373"/>
      <x:c r="E74" s="373"/>
      <x:c r="F74" s="373"/>
      <x:c r="G74" s="373"/>
      <x:c r="H74" s="373"/>
      <x:c r="I74" s="373"/>
      <x:c r="J74" s="373"/>
      <x:c r="K74" s="373"/>
      <x:c r="L74" s="373"/>
      <x:c r="M74" s="373"/>
      <x:c r="N74" s="373"/>
      <x:c r="O74" s="373"/>
      <x:c r="P74" s="373"/>
      <x:c r="Q74" s="373"/>
      <x:c r="R74" s="373"/>
      <x:c r="S74" s="373"/>
      <x:c r="T74" s="373"/>
      <x:c r="U74" s="373"/>
      <x:c r="V74" s="373"/>
      <x:c r="W74" s="373"/>
      <x:c r="X74" s="373"/>
      <x:c r="Y74" s="373"/>
      <x:c r="Z74" s="373"/>
    </x:row>
    <x:row r="75">
      <x:c r="A75" s="373"/>
      <x:c r="B75" s="373"/>
      <x:c r="C75" s="373"/>
      <x:c r="D75" s="373"/>
      <x:c r="E75" s="373"/>
      <x:c r="F75" s="373"/>
      <x:c r="G75" s="373"/>
      <x:c r="H75" s="373"/>
      <x:c r="I75" s="373"/>
      <x:c r="J75" s="373"/>
      <x:c r="K75" s="373"/>
      <x:c r="L75" s="373"/>
      <x:c r="M75" s="373"/>
      <x:c r="N75" s="373"/>
      <x:c r="O75" s="373"/>
      <x:c r="P75" s="373"/>
      <x:c r="Q75" s="373"/>
      <x:c r="R75" s="373"/>
      <x:c r="S75" s="373"/>
      <x:c r="T75" s="373"/>
      <x:c r="U75" s="373"/>
      <x:c r="V75" s="373"/>
      <x:c r="W75" s="373"/>
      <x:c r="X75" s="373"/>
      <x:c r="Y75" s="373"/>
      <x:c r="Z75" s="373"/>
    </x:row>
    <x:row r="76">
      <x:c r="A76" s="373"/>
      <x:c r="B76" s="373"/>
      <x:c r="C76" s="373"/>
      <x:c r="D76" s="373"/>
      <x:c r="E76" s="373"/>
      <x:c r="F76" s="373"/>
      <x:c r="G76" s="373"/>
      <x:c r="H76" s="373"/>
      <x:c r="I76" s="373"/>
      <x:c r="J76" s="373"/>
      <x:c r="K76" s="373"/>
      <x:c r="L76" s="373"/>
      <x:c r="M76" s="373"/>
      <x:c r="N76" s="373"/>
      <x:c r="O76" s="373"/>
      <x:c r="P76" s="373"/>
      <x:c r="Q76" s="373"/>
      <x:c r="R76" s="373"/>
      <x:c r="S76" s="373"/>
      <x:c r="T76" s="373"/>
      <x:c r="U76" s="373"/>
      <x:c r="V76" s="373"/>
      <x:c r="W76" s="373"/>
      <x:c r="X76" s="373"/>
      <x:c r="Y76" s="373"/>
      <x:c r="Z76" s="373"/>
    </x:row>
    <x:row r="77">
      <x:c r="A77" s="373"/>
      <x:c r="B77" s="373"/>
      <x:c r="C77" s="373"/>
      <x:c r="D77" s="373"/>
      <x:c r="E77" s="373"/>
      <x:c r="F77" s="373"/>
      <x:c r="G77" s="373"/>
      <x:c r="H77" s="373"/>
      <x:c r="I77" s="373"/>
      <x:c r="J77" s="373"/>
      <x:c r="K77" s="373"/>
      <x:c r="L77" s="373"/>
      <x:c r="M77" s="373"/>
      <x:c r="N77" s="373"/>
      <x:c r="O77" s="373"/>
      <x:c r="P77" s="373"/>
      <x:c r="Q77" s="373"/>
      <x:c r="R77" s="373"/>
      <x:c r="S77" s="373"/>
      <x:c r="T77" s="373"/>
      <x:c r="U77" s="373"/>
      <x:c r="V77" s="373"/>
      <x:c r="W77" s="373"/>
      <x:c r="X77" s="373"/>
      <x:c r="Y77" s="373"/>
      <x:c r="Z77" s="373"/>
    </x:row>
    <x:row r="78">
      <x:c r="A78" s="373"/>
      <x:c r="B78" s="373"/>
      <x:c r="C78" s="373"/>
      <x:c r="D78" s="373"/>
      <x:c r="E78" s="373"/>
      <x:c r="F78" s="373"/>
      <x:c r="G78" s="373"/>
      <x:c r="H78" s="373"/>
      <x:c r="I78" s="373"/>
      <x:c r="J78" s="373"/>
      <x:c r="K78" s="373"/>
      <x:c r="L78" s="373"/>
      <x:c r="M78" s="373"/>
      <x:c r="N78" s="373"/>
      <x:c r="O78" s="373"/>
      <x:c r="P78" s="373"/>
      <x:c r="Q78" s="373"/>
      <x:c r="R78" s="373"/>
      <x:c r="S78" s="373"/>
      <x:c r="T78" s="373"/>
      <x:c r="U78" s="373"/>
      <x:c r="V78" s="373"/>
      <x:c r="W78" s="373"/>
      <x:c r="X78" s="373"/>
      <x:c r="Y78" s="373"/>
      <x:c r="Z78" s="373"/>
    </x:row>
    <x:row r="79">
      <x:c r="A79" s="373"/>
      <x:c r="B79" s="373"/>
      <x:c r="C79" s="373"/>
      <x:c r="D79" s="373"/>
      <x:c r="E79" s="373"/>
      <x:c r="F79" s="373"/>
      <x:c r="G79" s="373"/>
      <x:c r="H79" s="373"/>
      <x:c r="I79" s="373"/>
      <x:c r="J79" s="373"/>
      <x:c r="K79" s="373"/>
      <x:c r="L79" s="373"/>
      <x:c r="M79" s="373"/>
      <x:c r="N79" s="373"/>
      <x:c r="O79" s="373"/>
      <x:c r="P79" s="373"/>
      <x:c r="Q79" s="373"/>
      <x:c r="R79" s="373"/>
      <x:c r="S79" s="373"/>
      <x:c r="T79" s="373"/>
      <x:c r="U79" s="373"/>
      <x:c r="V79" s="373"/>
      <x:c r="W79" s="373"/>
      <x:c r="X79" s="373"/>
      <x:c r="Y79" s="373"/>
      <x:c r="Z79" s="373"/>
    </x:row>
    <x:row r="80">
      <x:c r="A80" s="373"/>
      <x:c r="B80" s="373"/>
      <x:c r="C80" s="373"/>
      <x:c r="D80" s="373"/>
      <x:c r="E80" s="373"/>
      <x:c r="F80" s="373"/>
      <x:c r="G80" s="373"/>
      <x:c r="H80" s="373"/>
      <x:c r="I80" s="373"/>
      <x:c r="J80" s="373"/>
      <x:c r="K80" s="373"/>
      <x:c r="L80" s="373"/>
      <x:c r="M80" s="373"/>
      <x:c r="N80" s="373"/>
      <x:c r="O80" s="373"/>
      <x:c r="P80" s="373"/>
      <x:c r="Q80" s="373"/>
      <x:c r="R80" s="373"/>
      <x:c r="S80" s="373"/>
      <x:c r="T80" s="373"/>
      <x:c r="U80" s="373"/>
      <x:c r="V80" s="373"/>
      <x:c r="W80" s="373"/>
      <x:c r="X80" s="373"/>
      <x:c r="Y80" s="373"/>
      <x:c r="Z80" s="373"/>
    </x:row>
    <x:row r="81">
      <x:c r="A81" s="373"/>
      <x:c r="B81" s="373"/>
      <x:c r="C81" s="373"/>
      <x:c r="D81" s="373"/>
      <x:c r="E81" s="373"/>
      <x:c r="F81" s="373"/>
      <x:c r="G81" s="373"/>
      <x:c r="H81" s="373"/>
      <x:c r="I81" s="373"/>
      <x:c r="J81" s="373"/>
      <x:c r="K81" s="373"/>
      <x:c r="L81" s="373"/>
      <x:c r="M81" s="373"/>
      <x:c r="N81" s="373"/>
      <x:c r="O81" s="373"/>
      <x:c r="P81" s="373"/>
      <x:c r="Q81" s="373"/>
      <x:c r="R81" s="373"/>
      <x:c r="S81" s="373"/>
      <x:c r="T81" s="373"/>
      <x:c r="U81" s="373"/>
      <x:c r="V81" s="373"/>
      <x:c r="W81" s="373"/>
      <x:c r="X81" s="373"/>
      <x:c r="Y81" s="373"/>
      <x:c r="Z81" s="373"/>
    </x:row>
    <x:row r="82">
      <x:c r="A82" s="373"/>
      <x:c r="B82" s="373"/>
      <x:c r="C82" s="373"/>
      <x:c r="D82" s="373"/>
      <x:c r="E82" s="373"/>
      <x:c r="F82" s="373"/>
      <x:c r="G82" s="373"/>
      <x:c r="H82" s="373"/>
      <x:c r="I82" s="373"/>
      <x:c r="J82" s="373"/>
      <x:c r="K82" s="373"/>
      <x:c r="L82" s="373"/>
      <x:c r="M82" s="373"/>
      <x:c r="N82" s="373"/>
      <x:c r="O82" s="373"/>
      <x:c r="P82" s="373"/>
      <x:c r="Q82" s="373"/>
      <x:c r="R82" s="373"/>
      <x:c r="S82" s="373"/>
      <x:c r="T82" s="373"/>
      <x:c r="U82" s="373"/>
      <x:c r="V82" s="373"/>
      <x:c r="W82" s="373"/>
      <x:c r="X82" s="373"/>
      <x:c r="Y82" s="373"/>
      <x:c r="Z82" s="373"/>
    </x:row>
    <x:row r="83">
      <x:c r="A83" s="373"/>
      <x:c r="B83" s="373"/>
      <x:c r="C83" s="373"/>
      <x:c r="D83" s="373"/>
      <x:c r="E83" s="373"/>
      <x:c r="F83" s="373"/>
      <x:c r="G83" s="373"/>
      <x:c r="H83" s="373"/>
      <x:c r="I83" s="373"/>
      <x:c r="J83" s="373"/>
      <x:c r="K83" s="373"/>
      <x:c r="L83" s="373"/>
      <x:c r="M83" s="373"/>
      <x:c r="N83" s="373"/>
      <x:c r="O83" s="373"/>
      <x:c r="P83" s="373"/>
      <x:c r="Q83" s="373"/>
      <x:c r="R83" s="373"/>
      <x:c r="S83" s="373"/>
      <x:c r="T83" s="373"/>
      <x:c r="U83" s="373"/>
      <x:c r="V83" s="373"/>
      <x:c r="W83" s="373"/>
      <x:c r="X83" s="373"/>
      <x:c r="Y83" s="373"/>
      <x:c r="Z83" s="373"/>
    </x:row>
    <x:row r="84">
      <x:c r="A84" s="373"/>
      <x:c r="B84" s="373"/>
      <x:c r="C84" s="373"/>
      <x:c r="D84" s="373"/>
      <x:c r="E84" s="373"/>
      <x:c r="F84" s="373"/>
      <x:c r="G84" s="373"/>
      <x:c r="H84" s="373"/>
      <x:c r="I84" s="373"/>
      <x:c r="J84" s="373"/>
      <x:c r="K84" s="373"/>
      <x:c r="L84" s="373"/>
      <x:c r="M84" s="373"/>
      <x:c r="N84" s="373"/>
      <x:c r="O84" s="373"/>
      <x:c r="P84" s="373"/>
      <x:c r="Q84" s="373"/>
      <x:c r="R84" s="373"/>
      <x:c r="S84" s="373"/>
      <x:c r="T84" s="373"/>
      <x:c r="U84" s="373"/>
      <x:c r="V84" s="373"/>
      <x:c r="W84" s="373"/>
      <x:c r="X84" s="373"/>
      <x:c r="Y84" s="373"/>
      <x:c r="Z84" s="373"/>
    </x:row>
    <x:row r="85">
      <x:c r="A85" s="373"/>
      <x:c r="B85" s="373"/>
      <x:c r="C85" s="373"/>
      <x:c r="D85" s="373"/>
      <x:c r="E85" s="373"/>
      <x:c r="F85" s="373"/>
      <x:c r="G85" s="373"/>
      <x:c r="H85" s="373"/>
      <x:c r="I85" s="373"/>
      <x:c r="J85" s="373"/>
      <x:c r="K85" s="373"/>
      <x:c r="L85" s="373"/>
      <x:c r="M85" s="373"/>
      <x:c r="N85" s="373"/>
      <x:c r="O85" s="373"/>
      <x:c r="P85" s="373"/>
      <x:c r="Q85" s="373"/>
      <x:c r="R85" s="373"/>
      <x:c r="S85" s="373"/>
      <x:c r="T85" s="373"/>
      <x:c r="U85" s="373"/>
      <x:c r="V85" s="373"/>
      <x:c r="W85" s="373"/>
      <x:c r="X85" s="373"/>
      <x:c r="Y85" s="373"/>
      <x:c r="Z85" s="373"/>
    </x:row>
    <x:row r="86">
      <x:c r="A86" s="373"/>
      <x:c r="B86" s="373"/>
      <x:c r="C86" s="373"/>
      <x:c r="D86" s="373"/>
      <x:c r="E86" s="373"/>
      <x:c r="F86" s="373"/>
      <x:c r="G86" s="373"/>
      <x:c r="H86" s="373"/>
      <x:c r="I86" s="373"/>
      <x:c r="J86" s="373"/>
      <x:c r="K86" s="373"/>
      <x:c r="L86" s="373"/>
      <x:c r="M86" s="373"/>
      <x:c r="N86" s="373"/>
      <x:c r="O86" s="373"/>
      <x:c r="P86" s="373"/>
      <x:c r="Q86" s="373"/>
      <x:c r="R86" s="373"/>
      <x:c r="S86" s="373"/>
      <x:c r="T86" s="373"/>
      <x:c r="U86" s="373"/>
      <x:c r="V86" s="373"/>
      <x:c r="W86" s="373"/>
      <x:c r="X86" s="373"/>
      <x:c r="Y86" s="373"/>
      <x:c r="Z86" s="373"/>
    </x:row>
    <x:row r="87">
      <x:c r="A87" s="373"/>
      <x:c r="B87" s="373"/>
      <x:c r="C87" s="373"/>
      <x:c r="D87" s="373"/>
      <x:c r="E87" s="373"/>
      <x:c r="F87" s="373"/>
      <x:c r="G87" s="373"/>
      <x:c r="H87" s="373"/>
      <x:c r="I87" s="373"/>
      <x:c r="J87" s="373"/>
      <x:c r="K87" s="373"/>
      <x:c r="L87" s="373"/>
      <x:c r="M87" s="373"/>
      <x:c r="N87" s="373"/>
      <x:c r="O87" s="373"/>
      <x:c r="P87" s="373"/>
      <x:c r="Q87" s="373"/>
      <x:c r="R87" s="373"/>
      <x:c r="S87" s="373"/>
      <x:c r="T87" s="373"/>
      <x:c r="U87" s="373"/>
      <x:c r="V87" s="373"/>
      <x:c r="W87" s="373"/>
      <x:c r="X87" s="373"/>
      <x:c r="Y87" s="373"/>
      <x:c r="Z87" s="373"/>
    </x:row>
    <x:row r="88">
      <x:c r="A88" s="373"/>
      <x:c r="B88" s="373"/>
      <x:c r="C88" s="373"/>
      <x:c r="D88" s="373"/>
      <x:c r="E88" s="373"/>
      <x:c r="F88" s="373"/>
      <x:c r="G88" s="373"/>
      <x:c r="H88" s="373"/>
      <x:c r="I88" s="373"/>
      <x:c r="J88" s="373"/>
      <x:c r="K88" s="373"/>
      <x:c r="L88" s="373"/>
      <x:c r="M88" s="373"/>
      <x:c r="N88" s="373"/>
      <x:c r="O88" s="373"/>
      <x:c r="P88" s="373"/>
      <x:c r="Q88" s="373"/>
      <x:c r="R88" s="373"/>
      <x:c r="S88" s="373"/>
      <x:c r="T88" s="373"/>
      <x:c r="U88" s="373"/>
      <x:c r="V88" s="373"/>
      <x:c r="W88" s="373"/>
      <x:c r="X88" s="373"/>
      <x:c r="Y88" s="373"/>
      <x:c r="Z88" s="373"/>
    </x:row>
    <x:row r="89">
      <x:c r="A89" s="373"/>
      <x:c r="B89" s="373"/>
      <x:c r="C89" s="373"/>
      <x:c r="D89" s="373"/>
      <x:c r="E89" s="373"/>
      <x:c r="F89" s="373"/>
      <x:c r="G89" s="373"/>
      <x:c r="H89" s="373"/>
      <x:c r="I89" s="373"/>
      <x:c r="J89" s="373"/>
      <x:c r="K89" s="373"/>
      <x:c r="L89" s="373"/>
      <x:c r="M89" s="373"/>
      <x:c r="N89" s="373"/>
      <x:c r="O89" s="373"/>
      <x:c r="P89" s="373"/>
      <x:c r="Q89" s="373"/>
      <x:c r="R89" s="373"/>
      <x:c r="S89" s="373"/>
      <x:c r="T89" s="373"/>
      <x:c r="U89" s="373"/>
      <x:c r="V89" s="373"/>
      <x:c r="W89" s="373"/>
      <x:c r="X89" s="373"/>
      <x:c r="Y89" s="373"/>
      <x:c r="Z89" s="373"/>
    </x:row>
    <x:row r="90">
      <x:c r="A90" s="373"/>
      <x:c r="B90" s="373"/>
      <x:c r="C90" s="373"/>
      <x:c r="D90" s="373"/>
      <x:c r="E90" s="373"/>
      <x:c r="F90" s="373"/>
      <x:c r="G90" s="373"/>
      <x:c r="H90" s="373"/>
      <x:c r="I90" s="373"/>
      <x:c r="J90" s="373"/>
      <x:c r="K90" s="373"/>
      <x:c r="L90" s="373"/>
      <x:c r="M90" s="373"/>
      <x:c r="N90" s="373"/>
      <x:c r="O90" s="373"/>
      <x:c r="P90" s="373"/>
      <x:c r="Q90" s="373"/>
      <x:c r="R90" s="373"/>
      <x:c r="S90" s="373"/>
      <x:c r="T90" s="373"/>
      <x:c r="U90" s="373"/>
      <x:c r="V90" s="373"/>
      <x:c r="W90" s="373"/>
      <x:c r="X90" s="373"/>
      <x:c r="Y90" s="373"/>
      <x:c r="Z90" s="373"/>
    </x:row>
    <x:row r="91">
      <x:c r="A91" s="373"/>
      <x:c r="B91" s="373"/>
      <x:c r="C91" s="373"/>
      <x:c r="D91" s="373"/>
      <x:c r="E91" s="373"/>
      <x:c r="F91" s="373"/>
      <x:c r="G91" s="373"/>
      <x:c r="H91" s="373"/>
      <x:c r="I91" s="373"/>
      <x:c r="J91" s="373"/>
      <x:c r="K91" s="373"/>
      <x:c r="L91" s="373"/>
      <x:c r="M91" s="373"/>
      <x:c r="N91" s="373"/>
      <x:c r="O91" s="373"/>
      <x:c r="P91" s="373"/>
      <x:c r="Q91" s="373"/>
      <x:c r="R91" s="373"/>
      <x:c r="S91" s="373"/>
      <x:c r="T91" s="373"/>
      <x:c r="U91" s="373"/>
      <x:c r="V91" s="373"/>
      <x:c r="W91" s="373"/>
      <x:c r="X91" s="373"/>
      <x:c r="Y91" s="373"/>
      <x:c r="Z91" s="373"/>
    </x:row>
    <x:row r="92">
      <x:c r="A92" s="373"/>
      <x:c r="B92" s="373"/>
      <x:c r="C92" s="373"/>
      <x:c r="D92" s="373"/>
      <x:c r="E92" s="373"/>
      <x:c r="F92" s="373"/>
      <x:c r="G92" s="373"/>
      <x:c r="H92" s="373"/>
      <x:c r="I92" s="373"/>
      <x:c r="J92" s="373"/>
      <x:c r="K92" s="373"/>
      <x:c r="L92" s="373"/>
      <x:c r="M92" s="373"/>
      <x:c r="N92" s="373"/>
      <x:c r="O92" s="373"/>
      <x:c r="P92" s="373"/>
      <x:c r="Q92" s="373"/>
      <x:c r="R92" s="373"/>
      <x:c r="S92" s="373"/>
      <x:c r="T92" s="373"/>
      <x:c r="U92" s="373"/>
      <x:c r="V92" s="373"/>
      <x:c r="W92" s="373"/>
      <x:c r="X92" s="373"/>
      <x:c r="Y92" s="373"/>
      <x:c r="Z92" s="373"/>
    </x:row>
    <x:row r="93">
      <x:c r="A93" s="373"/>
      <x:c r="B93" s="373"/>
      <x:c r="C93" s="373"/>
      <x:c r="D93" s="373"/>
      <x:c r="E93" s="373"/>
      <x:c r="F93" s="373"/>
      <x:c r="G93" s="373"/>
      <x:c r="H93" s="373"/>
      <x:c r="I93" s="373"/>
      <x:c r="J93" s="373"/>
      <x:c r="K93" s="373"/>
      <x:c r="L93" s="373"/>
      <x:c r="M93" s="373"/>
      <x:c r="N93" s="373"/>
      <x:c r="O93" s="373"/>
      <x:c r="P93" s="373"/>
      <x:c r="Q93" s="373"/>
      <x:c r="R93" s="373"/>
      <x:c r="S93" s="373"/>
      <x:c r="T93" s="373"/>
      <x:c r="U93" s="373"/>
      <x:c r="V93" s="373"/>
      <x:c r="W93" s="373"/>
      <x:c r="X93" s="373"/>
      <x:c r="Y93" s="373"/>
      <x:c r="Z93" s="373"/>
    </x:row>
    <x:row r="94">
      <x:c r="A94" s="373"/>
      <x:c r="B94" s="373"/>
      <x:c r="C94" s="373"/>
      <x:c r="D94" s="373"/>
      <x:c r="E94" s="373"/>
      <x:c r="F94" s="373"/>
      <x:c r="G94" s="373"/>
      <x:c r="H94" s="373"/>
      <x:c r="I94" s="373"/>
      <x:c r="J94" s="373"/>
      <x:c r="K94" s="373"/>
      <x:c r="L94" s="373"/>
      <x:c r="M94" s="373"/>
      <x:c r="N94" s="373"/>
      <x:c r="O94" s="373"/>
      <x:c r="P94" s="373"/>
      <x:c r="Q94" s="373"/>
      <x:c r="R94" s="373"/>
      <x:c r="S94" s="373"/>
      <x:c r="T94" s="373"/>
      <x:c r="U94" s="373"/>
      <x:c r="V94" s="373"/>
      <x:c r="W94" s="373"/>
      <x:c r="X94" s="373"/>
      <x:c r="Y94" s="373"/>
      <x:c r="Z94" s="373"/>
    </x:row>
    <x:row r="95">
      <x:c r="A95" s="373"/>
      <x:c r="B95" s="373"/>
      <x:c r="C95" s="373"/>
      <x:c r="D95" s="373"/>
      <x:c r="E95" s="373"/>
      <x:c r="F95" s="373"/>
      <x:c r="G95" s="373"/>
      <x:c r="H95" s="373"/>
      <x:c r="I95" s="373"/>
      <x:c r="J95" s="373"/>
      <x:c r="K95" s="373"/>
      <x:c r="L95" s="373"/>
      <x:c r="M95" s="373"/>
      <x:c r="N95" s="373"/>
      <x:c r="O95" s="373"/>
      <x:c r="P95" s="373"/>
      <x:c r="Q95" s="373"/>
      <x:c r="R95" s="373"/>
      <x:c r="S95" s="373"/>
      <x:c r="T95" s="373"/>
      <x:c r="U95" s="373"/>
      <x:c r="V95" s="373"/>
      <x:c r="W95" s="373"/>
      <x:c r="X95" s="373"/>
      <x:c r="Y95" s="373"/>
      <x:c r="Z95" s="373"/>
    </x:row>
    <x:row r="96">
      <x:c r="A96" s="373"/>
      <x:c r="B96" s="373"/>
      <x:c r="C96" s="373"/>
      <x:c r="D96" s="373"/>
      <x:c r="E96" s="373"/>
      <x:c r="F96" s="373"/>
      <x:c r="G96" s="373"/>
      <x:c r="H96" s="373"/>
      <x:c r="I96" s="373"/>
      <x:c r="J96" s="373"/>
      <x:c r="K96" s="373"/>
      <x:c r="L96" s="373"/>
      <x:c r="M96" s="373"/>
      <x:c r="N96" s="373"/>
      <x:c r="O96" s="373"/>
      <x:c r="P96" s="373"/>
      <x:c r="Q96" s="373"/>
      <x:c r="R96" s="373"/>
      <x:c r="S96" s="373"/>
      <x:c r="T96" s="373"/>
      <x:c r="U96" s="373"/>
      <x:c r="V96" s="373"/>
      <x:c r="W96" s="373"/>
      <x:c r="X96" s="373"/>
      <x:c r="Y96" s="373"/>
      <x:c r="Z96" s="373"/>
    </x:row>
    <x:row r="97">
      <x:c r="A97" s="373"/>
      <x:c r="B97" s="373"/>
      <x:c r="C97" s="373"/>
      <x:c r="D97" s="373"/>
      <x:c r="E97" s="373"/>
      <x:c r="F97" s="373"/>
      <x:c r="G97" s="373"/>
      <x:c r="H97" s="373"/>
      <x:c r="I97" s="373"/>
      <x:c r="J97" s="373"/>
      <x:c r="K97" s="373"/>
      <x:c r="L97" s="373"/>
      <x:c r="M97" s="373"/>
      <x:c r="N97" s="373"/>
      <x:c r="O97" s="373"/>
      <x:c r="P97" s="373"/>
      <x:c r="Q97" s="373"/>
      <x:c r="R97" s="373"/>
      <x:c r="S97" s="373"/>
      <x:c r="T97" s="373"/>
      <x:c r="U97" s="373"/>
      <x:c r="V97" s="373"/>
      <x:c r="W97" s="373"/>
      <x:c r="X97" s="373"/>
      <x:c r="Y97" s="373"/>
      <x:c r="Z97" s="373"/>
    </x:row>
    <x:row r="98">
      <x:c r="A98" s="373"/>
      <x:c r="B98" s="373"/>
      <x:c r="C98" s="373"/>
      <x:c r="D98" s="373"/>
      <x:c r="E98" s="373"/>
      <x:c r="F98" s="373"/>
      <x:c r="G98" s="373"/>
      <x:c r="H98" s="373"/>
      <x:c r="I98" s="373"/>
      <x:c r="J98" s="373"/>
      <x:c r="K98" s="373"/>
      <x:c r="L98" s="373"/>
      <x:c r="M98" s="373"/>
      <x:c r="N98" s="373"/>
      <x:c r="O98" s="373"/>
      <x:c r="P98" s="373"/>
      <x:c r="Q98" s="373"/>
      <x:c r="R98" s="373"/>
      <x:c r="S98" s="373"/>
      <x:c r="T98" s="373"/>
      <x:c r="U98" s="373"/>
      <x:c r="V98" s="373"/>
      <x:c r="W98" s="373"/>
      <x:c r="X98" s="373"/>
      <x:c r="Y98" s="373"/>
      <x:c r="Z98" s="373"/>
    </x:row>
    <x:row r="99">
      <x:c r="A99" s="373"/>
      <x:c r="B99" s="373"/>
      <x:c r="C99" s="373"/>
      <x:c r="D99" s="373"/>
      <x:c r="E99" s="373"/>
      <x:c r="F99" s="373"/>
      <x:c r="G99" s="373"/>
      <x:c r="H99" s="373"/>
      <x:c r="I99" s="373"/>
      <x:c r="J99" s="373"/>
      <x:c r="K99" s="373"/>
      <x:c r="L99" s="373"/>
      <x:c r="M99" s="373"/>
      <x:c r="N99" s="373"/>
      <x:c r="O99" s="373"/>
      <x:c r="P99" s="373"/>
      <x:c r="Q99" s="373"/>
      <x:c r="R99" s="373"/>
      <x:c r="S99" s="373"/>
      <x:c r="T99" s="373"/>
      <x:c r="U99" s="373"/>
      <x:c r="V99" s="373"/>
      <x:c r="W99" s="373"/>
      <x:c r="X99" s="373"/>
      <x:c r="Y99" s="373"/>
      <x:c r="Z99" s="373"/>
    </x:row>
    <x:row r="100">
      <x:c r="A100" s="373"/>
      <x:c r="B100" s="373"/>
      <x:c r="C100" s="373"/>
      <x:c r="D100" s="373"/>
      <x:c r="E100" s="373"/>
      <x:c r="F100" s="373"/>
      <x:c r="G100" s="373"/>
      <x:c r="H100" s="373"/>
      <x:c r="I100" s="373"/>
      <x:c r="J100" s="373"/>
      <x:c r="K100" s="373"/>
      <x:c r="L100" s="373"/>
      <x:c r="M100" s="373"/>
      <x:c r="N100" s="373"/>
      <x:c r="O100" s="373"/>
      <x:c r="P100" s="373"/>
      <x:c r="Q100" s="373"/>
      <x:c r="R100" s="373"/>
      <x:c r="S100" s="373"/>
      <x:c r="T100" s="373"/>
      <x:c r="U100" s="373"/>
      <x:c r="V100" s="373"/>
      <x:c r="W100" s="373"/>
      <x:c r="X100" s="373"/>
      <x:c r="Y100" s="373"/>
      <x:c r="Z100" s="373"/>
    </x:row>
    <x:row r="101">
      <x:c r="A101" s="373"/>
      <x:c r="B101" s="373"/>
      <x:c r="C101" s="373"/>
      <x:c r="D101" s="373"/>
      <x:c r="E101" s="373"/>
      <x:c r="F101" s="373"/>
      <x:c r="G101" s="373"/>
      <x:c r="H101" s="373"/>
      <x:c r="I101" s="373"/>
      <x:c r="J101" s="373"/>
      <x:c r="K101" s="373"/>
      <x:c r="L101" s="373"/>
      <x:c r="M101" s="373"/>
      <x:c r="N101" s="373"/>
      <x:c r="O101" s="373"/>
      <x:c r="P101" s="373"/>
      <x:c r="Q101" s="373"/>
      <x:c r="R101" s="373"/>
      <x:c r="S101" s="373"/>
      <x:c r="T101" s="373"/>
      <x:c r="U101" s="373"/>
      <x:c r="V101" s="373"/>
      <x:c r="W101" s="373"/>
      <x:c r="X101" s="373"/>
      <x:c r="Y101" s="373"/>
      <x:c r="Z101" s="373"/>
    </x:row>
    <x:row r="102">
      <x:c r="A102" s="373"/>
      <x:c r="B102" s="373"/>
      <x:c r="C102" s="373"/>
      <x:c r="D102" s="373"/>
      <x:c r="E102" s="373"/>
      <x:c r="F102" s="373"/>
      <x:c r="G102" s="373"/>
      <x:c r="H102" s="373"/>
      <x:c r="I102" s="373"/>
      <x:c r="J102" s="373"/>
      <x:c r="K102" s="373"/>
      <x:c r="L102" s="373"/>
      <x:c r="M102" s="373"/>
      <x:c r="N102" s="373"/>
      <x:c r="O102" s="373"/>
      <x:c r="P102" s="373"/>
      <x:c r="Q102" s="373"/>
      <x:c r="R102" s="373"/>
      <x:c r="S102" s="373"/>
      <x:c r="T102" s="373"/>
      <x:c r="U102" s="373"/>
      <x:c r="V102" s="373"/>
      <x:c r="W102" s="373"/>
      <x:c r="X102" s="373"/>
      <x:c r="Y102" s="373"/>
      <x:c r="Z102" s="373"/>
    </x:row>
    <x:row r="103">
      <x:c r="A103" s="373"/>
      <x:c r="B103" s="373"/>
      <x:c r="C103" s="373"/>
      <x:c r="D103" s="373"/>
      <x:c r="E103" s="373"/>
      <x:c r="F103" s="373"/>
      <x:c r="G103" s="373"/>
      <x:c r="H103" s="373"/>
      <x:c r="I103" s="373"/>
      <x:c r="J103" s="373"/>
      <x:c r="K103" s="373"/>
      <x:c r="L103" s="373"/>
      <x:c r="M103" s="373"/>
      <x:c r="N103" s="373"/>
      <x:c r="O103" s="373"/>
      <x:c r="P103" s="373"/>
      <x:c r="Q103" s="373"/>
      <x:c r="R103" s="373"/>
      <x:c r="S103" s="373"/>
      <x:c r="T103" s="373"/>
      <x:c r="U103" s="373"/>
      <x:c r="V103" s="373"/>
      <x:c r="W103" s="373"/>
      <x:c r="X103" s="373"/>
      <x:c r="Y103" s="373"/>
      <x:c r="Z103" s="373"/>
    </x:row>
    <x:row r="104">
      <x:c r="A104" s="373"/>
      <x:c r="B104" s="373"/>
      <x:c r="C104" s="373"/>
      <x:c r="D104" s="373"/>
      <x:c r="E104" s="373"/>
      <x:c r="F104" s="373"/>
      <x:c r="G104" s="373"/>
      <x:c r="H104" s="373"/>
      <x:c r="I104" s="373"/>
      <x:c r="J104" s="373"/>
      <x:c r="K104" s="373"/>
      <x:c r="L104" s="373"/>
      <x:c r="M104" s="373"/>
      <x:c r="N104" s="373"/>
      <x:c r="O104" s="373"/>
      <x:c r="P104" s="373"/>
      <x:c r="Q104" s="373"/>
      <x:c r="R104" s="373"/>
      <x:c r="S104" s="373"/>
      <x:c r="T104" s="373"/>
      <x:c r="U104" s="373"/>
      <x:c r="V104" s="373"/>
      <x:c r="W104" s="373"/>
      <x:c r="X104" s="373"/>
      <x:c r="Y104" s="373"/>
      <x:c r="Z104" s="373"/>
    </x:row>
    <x:row r="105">
      <x:c r="A105" s="373"/>
      <x:c r="B105" s="373"/>
      <x:c r="C105" s="373"/>
      <x:c r="D105" s="373"/>
      <x:c r="E105" s="373"/>
      <x:c r="F105" s="373"/>
      <x:c r="G105" s="373"/>
      <x:c r="H105" s="373"/>
      <x:c r="I105" s="373"/>
      <x:c r="J105" s="373"/>
      <x:c r="K105" s="373"/>
      <x:c r="L105" s="373"/>
      <x:c r="M105" s="373"/>
      <x:c r="N105" s="373"/>
      <x:c r="O105" s="373"/>
      <x:c r="P105" s="373"/>
      <x:c r="Q105" s="373"/>
      <x:c r="R105" s="373"/>
      <x:c r="S105" s="373"/>
      <x:c r="T105" s="373"/>
      <x:c r="U105" s="373"/>
      <x:c r="V105" s="373"/>
      <x:c r="W105" s="373"/>
      <x:c r="X105" s="373"/>
      <x:c r="Y105" s="373"/>
      <x:c r="Z105" s="373"/>
    </x:row>
    <x:row r="106">
      <x:c r="A106" s="373"/>
      <x:c r="B106" s="373"/>
      <x:c r="C106" s="373"/>
      <x:c r="D106" s="373"/>
      <x:c r="E106" s="373"/>
      <x:c r="F106" s="373"/>
      <x:c r="G106" s="373"/>
      <x:c r="H106" s="373"/>
      <x:c r="I106" s="373"/>
      <x:c r="J106" s="373"/>
      <x:c r="K106" s="373"/>
      <x:c r="L106" s="373"/>
      <x:c r="M106" s="373"/>
      <x:c r="N106" s="373"/>
      <x:c r="O106" s="373"/>
      <x:c r="P106" s="373"/>
      <x:c r="Q106" s="373"/>
      <x:c r="R106" s="373"/>
      <x:c r="S106" s="373"/>
      <x:c r="T106" s="373"/>
      <x:c r="U106" s="373"/>
      <x:c r="V106" s="373"/>
      <x:c r="W106" s="373"/>
      <x:c r="X106" s="373"/>
      <x:c r="Y106" s="373"/>
      <x:c r="Z106" s="373"/>
    </x:row>
    <x:row r="107">
      <x:c r="A107" s="373"/>
      <x:c r="B107" s="373"/>
      <x:c r="C107" s="373"/>
      <x:c r="D107" s="373"/>
      <x:c r="E107" s="373"/>
      <x:c r="F107" s="373"/>
      <x:c r="G107" s="373"/>
      <x:c r="H107" s="373"/>
      <x:c r="I107" s="373"/>
      <x:c r="J107" s="373"/>
      <x:c r="K107" s="373"/>
      <x:c r="L107" s="373"/>
      <x:c r="M107" s="373"/>
      <x:c r="N107" s="373"/>
      <x:c r="O107" s="373"/>
      <x:c r="P107" s="373"/>
      <x:c r="Q107" s="373"/>
      <x:c r="R107" s="373"/>
      <x:c r="S107" s="373"/>
      <x:c r="T107" s="373"/>
      <x:c r="U107" s="373"/>
      <x:c r="V107" s="373"/>
      <x:c r="W107" s="373"/>
      <x:c r="X107" s="373"/>
      <x:c r="Y107" s="373"/>
      <x:c r="Z107" s="373"/>
    </x:row>
    <x:row r="108">
      <x:c r="A108" s="373"/>
      <x:c r="B108" s="373"/>
      <x:c r="C108" s="373"/>
      <x:c r="D108" s="373"/>
      <x:c r="E108" s="373"/>
      <x:c r="F108" s="373"/>
      <x:c r="G108" s="373"/>
      <x:c r="H108" s="373"/>
      <x:c r="I108" s="373"/>
      <x:c r="J108" s="373"/>
      <x:c r="K108" s="373"/>
      <x:c r="L108" s="373"/>
      <x:c r="M108" s="373"/>
      <x:c r="N108" s="373"/>
      <x:c r="O108" s="373"/>
      <x:c r="P108" s="373"/>
      <x:c r="Q108" s="373"/>
      <x:c r="R108" s="373"/>
      <x:c r="S108" s="373"/>
      <x:c r="T108" s="373"/>
      <x:c r="U108" s="373"/>
      <x:c r="V108" s="373"/>
      <x:c r="W108" s="373"/>
      <x:c r="X108" s="373"/>
      <x:c r="Y108" s="373"/>
      <x:c r="Z108" s="373"/>
    </x:row>
    <x:row r="109">
      <x:c r="A109" s="373"/>
      <x:c r="B109" s="373"/>
      <x:c r="C109" s="373"/>
      <x:c r="D109" s="373"/>
      <x:c r="E109" s="373"/>
      <x:c r="F109" s="373"/>
      <x:c r="G109" s="373"/>
      <x:c r="H109" s="373"/>
      <x:c r="I109" s="373"/>
      <x:c r="J109" s="373"/>
      <x:c r="K109" s="373"/>
      <x:c r="L109" s="373"/>
      <x:c r="M109" s="373"/>
      <x:c r="N109" s="373"/>
      <x:c r="O109" s="373"/>
      <x:c r="P109" s="373"/>
      <x:c r="Q109" s="373"/>
      <x:c r="R109" s="373"/>
      <x:c r="S109" s="373"/>
      <x:c r="T109" s="373"/>
      <x:c r="U109" s="373"/>
      <x:c r="V109" s="373"/>
      <x:c r="W109" s="373"/>
      <x:c r="X109" s="373"/>
      <x:c r="Y109" s="373"/>
      <x:c r="Z109" s="373"/>
    </x:row>
    <x:row r="110">
      <x:c r="A110" s="373"/>
      <x:c r="B110" s="373"/>
      <x:c r="C110" s="373"/>
      <x:c r="D110" s="373"/>
      <x:c r="E110" s="373"/>
      <x:c r="F110" s="373"/>
      <x:c r="G110" s="373"/>
      <x:c r="H110" s="373"/>
      <x:c r="I110" s="373"/>
      <x:c r="J110" s="373"/>
      <x:c r="K110" s="373"/>
      <x:c r="L110" s="373"/>
      <x:c r="M110" s="373"/>
      <x:c r="N110" s="373"/>
      <x:c r="O110" s="373"/>
      <x:c r="P110" s="373"/>
      <x:c r="Q110" s="373"/>
      <x:c r="R110" s="373"/>
      <x:c r="S110" s="373"/>
      <x:c r="T110" s="373"/>
      <x:c r="U110" s="373"/>
      <x:c r="V110" s="373"/>
      <x:c r="W110" s="373"/>
      <x:c r="X110" s="373"/>
      <x:c r="Y110" s="373"/>
      <x:c r="Z110" s="373"/>
    </x:row>
    <x:row r="111">
      <x:c r="A111" s="373"/>
      <x:c r="B111" s="373"/>
      <x:c r="C111" s="373"/>
      <x:c r="D111" s="373"/>
      <x:c r="E111" s="373"/>
      <x:c r="F111" s="373"/>
      <x:c r="G111" s="373"/>
      <x:c r="H111" s="373"/>
      <x:c r="I111" s="373"/>
      <x:c r="J111" s="373"/>
      <x:c r="K111" s="373"/>
      <x:c r="L111" s="373"/>
      <x:c r="M111" s="373"/>
      <x:c r="N111" s="373"/>
      <x:c r="O111" s="373"/>
      <x:c r="P111" s="373"/>
      <x:c r="Q111" s="373"/>
      <x:c r="R111" s="373"/>
      <x:c r="S111" s="373"/>
      <x:c r="T111" s="373"/>
      <x:c r="U111" s="373"/>
      <x:c r="V111" s="373"/>
      <x:c r="W111" s="373"/>
      <x:c r="X111" s="373"/>
      <x:c r="Y111" s="373"/>
      <x:c r="Z111" s="373"/>
    </x:row>
    <x:row r="112">
      <x:c r="A112" s="373"/>
      <x:c r="B112" s="373"/>
      <x:c r="C112" s="373"/>
      <x:c r="D112" s="373"/>
      <x:c r="E112" s="373"/>
      <x:c r="F112" s="373"/>
      <x:c r="G112" s="373"/>
      <x:c r="H112" s="373"/>
      <x:c r="I112" s="373"/>
      <x:c r="J112" s="373"/>
      <x:c r="K112" s="373"/>
      <x:c r="L112" s="373"/>
      <x:c r="M112" s="373"/>
      <x:c r="N112" s="373"/>
      <x:c r="O112" s="373"/>
      <x:c r="P112" s="373"/>
      <x:c r="Q112" s="373"/>
      <x:c r="R112" s="373"/>
      <x:c r="S112" s="373"/>
      <x:c r="T112" s="373"/>
      <x:c r="U112" s="373"/>
      <x:c r="V112" s="373"/>
      <x:c r="W112" s="373"/>
      <x:c r="X112" s="373"/>
      <x:c r="Y112" s="373"/>
      <x:c r="Z112" s="373"/>
    </x:row>
    <x:row r="113">
      <x:c r="A113" s="373"/>
      <x:c r="B113" s="373"/>
      <x:c r="C113" s="373"/>
      <x:c r="D113" s="373"/>
      <x:c r="E113" s="373"/>
      <x:c r="F113" s="373"/>
      <x:c r="G113" s="373"/>
      <x:c r="H113" s="373"/>
      <x:c r="I113" s="373"/>
      <x:c r="J113" s="373"/>
      <x:c r="K113" s="373"/>
      <x:c r="L113" s="373"/>
      <x:c r="M113" s="373"/>
      <x:c r="N113" s="373"/>
      <x:c r="O113" s="373"/>
      <x:c r="P113" s="373"/>
      <x:c r="Q113" s="373"/>
      <x:c r="R113" s="373"/>
      <x:c r="S113" s="373"/>
      <x:c r="T113" s="373"/>
      <x:c r="U113" s="373"/>
      <x:c r="V113" s="373"/>
      <x:c r="W113" s="373"/>
      <x:c r="X113" s="373"/>
      <x:c r="Y113" s="373"/>
      <x:c r="Z113" s="373"/>
    </x:row>
    <x:row r="114">
      <x:c r="A114" s="373"/>
      <x:c r="B114" s="373"/>
      <x:c r="C114" s="373"/>
      <x:c r="D114" s="373"/>
      <x:c r="E114" s="373"/>
      <x:c r="F114" s="373"/>
      <x:c r="G114" s="373"/>
      <x:c r="H114" s="373"/>
      <x:c r="I114" s="373"/>
      <x:c r="J114" s="373"/>
      <x:c r="K114" s="373"/>
      <x:c r="L114" s="373"/>
      <x:c r="M114" s="373"/>
      <x:c r="N114" s="373"/>
      <x:c r="O114" s="373"/>
      <x:c r="P114" s="373"/>
      <x:c r="Q114" s="373"/>
      <x:c r="R114" s="373"/>
      <x:c r="S114" s="373"/>
      <x:c r="T114" s="373"/>
      <x:c r="U114" s="373"/>
      <x:c r="V114" s="373"/>
      <x:c r="W114" s="373"/>
      <x:c r="X114" s="373"/>
      <x:c r="Y114" s="373"/>
      <x:c r="Z114" s="373"/>
    </x:row>
    <x:row r="115">
      <x:c r="A115" s="373"/>
      <x:c r="B115" s="373"/>
      <x:c r="C115" s="373"/>
      <x:c r="D115" s="373"/>
      <x:c r="E115" s="373"/>
      <x:c r="F115" s="373"/>
      <x:c r="G115" s="373"/>
      <x:c r="H115" s="373"/>
      <x:c r="I115" s="373"/>
      <x:c r="J115" s="373"/>
      <x:c r="K115" s="373"/>
      <x:c r="L115" s="373"/>
      <x:c r="M115" s="373"/>
      <x:c r="N115" s="373"/>
      <x:c r="O115" s="373"/>
      <x:c r="P115" s="373"/>
      <x:c r="Q115" s="373"/>
      <x:c r="R115" s="373"/>
      <x:c r="S115" s="373"/>
      <x:c r="T115" s="373"/>
      <x:c r="U115" s="373"/>
      <x:c r="V115" s="373"/>
      <x:c r="W115" s="373"/>
      <x:c r="X115" s="373"/>
      <x:c r="Y115" s="373"/>
      <x:c r="Z115" s="373"/>
    </x:row>
    <x:row r="116">
      <x:c r="A116" s="373"/>
      <x:c r="B116" s="373"/>
      <x:c r="C116" s="373"/>
      <x:c r="D116" s="373"/>
      <x:c r="E116" s="373"/>
      <x:c r="F116" s="373"/>
      <x:c r="G116" s="373"/>
      <x:c r="H116" s="373"/>
      <x:c r="I116" s="373"/>
      <x:c r="J116" s="373"/>
      <x:c r="K116" s="373"/>
      <x:c r="L116" s="373"/>
      <x:c r="M116" s="373"/>
      <x:c r="N116" s="373"/>
      <x:c r="O116" s="373"/>
      <x:c r="P116" s="373"/>
      <x:c r="Q116" s="373"/>
      <x:c r="R116" s="373"/>
      <x:c r="S116" s="373"/>
      <x:c r="T116" s="373"/>
      <x:c r="U116" s="373"/>
      <x:c r="V116" s="373"/>
      <x:c r="W116" s="373"/>
      <x:c r="X116" s="373"/>
      <x:c r="Y116" s="373"/>
      <x:c r="Z116" s="373"/>
    </x:row>
    <x:row r="117">
      <x:c r="A117" s="373"/>
      <x:c r="B117" s="373"/>
      <x:c r="C117" s="373"/>
      <x:c r="D117" s="373"/>
      <x:c r="E117" s="373"/>
      <x:c r="F117" s="373"/>
      <x:c r="G117" s="373"/>
      <x:c r="H117" s="373"/>
      <x:c r="I117" s="373"/>
      <x:c r="J117" s="373"/>
      <x:c r="K117" s="373"/>
      <x:c r="L117" s="373"/>
      <x:c r="M117" s="373"/>
      <x:c r="N117" s="373"/>
      <x:c r="O117" s="373"/>
      <x:c r="P117" s="373"/>
      <x:c r="Q117" s="373"/>
      <x:c r="R117" s="373"/>
      <x:c r="S117" s="373"/>
      <x:c r="T117" s="373"/>
      <x:c r="U117" s="373"/>
      <x:c r="V117" s="373"/>
      <x:c r="W117" s="373"/>
      <x:c r="X117" s="373"/>
      <x:c r="Y117" s="373"/>
      <x:c r="Z117" s="373"/>
    </x:row>
    <x:row r="118">
      <x:c r="A118" s="373"/>
      <x:c r="B118" s="373"/>
      <x:c r="C118" s="373"/>
      <x:c r="D118" s="373"/>
      <x:c r="E118" s="373"/>
      <x:c r="F118" s="373"/>
      <x:c r="G118" s="373"/>
      <x:c r="H118" s="373"/>
      <x:c r="I118" s="373"/>
      <x:c r="J118" s="373"/>
      <x:c r="K118" s="373"/>
      <x:c r="L118" s="373"/>
      <x:c r="M118" s="373"/>
      <x:c r="N118" s="373"/>
      <x:c r="O118" s="373"/>
      <x:c r="P118" s="373"/>
      <x:c r="Q118" s="373"/>
      <x:c r="R118" s="373"/>
      <x:c r="S118" s="373"/>
      <x:c r="T118" s="373"/>
      <x:c r="U118" s="373"/>
      <x:c r="V118" s="373"/>
      <x:c r="W118" s="373"/>
      <x:c r="X118" s="373"/>
      <x:c r="Y118" s="373"/>
      <x:c r="Z118" s="373"/>
    </x:row>
    <x:row r="119">
      <x:c r="A119" s="373"/>
      <x:c r="B119" s="373"/>
      <x:c r="C119" s="373"/>
      <x:c r="D119" s="373"/>
      <x:c r="E119" s="373"/>
      <x:c r="F119" s="373"/>
      <x:c r="G119" s="373"/>
      <x:c r="H119" s="373"/>
      <x:c r="I119" s="373"/>
      <x:c r="J119" s="373"/>
      <x:c r="K119" s="373"/>
      <x:c r="L119" s="373"/>
      <x:c r="M119" s="373"/>
      <x:c r="N119" s="373"/>
      <x:c r="O119" s="373"/>
      <x:c r="P119" s="373"/>
      <x:c r="Q119" s="373"/>
      <x:c r="R119" s="373"/>
      <x:c r="S119" s="373"/>
      <x:c r="T119" s="373"/>
      <x:c r="U119" s="373"/>
      <x:c r="V119" s="373"/>
      <x:c r="W119" s="373"/>
      <x:c r="X119" s="373"/>
      <x:c r="Y119" s="373"/>
      <x:c r="Z119" s="373"/>
    </x:row>
    <x:row r="120">
      <x:c r="A120" s="373"/>
      <x:c r="B120" s="373"/>
      <x:c r="C120" s="373"/>
      <x:c r="D120" s="373"/>
      <x:c r="E120" s="373"/>
      <x:c r="F120" s="373"/>
      <x:c r="G120" s="373"/>
      <x:c r="H120" s="373"/>
      <x:c r="I120" s="373"/>
      <x:c r="J120" s="373"/>
      <x:c r="K120" s="373"/>
      <x:c r="L120" s="373"/>
      <x:c r="M120" s="373"/>
      <x:c r="N120" s="373"/>
      <x:c r="O120" s="373"/>
      <x:c r="P120" s="373"/>
      <x:c r="Q120" s="373"/>
      <x:c r="R120" s="373"/>
      <x:c r="S120" s="373"/>
      <x:c r="T120" s="373"/>
      <x:c r="U120" s="373"/>
      <x:c r="V120" s="373"/>
      <x:c r="W120" s="373"/>
      <x:c r="X120" s="373"/>
      <x:c r="Y120" s="373"/>
      <x:c r="Z120" s="373"/>
    </x:row>
    <x:row r="121">
      <x:c r="A121" s="373"/>
      <x:c r="B121" s="373"/>
      <x:c r="C121" s="373"/>
      <x:c r="D121" s="373"/>
      <x:c r="E121" s="373"/>
      <x:c r="F121" s="373"/>
      <x:c r="G121" s="373"/>
      <x:c r="H121" s="373"/>
      <x:c r="I121" s="373"/>
      <x:c r="J121" s="373"/>
      <x:c r="K121" s="373"/>
      <x:c r="L121" s="373"/>
      <x:c r="M121" s="373"/>
      <x:c r="N121" s="373"/>
      <x:c r="O121" s="373"/>
      <x:c r="P121" s="373"/>
      <x:c r="Q121" s="373"/>
      <x:c r="R121" s="373"/>
      <x:c r="S121" s="373"/>
      <x:c r="T121" s="373"/>
      <x:c r="U121" s="373"/>
      <x:c r="V121" s="373"/>
      <x:c r="W121" s="373"/>
      <x:c r="X121" s="373"/>
      <x:c r="Y121" s="373"/>
      <x:c r="Z121" s="373"/>
    </x:row>
    <x:row r="122">
      <x:c r="A122" s="373"/>
      <x:c r="B122" s="373"/>
      <x:c r="C122" s="373"/>
      <x:c r="D122" s="373"/>
      <x:c r="E122" s="373"/>
      <x:c r="F122" s="373"/>
      <x:c r="G122" s="373"/>
      <x:c r="H122" s="373"/>
      <x:c r="I122" s="373"/>
      <x:c r="J122" s="373"/>
      <x:c r="K122" s="373"/>
      <x:c r="L122" s="373"/>
      <x:c r="M122" s="373"/>
      <x:c r="N122" s="373"/>
      <x:c r="O122" s="373"/>
      <x:c r="P122" s="373"/>
      <x:c r="Q122" s="373"/>
      <x:c r="R122" s="373"/>
      <x:c r="S122" s="373"/>
      <x:c r="T122" s="373"/>
      <x:c r="U122" s="373"/>
      <x:c r="V122" s="373"/>
      <x:c r="W122" s="373"/>
      <x:c r="X122" s="373"/>
      <x:c r="Y122" s="373"/>
      <x:c r="Z122" s="373"/>
    </x:row>
    <x:row r="123">
      <x:c r="A123" s="373"/>
      <x:c r="B123" s="373"/>
      <x:c r="C123" s="373"/>
      <x:c r="D123" s="373"/>
      <x:c r="E123" s="373"/>
      <x:c r="F123" s="373"/>
      <x:c r="G123" s="373"/>
      <x:c r="H123" s="373"/>
      <x:c r="I123" s="373"/>
      <x:c r="J123" s="373"/>
      <x:c r="K123" s="373"/>
      <x:c r="L123" s="373"/>
      <x:c r="M123" s="373"/>
      <x:c r="N123" s="373"/>
      <x:c r="O123" s="373"/>
      <x:c r="P123" s="373"/>
      <x:c r="Q123" s="373"/>
      <x:c r="R123" s="373"/>
      <x:c r="S123" s="373"/>
      <x:c r="T123" s="373"/>
      <x:c r="U123" s="373"/>
      <x:c r="V123" s="373"/>
      <x:c r="W123" s="373"/>
      <x:c r="X123" s="373"/>
      <x:c r="Y123" s="373"/>
      <x:c r="Z123" s="373"/>
    </x:row>
    <x:row r="124">
      <x:c r="A124" s="373"/>
      <x:c r="B124" s="373"/>
      <x:c r="C124" s="373"/>
      <x:c r="D124" s="373"/>
      <x:c r="E124" s="373"/>
      <x:c r="F124" s="373"/>
      <x:c r="G124" s="373"/>
      <x:c r="H124" s="373"/>
      <x:c r="I124" s="373"/>
      <x:c r="J124" s="373"/>
      <x:c r="K124" s="373"/>
      <x:c r="L124" s="373"/>
      <x:c r="M124" s="373"/>
      <x:c r="N124" s="373"/>
      <x:c r="O124" s="373"/>
      <x:c r="P124" s="373"/>
      <x:c r="Q124" s="373"/>
      <x:c r="R124" s="373"/>
      <x:c r="S124" s="373"/>
      <x:c r="T124" s="373"/>
      <x:c r="U124" s="373"/>
      <x:c r="V124" s="373"/>
      <x:c r="W124" s="373"/>
      <x:c r="X124" s="373"/>
      <x:c r="Y124" s="373"/>
      <x:c r="Z124" s="373"/>
    </x:row>
    <x:row r="125">
      <x:c r="A125" s="373"/>
      <x:c r="B125" s="373"/>
      <x:c r="C125" s="373"/>
      <x:c r="D125" s="373"/>
      <x:c r="E125" s="373"/>
      <x:c r="F125" s="373"/>
      <x:c r="G125" s="373"/>
      <x:c r="H125" s="373"/>
      <x:c r="I125" s="373"/>
      <x:c r="J125" s="373"/>
      <x:c r="K125" s="373"/>
      <x:c r="L125" s="373"/>
      <x:c r="M125" s="373"/>
      <x:c r="N125" s="373"/>
      <x:c r="O125" s="373"/>
      <x:c r="P125" s="373"/>
      <x:c r="Q125" s="373"/>
      <x:c r="R125" s="373"/>
      <x:c r="S125" s="373"/>
      <x:c r="T125" s="373"/>
      <x:c r="U125" s="373"/>
      <x:c r="V125" s="373"/>
      <x:c r="W125" s="373"/>
      <x:c r="X125" s="373"/>
      <x:c r="Y125" s="373"/>
      <x:c r="Z125" s="373"/>
    </x:row>
    <x:row r="126">
      <x:c r="A126" s="373"/>
      <x:c r="B126" s="373"/>
      <x:c r="C126" s="373"/>
      <x:c r="D126" s="373"/>
      <x:c r="E126" s="373"/>
      <x:c r="F126" s="373"/>
      <x:c r="G126" s="373"/>
      <x:c r="H126" s="373"/>
      <x:c r="I126" s="373"/>
      <x:c r="J126" s="373"/>
      <x:c r="K126" s="373"/>
      <x:c r="L126" s="373"/>
      <x:c r="M126" s="373"/>
      <x:c r="N126" s="373"/>
      <x:c r="O126" s="373"/>
      <x:c r="P126" s="373"/>
      <x:c r="Q126" s="373"/>
      <x:c r="R126" s="373"/>
      <x:c r="S126" s="373"/>
      <x:c r="T126" s="373"/>
      <x:c r="U126" s="373"/>
      <x:c r="V126" s="373"/>
      <x:c r="W126" s="373"/>
      <x:c r="X126" s="373"/>
      <x:c r="Y126" s="373"/>
      <x:c r="Z126" s="373"/>
    </x:row>
    <x:row r="127">
      <x:c r="A127" s="373"/>
      <x:c r="B127" s="373"/>
      <x:c r="C127" s="373"/>
      <x:c r="D127" s="373"/>
      <x:c r="E127" s="373"/>
      <x:c r="F127" s="373"/>
      <x:c r="G127" s="373"/>
      <x:c r="H127" s="373"/>
      <x:c r="I127" s="373"/>
      <x:c r="J127" s="373"/>
      <x:c r="K127" s="373"/>
      <x:c r="L127" s="373"/>
      <x:c r="M127" s="373"/>
      <x:c r="N127" s="373"/>
      <x:c r="O127" s="373"/>
      <x:c r="P127" s="373"/>
      <x:c r="Q127" s="373"/>
      <x:c r="R127" s="373"/>
      <x:c r="S127" s="373"/>
      <x:c r="T127" s="373"/>
      <x:c r="U127" s="373"/>
      <x:c r="V127" s="373"/>
      <x:c r="W127" s="373"/>
      <x:c r="X127" s="373"/>
      <x:c r="Y127" s="373"/>
      <x:c r="Z127" s="373"/>
    </x:row>
    <x:row r="128">
      <x:c r="A128" s="373"/>
      <x:c r="B128" s="373"/>
      <x:c r="C128" s="373"/>
      <x:c r="D128" s="373"/>
      <x:c r="E128" s="373"/>
      <x:c r="F128" s="373"/>
      <x:c r="G128" s="373"/>
      <x:c r="H128" s="373"/>
      <x:c r="I128" s="373"/>
      <x:c r="J128" s="373"/>
      <x:c r="K128" s="373"/>
      <x:c r="L128" s="373"/>
      <x:c r="M128" s="373"/>
      <x:c r="N128" s="373"/>
      <x:c r="O128" s="373"/>
      <x:c r="P128" s="373"/>
      <x:c r="Q128" s="373"/>
      <x:c r="R128" s="373"/>
      <x:c r="S128" s="373"/>
      <x:c r="T128" s="373"/>
      <x:c r="U128" s="373"/>
      <x:c r="V128" s="373"/>
      <x:c r="W128" s="373"/>
      <x:c r="X128" s="373"/>
      <x:c r="Y128" s="373"/>
      <x:c r="Z128" s="373"/>
    </x:row>
    <x:row r="129">
      <x:c r="A129" s="373"/>
      <x:c r="B129" s="373"/>
      <x:c r="C129" s="373"/>
      <x:c r="D129" s="373"/>
      <x:c r="E129" s="373"/>
      <x:c r="F129" s="373"/>
      <x:c r="G129" s="373"/>
      <x:c r="H129" s="373"/>
      <x:c r="I129" s="373"/>
      <x:c r="J129" s="373"/>
      <x:c r="K129" s="373"/>
      <x:c r="L129" s="373"/>
      <x:c r="M129" s="373"/>
      <x:c r="N129" s="373"/>
      <x:c r="O129" s="373"/>
      <x:c r="P129" s="373"/>
      <x:c r="Q129" s="373"/>
      <x:c r="R129" s="373"/>
      <x:c r="S129" s="373"/>
      <x:c r="T129" s="373"/>
      <x:c r="U129" s="373"/>
      <x:c r="V129" s="373"/>
      <x:c r="W129" s="373"/>
      <x:c r="X129" s="373"/>
      <x:c r="Y129" s="373"/>
      <x:c r="Z129" s="373"/>
    </x:row>
    <x:row r="130">
      <x:c r="A130" s="373"/>
      <x:c r="B130" s="373"/>
      <x:c r="C130" s="373"/>
      <x:c r="D130" s="373"/>
      <x:c r="E130" s="373"/>
      <x:c r="F130" s="373"/>
      <x:c r="G130" s="373"/>
      <x:c r="H130" s="373"/>
      <x:c r="I130" s="373"/>
      <x:c r="J130" s="373"/>
      <x:c r="K130" s="373"/>
      <x:c r="L130" s="373"/>
      <x:c r="M130" s="373"/>
      <x:c r="N130" s="373"/>
      <x:c r="O130" s="373"/>
      <x:c r="P130" s="373"/>
      <x:c r="Q130" s="373"/>
      <x:c r="R130" s="373"/>
      <x:c r="S130" s="373"/>
      <x:c r="T130" s="373"/>
      <x:c r="U130" s="373"/>
      <x:c r="V130" s="373"/>
      <x:c r="W130" s="373"/>
      <x:c r="X130" s="373"/>
      <x:c r="Y130" s="373"/>
      <x:c r="Z130" s="373"/>
    </x:row>
    <x:row r="131">
      <x:c r="A131" s="373"/>
      <x:c r="B131" s="373"/>
      <x:c r="C131" s="373"/>
      <x:c r="D131" s="373"/>
      <x:c r="E131" s="373"/>
      <x:c r="F131" s="373"/>
      <x:c r="G131" s="373"/>
      <x:c r="H131" s="373"/>
      <x:c r="I131" s="373"/>
      <x:c r="J131" s="373"/>
      <x:c r="K131" s="373"/>
      <x:c r="L131" s="373"/>
      <x:c r="M131" s="373"/>
      <x:c r="N131" s="373"/>
      <x:c r="O131" s="373"/>
      <x:c r="P131" s="373"/>
      <x:c r="Q131" s="373"/>
      <x:c r="R131" s="373"/>
      <x:c r="S131" s="373"/>
      <x:c r="T131" s="373"/>
      <x:c r="U131" s="373"/>
      <x:c r="V131" s="373"/>
      <x:c r="W131" s="373"/>
      <x:c r="X131" s="373"/>
      <x:c r="Y131" s="373"/>
      <x:c r="Z131" s="373"/>
    </x:row>
    <x:row r="132">
      <x:c r="A132" s="373"/>
      <x:c r="B132" s="373"/>
      <x:c r="C132" s="373"/>
      <x:c r="D132" s="373"/>
      <x:c r="E132" s="373"/>
      <x:c r="F132" s="373"/>
      <x:c r="G132" s="373"/>
      <x:c r="H132" s="373"/>
      <x:c r="I132" s="373"/>
      <x:c r="J132" s="373"/>
      <x:c r="K132" s="373"/>
      <x:c r="L132" s="373"/>
      <x:c r="M132" s="373"/>
      <x:c r="N132" s="373"/>
      <x:c r="O132" s="373"/>
      <x:c r="P132" s="373"/>
      <x:c r="Q132" s="373"/>
      <x:c r="R132" s="373"/>
      <x:c r="S132" s="373"/>
      <x:c r="T132" s="373"/>
      <x:c r="U132" s="373"/>
      <x:c r="V132" s="373"/>
      <x:c r="W132" s="373"/>
      <x:c r="X132" s="373"/>
      <x:c r="Y132" s="373"/>
      <x:c r="Z132" s="373"/>
    </x:row>
    <x:row r="133">
      <x:c r="A133" s="373"/>
      <x:c r="B133" s="373"/>
      <x:c r="C133" s="373"/>
      <x:c r="D133" s="373"/>
      <x:c r="E133" s="373"/>
      <x:c r="F133" s="373"/>
      <x:c r="G133" s="373"/>
      <x:c r="H133" s="373"/>
      <x:c r="I133" s="373"/>
      <x:c r="J133" s="373"/>
      <x:c r="K133" s="373"/>
      <x:c r="L133" s="373"/>
      <x:c r="M133" s="373"/>
      <x:c r="N133" s="373"/>
      <x:c r="O133" s="373"/>
      <x:c r="P133" s="373"/>
      <x:c r="Q133" s="373"/>
      <x:c r="R133" s="373"/>
      <x:c r="S133" s="373"/>
      <x:c r="T133" s="373"/>
      <x:c r="U133" s="373"/>
      <x:c r="V133" s="373"/>
      <x:c r="W133" s="373"/>
      <x:c r="X133" s="373"/>
      <x:c r="Y133" s="373"/>
      <x:c r="Z133" s="373"/>
    </x:row>
    <x:row r="134">
      <x:c r="A134" s="373"/>
      <x:c r="B134" s="373"/>
      <x:c r="C134" s="373"/>
      <x:c r="D134" s="373"/>
      <x:c r="E134" s="373"/>
      <x:c r="F134" s="373"/>
      <x:c r="G134" s="373"/>
      <x:c r="H134" s="373"/>
      <x:c r="I134" s="373"/>
      <x:c r="J134" s="373"/>
      <x:c r="K134" s="373"/>
      <x:c r="L134" s="373"/>
      <x:c r="M134" s="373"/>
      <x:c r="N134" s="373"/>
      <x:c r="O134" s="373"/>
      <x:c r="P134" s="373"/>
      <x:c r="Q134" s="373"/>
      <x:c r="R134" s="373"/>
      <x:c r="S134" s="373"/>
      <x:c r="T134" s="373"/>
      <x:c r="U134" s="373"/>
      <x:c r="V134" s="373"/>
      <x:c r="W134" s="373"/>
      <x:c r="X134" s="373"/>
      <x:c r="Y134" s="373"/>
      <x:c r="Z134" s="373"/>
    </x:row>
    <x:row r="135">
      <x:c r="A135" s="373"/>
      <x:c r="B135" s="373"/>
      <x:c r="C135" s="373"/>
      <x:c r="D135" s="373"/>
      <x:c r="E135" s="373"/>
      <x:c r="F135" s="373"/>
      <x:c r="G135" s="373"/>
      <x:c r="H135" s="373"/>
      <x:c r="I135" s="373"/>
      <x:c r="J135" s="373"/>
      <x:c r="K135" s="373"/>
      <x:c r="L135" s="373"/>
      <x:c r="M135" s="373"/>
      <x:c r="N135" s="373"/>
      <x:c r="O135" s="373"/>
      <x:c r="P135" s="373"/>
      <x:c r="Q135" s="373"/>
      <x:c r="R135" s="373"/>
      <x:c r="S135" s="373"/>
      <x:c r="T135" s="373"/>
      <x:c r="U135" s="373"/>
      <x:c r="V135" s="373"/>
      <x:c r="W135" s="373"/>
      <x:c r="X135" s="373"/>
      <x:c r="Y135" s="373"/>
      <x:c r="Z135" s="373"/>
    </x:row>
    <x:row r="136">
      <x:c r="A136" s="373"/>
      <x:c r="B136" s="373"/>
      <x:c r="C136" s="373"/>
      <x:c r="D136" s="373"/>
      <x:c r="E136" s="373"/>
      <x:c r="F136" s="373"/>
      <x:c r="G136" s="373"/>
      <x:c r="H136" s="373"/>
      <x:c r="I136" s="373"/>
      <x:c r="J136" s="373"/>
      <x:c r="K136" s="373"/>
      <x:c r="L136" s="373"/>
      <x:c r="M136" s="373"/>
      <x:c r="N136" s="373"/>
      <x:c r="O136" s="373"/>
      <x:c r="P136" s="373"/>
      <x:c r="Q136" s="373"/>
      <x:c r="R136" s="373"/>
      <x:c r="S136" s="373"/>
      <x:c r="T136" s="373"/>
      <x:c r="U136" s="373"/>
      <x:c r="V136" s="373"/>
      <x:c r="W136" s="373"/>
      <x:c r="X136" s="373"/>
      <x:c r="Y136" s="373"/>
      <x:c r="Z136" s="373"/>
    </x:row>
    <x:row r="137">
      <x:c r="A137" s="373"/>
      <x:c r="B137" s="373"/>
      <x:c r="C137" s="373"/>
      <x:c r="D137" s="373"/>
      <x:c r="E137" s="373"/>
      <x:c r="F137" s="373"/>
      <x:c r="G137" s="373"/>
      <x:c r="H137" s="373"/>
      <x:c r="I137" s="373"/>
      <x:c r="J137" s="373"/>
      <x:c r="K137" s="373"/>
      <x:c r="L137" s="373"/>
      <x:c r="M137" s="373"/>
      <x:c r="N137" s="373"/>
      <x:c r="O137" s="373"/>
      <x:c r="P137" s="373"/>
      <x:c r="Q137" s="373"/>
      <x:c r="R137" s="373"/>
      <x:c r="S137" s="373"/>
      <x:c r="T137" s="373"/>
      <x:c r="U137" s="373"/>
      <x:c r="V137" s="373"/>
      <x:c r="W137" s="373"/>
      <x:c r="X137" s="373"/>
      <x:c r="Y137" s="373"/>
      <x:c r="Z137" s="373"/>
    </x:row>
    <x:row r="138">
      <x:c r="A138" s="373"/>
      <x:c r="B138" s="373"/>
      <x:c r="C138" s="373"/>
      <x:c r="D138" s="373"/>
      <x:c r="E138" s="373"/>
      <x:c r="F138" s="373"/>
      <x:c r="G138" s="373"/>
      <x:c r="H138" s="373"/>
      <x:c r="I138" s="373"/>
      <x:c r="J138" s="373"/>
      <x:c r="K138" s="373"/>
      <x:c r="L138" s="373"/>
      <x:c r="M138" s="373"/>
      <x:c r="N138" s="373"/>
      <x:c r="O138" s="373"/>
      <x:c r="P138" s="373"/>
      <x:c r="Q138" s="373"/>
      <x:c r="R138" s="373"/>
      <x:c r="S138" s="373"/>
      <x:c r="T138" s="373"/>
      <x:c r="U138" s="373"/>
      <x:c r="V138" s="373"/>
      <x:c r="W138" s="373"/>
      <x:c r="X138" s="373"/>
      <x:c r="Y138" s="373"/>
      <x:c r="Z138" s="373"/>
    </x:row>
    <x:row r="139">
      <x:c r="A139" s="373"/>
      <x:c r="B139" s="373"/>
      <x:c r="C139" s="373"/>
      <x:c r="D139" s="373"/>
      <x:c r="E139" s="373"/>
      <x:c r="F139" s="373"/>
      <x:c r="G139" s="373"/>
      <x:c r="H139" s="373"/>
      <x:c r="I139" s="373"/>
      <x:c r="J139" s="373"/>
      <x:c r="K139" s="373"/>
      <x:c r="L139" s="373"/>
      <x:c r="M139" s="373"/>
      <x:c r="N139" s="373"/>
      <x:c r="O139" s="373"/>
      <x:c r="P139" s="373"/>
      <x:c r="Q139" s="373"/>
      <x:c r="R139" s="373"/>
      <x:c r="S139" s="373"/>
      <x:c r="T139" s="373"/>
      <x:c r="U139" s="373"/>
      <x:c r="V139" s="373"/>
      <x:c r="W139" s="373"/>
      <x:c r="X139" s="373"/>
      <x:c r="Y139" s="373"/>
      <x:c r="Z139" s="373"/>
    </x:row>
    <x:row r="140">
      <x:c r="A140" s="373"/>
      <x:c r="B140" s="373"/>
      <x:c r="C140" s="373"/>
      <x:c r="D140" s="373"/>
      <x:c r="E140" s="373"/>
      <x:c r="F140" s="373"/>
      <x:c r="G140" s="373"/>
      <x:c r="H140" s="373"/>
      <x:c r="I140" s="373"/>
      <x:c r="J140" s="373"/>
      <x:c r="K140" s="373"/>
      <x:c r="L140" s="373"/>
      <x:c r="M140" s="373"/>
      <x:c r="N140" s="373"/>
      <x:c r="O140" s="373"/>
      <x:c r="P140" s="373"/>
      <x:c r="Q140" s="373"/>
      <x:c r="R140" s="373"/>
      <x:c r="S140" s="373"/>
      <x:c r="T140" s="373"/>
      <x:c r="U140" s="373"/>
      <x:c r="V140" s="373"/>
      <x:c r="W140" s="373"/>
      <x:c r="X140" s="373"/>
      <x:c r="Y140" s="373"/>
      <x:c r="Z140" s="373"/>
    </x:row>
    <x:row r="141">
      <x:c r="A141" s="373"/>
      <x:c r="B141" s="373"/>
      <x:c r="C141" s="373"/>
      <x:c r="D141" s="373"/>
      <x:c r="E141" s="373"/>
      <x:c r="F141" s="373"/>
      <x:c r="G141" s="373"/>
      <x:c r="H141" s="373"/>
      <x:c r="I141" s="373"/>
      <x:c r="J141" s="373"/>
      <x:c r="K141" s="373"/>
      <x:c r="L141" s="373"/>
      <x:c r="M141" s="373"/>
      <x:c r="N141" s="373"/>
      <x:c r="O141" s="373"/>
      <x:c r="P141" s="373"/>
      <x:c r="Q141" s="373"/>
      <x:c r="R141" s="373"/>
      <x:c r="S141" s="373"/>
      <x:c r="T141" s="373"/>
      <x:c r="U141" s="373"/>
      <x:c r="V141" s="373"/>
      <x:c r="W141" s="373"/>
      <x:c r="X141" s="373"/>
      <x:c r="Y141" s="373"/>
      <x:c r="Z141" s="373"/>
    </x:row>
    <x:row r="142">
      <x:c r="A142" s="373"/>
      <x:c r="B142" s="373"/>
      <x:c r="C142" s="373"/>
      <x:c r="D142" s="373"/>
      <x:c r="E142" s="373"/>
      <x:c r="F142" s="373"/>
      <x:c r="G142" s="373"/>
      <x:c r="H142" s="373"/>
      <x:c r="I142" s="373"/>
      <x:c r="J142" s="373"/>
      <x:c r="K142" s="373"/>
      <x:c r="L142" s="373"/>
      <x:c r="M142" s="373"/>
      <x:c r="N142" s="373"/>
      <x:c r="O142" s="373"/>
      <x:c r="P142" s="373"/>
      <x:c r="Q142" s="373"/>
      <x:c r="R142" s="373"/>
      <x:c r="S142" s="373"/>
      <x:c r="T142" s="373"/>
      <x:c r="U142" s="373"/>
      <x:c r="V142" s="373"/>
      <x:c r="W142" s="373"/>
      <x:c r="X142" s="373"/>
      <x:c r="Y142" s="373"/>
      <x:c r="Z142" s="373"/>
    </x:row>
    <x:row r="143">
      <x:c r="A143" s="373"/>
      <x:c r="B143" s="373"/>
      <x:c r="C143" s="373"/>
      <x:c r="D143" s="373"/>
      <x:c r="E143" s="373"/>
      <x:c r="F143" s="373"/>
      <x:c r="G143" s="373"/>
      <x:c r="H143" s="373"/>
      <x:c r="I143" s="373"/>
      <x:c r="J143" s="373"/>
      <x:c r="K143" s="373"/>
      <x:c r="L143" s="373"/>
      <x:c r="M143" s="373"/>
      <x:c r="N143" s="373"/>
      <x:c r="O143" s="373"/>
      <x:c r="P143" s="373"/>
      <x:c r="Q143" s="373"/>
      <x:c r="R143" s="373"/>
      <x:c r="S143" s="373"/>
      <x:c r="T143" s="373"/>
      <x:c r="U143" s="373"/>
      <x:c r="V143" s="373"/>
      <x:c r="W143" s="373"/>
      <x:c r="X143" s="373"/>
      <x:c r="Y143" s="373"/>
      <x:c r="Z143" s="373"/>
    </x:row>
    <x:row r="144">
      <x:c r="A144" s="373"/>
      <x:c r="B144" s="373"/>
      <x:c r="C144" s="373"/>
      <x:c r="D144" s="373"/>
      <x:c r="E144" s="373"/>
      <x:c r="F144" s="373"/>
      <x:c r="G144" s="373"/>
      <x:c r="H144" s="373"/>
      <x:c r="I144" s="373"/>
      <x:c r="J144" s="373"/>
      <x:c r="K144" s="373"/>
      <x:c r="L144" s="373"/>
      <x:c r="M144" s="373"/>
      <x:c r="N144" s="373"/>
      <x:c r="O144" s="373"/>
      <x:c r="P144" s="373"/>
      <x:c r="Q144" s="373"/>
      <x:c r="R144" s="373"/>
      <x:c r="S144" s="373"/>
      <x:c r="T144" s="373"/>
      <x:c r="U144" s="373"/>
      <x:c r="V144" s="373"/>
      <x:c r="W144" s="373"/>
      <x:c r="X144" s="373"/>
      <x:c r="Y144" s="373"/>
      <x:c r="Z144" s="373"/>
    </x:row>
    <x:row r="145">
      <x:c r="A145" s="373"/>
      <x:c r="B145" s="373"/>
      <x:c r="C145" s="373"/>
      <x:c r="D145" s="373"/>
      <x:c r="E145" s="373"/>
      <x:c r="F145" s="373"/>
      <x:c r="G145" s="373"/>
      <x:c r="H145" s="373"/>
      <x:c r="I145" s="373"/>
      <x:c r="J145" s="373"/>
      <x:c r="K145" s="373"/>
      <x:c r="L145" s="373"/>
      <x:c r="M145" s="373"/>
      <x:c r="N145" s="373"/>
      <x:c r="O145" s="373"/>
      <x:c r="P145" s="373"/>
      <x:c r="Q145" s="373"/>
      <x:c r="R145" s="373"/>
      <x:c r="S145" s="373"/>
      <x:c r="T145" s="373"/>
      <x:c r="U145" s="373"/>
      <x:c r="V145" s="373"/>
      <x:c r="W145" s="373"/>
      <x:c r="X145" s="373"/>
      <x:c r="Y145" s="373"/>
      <x:c r="Z145" s="373"/>
    </x:row>
    <x:row r="146">
      <x:c r="A146" s="373"/>
      <x:c r="B146" s="373"/>
      <x:c r="C146" s="373"/>
      <x:c r="D146" s="373"/>
      <x:c r="E146" s="373"/>
      <x:c r="F146" s="373"/>
      <x:c r="G146" s="373"/>
      <x:c r="H146" s="373"/>
      <x:c r="I146" s="373"/>
      <x:c r="J146" s="373"/>
      <x:c r="K146" s="373"/>
      <x:c r="L146" s="373"/>
      <x:c r="M146" s="373"/>
      <x:c r="N146" s="373"/>
      <x:c r="O146" s="373"/>
      <x:c r="P146" s="373"/>
      <x:c r="Q146" s="373"/>
      <x:c r="R146" s="373"/>
      <x:c r="S146" s="373"/>
      <x:c r="T146" s="373"/>
      <x:c r="U146" s="373"/>
      <x:c r="V146" s="373"/>
      <x:c r="W146" s="373"/>
      <x:c r="X146" s="373"/>
      <x:c r="Y146" s="373"/>
      <x:c r="Z146" s="373"/>
    </x:row>
    <x:row r="147">
      <x:c r="A147" s="373"/>
      <x:c r="B147" s="373"/>
      <x:c r="C147" s="373"/>
      <x:c r="D147" s="373"/>
      <x:c r="E147" s="373"/>
      <x:c r="F147" s="373"/>
      <x:c r="G147" s="373"/>
      <x:c r="H147" s="373"/>
      <x:c r="I147" s="373"/>
      <x:c r="J147" s="373"/>
      <x:c r="K147" s="373"/>
      <x:c r="L147" s="373"/>
      <x:c r="M147" s="373"/>
      <x:c r="N147" s="373"/>
      <x:c r="O147" s="373"/>
      <x:c r="P147" s="373"/>
      <x:c r="Q147" s="373"/>
      <x:c r="R147" s="373"/>
      <x:c r="S147" s="373"/>
      <x:c r="T147" s="373"/>
      <x:c r="U147" s="373"/>
      <x:c r="V147" s="373"/>
      <x:c r="W147" s="373"/>
      <x:c r="X147" s="373"/>
      <x:c r="Y147" s="373"/>
      <x:c r="Z147" s="373"/>
    </x:row>
    <x:row r="148">
      <x:c r="A148" s="373"/>
      <x:c r="B148" s="373"/>
      <x:c r="C148" s="373"/>
      <x:c r="D148" s="373"/>
      <x:c r="E148" s="373"/>
      <x:c r="F148" s="373"/>
      <x:c r="G148" s="373"/>
      <x:c r="H148" s="373"/>
      <x:c r="I148" s="373"/>
      <x:c r="J148" s="373"/>
      <x:c r="K148" s="373"/>
      <x:c r="L148" s="373"/>
      <x:c r="M148" s="373"/>
      <x:c r="N148" s="373"/>
      <x:c r="O148" s="373"/>
      <x:c r="P148" s="373"/>
      <x:c r="Q148" s="373"/>
      <x:c r="R148" s="373"/>
      <x:c r="S148" s="373"/>
      <x:c r="T148" s="373"/>
      <x:c r="U148" s="373"/>
      <x:c r="V148" s="373"/>
      <x:c r="W148" s="373"/>
      <x:c r="X148" s="373"/>
      <x:c r="Y148" s="373"/>
      <x:c r="Z148" s="373"/>
    </x:row>
    <x:row r="149">
      <x:c r="A149" s="373"/>
      <x:c r="B149" s="373"/>
      <x:c r="C149" s="373"/>
      <x:c r="D149" s="373"/>
      <x:c r="E149" s="373"/>
      <x:c r="F149" s="373"/>
      <x:c r="G149" s="373"/>
      <x:c r="H149" s="373"/>
      <x:c r="I149" s="373"/>
      <x:c r="J149" s="373"/>
      <x:c r="K149" s="373"/>
      <x:c r="L149" s="373"/>
      <x:c r="M149" s="373"/>
      <x:c r="N149" s="373"/>
      <x:c r="O149" s="373"/>
      <x:c r="P149" s="373"/>
      <x:c r="Q149" s="373"/>
      <x:c r="R149" s="373"/>
      <x:c r="S149" s="373"/>
      <x:c r="T149" s="373"/>
      <x:c r="U149" s="373"/>
      <x:c r="V149" s="373"/>
      <x:c r="W149" s="373"/>
      <x:c r="X149" s="373"/>
      <x:c r="Y149" s="373"/>
      <x:c r="Z149" s="373"/>
    </x:row>
    <x:row r="150">
      <x:c r="A150" s="373"/>
      <x:c r="B150" s="373"/>
      <x:c r="C150" s="373"/>
      <x:c r="D150" s="373"/>
      <x:c r="E150" s="373"/>
      <x:c r="F150" s="373"/>
      <x:c r="G150" s="373"/>
      <x:c r="H150" s="373"/>
      <x:c r="I150" s="373"/>
      <x:c r="J150" s="373"/>
      <x:c r="K150" s="373"/>
      <x:c r="L150" s="373"/>
      <x:c r="M150" s="373"/>
      <x:c r="N150" s="373"/>
      <x:c r="O150" s="373"/>
      <x:c r="P150" s="373"/>
      <x:c r="Q150" s="373"/>
      <x:c r="R150" s="373"/>
      <x:c r="S150" s="373"/>
      <x:c r="T150" s="373"/>
      <x:c r="U150" s="373"/>
      <x:c r="V150" s="373"/>
      <x:c r="W150" s="373"/>
      <x:c r="X150" s="373"/>
      <x:c r="Y150" s="373"/>
      <x:c r="Z150" s="373"/>
    </x:row>
    <x:row r="151">
      <x:c r="A151" s="373"/>
      <x:c r="B151" s="373"/>
      <x:c r="C151" s="373"/>
      <x:c r="D151" s="373"/>
      <x:c r="E151" s="373"/>
      <x:c r="F151" s="373"/>
      <x:c r="G151" s="373"/>
      <x:c r="H151" s="373"/>
      <x:c r="I151" s="373"/>
      <x:c r="J151" s="373"/>
      <x:c r="K151" s="373"/>
      <x:c r="L151" s="373"/>
      <x:c r="M151" s="373"/>
      <x:c r="N151" s="373"/>
      <x:c r="O151" s="373"/>
      <x:c r="P151" s="373"/>
      <x:c r="Q151" s="373"/>
      <x:c r="R151" s="373"/>
      <x:c r="S151" s="373"/>
      <x:c r="T151" s="373"/>
      <x:c r="U151" s="373"/>
      <x:c r="V151" s="373"/>
      <x:c r="W151" s="373"/>
      <x:c r="X151" s="373"/>
      <x:c r="Y151" s="373"/>
      <x:c r="Z151" s="373"/>
    </x:row>
    <x:row r="152">
      <x:c r="A152" s="373"/>
      <x:c r="B152" s="373"/>
      <x:c r="C152" s="373"/>
      <x:c r="D152" s="373"/>
      <x:c r="E152" s="373"/>
      <x:c r="F152" s="373"/>
      <x:c r="G152" s="373"/>
      <x:c r="H152" s="373"/>
      <x:c r="I152" s="373"/>
      <x:c r="J152" s="373"/>
      <x:c r="K152" s="373"/>
      <x:c r="L152" s="373"/>
      <x:c r="M152" s="373"/>
      <x:c r="N152" s="373"/>
      <x:c r="O152" s="373"/>
      <x:c r="P152" s="373"/>
      <x:c r="Q152" s="373"/>
      <x:c r="R152" s="373"/>
      <x:c r="S152" s="373"/>
      <x:c r="T152" s="373"/>
      <x:c r="U152" s="373"/>
      <x:c r="V152" s="373"/>
      <x:c r="W152" s="373"/>
      <x:c r="X152" s="373"/>
      <x:c r="Y152" s="373"/>
      <x:c r="Z152" s="373"/>
    </x:row>
    <x:row r="153">
      <x:c r="A153" s="373"/>
      <x:c r="B153" s="373"/>
      <x:c r="C153" s="373"/>
      <x:c r="D153" s="373"/>
      <x:c r="E153" s="373"/>
      <x:c r="F153" s="373"/>
      <x:c r="G153" s="373"/>
      <x:c r="H153" s="373"/>
      <x:c r="I153" s="373"/>
      <x:c r="J153" s="373"/>
      <x:c r="K153" s="373"/>
      <x:c r="L153" s="373"/>
      <x:c r="M153" s="373"/>
      <x:c r="N153" s="373"/>
      <x:c r="O153" s="373"/>
      <x:c r="P153" s="373"/>
      <x:c r="Q153" s="373"/>
      <x:c r="R153" s="373"/>
      <x:c r="S153" s="373"/>
      <x:c r="T153" s="373"/>
      <x:c r="U153" s="373"/>
      <x:c r="V153" s="373"/>
      <x:c r="W153" s="373"/>
      <x:c r="X153" s="373"/>
      <x:c r="Y153" s="373"/>
      <x:c r="Z153" s="373"/>
    </x:row>
    <x:row r="154">
      <x:c r="A154" s="373"/>
      <x:c r="B154" s="373"/>
      <x:c r="C154" s="373"/>
      <x:c r="D154" s="373"/>
      <x:c r="E154" s="373"/>
      <x:c r="F154" s="373"/>
      <x:c r="G154" s="373"/>
      <x:c r="H154" s="373"/>
      <x:c r="I154" s="373"/>
      <x:c r="J154" s="373"/>
      <x:c r="K154" s="373"/>
      <x:c r="L154" s="373"/>
      <x:c r="M154" s="373"/>
      <x:c r="N154" s="373"/>
      <x:c r="O154" s="373"/>
      <x:c r="P154" s="373"/>
      <x:c r="Q154" s="373"/>
      <x:c r="R154" s="373"/>
      <x:c r="S154" s="373"/>
      <x:c r="T154" s="373"/>
      <x:c r="U154" s="373"/>
      <x:c r="V154" s="373"/>
      <x:c r="W154" s="373"/>
      <x:c r="X154" s="373"/>
      <x:c r="Y154" s="373"/>
      <x:c r="Z154" s="373"/>
    </x:row>
    <x:row r="155">
      <x:c r="A155" s="373"/>
      <x:c r="B155" s="373"/>
      <x:c r="C155" s="373"/>
      <x:c r="D155" s="373"/>
      <x:c r="E155" s="373"/>
      <x:c r="F155" s="373"/>
      <x:c r="G155" s="373"/>
      <x:c r="H155" s="373"/>
      <x:c r="I155" s="373"/>
      <x:c r="J155" s="373"/>
      <x:c r="K155" s="373"/>
      <x:c r="L155" s="373"/>
      <x:c r="M155" s="373"/>
      <x:c r="N155" s="373"/>
      <x:c r="O155" s="373"/>
      <x:c r="P155" s="373"/>
      <x:c r="Q155" s="373"/>
      <x:c r="R155" s="373"/>
      <x:c r="S155" s="373"/>
      <x:c r="T155" s="373"/>
      <x:c r="U155" s="373"/>
      <x:c r="V155" s="373"/>
      <x:c r="W155" s="373"/>
      <x:c r="X155" s="373"/>
      <x:c r="Y155" s="373"/>
      <x:c r="Z155" s="373"/>
    </x:row>
    <x:row r="156">
      <x:c r="A156" s="373"/>
      <x:c r="B156" s="373"/>
      <x:c r="C156" s="373"/>
      <x:c r="D156" s="373"/>
      <x:c r="E156" s="373"/>
      <x:c r="F156" s="373"/>
      <x:c r="G156" s="373"/>
      <x:c r="H156" s="373"/>
      <x:c r="I156" s="373"/>
      <x:c r="J156" s="373"/>
      <x:c r="K156" s="373"/>
      <x:c r="L156" s="373"/>
      <x:c r="M156" s="373"/>
      <x:c r="N156" s="373"/>
      <x:c r="O156" s="373"/>
      <x:c r="P156" s="373"/>
      <x:c r="Q156" s="373"/>
      <x:c r="R156" s="373"/>
      <x:c r="S156" s="373"/>
      <x:c r="T156" s="373"/>
      <x:c r="U156" s="373"/>
      <x:c r="V156" s="373"/>
      <x:c r="W156" s="373"/>
      <x:c r="X156" s="373"/>
      <x:c r="Y156" s="373"/>
      <x:c r="Z156" s="373"/>
    </x:row>
    <x:row r="157">
      <x:c r="A157" s="373"/>
      <x:c r="B157" s="373"/>
      <x:c r="C157" s="373"/>
      <x:c r="D157" s="373"/>
      <x:c r="E157" s="373"/>
      <x:c r="F157" s="373"/>
      <x:c r="G157" s="373"/>
      <x:c r="H157" s="373"/>
      <x:c r="I157" s="373"/>
      <x:c r="J157" s="373"/>
      <x:c r="K157" s="373"/>
      <x:c r="L157" s="373"/>
      <x:c r="M157" s="373"/>
      <x:c r="N157" s="373"/>
      <x:c r="O157" s="373"/>
      <x:c r="P157" s="373"/>
      <x:c r="Q157" s="373"/>
      <x:c r="R157" s="373"/>
      <x:c r="S157" s="373"/>
      <x:c r="T157" s="373"/>
      <x:c r="U157" s="373"/>
      <x:c r="V157" s="373"/>
      <x:c r="W157" s="373"/>
      <x:c r="X157" s="373"/>
      <x:c r="Y157" s="373"/>
      <x:c r="Z157" s="373"/>
    </x:row>
    <x:row r="158">
      <x:c r="A158" s="373"/>
      <x:c r="B158" s="373"/>
      <x:c r="C158" s="373"/>
      <x:c r="D158" s="373"/>
      <x:c r="E158" s="373"/>
      <x:c r="F158" s="373"/>
      <x:c r="G158" s="373"/>
      <x:c r="H158" s="373"/>
      <x:c r="I158" s="373"/>
      <x:c r="J158" s="373"/>
      <x:c r="K158" s="373"/>
      <x:c r="L158" s="373"/>
      <x:c r="M158" s="373"/>
      <x:c r="N158" s="373"/>
      <x:c r="O158" s="373"/>
      <x:c r="P158" s="373"/>
      <x:c r="Q158" s="373"/>
      <x:c r="R158" s="373"/>
      <x:c r="S158" s="373"/>
      <x:c r="T158" s="373"/>
      <x:c r="U158" s="373"/>
      <x:c r="V158" s="373"/>
      <x:c r="W158" s="373"/>
      <x:c r="X158" s="373"/>
      <x:c r="Y158" s="373"/>
      <x:c r="Z158" s="373"/>
    </x:row>
    <x:row r="159">
      <x:c r="A159" s="373"/>
      <x:c r="B159" s="373"/>
      <x:c r="C159" s="373"/>
      <x:c r="D159" s="373"/>
      <x:c r="E159" s="373"/>
      <x:c r="F159" s="373"/>
      <x:c r="G159" s="373"/>
      <x:c r="H159" s="373"/>
      <x:c r="I159" s="373"/>
      <x:c r="J159" s="373"/>
      <x:c r="K159" s="373"/>
      <x:c r="L159" s="373"/>
      <x:c r="M159" s="373"/>
      <x:c r="N159" s="373"/>
      <x:c r="O159" s="373"/>
      <x:c r="P159" s="373"/>
      <x:c r="Q159" s="373"/>
      <x:c r="R159" s="373"/>
      <x:c r="S159" s="373"/>
      <x:c r="T159" s="373"/>
      <x:c r="U159" s="373"/>
      <x:c r="V159" s="373"/>
      <x:c r="W159" s="373"/>
      <x:c r="X159" s="373"/>
      <x:c r="Y159" s="373"/>
      <x:c r="Z159" s="373"/>
    </x:row>
    <x:row r="160">
      <x:c r="A160" s="373"/>
      <x:c r="B160" s="373"/>
      <x:c r="C160" s="373"/>
      <x:c r="D160" s="373"/>
      <x:c r="E160" s="373"/>
      <x:c r="F160" s="373"/>
      <x:c r="G160" s="373"/>
      <x:c r="H160" s="373"/>
      <x:c r="I160" s="373"/>
      <x:c r="J160" s="373"/>
      <x:c r="K160" s="373"/>
      <x:c r="L160" s="373"/>
      <x:c r="M160" s="373"/>
      <x:c r="N160" s="373"/>
      <x:c r="O160" s="373"/>
      <x:c r="P160" s="373"/>
      <x:c r="Q160" s="373"/>
      <x:c r="R160" s="373"/>
      <x:c r="S160" s="373"/>
      <x:c r="T160" s="373"/>
      <x:c r="U160" s="373"/>
      <x:c r="V160" s="373"/>
      <x:c r="W160" s="373"/>
      <x:c r="X160" s="373"/>
      <x:c r="Y160" s="373"/>
      <x:c r="Z160" s="373"/>
    </x:row>
    <x:row r="161">
      <x:c r="A161" s="373"/>
      <x:c r="B161" s="373"/>
      <x:c r="C161" s="373"/>
      <x:c r="D161" s="373"/>
      <x:c r="E161" s="373"/>
      <x:c r="F161" s="373"/>
      <x:c r="G161" s="373"/>
      <x:c r="H161" s="373"/>
      <x:c r="I161" s="373"/>
      <x:c r="J161" s="373"/>
      <x:c r="K161" s="373"/>
      <x:c r="L161" s="373"/>
      <x:c r="M161" s="373"/>
      <x:c r="N161" s="373"/>
      <x:c r="O161" s="373"/>
      <x:c r="P161" s="373"/>
      <x:c r="Q161" s="373"/>
      <x:c r="R161" s="373"/>
      <x:c r="S161" s="373"/>
      <x:c r="T161" s="373"/>
      <x:c r="U161" s="373"/>
      <x:c r="V161" s="373"/>
      <x:c r="W161" s="373"/>
      <x:c r="X161" s="373"/>
      <x:c r="Y161" s="373"/>
      <x:c r="Z161" s="373"/>
    </x:row>
    <x:row r="162">
      <x:c r="A162" s="373"/>
      <x:c r="B162" s="373"/>
      <x:c r="C162" s="373"/>
      <x:c r="D162" s="373"/>
      <x:c r="E162" s="373"/>
      <x:c r="F162" s="373"/>
      <x:c r="G162" s="373"/>
      <x:c r="H162" s="373"/>
      <x:c r="I162" s="373"/>
      <x:c r="J162" s="373"/>
      <x:c r="K162" s="373"/>
      <x:c r="L162" s="373"/>
      <x:c r="M162" s="373"/>
      <x:c r="N162" s="373"/>
      <x:c r="O162" s="373"/>
      <x:c r="P162" s="373"/>
      <x:c r="Q162" s="373"/>
      <x:c r="R162" s="373"/>
      <x:c r="S162" s="373"/>
      <x:c r="T162" s="373"/>
      <x:c r="U162" s="373"/>
      <x:c r="V162" s="373"/>
      <x:c r="W162" s="373"/>
      <x:c r="X162" s="373"/>
      <x:c r="Y162" s="373"/>
      <x:c r="Z162" s="373"/>
    </x:row>
    <x:row r="163">
      <x:c r="A163" s="373"/>
      <x:c r="B163" s="373"/>
      <x:c r="C163" s="373"/>
      <x:c r="D163" s="373"/>
      <x:c r="E163" s="373"/>
      <x:c r="F163" s="373"/>
      <x:c r="G163" s="373"/>
      <x:c r="H163" s="373"/>
      <x:c r="I163" s="373"/>
      <x:c r="J163" s="373"/>
      <x:c r="K163" s="373"/>
      <x:c r="L163" s="373"/>
      <x:c r="M163" s="373"/>
      <x:c r="N163" s="373"/>
      <x:c r="O163" s="373"/>
      <x:c r="P163" s="373"/>
      <x:c r="Q163" s="373"/>
      <x:c r="R163" s="373"/>
      <x:c r="S163" s="373"/>
      <x:c r="T163" s="373"/>
      <x:c r="U163" s="373"/>
      <x:c r="V163" s="373"/>
      <x:c r="W163" s="373"/>
      <x:c r="X163" s="373"/>
      <x:c r="Y163" s="373"/>
      <x:c r="Z163" s="373"/>
    </x:row>
    <x:row r="164">
      <x:c r="A164" s="373"/>
      <x:c r="B164" s="373"/>
      <x:c r="C164" s="373"/>
      <x:c r="D164" s="373"/>
      <x:c r="E164" s="373"/>
      <x:c r="F164" s="373"/>
      <x:c r="G164" s="373"/>
      <x:c r="H164" s="373"/>
      <x:c r="I164" s="373"/>
      <x:c r="J164" s="373"/>
      <x:c r="K164" s="373"/>
      <x:c r="L164" s="373"/>
      <x:c r="M164" s="373"/>
      <x:c r="N164" s="373"/>
      <x:c r="O164" s="373"/>
      <x:c r="P164" s="373"/>
      <x:c r="Q164" s="373"/>
      <x:c r="R164" s="373"/>
      <x:c r="S164" s="373"/>
      <x:c r="T164" s="373"/>
      <x:c r="U164" s="373"/>
      <x:c r="V164" s="373"/>
      <x:c r="W164" s="373"/>
      <x:c r="X164" s="373"/>
      <x:c r="Y164" s="373"/>
      <x:c r="Z164" s="373"/>
    </x:row>
    <x:row r="165">
      <x:c r="A165" s="373"/>
      <x:c r="B165" s="373"/>
      <x:c r="C165" s="373"/>
      <x:c r="D165" s="373"/>
      <x:c r="E165" s="373"/>
      <x:c r="F165" s="373"/>
      <x:c r="G165" s="373"/>
      <x:c r="H165" s="373"/>
      <x:c r="I165" s="373"/>
      <x:c r="J165" s="373"/>
      <x:c r="K165" s="373"/>
      <x:c r="L165" s="373"/>
      <x:c r="M165" s="373"/>
      <x:c r="N165" s="373"/>
      <x:c r="O165" s="373"/>
      <x:c r="P165" s="373"/>
      <x:c r="Q165" s="373"/>
      <x:c r="R165" s="373"/>
      <x:c r="S165" s="373"/>
      <x:c r="T165" s="373"/>
      <x:c r="U165" s="373"/>
      <x:c r="V165" s="373"/>
      <x:c r="W165" s="373"/>
      <x:c r="X165" s="373"/>
      <x:c r="Y165" s="373"/>
      <x:c r="Z165" s="373"/>
    </x:row>
    <x:row r="166">
      <x:c r="A166" s="373"/>
      <x:c r="B166" s="373"/>
      <x:c r="C166" s="373"/>
      <x:c r="D166" s="373"/>
      <x:c r="E166" s="373"/>
      <x:c r="F166" s="373"/>
      <x:c r="G166" s="373"/>
      <x:c r="H166" s="373"/>
      <x:c r="I166" s="373"/>
      <x:c r="J166" s="373"/>
      <x:c r="K166" s="373"/>
      <x:c r="L166" s="373"/>
      <x:c r="M166" s="373"/>
      <x:c r="N166" s="373"/>
      <x:c r="O166" s="373"/>
      <x:c r="P166" s="373"/>
      <x:c r="Q166" s="373"/>
      <x:c r="R166" s="373"/>
      <x:c r="S166" s="373"/>
      <x:c r="T166" s="373"/>
      <x:c r="U166" s="373"/>
      <x:c r="V166" s="373"/>
      <x:c r="W166" s="373"/>
      <x:c r="X166" s="373"/>
      <x:c r="Y166" s="373"/>
      <x:c r="Z166" s="373"/>
    </x:row>
    <x:row r="167">
      <x:c r="A167" s="373"/>
      <x:c r="B167" s="373"/>
      <x:c r="C167" s="373"/>
      <x:c r="D167" s="373"/>
      <x:c r="E167" s="373"/>
      <x:c r="F167" s="373"/>
      <x:c r="G167" s="373"/>
      <x:c r="H167" s="373"/>
      <x:c r="I167" s="373"/>
      <x:c r="J167" s="373"/>
      <x:c r="K167" s="373"/>
      <x:c r="L167" s="373"/>
      <x:c r="M167" s="373"/>
      <x:c r="N167" s="373"/>
      <x:c r="O167" s="373"/>
      <x:c r="P167" s="373"/>
      <x:c r="Q167" s="373"/>
      <x:c r="R167" s="373"/>
      <x:c r="S167" s="373"/>
      <x:c r="T167" s="373"/>
      <x:c r="U167" s="373"/>
      <x:c r="V167" s="373"/>
      <x:c r="W167" s="373"/>
      <x:c r="X167" s="373"/>
      <x:c r="Y167" s="373"/>
      <x:c r="Z167" s="373"/>
    </x:row>
    <x:row r="168">
      <x:c r="A168" s="373"/>
      <x:c r="B168" s="373"/>
      <x:c r="C168" s="373"/>
      <x:c r="D168" s="373"/>
      <x:c r="E168" s="373"/>
      <x:c r="F168" s="373"/>
      <x:c r="G168" s="373"/>
      <x:c r="H168" s="373"/>
      <x:c r="I168" s="373"/>
      <x:c r="J168" s="373"/>
      <x:c r="K168" s="373"/>
      <x:c r="L168" s="373"/>
      <x:c r="M168" s="373"/>
      <x:c r="N168" s="373"/>
      <x:c r="O168" s="373"/>
      <x:c r="P168" s="373"/>
      <x:c r="Q168" s="373"/>
      <x:c r="R168" s="373"/>
      <x:c r="S168" s="373"/>
      <x:c r="T168" s="373"/>
      <x:c r="U168" s="373"/>
      <x:c r="V168" s="373"/>
      <x:c r="W168" s="373"/>
      <x:c r="X168" s="373"/>
      <x:c r="Y168" s="373"/>
      <x:c r="Z168" s="373"/>
    </x:row>
    <x:row r="169">
      <x:c r="A169" s="373"/>
      <x:c r="B169" s="373"/>
      <x:c r="C169" s="373"/>
      <x:c r="D169" s="373"/>
      <x:c r="E169" s="373"/>
      <x:c r="F169" s="373"/>
      <x:c r="G169" s="373"/>
      <x:c r="H169" s="373"/>
      <x:c r="I169" s="373"/>
      <x:c r="J169" s="373"/>
      <x:c r="K169" s="373"/>
      <x:c r="L169" s="373"/>
      <x:c r="M169" s="373"/>
      <x:c r="N169" s="373"/>
      <x:c r="O169" s="373"/>
      <x:c r="P169" s="373"/>
      <x:c r="Q169" s="373"/>
      <x:c r="R169" s="373"/>
      <x:c r="S169" s="373"/>
      <x:c r="T169" s="373"/>
      <x:c r="U169" s="373"/>
      <x:c r="V169" s="373"/>
      <x:c r="W169" s="373"/>
      <x:c r="X169" s="373"/>
      <x:c r="Y169" s="373"/>
      <x:c r="Z169" s="373"/>
    </x:row>
    <x:row r="170">
      <x:c r="A170" s="373"/>
      <x:c r="B170" s="373"/>
      <x:c r="C170" s="373"/>
      <x:c r="D170" s="373"/>
      <x:c r="E170" s="373"/>
      <x:c r="F170" s="373"/>
      <x:c r="G170" s="373"/>
      <x:c r="H170" s="373"/>
      <x:c r="I170" s="373"/>
      <x:c r="J170" s="373"/>
      <x:c r="K170" s="373"/>
      <x:c r="L170" s="373"/>
      <x:c r="M170" s="373"/>
      <x:c r="N170" s="373"/>
      <x:c r="O170" s="373"/>
      <x:c r="P170" s="373"/>
      <x:c r="Q170" s="373"/>
      <x:c r="R170" s="373"/>
      <x:c r="S170" s="373"/>
      <x:c r="T170" s="373"/>
      <x:c r="U170" s="373"/>
      <x:c r="V170" s="373"/>
      <x:c r="W170" s="373"/>
      <x:c r="X170" s="373"/>
      <x:c r="Y170" s="373"/>
      <x:c r="Z170" s="373"/>
    </x:row>
    <x:row r="171">
      <x:c r="A171" s="373"/>
      <x:c r="B171" s="373"/>
      <x:c r="C171" s="373"/>
      <x:c r="D171" s="373"/>
      <x:c r="E171" s="373"/>
      <x:c r="F171" s="373"/>
      <x:c r="G171" s="373"/>
      <x:c r="H171" s="373"/>
      <x:c r="I171" s="373"/>
      <x:c r="J171" s="373"/>
      <x:c r="K171" s="373"/>
      <x:c r="L171" s="373"/>
      <x:c r="M171" s="373"/>
      <x:c r="N171" s="373"/>
      <x:c r="O171" s="373"/>
      <x:c r="P171" s="373"/>
      <x:c r="Q171" s="373"/>
      <x:c r="R171" s="373"/>
      <x:c r="S171" s="373"/>
      <x:c r="T171" s="373"/>
      <x:c r="U171" s="373"/>
      <x:c r="V171" s="373"/>
      <x:c r="W171" s="373"/>
      <x:c r="X171" s="373"/>
      <x:c r="Y171" s="373"/>
      <x:c r="Z171" s="373"/>
    </x:row>
    <x:row r="172">
      <x:c r="A172" s="373"/>
      <x:c r="B172" s="373"/>
      <x:c r="C172" s="373"/>
      <x:c r="D172" s="373"/>
      <x:c r="E172" s="373"/>
      <x:c r="F172" s="373"/>
      <x:c r="G172" s="373"/>
      <x:c r="H172" s="373"/>
      <x:c r="I172" s="373"/>
      <x:c r="J172" s="373"/>
      <x:c r="K172" s="373"/>
      <x:c r="L172" s="373"/>
      <x:c r="M172" s="373"/>
      <x:c r="N172" s="373"/>
      <x:c r="O172" s="373"/>
      <x:c r="P172" s="373"/>
      <x:c r="Q172" s="373"/>
      <x:c r="R172" s="373"/>
      <x:c r="S172" s="373"/>
      <x:c r="T172" s="373"/>
      <x:c r="U172" s="373"/>
      <x:c r="V172" s="373"/>
      <x:c r="W172" s="373"/>
      <x:c r="X172" s="373"/>
      <x:c r="Y172" s="373"/>
      <x:c r="Z172" s="373"/>
    </x:row>
    <x:row r="173">
      <x:c r="A173" s="373"/>
      <x:c r="B173" s="373"/>
      <x:c r="C173" s="373"/>
      <x:c r="D173" s="373"/>
      <x:c r="E173" s="373"/>
      <x:c r="F173" s="373"/>
      <x:c r="G173" s="373"/>
      <x:c r="H173" s="373"/>
      <x:c r="I173" s="373"/>
      <x:c r="J173" s="373"/>
      <x:c r="K173" s="373"/>
      <x:c r="L173" s="373"/>
      <x:c r="M173" s="373"/>
      <x:c r="N173" s="373"/>
      <x:c r="O173" s="373"/>
      <x:c r="P173" s="373"/>
      <x:c r="Q173" s="373"/>
      <x:c r="R173" s="373"/>
      <x:c r="S173" s="373"/>
      <x:c r="T173" s="373"/>
      <x:c r="U173" s="373"/>
      <x:c r="V173" s="373"/>
      <x:c r="W173" s="373"/>
      <x:c r="X173" s="373"/>
      <x:c r="Y173" s="373"/>
      <x:c r="Z173" s="373"/>
    </x:row>
    <x:row r="174">
      <x:c r="A174" s="373"/>
      <x:c r="B174" s="373"/>
      <x:c r="C174" s="373"/>
      <x:c r="D174" s="373"/>
      <x:c r="E174" s="373"/>
      <x:c r="F174" s="373"/>
      <x:c r="G174" s="373"/>
      <x:c r="H174" s="373"/>
      <x:c r="I174" s="373"/>
      <x:c r="J174" s="373"/>
      <x:c r="K174" s="373"/>
      <x:c r="L174" s="373"/>
      <x:c r="M174" s="373"/>
      <x:c r="N174" s="373"/>
      <x:c r="O174" s="373"/>
      <x:c r="P174" s="373"/>
      <x:c r="Q174" s="373"/>
      <x:c r="R174" s="373"/>
      <x:c r="S174" s="373"/>
      <x:c r="T174" s="373"/>
      <x:c r="U174" s="373"/>
      <x:c r="V174" s="373"/>
      <x:c r="W174" s="373"/>
      <x:c r="X174" s="373"/>
      <x:c r="Y174" s="373"/>
      <x:c r="Z174" s="373"/>
    </x:row>
    <x:row r="175">
      <x:c r="A175" s="373"/>
      <x:c r="B175" s="373"/>
      <x:c r="C175" s="373"/>
      <x:c r="D175" s="373"/>
      <x:c r="E175" s="373"/>
      <x:c r="F175" s="373"/>
      <x:c r="G175" s="373"/>
      <x:c r="H175" s="373"/>
      <x:c r="I175" s="373"/>
      <x:c r="J175" s="373"/>
      <x:c r="K175" s="373"/>
      <x:c r="L175" s="373"/>
      <x:c r="M175" s="373"/>
      <x:c r="N175" s="373"/>
      <x:c r="O175" s="373"/>
      <x:c r="P175" s="373"/>
      <x:c r="Q175" s="373"/>
      <x:c r="R175" s="373"/>
      <x:c r="S175" s="373"/>
      <x:c r="T175" s="373"/>
      <x:c r="U175" s="373"/>
      <x:c r="V175" s="373"/>
      <x:c r="W175" s="373"/>
      <x:c r="X175" s="373"/>
      <x:c r="Y175" s="373"/>
      <x:c r="Z175" s="373"/>
    </x:row>
    <x:row r="176">
      <x:c r="A176" s="373"/>
      <x:c r="B176" s="373"/>
      <x:c r="C176" s="373"/>
      <x:c r="D176" s="373"/>
      <x:c r="E176" s="373"/>
      <x:c r="F176" s="373"/>
      <x:c r="G176" s="373"/>
      <x:c r="H176" s="373"/>
      <x:c r="I176" s="373"/>
      <x:c r="J176" s="373"/>
      <x:c r="K176" s="373"/>
      <x:c r="L176" s="373"/>
      <x:c r="M176" s="373"/>
      <x:c r="N176" s="373"/>
      <x:c r="O176" s="373"/>
      <x:c r="P176" s="373"/>
      <x:c r="Q176" s="373"/>
      <x:c r="R176" s="373"/>
      <x:c r="S176" s="373"/>
      <x:c r="T176" s="373"/>
      <x:c r="U176" s="373"/>
      <x:c r="V176" s="373"/>
      <x:c r="W176" s="373"/>
      <x:c r="X176" s="373"/>
      <x:c r="Y176" s="373"/>
      <x:c r="Z176" s="373"/>
    </x:row>
    <x:row r="177">
      <x:c r="A177" s="373"/>
      <x:c r="B177" s="373"/>
      <x:c r="C177" s="373"/>
      <x:c r="D177" s="373"/>
      <x:c r="E177" s="373"/>
      <x:c r="F177" s="373"/>
      <x:c r="G177" s="373"/>
      <x:c r="H177" s="373"/>
      <x:c r="I177" s="373"/>
      <x:c r="J177" s="373"/>
      <x:c r="K177" s="373"/>
      <x:c r="L177" s="373"/>
      <x:c r="M177" s="373"/>
      <x:c r="N177" s="373"/>
      <x:c r="O177" s="373"/>
      <x:c r="P177" s="373"/>
      <x:c r="Q177" s="373"/>
      <x:c r="R177" s="373"/>
      <x:c r="S177" s="373"/>
      <x:c r="T177" s="373"/>
      <x:c r="U177" s="373"/>
      <x:c r="V177" s="373"/>
      <x:c r="W177" s="373"/>
      <x:c r="X177" s="373"/>
      <x:c r="Y177" s="373"/>
      <x:c r="Z177" s="373"/>
    </x:row>
    <x:row r="178">
      <x:c r="A178" s="373"/>
      <x:c r="B178" s="373"/>
      <x:c r="C178" s="373"/>
      <x:c r="D178" s="373"/>
      <x:c r="E178" s="373"/>
      <x:c r="F178" s="373"/>
      <x:c r="G178" s="373"/>
      <x:c r="H178" s="373"/>
      <x:c r="I178" s="373"/>
      <x:c r="J178" s="373"/>
      <x:c r="K178" s="373"/>
      <x:c r="L178" s="373"/>
      <x:c r="M178" s="373"/>
      <x:c r="N178" s="373"/>
      <x:c r="O178" s="373"/>
      <x:c r="P178" s="373"/>
      <x:c r="Q178" s="373"/>
      <x:c r="R178" s="373"/>
      <x:c r="S178" s="373"/>
      <x:c r="T178" s="373"/>
      <x:c r="U178" s="373"/>
      <x:c r="V178" s="373"/>
      <x:c r="W178" s="373"/>
      <x:c r="X178" s="373"/>
      <x:c r="Y178" s="373"/>
      <x:c r="Z178" s="373"/>
    </x:row>
    <x:row r="179">
      <x:c r="A179" s="373"/>
      <x:c r="B179" s="373"/>
      <x:c r="C179" s="373"/>
      <x:c r="D179" s="373"/>
      <x:c r="E179" s="373"/>
      <x:c r="F179" s="373"/>
      <x:c r="G179" s="373"/>
      <x:c r="H179" s="373"/>
      <x:c r="I179" s="373"/>
      <x:c r="J179" s="373"/>
      <x:c r="K179" s="373"/>
      <x:c r="L179" s="373"/>
      <x:c r="M179" s="373"/>
      <x:c r="N179" s="373"/>
      <x:c r="O179" s="373"/>
      <x:c r="P179" s="373"/>
      <x:c r="Q179" s="373"/>
      <x:c r="R179" s="373"/>
      <x:c r="S179" s="373"/>
      <x:c r="T179" s="373"/>
      <x:c r="U179" s="373"/>
      <x:c r="V179" s="373"/>
      <x:c r="W179" s="373"/>
      <x:c r="X179" s="373"/>
      <x:c r="Y179" s="373"/>
      <x:c r="Z179" s="373"/>
    </x:row>
    <x:row r="180">
      <x:c r="A180" s="373"/>
      <x:c r="B180" s="373"/>
      <x:c r="C180" s="373"/>
      <x:c r="D180" s="373"/>
      <x:c r="E180" s="373"/>
      <x:c r="F180" s="373"/>
      <x:c r="G180" s="373"/>
      <x:c r="H180" s="373"/>
      <x:c r="I180" s="373"/>
      <x:c r="J180" s="373"/>
      <x:c r="K180" s="373"/>
      <x:c r="L180" s="373"/>
      <x:c r="M180" s="373"/>
      <x:c r="N180" s="373"/>
      <x:c r="O180" s="373"/>
      <x:c r="P180" s="373"/>
      <x:c r="Q180" s="373"/>
      <x:c r="R180" s="373"/>
      <x:c r="S180" s="373"/>
      <x:c r="T180" s="373"/>
      <x:c r="U180" s="373"/>
      <x:c r="V180" s="373"/>
      <x:c r="W180" s="373"/>
      <x:c r="X180" s="373"/>
      <x:c r="Y180" s="373"/>
      <x:c r="Z180" s="373"/>
    </x:row>
    <x:row r="181">
      <x:c r="A181" s="373"/>
      <x:c r="B181" s="373"/>
      <x:c r="C181" s="373"/>
      <x:c r="D181" s="373"/>
      <x:c r="E181" s="373"/>
      <x:c r="F181" s="373"/>
      <x:c r="G181" s="373"/>
      <x:c r="H181" s="373"/>
      <x:c r="I181" s="373"/>
      <x:c r="J181" s="373"/>
      <x:c r="K181" s="373"/>
      <x:c r="L181" s="373"/>
      <x:c r="M181" s="373"/>
      <x:c r="N181" s="373"/>
      <x:c r="O181" s="373"/>
      <x:c r="P181" s="373"/>
      <x:c r="Q181" s="373"/>
      <x:c r="R181" s="373"/>
      <x:c r="S181" s="373"/>
      <x:c r="T181" s="373"/>
      <x:c r="U181" s="373"/>
      <x:c r="V181" s="373"/>
      <x:c r="W181" s="373"/>
      <x:c r="X181" s="373"/>
      <x:c r="Y181" s="373"/>
      <x:c r="Z181" s="373"/>
    </x:row>
    <x:row r="182">
      <x:c r="A182" s="373"/>
      <x:c r="B182" s="373"/>
      <x:c r="C182" s="373"/>
      <x:c r="D182" s="373"/>
      <x:c r="E182" s="373"/>
      <x:c r="F182" s="373"/>
      <x:c r="G182" s="373"/>
      <x:c r="H182" s="373"/>
      <x:c r="I182" s="373"/>
      <x:c r="J182" s="373"/>
      <x:c r="K182" s="373"/>
      <x:c r="L182" s="373"/>
      <x:c r="M182" s="373"/>
      <x:c r="N182" s="373"/>
      <x:c r="O182" s="373"/>
      <x:c r="P182" s="373"/>
      <x:c r="Q182" s="373"/>
      <x:c r="R182" s="373"/>
      <x:c r="S182" s="373"/>
      <x:c r="T182" s="373"/>
      <x:c r="U182" s="373"/>
      <x:c r="V182" s="373"/>
      <x:c r="W182" s="373"/>
      <x:c r="X182" s="373"/>
      <x:c r="Y182" s="373"/>
      <x:c r="Z182" s="373"/>
    </x:row>
    <x:row r="183">
      <x:c r="A183" s="373"/>
      <x:c r="B183" s="373"/>
      <x:c r="C183" s="373"/>
      <x:c r="D183" s="373"/>
      <x:c r="E183" s="373"/>
      <x:c r="F183" s="373"/>
      <x:c r="G183" s="373"/>
      <x:c r="H183" s="373"/>
      <x:c r="I183" s="373"/>
      <x:c r="J183" s="373"/>
      <x:c r="K183" s="373"/>
      <x:c r="L183" s="373"/>
      <x:c r="M183" s="373"/>
      <x:c r="N183" s="373"/>
      <x:c r="O183" s="373"/>
      <x:c r="P183" s="373"/>
      <x:c r="Q183" s="373"/>
      <x:c r="R183" s="373"/>
      <x:c r="S183" s="373"/>
      <x:c r="T183" s="373"/>
      <x:c r="U183" s="373"/>
      <x:c r="V183" s="373"/>
      <x:c r="W183" s="373"/>
      <x:c r="X183" s="373"/>
      <x:c r="Y183" s="373"/>
      <x:c r="Z183" s="373"/>
    </x:row>
    <x:row r="184">
      <x:c r="A184" s="373"/>
      <x:c r="B184" s="373"/>
      <x:c r="C184" s="373"/>
      <x:c r="D184" s="373"/>
      <x:c r="E184" s="373"/>
      <x:c r="F184" s="373"/>
      <x:c r="G184" s="373"/>
      <x:c r="H184" s="373"/>
      <x:c r="I184" s="373"/>
      <x:c r="J184" s="373"/>
      <x:c r="K184" s="373"/>
      <x:c r="L184" s="373"/>
      <x:c r="M184" s="373"/>
      <x:c r="N184" s="373"/>
      <x:c r="O184" s="373"/>
      <x:c r="P184" s="373"/>
      <x:c r="Q184" s="373"/>
      <x:c r="R184" s="373"/>
      <x:c r="S184" s="373"/>
      <x:c r="T184" s="373"/>
      <x:c r="U184" s="373"/>
      <x:c r="V184" s="373"/>
      <x:c r="W184" s="373"/>
      <x:c r="X184" s="373"/>
      <x:c r="Y184" s="373"/>
      <x:c r="Z184" s="373"/>
    </x:row>
    <x:row r="185">
      <x:c r="A185" s="373"/>
      <x:c r="B185" s="373"/>
      <x:c r="C185" s="373"/>
      <x:c r="D185" s="373"/>
      <x:c r="E185" s="373"/>
      <x:c r="F185" s="373"/>
      <x:c r="G185" s="373"/>
      <x:c r="H185" s="373"/>
      <x:c r="I185" s="373"/>
      <x:c r="J185" s="373"/>
      <x:c r="K185" s="373"/>
      <x:c r="L185" s="373"/>
      <x:c r="M185" s="373"/>
      <x:c r="N185" s="373"/>
      <x:c r="O185" s="373"/>
      <x:c r="P185" s="373"/>
      <x:c r="Q185" s="373"/>
      <x:c r="R185" s="373"/>
      <x:c r="S185" s="373"/>
      <x:c r="T185" s="373"/>
      <x:c r="U185" s="373"/>
      <x:c r="V185" s="373"/>
      <x:c r="W185" s="373"/>
      <x:c r="X185" s="373"/>
      <x:c r="Y185" s="373"/>
      <x:c r="Z185" s="373"/>
    </x:row>
    <x:row r="186">
      <x:c r="A186" s="373"/>
      <x:c r="B186" s="373"/>
      <x:c r="C186" s="373"/>
      <x:c r="D186" s="373"/>
      <x:c r="E186" s="373"/>
      <x:c r="F186" s="373"/>
      <x:c r="G186" s="373"/>
      <x:c r="H186" s="373"/>
      <x:c r="I186" s="373"/>
      <x:c r="J186" s="373"/>
      <x:c r="K186" s="373"/>
      <x:c r="L186" s="373"/>
      <x:c r="M186" s="373"/>
      <x:c r="N186" s="373"/>
      <x:c r="O186" s="373"/>
      <x:c r="P186" s="373"/>
      <x:c r="Q186" s="373"/>
      <x:c r="R186" s="373"/>
      <x:c r="S186" s="373"/>
      <x:c r="T186" s="373"/>
      <x:c r="U186" s="373"/>
      <x:c r="V186" s="373"/>
      <x:c r="W186" s="373"/>
      <x:c r="X186" s="373"/>
      <x:c r="Y186" s="373"/>
      <x:c r="Z186" s="373"/>
    </x:row>
    <x:row r="187">
      <x:c r="A187" s="373"/>
      <x:c r="B187" s="373"/>
      <x:c r="C187" s="373"/>
      <x:c r="D187" s="373"/>
      <x:c r="E187" s="373"/>
      <x:c r="F187" s="373"/>
      <x:c r="G187" s="373"/>
      <x:c r="H187" s="373"/>
      <x:c r="I187" s="373"/>
      <x:c r="J187" s="373"/>
      <x:c r="K187" s="373"/>
      <x:c r="L187" s="373"/>
      <x:c r="M187" s="373"/>
      <x:c r="N187" s="373"/>
      <x:c r="O187" s="373"/>
      <x:c r="P187" s="373"/>
      <x:c r="Q187" s="373"/>
      <x:c r="R187" s="373"/>
      <x:c r="S187" s="373"/>
      <x:c r="T187" s="373"/>
      <x:c r="U187" s="373"/>
      <x:c r="V187" s="373"/>
      <x:c r="W187" s="373"/>
      <x:c r="X187" s="373"/>
      <x:c r="Y187" s="373"/>
      <x:c r="Z187" s="373"/>
    </x:row>
    <x:row r="188">
      <x:c r="A188" s="373"/>
      <x:c r="B188" s="373"/>
      <x:c r="C188" s="373"/>
      <x:c r="D188" s="373"/>
      <x:c r="E188" s="373"/>
      <x:c r="F188" s="373"/>
      <x:c r="G188" s="373"/>
      <x:c r="H188" s="373"/>
      <x:c r="I188" s="373"/>
      <x:c r="J188" s="373"/>
      <x:c r="K188" s="373"/>
      <x:c r="L188" s="373"/>
      <x:c r="M188" s="373"/>
      <x:c r="N188" s="373"/>
      <x:c r="O188" s="373"/>
      <x:c r="P188" s="373"/>
      <x:c r="Q188" s="373"/>
      <x:c r="R188" s="373"/>
      <x:c r="S188" s="373"/>
      <x:c r="T188" s="373"/>
      <x:c r="U188" s="373"/>
      <x:c r="V188" s="373"/>
      <x:c r="W188" s="373"/>
      <x:c r="X188" s="373"/>
      <x:c r="Y188" s="373"/>
      <x:c r="Z188" s="373"/>
    </x:row>
    <x:row r="189">
      <x:c r="A189" s="373"/>
      <x:c r="B189" s="373"/>
      <x:c r="C189" s="373"/>
      <x:c r="D189" s="373"/>
      <x:c r="E189" s="373"/>
      <x:c r="F189" s="373"/>
      <x:c r="G189" s="373"/>
      <x:c r="H189" s="373"/>
      <x:c r="I189" s="373"/>
      <x:c r="J189" s="373"/>
      <x:c r="K189" s="373"/>
      <x:c r="L189" s="373"/>
      <x:c r="M189" s="373"/>
      <x:c r="N189" s="373"/>
      <x:c r="O189" s="373"/>
      <x:c r="P189" s="373"/>
      <x:c r="Q189" s="373"/>
      <x:c r="R189" s="373"/>
      <x:c r="S189" s="373"/>
      <x:c r="T189" s="373"/>
      <x:c r="U189" s="373"/>
      <x:c r="V189" s="373"/>
      <x:c r="W189" s="373"/>
      <x:c r="X189" s="373"/>
      <x:c r="Y189" s="373"/>
      <x:c r="Z189" s="373"/>
    </x:row>
    <x:row r="190">
      <x:c r="A190" s="373"/>
      <x:c r="B190" s="373"/>
      <x:c r="C190" s="373"/>
      <x:c r="D190" s="373"/>
      <x:c r="E190" s="373"/>
      <x:c r="F190" s="373"/>
      <x:c r="G190" s="373"/>
      <x:c r="H190" s="373"/>
      <x:c r="I190" s="373"/>
      <x:c r="J190" s="373"/>
      <x:c r="K190" s="373"/>
      <x:c r="L190" s="373"/>
      <x:c r="M190" s="373"/>
      <x:c r="N190" s="373"/>
      <x:c r="O190" s="373"/>
      <x:c r="P190" s="373"/>
      <x:c r="Q190" s="373"/>
      <x:c r="R190" s="373"/>
      <x:c r="S190" s="373"/>
      <x:c r="T190" s="373"/>
      <x:c r="U190" s="373"/>
      <x:c r="V190" s="373"/>
      <x:c r="W190" s="373"/>
      <x:c r="X190" s="373"/>
      <x:c r="Y190" s="373"/>
      <x:c r="Z190" s="373"/>
    </x:row>
    <x:row r="191">
      <x:c r="A191" s="373"/>
      <x:c r="B191" s="373"/>
      <x:c r="C191" s="373"/>
      <x:c r="D191" s="373"/>
      <x:c r="E191" s="373"/>
      <x:c r="F191" s="373"/>
      <x:c r="G191" s="373"/>
      <x:c r="H191" s="373"/>
      <x:c r="I191" s="373"/>
      <x:c r="J191" s="373"/>
      <x:c r="K191" s="373"/>
      <x:c r="L191" s="373"/>
      <x:c r="M191" s="373"/>
      <x:c r="N191" s="373"/>
      <x:c r="O191" s="373"/>
      <x:c r="P191" s="373"/>
      <x:c r="Q191" s="373"/>
      <x:c r="R191" s="373"/>
      <x:c r="S191" s="373"/>
      <x:c r="T191" s="373"/>
      <x:c r="U191" s="373"/>
      <x:c r="V191" s="373"/>
      <x:c r="W191" s="373"/>
      <x:c r="X191" s="373"/>
      <x:c r="Y191" s="373"/>
      <x:c r="Z191" s="373"/>
    </x:row>
    <x:row r="192">
      <x:c r="A192" s="373"/>
      <x:c r="B192" s="373"/>
      <x:c r="C192" s="373"/>
      <x:c r="D192" s="373"/>
      <x:c r="E192" s="373"/>
      <x:c r="F192" s="373"/>
      <x:c r="G192" s="373"/>
      <x:c r="H192" s="373"/>
      <x:c r="I192" s="373"/>
      <x:c r="J192" s="373"/>
      <x:c r="K192" s="373"/>
      <x:c r="L192" s="373"/>
      <x:c r="M192" s="373"/>
      <x:c r="N192" s="373"/>
      <x:c r="O192" s="373"/>
      <x:c r="P192" s="373"/>
      <x:c r="Q192" s="373"/>
      <x:c r="R192" s="373"/>
      <x:c r="S192" s="373"/>
      <x:c r="T192" s="373"/>
      <x:c r="U192" s="373"/>
      <x:c r="V192" s="373"/>
      <x:c r="W192" s="373"/>
      <x:c r="X192" s="373"/>
      <x:c r="Y192" s="373"/>
      <x:c r="Z192" s="373"/>
    </x:row>
    <x:row r="193">
      <x:c r="A193" s="373"/>
      <x:c r="B193" s="373"/>
      <x:c r="C193" s="373"/>
      <x:c r="D193" s="373"/>
      <x:c r="E193" s="373"/>
      <x:c r="F193" s="373"/>
      <x:c r="G193" s="373"/>
      <x:c r="H193" s="373"/>
      <x:c r="I193" s="373"/>
      <x:c r="J193" s="373"/>
      <x:c r="K193" s="373"/>
      <x:c r="L193" s="373"/>
      <x:c r="M193" s="373"/>
      <x:c r="N193" s="373"/>
      <x:c r="O193" s="373"/>
      <x:c r="P193" s="373"/>
      <x:c r="Q193" s="373"/>
      <x:c r="R193" s="373"/>
      <x:c r="S193" s="373"/>
      <x:c r="T193" s="373"/>
      <x:c r="U193" s="373"/>
      <x:c r="V193" s="373"/>
      <x:c r="W193" s="373"/>
      <x:c r="X193" s="373"/>
      <x:c r="Y193" s="373"/>
      <x:c r="Z193" s="373"/>
    </x:row>
    <x:row r="194">
      <x:c r="A194" s="373"/>
      <x:c r="B194" s="373"/>
      <x:c r="C194" s="373"/>
      <x:c r="D194" s="373"/>
      <x:c r="E194" s="373"/>
      <x:c r="F194" s="373"/>
      <x:c r="G194" s="373"/>
      <x:c r="H194" s="373"/>
      <x:c r="I194" s="373"/>
      <x:c r="J194" s="373"/>
      <x:c r="K194" s="373"/>
      <x:c r="L194" s="373"/>
      <x:c r="M194" s="373"/>
      <x:c r="N194" s="373"/>
      <x:c r="O194" s="373"/>
      <x:c r="P194" s="373"/>
      <x:c r="Q194" s="373"/>
      <x:c r="R194" s="373"/>
      <x:c r="S194" s="373"/>
      <x:c r="T194" s="373"/>
      <x:c r="U194" s="373"/>
      <x:c r="V194" s="373"/>
      <x:c r="W194" s="373"/>
      <x:c r="X194" s="373"/>
      <x:c r="Y194" s="373"/>
      <x:c r="Z194" s="373"/>
    </x:row>
    <x:row r="195">
      <x:c r="A195" s="373"/>
      <x:c r="B195" s="373"/>
      <x:c r="C195" s="373"/>
      <x:c r="D195" s="373"/>
      <x:c r="E195" s="373"/>
      <x:c r="F195" s="373"/>
      <x:c r="G195" s="373"/>
      <x:c r="H195" s="373"/>
      <x:c r="I195" s="373"/>
      <x:c r="J195" s="373"/>
      <x:c r="K195" s="373"/>
      <x:c r="L195" s="373"/>
      <x:c r="M195" s="373"/>
      <x:c r="N195" s="373"/>
      <x:c r="O195" s="373"/>
      <x:c r="P195" s="373"/>
      <x:c r="Q195" s="373"/>
      <x:c r="R195" s="373"/>
      <x:c r="S195" s="373"/>
      <x:c r="T195" s="373"/>
      <x:c r="U195" s="373"/>
      <x:c r="V195" s="373"/>
      <x:c r="W195" s="373"/>
      <x:c r="X195" s="373"/>
      <x:c r="Y195" s="373"/>
      <x:c r="Z195" s="373"/>
    </x:row>
    <x:row r="196">
      <x:c r="A196" s="373"/>
      <x:c r="B196" s="373"/>
      <x:c r="C196" s="373"/>
      <x:c r="D196" s="373"/>
      <x:c r="E196" s="373"/>
      <x:c r="F196" s="373"/>
      <x:c r="G196" s="373"/>
      <x:c r="H196" s="373"/>
      <x:c r="I196" s="373"/>
      <x:c r="J196" s="373"/>
      <x:c r="K196" s="373"/>
      <x:c r="L196" s="373"/>
      <x:c r="M196" s="373"/>
      <x:c r="N196" s="373"/>
      <x:c r="O196" s="373"/>
      <x:c r="P196" s="373"/>
      <x:c r="Q196" s="373"/>
      <x:c r="R196" s="373"/>
      <x:c r="S196" s="373"/>
      <x:c r="T196" s="373"/>
      <x:c r="U196" s="373"/>
      <x:c r="V196" s="373"/>
      <x:c r="W196" s="373"/>
      <x:c r="X196" s="373"/>
      <x:c r="Y196" s="373"/>
      <x:c r="Z196" s="373"/>
    </x:row>
    <x:row r="197">
      <x:c r="A197" s="373"/>
      <x:c r="B197" s="373"/>
      <x:c r="C197" s="373"/>
      <x:c r="D197" s="373"/>
      <x:c r="E197" s="373"/>
      <x:c r="F197" s="373"/>
      <x:c r="G197" s="373"/>
      <x:c r="H197" s="373"/>
      <x:c r="I197" s="373"/>
      <x:c r="J197" s="373"/>
      <x:c r="K197" s="373"/>
      <x:c r="L197" s="373"/>
      <x:c r="M197" s="373"/>
      <x:c r="N197" s="373"/>
      <x:c r="O197" s="373"/>
      <x:c r="P197" s="373"/>
      <x:c r="Q197" s="373"/>
      <x:c r="R197" s="373"/>
      <x:c r="S197" s="373"/>
      <x:c r="T197" s="373"/>
      <x:c r="U197" s="373"/>
      <x:c r="V197" s="373"/>
      <x:c r="W197" s="373"/>
      <x:c r="X197" s="373"/>
      <x:c r="Y197" s="373"/>
      <x:c r="Z197" s="373"/>
    </x:row>
    <x:row r="198">
      <x:c r="A198" s="373"/>
      <x:c r="B198" s="373"/>
      <x:c r="C198" s="373"/>
      <x:c r="D198" s="373"/>
      <x:c r="E198" s="373"/>
      <x:c r="F198" s="373"/>
      <x:c r="G198" s="373"/>
      <x:c r="H198" s="373"/>
      <x:c r="I198" s="373"/>
      <x:c r="J198" s="373"/>
      <x:c r="K198" s="373"/>
      <x:c r="L198" s="373"/>
      <x:c r="M198" s="373"/>
      <x:c r="N198" s="373"/>
      <x:c r="O198" s="373"/>
      <x:c r="P198" s="373"/>
      <x:c r="Q198" s="373"/>
      <x:c r="R198" s="373"/>
      <x:c r="S198" s="373"/>
      <x:c r="T198" s="373"/>
      <x:c r="U198" s="373"/>
      <x:c r="V198" s="373"/>
      <x:c r="W198" s="373"/>
      <x:c r="X198" s="373"/>
      <x:c r="Y198" s="373"/>
      <x:c r="Z198" s="373"/>
    </x:row>
    <x:row r="199">
      <x:c r="A199" s="373"/>
      <x:c r="B199" s="373"/>
      <x:c r="C199" s="373"/>
      <x:c r="D199" s="373"/>
      <x:c r="E199" s="373"/>
      <x:c r="F199" s="373"/>
      <x:c r="G199" s="373"/>
      <x:c r="H199" s="373"/>
      <x:c r="I199" s="373"/>
      <x:c r="J199" s="373"/>
      <x:c r="K199" s="373"/>
      <x:c r="L199" s="373"/>
      <x:c r="M199" s="373"/>
      <x:c r="N199" s="373"/>
      <x:c r="O199" s="373"/>
      <x:c r="P199" s="373"/>
      <x:c r="Q199" s="373"/>
      <x:c r="R199" s="373"/>
      <x:c r="S199" s="373"/>
      <x:c r="T199" s="373"/>
      <x:c r="U199" s="373"/>
      <x:c r="V199" s="373"/>
      <x:c r="W199" s="373"/>
      <x:c r="X199" s="373"/>
      <x:c r="Y199" s="373"/>
      <x:c r="Z199" s="373"/>
    </x:row>
    <x:row r="200">
      <x:c r="A200" s="373"/>
      <x:c r="B200" s="373"/>
      <x:c r="C200" s="373"/>
      <x:c r="D200" s="373"/>
      <x:c r="E200" s="373"/>
      <x:c r="F200" s="373"/>
      <x:c r="G200" s="373"/>
      <x:c r="H200" s="373"/>
      <x:c r="I200" s="373"/>
      <x:c r="J200" s="373"/>
      <x:c r="K200" s="373"/>
      <x:c r="L200" s="373"/>
      <x:c r="M200" s="373"/>
      <x:c r="N200" s="373"/>
      <x:c r="O200" s="373"/>
      <x:c r="P200" s="373"/>
      <x:c r="Q200" s="373"/>
      <x:c r="R200" s="373"/>
      <x:c r="S200" s="373"/>
      <x:c r="T200" s="373"/>
      <x:c r="U200" s="373"/>
      <x:c r="V200" s="373"/>
      <x:c r="W200" s="373"/>
      <x:c r="X200" s="373"/>
      <x:c r="Y200" s="373"/>
      <x:c r="Z200" s="373"/>
    </x:row>
    <x:row r="201">
      <x:c r="A201" s="373"/>
      <x:c r="B201" s="373"/>
      <x:c r="C201" s="373"/>
      <x:c r="D201" s="373"/>
      <x:c r="E201" s="373"/>
      <x:c r="F201" s="373"/>
      <x:c r="G201" s="373"/>
      <x:c r="H201" s="373"/>
      <x:c r="I201" s="373"/>
      <x:c r="J201" s="373"/>
      <x:c r="K201" s="373"/>
      <x:c r="L201" s="373"/>
      <x:c r="M201" s="373"/>
      <x:c r="N201" s="373"/>
      <x:c r="O201" s="373"/>
      <x:c r="P201" s="373"/>
      <x:c r="Q201" s="373"/>
      <x:c r="R201" s="373"/>
      <x:c r="S201" s="373"/>
      <x:c r="T201" s="373"/>
      <x:c r="U201" s="373"/>
      <x:c r="V201" s="373"/>
      <x:c r="W201" s="373"/>
      <x:c r="X201" s="373"/>
      <x:c r="Y201" s="373"/>
      <x:c r="Z201" s="373"/>
    </x:row>
    <x:row r="202">
      <x:c r="A202" s="373"/>
      <x:c r="B202" s="373"/>
      <x:c r="C202" s="373"/>
      <x:c r="D202" s="373"/>
      <x:c r="E202" s="373"/>
      <x:c r="F202" s="373"/>
      <x:c r="G202" s="373"/>
      <x:c r="H202" s="373"/>
      <x:c r="I202" s="373"/>
      <x:c r="J202" s="373"/>
      <x:c r="K202" s="373"/>
      <x:c r="L202" s="373"/>
      <x:c r="M202" s="373"/>
      <x:c r="N202" s="373"/>
      <x:c r="O202" s="373"/>
      <x:c r="P202" s="373"/>
      <x:c r="Q202" s="373"/>
      <x:c r="R202" s="373"/>
      <x:c r="S202" s="373"/>
      <x:c r="T202" s="373"/>
      <x:c r="U202" s="373"/>
      <x:c r="V202" s="373"/>
      <x:c r="W202" s="373"/>
      <x:c r="X202" s="373"/>
      <x:c r="Y202" s="373"/>
      <x:c r="Z202" s="373"/>
    </x:row>
    <x:row r="203">
      <x:c r="A203" s="373"/>
      <x:c r="B203" s="373"/>
      <x:c r="C203" s="373"/>
      <x:c r="D203" s="373"/>
      <x:c r="E203" s="373"/>
      <x:c r="F203" s="373"/>
      <x:c r="G203" s="373"/>
      <x:c r="H203" s="373"/>
      <x:c r="I203" s="373"/>
      <x:c r="J203" s="373"/>
      <x:c r="K203" s="373"/>
      <x:c r="L203" s="373"/>
      <x:c r="M203" s="373"/>
      <x:c r="N203" s="373"/>
      <x:c r="O203" s="373"/>
      <x:c r="P203" s="373"/>
      <x:c r="Q203" s="373"/>
      <x:c r="R203" s="373"/>
      <x:c r="S203" s="373"/>
      <x:c r="T203" s="373"/>
      <x:c r="U203" s="373"/>
      <x:c r="V203" s="373"/>
      <x:c r="W203" s="373"/>
      <x:c r="X203" s="373"/>
      <x:c r="Y203" s="373"/>
      <x:c r="Z203" s="373"/>
    </x:row>
    <x:row r="204">
      <x:c r="A204" s="373"/>
      <x:c r="B204" s="373"/>
      <x:c r="C204" s="373"/>
      <x:c r="D204" s="373"/>
      <x:c r="E204" s="373"/>
      <x:c r="F204" s="373"/>
      <x:c r="G204" s="373"/>
      <x:c r="H204" s="373"/>
      <x:c r="I204" s="373"/>
      <x:c r="J204" s="373"/>
      <x:c r="K204" s="373"/>
      <x:c r="L204" s="373"/>
      <x:c r="M204" s="373"/>
      <x:c r="N204" s="373"/>
      <x:c r="O204" s="373"/>
      <x:c r="P204" s="373"/>
      <x:c r="Q204" s="373"/>
      <x:c r="R204" s="373"/>
      <x:c r="S204" s="373"/>
      <x:c r="T204" s="373"/>
      <x:c r="U204" s="373"/>
      <x:c r="V204" s="373"/>
      <x:c r="W204" s="373"/>
      <x:c r="X204" s="373"/>
      <x:c r="Y204" s="373"/>
      <x:c r="Z204" s="373"/>
    </x:row>
    <x:row r="205">
      <x:c r="A205" s="373"/>
      <x:c r="B205" s="373"/>
      <x:c r="C205" s="373"/>
      <x:c r="D205" s="373"/>
      <x:c r="E205" s="373"/>
      <x:c r="F205" s="373"/>
      <x:c r="G205" s="373"/>
      <x:c r="H205" s="373"/>
      <x:c r="I205" s="373"/>
      <x:c r="J205" s="373"/>
      <x:c r="K205" s="373"/>
      <x:c r="L205" s="373"/>
      <x:c r="M205" s="373"/>
      <x:c r="N205" s="373"/>
      <x:c r="O205" s="373"/>
      <x:c r="P205" s="373"/>
      <x:c r="Q205" s="373"/>
      <x:c r="R205" s="373"/>
      <x:c r="S205" s="373"/>
      <x:c r="T205" s="373"/>
      <x:c r="U205" s="373"/>
      <x:c r="V205" s="373"/>
      <x:c r="W205" s="373"/>
      <x:c r="X205" s="373"/>
      <x:c r="Y205" s="373"/>
      <x:c r="Z205" s="373"/>
    </x:row>
    <x:row r="206">
      <x:c r="A206" s="373"/>
      <x:c r="B206" s="373"/>
      <x:c r="C206" s="373"/>
      <x:c r="D206" s="373"/>
      <x:c r="E206" s="373"/>
      <x:c r="F206" s="373"/>
      <x:c r="G206" s="373"/>
      <x:c r="H206" s="373"/>
      <x:c r="I206" s="373"/>
      <x:c r="J206" s="373"/>
      <x:c r="K206" s="373"/>
      <x:c r="L206" s="373"/>
      <x:c r="M206" s="373"/>
      <x:c r="N206" s="373"/>
      <x:c r="O206" s="373"/>
      <x:c r="P206" s="373"/>
      <x:c r="Q206" s="373"/>
      <x:c r="R206" s="373"/>
      <x:c r="S206" s="373"/>
      <x:c r="T206" s="373"/>
      <x:c r="U206" s="373"/>
      <x:c r="V206" s="373"/>
      <x:c r="W206" s="373"/>
      <x:c r="X206" s="373"/>
      <x:c r="Y206" s="373"/>
      <x:c r="Z206" s="373"/>
    </x:row>
    <x:row r="207">
      <x:c r="A207" s="373"/>
      <x:c r="B207" s="373"/>
      <x:c r="C207" s="373"/>
      <x:c r="D207" s="373"/>
      <x:c r="E207" s="373"/>
      <x:c r="F207" s="373"/>
      <x:c r="G207" s="373"/>
      <x:c r="H207" s="373"/>
      <x:c r="I207" s="373"/>
      <x:c r="J207" s="373"/>
      <x:c r="K207" s="373"/>
      <x:c r="L207" s="373"/>
      <x:c r="M207" s="373"/>
      <x:c r="N207" s="373"/>
      <x:c r="O207" s="373"/>
      <x:c r="P207" s="373"/>
      <x:c r="Q207" s="373"/>
      <x:c r="R207" s="373"/>
      <x:c r="S207" s="373"/>
      <x:c r="T207" s="373"/>
      <x:c r="U207" s="373"/>
      <x:c r="V207" s="373"/>
      <x:c r="W207" s="373"/>
      <x:c r="X207" s="373"/>
      <x:c r="Y207" s="373"/>
      <x:c r="Z207" s="373"/>
    </x:row>
    <x:row r="208">
      <x:c r="A208" s="373"/>
      <x:c r="B208" s="373"/>
      <x:c r="C208" s="373"/>
      <x:c r="D208" s="373"/>
      <x:c r="E208" s="373"/>
      <x:c r="F208" s="373"/>
      <x:c r="G208" s="373"/>
      <x:c r="H208" s="373"/>
      <x:c r="I208" s="373"/>
      <x:c r="J208" s="373"/>
      <x:c r="K208" s="373"/>
      <x:c r="L208" s="373"/>
      <x:c r="M208" s="373"/>
      <x:c r="N208" s="373"/>
      <x:c r="O208" s="373"/>
      <x:c r="P208" s="373"/>
      <x:c r="Q208" s="373"/>
      <x:c r="R208" s="373"/>
      <x:c r="S208" s="373"/>
      <x:c r="T208" s="373"/>
      <x:c r="U208" s="373"/>
      <x:c r="V208" s="373"/>
      <x:c r="W208" s="373"/>
      <x:c r="X208" s="373"/>
      <x:c r="Y208" s="373"/>
      <x:c r="Z208" s="373"/>
    </x:row>
    <x:row r="209">
      <x:c r="A209" s="373"/>
      <x:c r="B209" s="373"/>
      <x:c r="C209" s="373"/>
      <x:c r="D209" s="373"/>
      <x:c r="E209" s="373"/>
      <x:c r="F209" s="373"/>
      <x:c r="G209" s="373"/>
      <x:c r="H209" s="373"/>
      <x:c r="I209" s="373"/>
      <x:c r="J209" s="373"/>
      <x:c r="K209" s="373"/>
      <x:c r="L209" s="373"/>
      <x:c r="M209" s="373"/>
      <x:c r="N209" s="373"/>
      <x:c r="O209" s="373"/>
      <x:c r="P209" s="373"/>
      <x:c r="Q209" s="373"/>
      <x:c r="R209" s="373"/>
      <x:c r="S209" s="373"/>
      <x:c r="T209" s="373"/>
      <x:c r="U209" s="373"/>
      <x:c r="V209" s="373"/>
      <x:c r="W209" s="373"/>
      <x:c r="X209" s="373"/>
      <x:c r="Y209" s="373"/>
      <x:c r="Z209" s="373"/>
    </x:row>
    <x:row r="210">
      <x:c r="A210" s="373"/>
      <x:c r="B210" s="373"/>
      <x:c r="C210" s="373"/>
      <x:c r="D210" s="373"/>
      <x:c r="E210" s="373"/>
      <x:c r="F210" s="373"/>
      <x:c r="G210" s="373"/>
      <x:c r="H210" s="373"/>
      <x:c r="I210" s="373"/>
      <x:c r="J210" s="373"/>
      <x:c r="K210" s="373"/>
      <x:c r="L210" s="373"/>
      <x:c r="M210" s="373"/>
      <x:c r="N210" s="373"/>
      <x:c r="O210" s="373"/>
      <x:c r="P210" s="373"/>
      <x:c r="Q210" s="373"/>
      <x:c r="R210" s="373"/>
      <x:c r="S210" s="373"/>
      <x:c r="T210" s="373"/>
      <x:c r="U210" s="373"/>
      <x:c r="V210" s="373"/>
      <x:c r="W210" s="373"/>
      <x:c r="X210" s="373"/>
      <x:c r="Y210" s="373"/>
      <x:c r="Z210" s="373"/>
    </x:row>
    <x:row r="211">
      <x:c r="A211" s="373"/>
      <x:c r="B211" s="373"/>
      <x:c r="C211" s="373"/>
      <x:c r="D211" s="373"/>
      <x:c r="E211" s="373"/>
      <x:c r="F211" s="373"/>
      <x:c r="G211" s="373"/>
      <x:c r="H211" s="373"/>
      <x:c r="I211" s="373"/>
      <x:c r="J211" s="373"/>
      <x:c r="K211" s="373"/>
      <x:c r="L211" s="373"/>
      <x:c r="M211" s="373"/>
      <x:c r="N211" s="373"/>
      <x:c r="O211" s="373"/>
      <x:c r="P211" s="373"/>
      <x:c r="Q211" s="373"/>
      <x:c r="R211" s="373"/>
      <x:c r="S211" s="373"/>
      <x:c r="T211" s="373"/>
      <x:c r="U211" s="373"/>
      <x:c r="V211" s="373"/>
      <x:c r="W211" s="373"/>
      <x:c r="X211" s="373"/>
      <x:c r="Y211" s="373"/>
      <x:c r="Z211" s="373"/>
    </x:row>
    <x:row r="212">
      <x:c r="A212" s="373"/>
      <x:c r="B212" s="373"/>
      <x:c r="C212" s="373"/>
      <x:c r="D212" s="373"/>
      <x:c r="E212" s="373"/>
      <x:c r="F212" s="373"/>
      <x:c r="G212" s="373"/>
      <x:c r="H212" s="373"/>
      <x:c r="I212" s="373"/>
      <x:c r="J212" s="373"/>
      <x:c r="K212" s="373"/>
      <x:c r="L212" s="373"/>
      <x:c r="M212" s="373"/>
      <x:c r="N212" s="373"/>
      <x:c r="O212" s="373"/>
      <x:c r="P212" s="373"/>
      <x:c r="Q212" s="373"/>
      <x:c r="R212" s="373"/>
      <x:c r="S212" s="373"/>
      <x:c r="T212" s="373"/>
      <x:c r="U212" s="373"/>
      <x:c r="V212" s="373"/>
      <x:c r="W212" s="373"/>
      <x:c r="X212" s="373"/>
      <x:c r="Y212" s="373"/>
      <x:c r="Z212" s="373"/>
    </x:row>
    <x:row r="213">
      <x:c r="A213" s="373"/>
      <x:c r="B213" s="373"/>
      <x:c r="C213" s="373"/>
      <x:c r="D213" s="373"/>
      <x:c r="E213" s="373"/>
      <x:c r="F213" s="373"/>
      <x:c r="G213" s="373"/>
      <x:c r="H213" s="373"/>
      <x:c r="I213" s="373"/>
      <x:c r="J213" s="373"/>
      <x:c r="K213" s="373"/>
      <x:c r="L213" s="373"/>
      <x:c r="M213" s="373"/>
      <x:c r="N213" s="373"/>
      <x:c r="O213" s="373"/>
      <x:c r="P213" s="373"/>
      <x:c r="Q213" s="373"/>
      <x:c r="R213" s="373"/>
      <x:c r="S213" s="373"/>
      <x:c r="T213" s="373"/>
      <x:c r="U213" s="373"/>
      <x:c r="V213" s="373"/>
      <x:c r="W213" s="373"/>
      <x:c r="X213" s="373"/>
      <x:c r="Y213" s="373"/>
      <x:c r="Z213" s="373"/>
    </x:row>
    <x:row r="214">
      <x:c r="A214" s="373"/>
      <x:c r="B214" s="373"/>
      <x:c r="C214" s="373"/>
      <x:c r="D214" s="373"/>
      <x:c r="E214" s="373"/>
      <x:c r="F214" s="373"/>
      <x:c r="G214" s="373"/>
      <x:c r="H214" s="373"/>
      <x:c r="I214" s="373"/>
      <x:c r="J214" s="373"/>
      <x:c r="K214" s="373"/>
      <x:c r="L214" s="373"/>
      <x:c r="M214" s="373"/>
      <x:c r="N214" s="373"/>
      <x:c r="O214" s="373"/>
      <x:c r="P214" s="373"/>
      <x:c r="Q214" s="373"/>
      <x:c r="R214" s="373"/>
      <x:c r="S214" s="373"/>
      <x:c r="T214" s="373"/>
      <x:c r="U214" s="373"/>
      <x:c r="V214" s="373"/>
      <x:c r="W214" s="373"/>
      <x:c r="X214" s="373"/>
      <x:c r="Y214" s="373"/>
      <x:c r="Z214" s="373"/>
    </x:row>
    <x:row r="215">
      <x:c r="A215" s="373"/>
      <x:c r="B215" s="373"/>
      <x:c r="C215" s="373"/>
      <x:c r="D215" s="373"/>
      <x:c r="E215" s="373"/>
      <x:c r="F215" s="373"/>
      <x:c r="G215" s="373"/>
      <x:c r="H215" s="373"/>
      <x:c r="I215" s="373"/>
      <x:c r="J215" s="373"/>
      <x:c r="K215" s="373"/>
      <x:c r="L215" s="373"/>
      <x:c r="M215" s="373"/>
      <x:c r="N215" s="373"/>
      <x:c r="O215" s="373"/>
      <x:c r="P215" s="373"/>
      <x:c r="Q215" s="373"/>
      <x:c r="R215" s="373"/>
      <x:c r="S215" s="373"/>
      <x:c r="T215" s="373"/>
      <x:c r="U215" s="373"/>
      <x:c r="V215" s="373"/>
      <x:c r="W215" s="373"/>
      <x:c r="X215" s="373"/>
      <x:c r="Y215" s="373"/>
      <x:c r="Z215" s="373"/>
    </x:row>
    <x:row r="216">
      <x:c r="A216" s="373"/>
      <x:c r="B216" s="373"/>
      <x:c r="C216" s="373"/>
      <x:c r="D216" s="373"/>
      <x:c r="E216" s="373"/>
      <x:c r="F216" s="373"/>
      <x:c r="G216" s="373"/>
      <x:c r="H216" s="373"/>
      <x:c r="I216" s="373"/>
      <x:c r="J216" s="373"/>
      <x:c r="K216" s="373"/>
      <x:c r="L216" s="373"/>
      <x:c r="M216" s="373"/>
      <x:c r="N216" s="373"/>
      <x:c r="O216" s="373"/>
      <x:c r="P216" s="373"/>
      <x:c r="Q216" s="373"/>
      <x:c r="R216" s="373"/>
      <x:c r="S216" s="373"/>
      <x:c r="T216" s="373"/>
      <x:c r="U216" s="373"/>
      <x:c r="V216" s="373"/>
      <x:c r="W216" s="373"/>
      <x:c r="X216" s="373"/>
      <x:c r="Y216" s="373"/>
      <x:c r="Z216" s="373"/>
    </x:row>
    <x:row r="217">
      <x:c r="A217" s="373"/>
      <x:c r="B217" s="373"/>
      <x:c r="C217" s="373"/>
      <x:c r="D217" s="373"/>
      <x:c r="E217" s="373"/>
      <x:c r="F217" s="373"/>
      <x:c r="G217" s="373"/>
      <x:c r="H217" s="373"/>
      <x:c r="I217" s="373"/>
      <x:c r="J217" s="373"/>
      <x:c r="K217" s="373"/>
      <x:c r="L217" s="373"/>
      <x:c r="M217" s="373"/>
      <x:c r="N217" s="373"/>
      <x:c r="O217" s="373"/>
      <x:c r="P217" s="373"/>
      <x:c r="Q217" s="373"/>
      <x:c r="R217" s="373"/>
      <x:c r="S217" s="373"/>
      <x:c r="T217" s="373"/>
      <x:c r="U217" s="373"/>
      <x:c r="V217" s="373"/>
      <x:c r="W217" s="373"/>
      <x:c r="X217" s="373"/>
      <x:c r="Y217" s="373"/>
      <x:c r="Z217" s="373"/>
    </x:row>
    <x:row r="218">
      <x:c r="A218" s="373"/>
      <x:c r="B218" s="373"/>
      <x:c r="C218" s="373"/>
      <x:c r="D218" s="373"/>
      <x:c r="E218" s="373"/>
      <x:c r="F218" s="373"/>
      <x:c r="G218" s="373"/>
      <x:c r="H218" s="373"/>
      <x:c r="I218" s="373"/>
      <x:c r="J218" s="373"/>
      <x:c r="K218" s="373"/>
      <x:c r="L218" s="373"/>
      <x:c r="M218" s="373"/>
      <x:c r="N218" s="373"/>
      <x:c r="O218" s="373"/>
      <x:c r="P218" s="373"/>
      <x:c r="Q218" s="373"/>
      <x:c r="R218" s="373"/>
      <x:c r="S218" s="373"/>
      <x:c r="T218" s="373"/>
      <x:c r="U218" s="373"/>
      <x:c r="V218" s="373"/>
      <x:c r="W218" s="373"/>
      <x:c r="X218" s="373"/>
      <x:c r="Y218" s="373"/>
      <x:c r="Z218" s="373"/>
    </x:row>
    <x:row r="219">
      <x:c r="A219" s="373"/>
      <x:c r="B219" s="373"/>
      <x:c r="C219" s="373"/>
      <x:c r="D219" s="373"/>
      <x:c r="E219" s="373"/>
      <x:c r="F219" s="373"/>
      <x:c r="G219" s="373"/>
      <x:c r="H219" s="373"/>
      <x:c r="I219" s="373"/>
      <x:c r="J219" s="373"/>
      <x:c r="K219" s="373"/>
      <x:c r="L219" s="373"/>
      <x:c r="M219" s="373"/>
      <x:c r="N219" s="373"/>
      <x:c r="O219" s="373"/>
      <x:c r="P219" s="373"/>
      <x:c r="Q219" s="373"/>
      <x:c r="R219" s="373"/>
      <x:c r="S219" s="373"/>
      <x:c r="T219" s="373"/>
      <x:c r="U219" s="373"/>
      <x:c r="V219" s="373"/>
      <x:c r="W219" s="373"/>
      <x:c r="X219" s="373"/>
      <x:c r="Y219" s="373"/>
      <x:c r="Z219" s="373"/>
    </x:row>
    <x:row r="220">
      <x:c r="A220" s="373"/>
      <x:c r="B220" s="373"/>
      <x:c r="C220" s="373"/>
      <x:c r="D220" s="373"/>
      <x:c r="E220" s="373"/>
      <x:c r="F220" s="373"/>
      <x:c r="G220" s="373"/>
      <x:c r="H220" s="373"/>
      <x:c r="I220" s="373"/>
      <x:c r="J220" s="373"/>
      <x:c r="K220" s="373"/>
      <x:c r="L220" s="373"/>
      <x:c r="M220" s="373"/>
      <x:c r="N220" s="373"/>
      <x:c r="O220" s="373"/>
      <x:c r="P220" s="373"/>
      <x:c r="Q220" s="373"/>
      <x:c r="R220" s="373"/>
      <x:c r="S220" s="373"/>
      <x:c r="T220" s="373"/>
      <x:c r="U220" s="373"/>
      <x:c r="V220" s="373"/>
      <x:c r="W220" s="373"/>
      <x:c r="X220" s="373"/>
      <x:c r="Y220" s="373"/>
      <x:c r="Z220" s="373"/>
    </x:row>
    <x:row r="221">
      <x:c r="A221" s="373"/>
      <x:c r="B221" s="373"/>
      <x:c r="C221" s="373"/>
      <x:c r="D221" s="373"/>
      <x:c r="E221" s="373"/>
      <x:c r="F221" s="373"/>
      <x:c r="G221" s="373"/>
      <x:c r="H221" s="373"/>
      <x:c r="I221" s="373"/>
      <x:c r="J221" s="373"/>
      <x:c r="K221" s="373"/>
      <x:c r="L221" s="373"/>
      <x:c r="M221" s="373"/>
      <x:c r="N221" s="373"/>
      <x:c r="O221" s="373"/>
      <x:c r="P221" s="373"/>
      <x:c r="Q221" s="373"/>
      <x:c r="R221" s="373"/>
      <x:c r="S221" s="373"/>
      <x:c r="T221" s="373"/>
      <x:c r="U221" s="373"/>
      <x:c r="V221" s="373"/>
      <x:c r="W221" s="373"/>
      <x:c r="X221" s="373"/>
      <x:c r="Y221" s="373"/>
      <x:c r="Z221" s="373"/>
    </x:row>
    <x:row r="222">
      <x:c r="A222" s="373"/>
      <x:c r="B222" s="373"/>
      <x:c r="C222" s="373"/>
      <x:c r="D222" s="373"/>
      <x:c r="E222" s="373"/>
      <x:c r="F222" s="373"/>
      <x:c r="G222" s="373"/>
      <x:c r="H222" s="373"/>
      <x:c r="I222" s="373"/>
      <x:c r="J222" s="373"/>
      <x:c r="K222" s="373"/>
      <x:c r="L222" s="373"/>
      <x:c r="M222" s="373"/>
      <x:c r="N222" s="373"/>
      <x:c r="O222" s="373"/>
      <x:c r="P222" s="373"/>
      <x:c r="Q222" s="373"/>
      <x:c r="R222" s="373"/>
      <x:c r="S222" s="373"/>
      <x:c r="T222" s="373"/>
      <x:c r="U222" s="373"/>
      <x:c r="V222" s="373"/>
      <x:c r="W222" s="373"/>
      <x:c r="X222" s="373"/>
      <x:c r="Y222" s="373"/>
      <x:c r="Z222" s="373"/>
    </x:row>
    <x:row r="223">
      <x:c r="A223" s="373"/>
      <x:c r="B223" s="373"/>
      <x:c r="C223" s="373"/>
      <x:c r="D223" s="373"/>
      <x:c r="E223" s="373"/>
      <x:c r="F223" s="373"/>
      <x:c r="G223" s="373"/>
      <x:c r="H223" s="373"/>
      <x:c r="I223" s="373"/>
      <x:c r="J223" s="373"/>
      <x:c r="K223" s="373"/>
      <x:c r="L223" s="373"/>
      <x:c r="M223" s="373"/>
      <x:c r="N223" s="373"/>
      <x:c r="O223" s="373"/>
      <x:c r="P223" s="373"/>
      <x:c r="Q223" s="373"/>
      <x:c r="R223" s="373"/>
      <x:c r="S223" s="373"/>
      <x:c r="T223" s="373"/>
      <x:c r="U223" s="373"/>
      <x:c r="V223" s="373"/>
      <x:c r="W223" s="373"/>
      <x:c r="X223" s="373"/>
      <x:c r="Y223" s="373"/>
      <x:c r="Z223" s="373"/>
    </x:row>
    <x:row r="224">
      <x:c r="A224" s="373"/>
      <x:c r="B224" s="373"/>
      <x:c r="C224" s="373"/>
      <x:c r="D224" s="373"/>
      <x:c r="E224" s="373"/>
      <x:c r="F224" s="373"/>
      <x:c r="G224" s="373"/>
      <x:c r="H224" s="373"/>
      <x:c r="I224" s="373"/>
      <x:c r="J224" s="373"/>
      <x:c r="K224" s="373"/>
      <x:c r="L224" s="373"/>
      <x:c r="M224" s="373"/>
      <x:c r="N224" s="373"/>
      <x:c r="O224" s="373"/>
      <x:c r="P224" s="373"/>
      <x:c r="Q224" s="373"/>
      <x:c r="R224" s="373"/>
      <x:c r="S224" s="373"/>
      <x:c r="T224" s="373"/>
      <x:c r="U224" s="373"/>
      <x:c r="V224" s="373"/>
      <x:c r="W224" s="373"/>
      <x:c r="X224" s="373"/>
      <x:c r="Y224" s="373"/>
      <x:c r="Z224" s="373"/>
    </x:row>
    <x:row r="225">
      <x:c r="A225" s="373"/>
      <x:c r="B225" s="373"/>
      <x:c r="C225" s="373"/>
      <x:c r="D225" s="373"/>
      <x:c r="E225" s="373"/>
      <x:c r="F225" s="373"/>
      <x:c r="G225" s="373"/>
      <x:c r="H225" s="373"/>
      <x:c r="I225" s="373"/>
      <x:c r="J225" s="373"/>
      <x:c r="K225" s="373"/>
      <x:c r="L225" s="373"/>
      <x:c r="M225" s="373"/>
      <x:c r="N225" s="373"/>
      <x:c r="O225" s="373"/>
      <x:c r="P225" s="373"/>
      <x:c r="Q225" s="373"/>
      <x:c r="R225" s="373"/>
      <x:c r="S225" s="373"/>
      <x:c r="T225" s="373"/>
      <x:c r="U225" s="373"/>
      <x:c r="V225" s="373"/>
      <x:c r="W225" s="373"/>
      <x:c r="X225" s="373"/>
      <x:c r="Y225" s="373"/>
      <x:c r="Z225" s="373"/>
    </x:row>
    <x:row r="226">
      <x:c r="A226" s="373"/>
      <x:c r="B226" s="373"/>
      <x:c r="C226" s="373"/>
      <x:c r="D226" s="373"/>
      <x:c r="E226" s="373"/>
      <x:c r="F226" s="373"/>
      <x:c r="G226" s="373"/>
      <x:c r="H226" s="373"/>
      <x:c r="I226" s="373"/>
      <x:c r="J226" s="373"/>
      <x:c r="K226" s="373"/>
      <x:c r="L226" s="373"/>
      <x:c r="M226" s="373"/>
      <x:c r="N226" s="373"/>
      <x:c r="O226" s="373"/>
      <x:c r="P226" s="373"/>
      <x:c r="Q226" s="373"/>
      <x:c r="R226" s="373"/>
      <x:c r="S226" s="373"/>
      <x:c r="T226" s="373"/>
      <x:c r="U226" s="373"/>
      <x:c r="V226" s="373"/>
      <x:c r="W226" s="373"/>
      <x:c r="X226" s="373"/>
      <x:c r="Y226" s="373"/>
      <x:c r="Z226" s="373"/>
    </x:row>
    <x:row r="227">
      <x:c r="A227" s="373"/>
      <x:c r="B227" s="373"/>
      <x:c r="C227" s="373"/>
      <x:c r="D227" s="373"/>
      <x:c r="E227" s="373"/>
      <x:c r="F227" s="373"/>
      <x:c r="G227" s="373"/>
      <x:c r="H227" s="373"/>
      <x:c r="I227" s="373"/>
      <x:c r="J227" s="373"/>
      <x:c r="K227" s="373"/>
      <x:c r="L227" s="373"/>
      <x:c r="M227" s="373"/>
      <x:c r="N227" s="373"/>
      <x:c r="O227" s="373"/>
      <x:c r="P227" s="373"/>
      <x:c r="Q227" s="373"/>
      <x:c r="R227" s="373"/>
      <x:c r="S227" s="373"/>
      <x:c r="T227" s="373"/>
      <x:c r="U227" s="373"/>
      <x:c r="V227" s="373"/>
      <x:c r="W227" s="373"/>
      <x:c r="X227" s="373"/>
      <x:c r="Y227" s="373"/>
      <x:c r="Z227" s="373"/>
    </x:row>
    <x:row r="228">
      <x:c r="A228" s="373"/>
      <x:c r="B228" s="373"/>
      <x:c r="C228" s="373"/>
      <x:c r="D228" s="373"/>
      <x:c r="E228" s="373"/>
      <x:c r="F228" s="373"/>
      <x:c r="G228" s="373"/>
      <x:c r="H228" s="373"/>
      <x:c r="I228" s="373"/>
      <x:c r="J228" s="373"/>
      <x:c r="K228" s="373"/>
      <x:c r="L228" s="373"/>
      <x:c r="M228" s="373"/>
      <x:c r="N228" s="373"/>
      <x:c r="O228" s="373"/>
      <x:c r="P228" s="373"/>
      <x:c r="Q228" s="373"/>
      <x:c r="R228" s="373"/>
      <x:c r="S228" s="373"/>
      <x:c r="T228" s="373"/>
      <x:c r="U228" s="373"/>
      <x:c r="V228" s="373"/>
      <x:c r="W228" s="373"/>
      <x:c r="X228" s="373"/>
      <x:c r="Y228" s="373"/>
      <x:c r="Z228" s="373"/>
    </x:row>
    <x:row r="229">
      <x:c r="A229" s="373"/>
      <x:c r="B229" s="373"/>
      <x:c r="C229" s="373"/>
      <x:c r="D229" s="373"/>
      <x:c r="E229" s="373"/>
      <x:c r="F229" s="373"/>
      <x:c r="G229" s="373"/>
      <x:c r="H229" s="373"/>
      <x:c r="I229" s="373"/>
      <x:c r="J229" s="373"/>
      <x:c r="K229" s="373"/>
      <x:c r="L229" s="373"/>
      <x:c r="M229" s="373"/>
      <x:c r="N229" s="373"/>
      <x:c r="O229" s="373"/>
      <x:c r="P229" s="373"/>
      <x:c r="Q229" s="373"/>
      <x:c r="R229" s="373"/>
      <x:c r="S229" s="373"/>
      <x:c r="T229" s="373"/>
      <x:c r="U229" s="373"/>
      <x:c r="V229" s="373"/>
      <x:c r="W229" s="373"/>
      <x:c r="X229" s="373"/>
      <x:c r="Y229" s="373"/>
      <x:c r="Z229" s="373"/>
    </x:row>
    <x:row r="230">
      <x:c r="A230" s="373"/>
      <x:c r="B230" s="373"/>
      <x:c r="C230" s="373"/>
      <x:c r="D230" s="373"/>
      <x:c r="E230" s="373"/>
      <x:c r="F230" s="373"/>
      <x:c r="G230" s="373"/>
      <x:c r="H230" s="373"/>
      <x:c r="I230" s="373"/>
      <x:c r="J230" s="373"/>
      <x:c r="K230" s="373"/>
      <x:c r="L230" s="373"/>
      <x:c r="M230" s="373"/>
      <x:c r="N230" s="373"/>
      <x:c r="O230" s="373"/>
      <x:c r="P230" s="373"/>
      <x:c r="Q230" s="373"/>
      <x:c r="R230" s="373"/>
      <x:c r="S230" s="373"/>
      <x:c r="T230" s="373"/>
      <x:c r="U230" s="373"/>
      <x:c r="V230" s="373"/>
      <x:c r="W230" s="373"/>
      <x:c r="X230" s="373"/>
      <x:c r="Y230" s="373"/>
      <x:c r="Z230" s="373"/>
    </x:row>
    <x:row r="231">
      <x:c r="A231" s="373"/>
      <x:c r="B231" s="373"/>
      <x:c r="C231" s="373"/>
      <x:c r="D231" s="373"/>
      <x:c r="E231" s="373"/>
      <x:c r="F231" s="373"/>
      <x:c r="G231" s="373"/>
      <x:c r="H231" s="373"/>
      <x:c r="I231" s="373"/>
      <x:c r="J231" s="373"/>
      <x:c r="K231" s="373"/>
      <x:c r="L231" s="373"/>
      <x:c r="M231" s="373"/>
      <x:c r="N231" s="373"/>
      <x:c r="O231" s="373"/>
      <x:c r="P231" s="373"/>
      <x:c r="Q231" s="373"/>
      <x:c r="R231" s="373"/>
      <x:c r="S231" s="373"/>
      <x:c r="T231" s="373"/>
      <x:c r="U231" s="373"/>
      <x:c r="V231" s="373"/>
      <x:c r="W231" s="373"/>
      <x:c r="X231" s="373"/>
      <x:c r="Y231" s="373"/>
      <x:c r="Z231" s="373"/>
    </x:row>
    <x:row r="232">
      <x:c r="A232" s="373"/>
      <x:c r="B232" s="373"/>
      <x:c r="C232" s="373"/>
      <x:c r="D232" s="373"/>
      <x:c r="E232" s="373"/>
      <x:c r="F232" s="373"/>
      <x:c r="G232" s="373"/>
      <x:c r="H232" s="373"/>
      <x:c r="I232" s="373"/>
      <x:c r="J232" s="373"/>
      <x:c r="K232" s="373"/>
      <x:c r="L232" s="373"/>
      <x:c r="M232" s="373"/>
      <x:c r="N232" s="373"/>
      <x:c r="O232" s="373"/>
      <x:c r="P232" s="373"/>
      <x:c r="Q232" s="373"/>
      <x:c r="R232" s="373"/>
      <x:c r="S232" s="373"/>
      <x:c r="T232" s="373"/>
      <x:c r="U232" s="373"/>
      <x:c r="V232" s="373"/>
      <x:c r="W232" s="373"/>
      <x:c r="X232" s="373"/>
      <x:c r="Y232" s="373"/>
      <x:c r="Z232" s="373"/>
    </x:row>
    <x:row r="233">
      <x:c r="A233" s="373"/>
      <x:c r="B233" s="373"/>
      <x:c r="C233" s="373"/>
      <x:c r="D233" s="373"/>
      <x:c r="E233" s="373"/>
      <x:c r="F233" s="373"/>
      <x:c r="G233" s="373"/>
      <x:c r="H233" s="373"/>
      <x:c r="I233" s="373"/>
      <x:c r="J233" s="373"/>
      <x:c r="K233" s="373"/>
      <x:c r="L233" s="373"/>
      <x:c r="M233" s="373"/>
      <x:c r="N233" s="373"/>
      <x:c r="O233" s="373"/>
      <x:c r="P233" s="373"/>
      <x:c r="Q233" s="373"/>
      <x:c r="R233" s="373"/>
      <x:c r="S233" s="373"/>
      <x:c r="T233" s="373"/>
      <x:c r="U233" s="373"/>
      <x:c r="V233" s="373"/>
      <x:c r="W233" s="373"/>
      <x:c r="X233" s="373"/>
      <x:c r="Y233" s="373"/>
      <x:c r="Z233" s="373"/>
    </x:row>
    <x:row r="234">
      <x:c r="A234" s="373"/>
      <x:c r="B234" s="373"/>
      <x:c r="C234" s="373"/>
      <x:c r="D234" s="373"/>
      <x:c r="E234" s="373"/>
      <x:c r="F234" s="373"/>
      <x:c r="G234" s="373"/>
      <x:c r="H234" s="373"/>
      <x:c r="I234" s="373"/>
      <x:c r="J234" s="373"/>
      <x:c r="K234" s="373"/>
      <x:c r="L234" s="373"/>
      <x:c r="M234" s="373"/>
      <x:c r="N234" s="373"/>
      <x:c r="O234" s="373"/>
      <x:c r="P234" s="373"/>
      <x:c r="Q234" s="373"/>
      <x:c r="R234" s="373"/>
      <x:c r="S234" s="373"/>
      <x:c r="T234" s="373"/>
      <x:c r="U234" s="373"/>
      <x:c r="V234" s="373"/>
      <x:c r="W234" s="373"/>
      <x:c r="X234" s="373"/>
      <x:c r="Y234" s="373"/>
      <x:c r="Z234" s="373"/>
    </x:row>
    <x:row r="235">
      <x:c r="A235" s="373"/>
      <x:c r="B235" s="373"/>
      <x:c r="C235" s="373"/>
      <x:c r="D235" s="373"/>
      <x:c r="E235" s="373"/>
      <x:c r="F235" s="373"/>
      <x:c r="G235" s="373"/>
      <x:c r="H235" s="373"/>
      <x:c r="I235" s="373"/>
      <x:c r="J235" s="373"/>
      <x:c r="K235" s="373"/>
      <x:c r="L235" s="373"/>
      <x:c r="M235" s="373"/>
      <x:c r="N235" s="373"/>
      <x:c r="O235" s="373"/>
      <x:c r="P235" s="373"/>
      <x:c r="Q235" s="373"/>
      <x:c r="R235" s="373"/>
      <x:c r="S235" s="373"/>
      <x:c r="T235" s="373"/>
      <x:c r="U235" s="373"/>
      <x:c r="V235" s="373"/>
      <x:c r="W235" s="373"/>
      <x:c r="X235" s="373"/>
      <x:c r="Y235" s="373"/>
      <x:c r="Z235" s="373"/>
    </x:row>
    <x:row r="236">
      <x:c r="A236" s="373"/>
      <x:c r="B236" s="373"/>
      <x:c r="C236" s="373"/>
      <x:c r="D236" s="373"/>
      <x:c r="E236" s="373"/>
      <x:c r="F236" s="373"/>
      <x:c r="G236" s="373"/>
      <x:c r="H236" s="373"/>
      <x:c r="I236" s="373"/>
      <x:c r="J236" s="373"/>
      <x:c r="K236" s="373"/>
      <x:c r="L236" s="373"/>
      <x:c r="M236" s="373"/>
      <x:c r="N236" s="373"/>
      <x:c r="O236" s="373"/>
      <x:c r="P236" s="373"/>
      <x:c r="Q236" s="373"/>
      <x:c r="R236" s="373"/>
      <x:c r="S236" s="373"/>
      <x:c r="T236" s="373"/>
      <x:c r="U236" s="373"/>
      <x:c r="V236" s="373"/>
      <x:c r="W236" s="373"/>
      <x:c r="X236" s="373"/>
      <x:c r="Y236" s="373"/>
      <x:c r="Z236" s="373"/>
    </x:row>
    <x:row r="237">
      <x:c r="A237" s="373"/>
      <x:c r="B237" s="373"/>
      <x:c r="C237" s="373"/>
      <x:c r="D237" s="373"/>
      <x:c r="E237" s="373"/>
      <x:c r="F237" s="373"/>
      <x:c r="G237" s="373"/>
      <x:c r="H237" s="373"/>
      <x:c r="I237" s="373"/>
      <x:c r="J237" s="373"/>
      <x:c r="K237" s="373"/>
      <x:c r="L237" s="373"/>
      <x:c r="M237" s="373"/>
      <x:c r="N237" s="373"/>
      <x:c r="O237" s="373"/>
      <x:c r="P237" s="373"/>
      <x:c r="Q237" s="373"/>
      <x:c r="R237" s="373"/>
      <x:c r="S237" s="373"/>
      <x:c r="T237" s="373"/>
      <x:c r="U237" s="373"/>
      <x:c r="V237" s="373"/>
      <x:c r="W237" s="373"/>
      <x:c r="X237" s="373"/>
      <x:c r="Y237" s="373"/>
      <x:c r="Z237" s="373"/>
    </x:row>
    <x:row r="238">
      <x:c r="A238" s="373"/>
      <x:c r="B238" s="373"/>
      <x:c r="C238" s="373"/>
      <x:c r="D238" s="373"/>
      <x:c r="E238" s="373"/>
      <x:c r="F238" s="373"/>
      <x:c r="G238" s="373"/>
      <x:c r="H238" s="373"/>
      <x:c r="I238" s="373"/>
      <x:c r="J238" s="373"/>
      <x:c r="K238" s="373"/>
      <x:c r="L238" s="373"/>
      <x:c r="M238" s="373"/>
      <x:c r="N238" s="373"/>
      <x:c r="O238" s="373"/>
      <x:c r="P238" s="373"/>
      <x:c r="Q238" s="373"/>
      <x:c r="R238" s="373"/>
      <x:c r="S238" s="373"/>
      <x:c r="T238" s="373"/>
      <x:c r="U238" s="373"/>
      <x:c r="V238" s="373"/>
      <x:c r="W238" s="373"/>
      <x:c r="X238" s="373"/>
      <x:c r="Y238" s="373"/>
      <x:c r="Z238" s="373"/>
    </x:row>
    <x:row r="239">
      <x:c r="A239" s="373"/>
      <x:c r="B239" s="373"/>
      <x:c r="C239" s="373"/>
      <x:c r="D239" s="373"/>
      <x:c r="E239" s="373"/>
      <x:c r="F239" s="373"/>
      <x:c r="G239" s="373"/>
      <x:c r="H239" s="373"/>
      <x:c r="I239" s="373"/>
      <x:c r="J239" s="373"/>
      <x:c r="K239" s="373"/>
      <x:c r="L239" s="373"/>
      <x:c r="M239" s="373"/>
      <x:c r="N239" s="373"/>
      <x:c r="O239" s="373"/>
      <x:c r="P239" s="373"/>
      <x:c r="Q239" s="373"/>
      <x:c r="R239" s="373"/>
      <x:c r="S239" s="373"/>
      <x:c r="T239" s="373"/>
      <x:c r="U239" s="373"/>
      <x:c r="V239" s="373"/>
      <x:c r="W239" s="373"/>
      <x:c r="X239" s="373"/>
      <x:c r="Y239" s="373"/>
      <x:c r="Z239" s="373"/>
    </x:row>
    <x:row r="240">
      <x:c r="A240" s="373"/>
      <x:c r="B240" s="373"/>
      <x:c r="C240" s="373"/>
      <x:c r="D240" s="373"/>
      <x:c r="E240" s="373"/>
      <x:c r="F240" s="373"/>
      <x:c r="G240" s="373"/>
      <x:c r="H240" s="373"/>
      <x:c r="I240" s="373"/>
      <x:c r="J240" s="373"/>
      <x:c r="K240" s="373"/>
      <x:c r="L240" s="373"/>
      <x:c r="M240" s="373"/>
      <x:c r="N240" s="373"/>
      <x:c r="O240" s="373"/>
      <x:c r="P240" s="373"/>
      <x:c r="Q240" s="373"/>
      <x:c r="R240" s="373"/>
      <x:c r="S240" s="373"/>
      <x:c r="T240" s="373"/>
      <x:c r="U240" s="373"/>
      <x:c r="V240" s="373"/>
      <x:c r="W240" s="373"/>
      <x:c r="X240" s="373"/>
      <x:c r="Y240" s="373"/>
      <x:c r="Z240" s="373"/>
    </x:row>
    <x:row r="241">
      <x:c r="A241" s="373"/>
      <x:c r="B241" s="373"/>
      <x:c r="C241" s="373"/>
      <x:c r="D241" s="373"/>
      <x:c r="E241" s="373"/>
      <x:c r="F241" s="373"/>
      <x:c r="G241" s="373"/>
      <x:c r="H241" s="373"/>
      <x:c r="I241" s="373"/>
      <x:c r="J241" s="373"/>
      <x:c r="K241" s="373"/>
      <x:c r="L241" s="373"/>
      <x:c r="M241" s="373"/>
      <x:c r="N241" s="373"/>
      <x:c r="O241" s="373"/>
      <x:c r="P241" s="373"/>
      <x:c r="Q241" s="373"/>
      <x:c r="R241" s="373"/>
      <x:c r="S241" s="373"/>
      <x:c r="T241" s="373"/>
      <x:c r="U241" s="373"/>
      <x:c r="V241" s="373"/>
      <x:c r="W241" s="373"/>
      <x:c r="X241" s="373"/>
      <x:c r="Y241" s="373"/>
      <x:c r="Z241" s="373"/>
    </x:row>
    <x:row r="242">
      <x:c r="A242" s="373"/>
      <x:c r="B242" s="373"/>
      <x:c r="C242" s="373"/>
      <x:c r="D242" s="373"/>
      <x:c r="E242" s="373"/>
      <x:c r="F242" s="373"/>
      <x:c r="G242" s="373"/>
      <x:c r="H242" s="373"/>
      <x:c r="I242" s="373"/>
      <x:c r="J242" s="373"/>
      <x:c r="K242" s="373"/>
      <x:c r="L242" s="373"/>
      <x:c r="M242" s="373"/>
      <x:c r="N242" s="373"/>
      <x:c r="O242" s="373"/>
      <x:c r="P242" s="373"/>
      <x:c r="Q242" s="373"/>
      <x:c r="R242" s="373"/>
      <x:c r="S242" s="373"/>
      <x:c r="T242" s="373"/>
      <x:c r="U242" s="373"/>
      <x:c r="V242" s="373"/>
      <x:c r="W242" s="373"/>
      <x:c r="X242" s="373"/>
      <x:c r="Y242" s="373"/>
      <x:c r="Z242" s="373"/>
    </x:row>
    <x:row r="243">
      <x:c r="A243" s="373"/>
      <x:c r="B243" s="373"/>
      <x:c r="C243" s="373"/>
      <x:c r="D243" s="373"/>
      <x:c r="E243" s="373"/>
      <x:c r="F243" s="373"/>
      <x:c r="G243" s="373"/>
      <x:c r="H243" s="373"/>
      <x:c r="I243" s="373"/>
      <x:c r="J243" s="373"/>
      <x:c r="K243" s="373"/>
      <x:c r="L243" s="373"/>
      <x:c r="M243" s="373"/>
      <x:c r="N243" s="373"/>
      <x:c r="O243" s="373"/>
      <x:c r="P243" s="373"/>
      <x:c r="Q243" s="373"/>
      <x:c r="R243" s="373"/>
      <x:c r="S243" s="373"/>
      <x:c r="T243" s="373"/>
      <x:c r="U243" s="373"/>
      <x:c r="V243" s="373"/>
      <x:c r="W243" s="373"/>
      <x:c r="X243" s="373"/>
      <x:c r="Y243" s="373"/>
      <x:c r="Z243" s="373"/>
    </x:row>
    <x:row r="244">
      <x:c r="A244" s="373"/>
      <x:c r="B244" s="373"/>
      <x:c r="C244" s="373"/>
      <x:c r="D244" s="373"/>
      <x:c r="E244" s="373"/>
      <x:c r="F244" s="373"/>
      <x:c r="G244" s="373"/>
      <x:c r="H244" s="373"/>
      <x:c r="I244" s="373"/>
      <x:c r="J244" s="373"/>
      <x:c r="K244" s="373"/>
      <x:c r="L244" s="373"/>
      <x:c r="M244" s="373"/>
      <x:c r="N244" s="373"/>
      <x:c r="O244" s="373"/>
      <x:c r="P244" s="373"/>
      <x:c r="Q244" s="373"/>
      <x:c r="R244" s="373"/>
      <x:c r="S244" s="373"/>
      <x:c r="T244" s="373"/>
      <x:c r="U244" s="373"/>
      <x:c r="V244" s="373"/>
      <x:c r="W244" s="373"/>
      <x:c r="X244" s="373"/>
      <x:c r="Y244" s="373"/>
      <x:c r="Z244" s="373"/>
    </x:row>
    <x:row r="245">
      <x:c r="A245" s="373"/>
      <x:c r="B245" s="373"/>
      <x:c r="C245" s="373"/>
      <x:c r="D245" s="373"/>
      <x:c r="E245" s="373"/>
      <x:c r="F245" s="373"/>
      <x:c r="G245" s="373"/>
      <x:c r="H245" s="373"/>
      <x:c r="I245" s="373"/>
      <x:c r="J245" s="373"/>
      <x:c r="K245" s="373"/>
      <x:c r="L245" s="373"/>
      <x:c r="M245" s="373"/>
      <x:c r="N245" s="373"/>
      <x:c r="O245" s="373"/>
      <x:c r="P245" s="373"/>
      <x:c r="Q245" s="373"/>
      <x:c r="R245" s="373"/>
      <x:c r="S245" s="373"/>
      <x:c r="T245" s="373"/>
      <x:c r="U245" s="373"/>
      <x:c r="V245" s="373"/>
      <x:c r="W245" s="373"/>
      <x:c r="X245" s="373"/>
      <x:c r="Y245" s="373"/>
      <x:c r="Z245" s="373"/>
    </x:row>
    <x:row r="246">
      <x:c r="A246" s="373"/>
      <x:c r="B246" s="373"/>
      <x:c r="C246" s="373"/>
      <x:c r="D246" s="373"/>
      <x:c r="E246" s="373"/>
      <x:c r="F246" s="373"/>
      <x:c r="G246" s="373"/>
      <x:c r="H246" s="373"/>
      <x:c r="I246" s="373"/>
      <x:c r="J246" s="373"/>
      <x:c r="K246" s="373"/>
      <x:c r="L246" s="373"/>
      <x:c r="M246" s="373"/>
      <x:c r="N246" s="373"/>
      <x:c r="O246" s="373"/>
      <x:c r="P246" s="373"/>
      <x:c r="Q246" s="373"/>
      <x:c r="R246" s="373"/>
      <x:c r="S246" s="373"/>
      <x:c r="T246" s="373"/>
      <x:c r="U246" s="373"/>
      <x:c r="V246" s="373"/>
      <x:c r="W246" s="373"/>
      <x:c r="X246" s="373"/>
      <x:c r="Y246" s="373"/>
      <x:c r="Z246" s="373"/>
    </x:row>
    <x:row r="247">
      <x:c r="A247" s="373"/>
      <x:c r="B247" s="373"/>
      <x:c r="C247" s="373"/>
      <x:c r="D247" s="373"/>
      <x:c r="E247" s="373"/>
      <x:c r="F247" s="373"/>
      <x:c r="G247" s="373"/>
      <x:c r="H247" s="373"/>
      <x:c r="I247" s="373"/>
      <x:c r="J247" s="373"/>
      <x:c r="K247" s="373"/>
      <x:c r="L247" s="373"/>
      <x:c r="M247" s="373"/>
      <x:c r="N247" s="373"/>
      <x:c r="O247" s="373"/>
      <x:c r="P247" s="373"/>
      <x:c r="Q247" s="373"/>
      <x:c r="R247" s="373"/>
      <x:c r="S247" s="373"/>
      <x:c r="T247" s="373"/>
      <x:c r="U247" s="373"/>
      <x:c r="V247" s="373"/>
      <x:c r="W247" s="373"/>
      <x:c r="X247" s="373"/>
      <x:c r="Y247" s="373"/>
      <x:c r="Z247" s="373"/>
    </x:row>
    <x:row r="248">
      <x:c r="A248" s="373"/>
      <x:c r="B248" s="373"/>
      <x:c r="C248" s="373"/>
      <x:c r="D248" s="373"/>
      <x:c r="E248" s="373"/>
      <x:c r="F248" s="373"/>
      <x:c r="G248" s="373"/>
      <x:c r="H248" s="373"/>
      <x:c r="I248" s="373"/>
      <x:c r="J248" s="373"/>
      <x:c r="K248" s="373"/>
      <x:c r="L248" s="373"/>
      <x:c r="M248" s="373"/>
      <x:c r="N248" s="373"/>
      <x:c r="O248" s="373"/>
      <x:c r="P248" s="373"/>
      <x:c r="Q248" s="373"/>
      <x:c r="R248" s="373"/>
      <x:c r="S248" s="373"/>
      <x:c r="T248" s="373"/>
      <x:c r="U248" s="373"/>
      <x:c r="V248" s="373"/>
      <x:c r="W248" s="373"/>
      <x:c r="X248" s="373"/>
      <x:c r="Y248" s="373"/>
      <x:c r="Z248" s="373"/>
    </x:row>
    <x:row r="249">
      <x:c r="A249" s="373"/>
      <x:c r="B249" s="373"/>
      <x:c r="C249" s="373"/>
      <x:c r="D249" s="373"/>
      <x:c r="E249" s="373"/>
      <x:c r="F249" s="373"/>
      <x:c r="G249" s="373"/>
      <x:c r="H249" s="373"/>
      <x:c r="I249" s="373"/>
      <x:c r="J249" s="373"/>
      <x:c r="K249" s="373"/>
      <x:c r="L249" s="373"/>
      <x:c r="M249" s="373"/>
      <x:c r="N249" s="373"/>
      <x:c r="O249" s="373"/>
      <x:c r="P249" s="373"/>
      <x:c r="Q249" s="373"/>
      <x:c r="R249" s="373"/>
      <x:c r="S249" s="373"/>
      <x:c r="T249" s="373"/>
      <x:c r="U249" s="373"/>
      <x:c r="V249" s="373"/>
      <x:c r="W249" s="373"/>
      <x:c r="X249" s="373"/>
      <x:c r="Y249" s="373"/>
      <x:c r="Z249" s="373"/>
    </x:row>
    <x:row r="250">
      <x:c r="A250" s="373"/>
      <x:c r="B250" s="373"/>
      <x:c r="C250" s="373"/>
      <x:c r="D250" s="373"/>
      <x:c r="E250" s="373"/>
      <x:c r="F250" s="373"/>
      <x:c r="G250" s="373"/>
      <x:c r="H250" s="373"/>
      <x:c r="I250" s="373"/>
      <x:c r="J250" s="373"/>
      <x:c r="K250" s="373"/>
      <x:c r="L250" s="373"/>
      <x:c r="M250" s="373"/>
      <x:c r="N250" s="373"/>
      <x:c r="O250" s="373"/>
      <x:c r="P250" s="373"/>
      <x:c r="Q250" s="373"/>
      <x:c r="R250" s="373"/>
      <x:c r="S250" s="373"/>
      <x:c r="T250" s="373"/>
      <x:c r="U250" s="373"/>
      <x:c r="V250" s="373"/>
      <x:c r="W250" s="373"/>
      <x:c r="X250" s="373"/>
      <x:c r="Y250" s="373"/>
      <x:c r="Z250" s="373"/>
    </x:row>
    <x:row r="251">
      <x:c r="A251" s="373"/>
      <x:c r="B251" s="373"/>
      <x:c r="C251" s="373"/>
      <x:c r="D251" s="373"/>
      <x:c r="E251" s="373"/>
      <x:c r="F251" s="373"/>
      <x:c r="G251" s="373"/>
      <x:c r="H251" s="373"/>
      <x:c r="I251" s="373"/>
      <x:c r="J251" s="373"/>
      <x:c r="K251" s="373"/>
      <x:c r="L251" s="373"/>
      <x:c r="M251" s="373"/>
      <x:c r="N251" s="373"/>
      <x:c r="O251" s="373"/>
      <x:c r="P251" s="373"/>
      <x:c r="Q251" s="373"/>
      <x:c r="R251" s="373"/>
      <x:c r="S251" s="373"/>
      <x:c r="T251" s="373"/>
      <x:c r="U251" s="373"/>
      <x:c r="V251" s="373"/>
      <x:c r="W251" s="373"/>
      <x:c r="X251" s="373"/>
      <x:c r="Y251" s="373"/>
      <x:c r="Z251" s="373"/>
    </x:row>
    <x:row r="252">
      <x:c r="A252" s="373"/>
      <x:c r="B252" s="373"/>
      <x:c r="C252" s="373"/>
      <x:c r="D252" s="373"/>
      <x:c r="E252" s="373"/>
      <x:c r="F252" s="373"/>
      <x:c r="G252" s="373"/>
      <x:c r="H252" s="373"/>
      <x:c r="I252" s="373"/>
      <x:c r="J252" s="373"/>
      <x:c r="K252" s="373"/>
      <x:c r="L252" s="373"/>
      <x:c r="M252" s="373"/>
      <x:c r="N252" s="373"/>
      <x:c r="O252" s="373"/>
      <x:c r="P252" s="373"/>
      <x:c r="Q252" s="373"/>
      <x:c r="R252" s="373"/>
      <x:c r="S252" s="373"/>
      <x:c r="T252" s="373"/>
      <x:c r="U252" s="373"/>
      <x:c r="V252" s="373"/>
      <x:c r="W252" s="373"/>
      <x:c r="X252" s="373"/>
      <x:c r="Y252" s="373"/>
      <x:c r="Z252" s="373"/>
    </x:row>
    <x:row r="253">
      <x:c r="A253" s="373"/>
      <x:c r="B253" s="373"/>
      <x:c r="C253" s="373"/>
      <x:c r="D253" s="373"/>
      <x:c r="E253" s="373"/>
      <x:c r="F253" s="373"/>
      <x:c r="G253" s="373"/>
      <x:c r="H253" s="373"/>
      <x:c r="I253" s="373"/>
      <x:c r="J253" s="373"/>
      <x:c r="K253" s="373"/>
      <x:c r="L253" s="373"/>
      <x:c r="M253" s="373"/>
      <x:c r="N253" s="373"/>
      <x:c r="O253" s="373"/>
      <x:c r="P253" s="373"/>
      <x:c r="Q253" s="373"/>
      <x:c r="R253" s="373"/>
      <x:c r="S253" s="373"/>
      <x:c r="T253" s="373"/>
      <x:c r="U253" s="373"/>
      <x:c r="V253" s="373"/>
      <x:c r="W253" s="373"/>
      <x:c r="X253" s="373"/>
      <x:c r="Y253" s="373"/>
      <x:c r="Z253" s="373"/>
    </x:row>
    <x:row r="254">
      <x:c r="A254" s="373"/>
      <x:c r="B254" s="373"/>
      <x:c r="C254" s="373"/>
      <x:c r="D254" s="373"/>
      <x:c r="E254" s="373"/>
      <x:c r="F254" s="373"/>
      <x:c r="G254" s="373"/>
      <x:c r="H254" s="373"/>
      <x:c r="I254" s="373"/>
      <x:c r="J254" s="373"/>
      <x:c r="K254" s="373"/>
      <x:c r="L254" s="373"/>
      <x:c r="M254" s="373"/>
      <x:c r="N254" s="373"/>
      <x:c r="O254" s="373"/>
      <x:c r="P254" s="373"/>
      <x:c r="Q254" s="373"/>
      <x:c r="R254" s="373"/>
      <x:c r="S254" s="373"/>
      <x:c r="T254" s="373"/>
      <x:c r="U254" s="373"/>
      <x:c r="V254" s="373"/>
      <x:c r="W254" s="373"/>
      <x:c r="X254" s="373"/>
      <x:c r="Y254" s="373"/>
      <x:c r="Z254" s="373"/>
    </x:row>
    <x:row r="255">
      <x:c r="A255" s="373"/>
      <x:c r="B255" s="373"/>
      <x:c r="C255" s="373"/>
      <x:c r="D255" s="373"/>
      <x:c r="E255" s="373"/>
      <x:c r="F255" s="373"/>
      <x:c r="G255" s="373"/>
      <x:c r="H255" s="373"/>
      <x:c r="I255" s="373"/>
      <x:c r="J255" s="373"/>
      <x:c r="K255" s="373"/>
      <x:c r="L255" s="373"/>
      <x:c r="M255" s="373"/>
      <x:c r="N255" s="373"/>
      <x:c r="O255" s="373"/>
      <x:c r="P255" s="373"/>
      <x:c r="Q255" s="373"/>
      <x:c r="R255" s="373"/>
      <x:c r="S255" s="373"/>
      <x:c r="T255" s="373"/>
      <x:c r="U255" s="373"/>
      <x:c r="V255" s="373"/>
      <x:c r="W255" s="373"/>
      <x:c r="X255" s="373"/>
      <x:c r="Y255" s="373"/>
      <x:c r="Z255" s="373"/>
    </x:row>
    <x:row r="256">
      <x:c r="A256" s="373"/>
      <x:c r="B256" s="373"/>
      <x:c r="C256" s="373"/>
      <x:c r="D256" s="373"/>
      <x:c r="E256" s="373"/>
      <x:c r="F256" s="373"/>
      <x:c r="G256" s="373"/>
      <x:c r="H256" s="373"/>
      <x:c r="I256" s="373"/>
      <x:c r="J256" s="373"/>
      <x:c r="K256" s="373"/>
      <x:c r="L256" s="373"/>
      <x:c r="M256" s="373"/>
      <x:c r="N256" s="373"/>
      <x:c r="O256" s="373"/>
      <x:c r="P256" s="373"/>
      <x:c r="Q256" s="373"/>
      <x:c r="R256" s="373"/>
      <x:c r="S256" s="373"/>
      <x:c r="T256" s="373"/>
      <x:c r="U256" s="373"/>
      <x:c r="V256" s="373"/>
      <x:c r="W256" s="373"/>
      <x:c r="X256" s="373"/>
      <x:c r="Y256" s="373"/>
      <x:c r="Z256" s="373"/>
    </x:row>
    <x:row r="257">
      <x:c r="A257" s="373"/>
      <x:c r="B257" s="373"/>
      <x:c r="C257" s="373"/>
      <x:c r="D257" s="373"/>
      <x:c r="E257" s="373"/>
      <x:c r="F257" s="373"/>
      <x:c r="G257" s="373"/>
      <x:c r="H257" s="373"/>
      <x:c r="I257" s="373"/>
      <x:c r="J257" s="373"/>
      <x:c r="K257" s="373"/>
      <x:c r="L257" s="373"/>
      <x:c r="M257" s="373"/>
      <x:c r="N257" s="373"/>
      <x:c r="O257" s="373"/>
      <x:c r="P257" s="373"/>
      <x:c r="Q257" s="373"/>
      <x:c r="R257" s="373"/>
      <x:c r="S257" s="373"/>
      <x:c r="T257" s="373"/>
      <x:c r="U257" s="373"/>
      <x:c r="V257" s="373"/>
      <x:c r="W257" s="373"/>
      <x:c r="X257" s="373"/>
      <x:c r="Y257" s="373"/>
      <x:c r="Z257" s="373"/>
    </x:row>
    <x:row r="258">
      <x:c r="A258" s="373"/>
      <x:c r="B258" s="373"/>
      <x:c r="C258" s="373"/>
      <x:c r="D258" s="373"/>
      <x:c r="E258" s="373"/>
      <x:c r="F258" s="373"/>
      <x:c r="G258" s="373"/>
      <x:c r="H258" s="373"/>
      <x:c r="I258" s="373"/>
      <x:c r="J258" s="373"/>
      <x:c r="K258" s="373"/>
      <x:c r="L258" s="373"/>
      <x:c r="M258" s="373"/>
      <x:c r="N258" s="373"/>
      <x:c r="O258" s="373"/>
      <x:c r="P258" s="373"/>
      <x:c r="Q258" s="373"/>
      <x:c r="R258" s="373"/>
      <x:c r="S258" s="373"/>
      <x:c r="T258" s="373"/>
      <x:c r="U258" s="373"/>
      <x:c r="V258" s="373"/>
      <x:c r="W258" s="373"/>
      <x:c r="X258" s="373"/>
      <x:c r="Y258" s="373"/>
      <x:c r="Z258" s="373"/>
    </x:row>
    <x:row r="259">
      <x:c r="A259" s="373"/>
      <x:c r="B259" s="373"/>
      <x:c r="C259" s="373"/>
      <x:c r="D259" s="373"/>
      <x:c r="E259" s="373"/>
      <x:c r="F259" s="373"/>
      <x:c r="G259" s="373"/>
      <x:c r="H259" s="373"/>
      <x:c r="I259" s="373"/>
      <x:c r="J259" s="373"/>
      <x:c r="K259" s="373"/>
      <x:c r="L259" s="373"/>
      <x:c r="M259" s="373"/>
      <x:c r="N259" s="373"/>
      <x:c r="O259" s="373"/>
      <x:c r="P259" s="373"/>
      <x:c r="Q259" s="373"/>
      <x:c r="R259" s="373"/>
      <x:c r="S259" s="373"/>
      <x:c r="T259" s="373"/>
      <x:c r="U259" s="373"/>
      <x:c r="V259" s="373"/>
      <x:c r="W259" s="373"/>
      <x:c r="X259" s="373"/>
      <x:c r="Y259" s="373"/>
      <x:c r="Z259" s="373"/>
    </x:row>
    <x:row r="260">
      <x:c r="A260" s="373"/>
      <x:c r="B260" s="373"/>
      <x:c r="C260" s="373"/>
      <x:c r="D260" s="373"/>
      <x:c r="E260" s="373"/>
      <x:c r="F260" s="373"/>
      <x:c r="G260" s="373"/>
      <x:c r="H260" s="373"/>
      <x:c r="I260" s="373"/>
      <x:c r="J260" s="373"/>
      <x:c r="K260" s="373"/>
      <x:c r="L260" s="373"/>
      <x:c r="M260" s="373"/>
      <x:c r="N260" s="373"/>
      <x:c r="O260" s="373"/>
      <x:c r="P260" s="373"/>
      <x:c r="Q260" s="373"/>
      <x:c r="R260" s="373"/>
      <x:c r="S260" s="373"/>
      <x:c r="T260" s="373"/>
      <x:c r="U260" s="373"/>
      <x:c r="V260" s="373"/>
      <x:c r="W260" s="373"/>
      <x:c r="X260" s="373"/>
      <x:c r="Y260" s="373"/>
      <x:c r="Z260" s="373"/>
    </x:row>
    <x:row r="261">
      <x:c r="A261" s="373"/>
      <x:c r="B261" s="373"/>
      <x:c r="C261" s="373"/>
      <x:c r="D261" s="373"/>
      <x:c r="E261" s="373"/>
      <x:c r="F261" s="373"/>
      <x:c r="G261" s="373"/>
      <x:c r="H261" s="373"/>
      <x:c r="I261" s="373"/>
      <x:c r="J261" s="373"/>
      <x:c r="K261" s="373"/>
      <x:c r="L261" s="373"/>
      <x:c r="M261" s="373"/>
      <x:c r="N261" s="373"/>
      <x:c r="O261" s="373"/>
      <x:c r="P261" s="373"/>
      <x:c r="Q261" s="373"/>
      <x:c r="R261" s="373"/>
      <x:c r="S261" s="373"/>
      <x:c r="T261" s="373"/>
      <x:c r="U261" s="373"/>
      <x:c r="V261" s="373"/>
      <x:c r="W261" s="373"/>
      <x:c r="X261" s="373"/>
      <x:c r="Y261" s="373"/>
      <x:c r="Z261" s="373"/>
    </x:row>
    <x:row r="262">
      <x:c r="A262" s="373"/>
      <x:c r="B262" s="373"/>
      <x:c r="C262" s="373"/>
      <x:c r="D262" s="373"/>
      <x:c r="E262" s="373"/>
      <x:c r="F262" s="373"/>
      <x:c r="G262" s="373"/>
      <x:c r="H262" s="373"/>
      <x:c r="I262" s="373"/>
      <x:c r="J262" s="373"/>
      <x:c r="K262" s="373"/>
      <x:c r="L262" s="373"/>
      <x:c r="M262" s="373"/>
      <x:c r="N262" s="373"/>
      <x:c r="O262" s="373"/>
      <x:c r="P262" s="373"/>
      <x:c r="Q262" s="373"/>
      <x:c r="R262" s="373"/>
      <x:c r="S262" s="373"/>
      <x:c r="T262" s="373"/>
      <x:c r="U262" s="373"/>
      <x:c r="V262" s="373"/>
      <x:c r="W262" s="373"/>
      <x:c r="X262" s="373"/>
      <x:c r="Y262" s="373"/>
      <x:c r="Z262" s="373"/>
    </x:row>
    <x:row r="263">
      <x:c r="A263" s="373"/>
      <x:c r="B263" s="373"/>
      <x:c r="C263" s="373"/>
      <x:c r="D263" s="373"/>
      <x:c r="E263" s="373"/>
      <x:c r="F263" s="373"/>
      <x:c r="G263" s="373"/>
      <x:c r="H263" s="373"/>
      <x:c r="I263" s="373"/>
      <x:c r="J263" s="373"/>
      <x:c r="K263" s="373"/>
      <x:c r="L263" s="373"/>
      <x:c r="M263" s="373"/>
      <x:c r="N263" s="373"/>
      <x:c r="O263" s="373"/>
      <x:c r="P263" s="373"/>
      <x:c r="Q263" s="373"/>
      <x:c r="R263" s="373"/>
      <x:c r="S263" s="373"/>
      <x:c r="T263" s="373"/>
      <x:c r="U263" s="373"/>
      <x:c r="V263" s="373"/>
      <x:c r="W263" s="373"/>
      <x:c r="X263" s="373"/>
      <x:c r="Y263" s="373"/>
      <x:c r="Z263" s="373"/>
    </x:row>
    <x:row r="264">
      <x:c r="A264" s="373"/>
      <x:c r="B264" s="373"/>
      <x:c r="C264" s="373"/>
      <x:c r="D264" s="373"/>
      <x:c r="E264" s="373"/>
      <x:c r="F264" s="373"/>
      <x:c r="G264" s="373"/>
      <x:c r="H264" s="373"/>
      <x:c r="I264" s="373"/>
      <x:c r="J264" s="373"/>
      <x:c r="K264" s="373"/>
      <x:c r="L264" s="373"/>
      <x:c r="M264" s="373"/>
      <x:c r="N264" s="373"/>
      <x:c r="O264" s="373"/>
      <x:c r="P264" s="373"/>
      <x:c r="Q264" s="373"/>
      <x:c r="R264" s="373"/>
      <x:c r="S264" s="373"/>
      <x:c r="T264" s="373"/>
      <x:c r="U264" s="373"/>
      <x:c r="V264" s="373"/>
      <x:c r="W264" s="373"/>
      <x:c r="X264" s="373"/>
      <x:c r="Y264" s="373"/>
      <x:c r="Z264" s="373"/>
    </x:row>
    <x:row r="265">
      <x:c r="A265" s="373"/>
      <x:c r="B265" s="373"/>
      <x:c r="C265" s="373"/>
      <x:c r="D265" s="373"/>
      <x:c r="E265" s="373"/>
      <x:c r="F265" s="373"/>
      <x:c r="G265" s="373"/>
      <x:c r="H265" s="373"/>
      <x:c r="I265" s="373"/>
      <x:c r="J265" s="373"/>
      <x:c r="K265" s="373"/>
      <x:c r="L265" s="373"/>
      <x:c r="M265" s="373"/>
      <x:c r="N265" s="373"/>
      <x:c r="O265" s="373"/>
      <x:c r="P265" s="373"/>
      <x:c r="Q265" s="373"/>
      <x:c r="R265" s="373"/>
      <x:c r="S265" s="373"/>
      <x:c r="T265" s="373"/>
      <x:c r="U265" s="373"/>
      <x:c r="V265" s="373"/>
      <x:c r="W265" s="373"/>
      <x:c r="X265" s="373"/>
      <x:c r="Y265" s="373"/>
      <x:c r="Z265" s="373"/>
    </x:row>
    <x:row r="266">
      <x:c r="A266" s="373"/>
      <x:c r="B266" s="373"/>
      <x:c r="C266" s="373"/>
      <x:c r="D266" s="373"/>
      <x:c r="E266" s="373"/>
      <x:c r="F266" s="373"/>
      <x:c r="G266" s="373"/>
      <x:c r="H266" s="373"/>
      <x:c r="I266" s="373"/>
      <x:c r="J266" s="373"/>
      <x:c r="K266" s="373"/>
      <x:c r="L266" s="373"/>
      <x:c r="M266" s="373"/>
      <x:c r="N266" s="373"/>
      <x:c r="O266" s="373"/>
      <x:c r="P266" s="373"/>
      <x:c r="Q266" s="373"/>
      <x:c r="R266" s="373"/>
      <x:c r="S266" s="373"/>
      <x:c r="T266" s="373"/>
      <x:c r="U266" s="373"/>
      <x:c r="V266" s="373"/>
      <x:c r="W266" s="373"/>
      <x:c r="X266" s="373"/>
      <x:c r="Y266" s="373"/>
      <x:c r="Z266" s="373"/>
    </x:row>
    <x:row r="267">
      <x:c r="A267" s="373"/>
      <x:c r="B267" s="373"/>
      <x:c r="C267" s="373"/>
      <x:c r="D267" s="373"/>
      <x:c r="E267" s="373"/>
      <x:c r="F267" s="373"/>
      <x:c r="G267" s="373"/>
      <x:c r="H267" s="373"/>
      <x:c r="I267" s="373"/>
      <x:c r="J267" s="373"/>
      <x:c r="K267" s="373"/>
      <x:c r="L267" s="373"/>
      <x:c r="M267" s="373"/>
      <x:c r="N267" s="373"/>
      <x:c r="O267" s="373"/>
      <x:c r="P267" s="373"/>
      <x:c r="Q267" s="373"/>
      <x:c r="R267" s="373"/>
      <x:c r="S267" s="373"/>
      <x:c r="T267" s="373"/>
      <x:c r="U267" s="373"/>
      <x:c r="V267" s="373"/>
      <x:c r="W267" s="373"/>
      <x:c r="X267" s="373"/>
      <x:c r="Y267" s="373"/>
      <x:c r="Z267" s="373"/>
    </x:row>
    <x:row r="268">
      <x:c r="A268" s="373"/>
      <x:c r="B268" s="373"/>
      <x:c r="C268" s="373"/>
      <x:c r="D268" s="373"/>
      <x:c r="E268" s="373"/>
      <x:c r="F268" s="373"/>
      <x:c r="G268" s="373"/>
      <x:c r="H268" s="373"/>
      <x:c r="I268" s="373"/>
      <x:c r="J268" s="373"/>
      <x:c r="K268" s="373"/>
      <x:c r="L268" s="373"/>
      <x:c r="M268" s="373"/>
      <x:c r="N268" s="373"/>
      <x:c r="O268" s="373"/>
      <x:c r="P268" s="373"/>
      <x:c r="Q268" s="373"/>
      <x:c r="R268" s="373"/>
      <x:c r="S268" s="373"/>
      <x:c r="T268" s="373"/>
      <x:c r="U268" s="373"/>
      <x:c r="V268" s="373"/>
      <x:c r="W268" s="373"/>
      <x:c r="X268" s="373"/>
      <x:c r="Y268" s="373"/>
      <x:c r="Z268" s="373"/>
    </x:row>
    <x:row r="269">
      <x:c r="A269" s="373"/>
      <x:c r="B269" s="373"/>
      <x:c r="C269" s="373"/>
      <x:c r="D269" s="373"/>
      <x:c r="E269" s="373"/>
      <x:c r="F269" s="373"/>
      <x:c r="G269" s="373"/>
      <x:c r="H269" s="373"/>
      <x:c r="I269" s="373"/>
      <x:c r="J269" s="373"/>
      <x:c r="K269" s="373"/>
      <x:c r="L269" s="373"/>
      <x:c r="M269" s="373"/>
      <x:c r="N269" s="373"/>
      <x:c r="O269" s="373"/>
      <x:c r="P269" s="373"/>
      <x:c r="Q269" s="373"/>
      <x:c r="R269" s="373"/>
      <x:c r="S269" s="373"/>
      <x:c r="T269" s="373"/>
      <x:c r="U269" s="373"/>
      <x:c r="V269" s="373"/>
      <x:c r="W269" s="373"/>
      <x:c r="X269" s="373"/>
      <x:c r="Y269" s="373"/>
      <x:c r="Z269" s="373"/>
    </x:row>
    <x:row r="270">
      <x:c r="A270" s="373"/>
      <x:c r="B270" s="373"/>
      <x:c r="C270" s="373"/>
      <x:c r="D270" s="373"/>
      <x:c r="E270" s="373"/>
      <x:c r="F270" s="373"/>
      <x:c r="G270" s="373"/>
      <x:c r="H270" s="373"/>
      <x:c r="I270" s="373"/>
      <x:c r="J270" s="373"/>
      <x:c r="K270" s="373"/>
      <x:c r="L270" s="373"/>
      <x:c r="M270" s="373"/>
      <x:c r="N270" s="373"/>
      <x:c r="O270" s="373"/>
      <x:c r="P270" s="373"/>
      <x:c r="Q270" s="373"/>
      <x:c r="R270" s="373"/>
      <x:c r="S270" s="373"/>
      <x:c r="T270" s="373"/>
      <x:c r="U270" s="373"/>
      <x:c r="V270" s="373"/>
      <x:c r="W270" s="373"/>
      <x:c r="X270" s="373"/>
      <x:c r="Y270" s="373"/>
      <x:c r="Z270" s="373"/>
    </x:row>
    <x:row r="271">
      <x:c r="A271" s="373"/>
      <x:c r="B271" s="373"/>
      <x:c r="C271" s="373"/>
      <x:c r="D271" s="373"/>
      <x:c r="E271" s="373"/>
      <x:c r="F271" s="373"/>
      <x:c r="G271" s="373"/>
      <x:c r="H271" s="373"/>
      <x:c r="I271" s="373"/>
      <x:c r="J271" s="373"/>
      <x:c r="K271" s="373"/>
      <x:c r="L271" s="373"/>
      <x:c r="M271" s="373"/>
      <x:c r="N271" s="373"/>
      <x:c r="O271" s="373"/>
      <x:c r="P271" s="373"/>
      <x:c r="Q271" s="373"/>
      <x:c r="R271" s="373"/>
      <x:c r="S271" s="373"/>
      <x:c r="T271" s="373"/>
      <x:c r="U271" s="373"/>
      <x:c r="V271" s="373"/>
      <x:c r="W271" s="373"/>
      <x:c r="X271" s="373"/>
      <x:c r="Y271" s="373"/>
      <x:c r="Z271" s="373"/>
    </x:row>
    <x:row r="272">
      <x:c r="A272" s="373"/>
      <x:c r="B272" s="373"/>
      <x:c r="C272" s="373"/>
      <x:c r="D272" s="373"/>
      <x:c r="E272" s="373"/>
      <x:c r="F272" s="373"/>
      <x:c r="G272" s="373"/>
      <x:c r="H272" s="373"/>
      <x:c r="I272" s="373"/>
      <x:c r="J272" s="373"/>
      <x:c r="K272" s="373"/>
      <x:c r="L272" s="373"/>
      <x:c r="M272" s="373"/>
      <x:c r="N272" s="373"/>
      <x:c r="O272" s="373"/>
      <x:c r="P272" s="373"/>
      <x:c r="Q272" s="373"/>
      <x:c r="R272" s="373"/>
      <x:c r="S272" s="373"/>
      <x:c r="T272" s="373"/>
      <x:c r="U272" s="373"/>
      <x:c r="V272" s="373"/>
      <x:c r="W272" s="373"/>
      <x:c r="X272" s="373"/>
      <x:c r="Y272" s="373"/>
      <x:c r="Z272" s="373"/>
    </x:row>
    <x:row r="273">
      <x:c r="A273" s="373"/>
      <x:c r="B273" s="373"/>
      <x:c r="C273" s="373"/>
      <x:c r="D273" s="373"/>
      <x:c r="E273" s="373"/>
      <x:c r="F273" s="373"/>
      <x:c r="G273" s="373"/>
      <x:c r="H273" s="373"/>
      <x:c r="I273" s="373"/>
      <x:c r="J273" s="373"/>
      <x:c r="K273" s="373"/>
      <x:c r="L273" s="373"/>
      <x:c r="M273" s="373"/>
      <x:c r="N273" s="373"/>
      <x:c r="O273" s="373"/>
      <x:c r="P273" s="373"/>
      <x:c r="Q273" s="373"/>
      <x:c r="R273" s="373"/>
      <x:c r="S273" s="373"/>
      <x:c r="T273" s="373"/>
      <x:c r="U273" s="373"/>
      <x:c r="V273" s="373"/>
      <x:c r="W273" s="373"/>
      <x:c r="X273" s="373"/>
      <x:c r="Y273" s="373"/>
      <x:c r="Z273" s="373"/>
    </x:row>
    <x:row r="274">
      <x:c r="A274" s="373"/>
      <x:c r="B274" s="373"/>
      <x:c r="C274" s="373"/>
      <x:c r="D274" s="373"/>
      <x:c r="E274" s="373"/>
      <x:c r="F274" s="373"/>
      <x:c r="G274" s="373"/>
      <x:c r="H274" s="373"/>
      <x:c r="I274" s="373"/>
      <x:c r="J274" s="373"/>
      <x:c r="K274" s="373"/>
      <x:c r="L274" s="373"/>
      <x:c r="M274" s="373"/>
      <x:c r="N274" s="373"/>
      <x:c r="O274" s="373"/>
      <x:c r="P274" s="373"/>
      <x:c r="Q274" s="373"/>
      <x:c r="R274" s="373"/>
      <x:c r="S274" s="373"/>
      <x:c r="T274" s="373"/>
      <x:c r="U274" s="373"/>
      <x:c r="V274" s="373"/>
      <x:c r="W274" s="373"/>
      <x:c r="X274" s="373"/>
      <x:c r="Y274" s="373"/>
      <x:c r="Z274" s="373"/>
    </x:row>
    <x:row r="275">
      <x:c r="A275" s="373"/>
      <x:c r="B275" s="373"/>
      <x:c r="C275" s="373"/>
      <x:c r="D275" s="373"/>
      <x:c r="E275" s="373"/>
      <x:c r="F275" s="373"/>
      <x:c r="G275" s="373"/>
      <x:c r="H275" s="373"/>
      <x:c r="I275" s="373"/>
      <x:c r="J275" s="373"/>
      <x:c r="K275" s="373"/>
      <x:c r="L275" s="373"/>
      <x:c r="M275" s="373"/>
      <x:c r="N275" s="373"/>
      <x:c r="O275" s="373"/>
      <x:c r="P275" s="373"/>
      <x:c r="Q275" s="373"/>
      <x:c r="R275" s="373"/>
      <x:c r="S275" s="373"/>
      <x:c r="T275" s="373"/>
      <x:c r="U275" s="373"/>
      <x:c r="V275" s="373"/>
      <x:c r="W275" s="373"/>
      <x:c r="X275" s="373"/>
      <x:c r="Y275" s="373"/>
      <x:c r="Z275" s="373"/>
    </x:row>
    <x:row r="276">
      <x:c r="A276" s="373"/>
      <x:c r="B276" s="373"/>
      <x:c r="C276" s="373"/>
      <x:c r="D276" s="373"/>
      <x:c r="E276" s="373"/>
      <x:c r="F276" s="373"/>
      <x:c r="G276" s="373"/>
      <x:c r="H276" s="373"/>
      <x:c r="I276" s="373"/>
      <x:c r="J276" s="373"/>
      <x:c r="K276" s="373"/>
      <x:c r="L276" s="373"/>
      <x:c r="M276" s="373"/>
      <x:c r="N276" s="373"/>
      <x:c r="O276" s="373"/>
      <x:c r="P276" s="373"/>
      <x:c r="Q276" s="373"/>
      <x:c r="R276" s="373"/>
      <x:c r="S276" s="373"/>
      <x:c r="T276" s="373"/>
      <x:c r="U276" s="373"/>
      <x:c r="V276" s="373"/>
      <x:c r="W276" s="373"/>
      <x:c r="X276" s="373"/>
      <x:c r="Y276" s="373"/>
      <x:c r="Z276" s="373"/>
    </x:row>
    <x:row r="277">
      <x:c r="A277" s="373"/>
      <x:c r="B277" s="373"/>
      <x:c r="C277" s="373"/>
      <x:c r="D277" s="373"/>
      <x:c r="E277" s="373"/>
      <x:c r="F277" s="373"/>
      <x:c r="G277" s="373"/>
      <x:c r="H277" s="373"/>
      <x:c r="I277" s="373"/>
      <x:c r="J277" s="373"/>
      <x:c r="K277" s="373"/>
      <x:c r="L277" s="373"/>
      <x:c r="M277" s="373"/>
      <x:c r="N277" s="373"/>
      <x:c r="O277" s="373"/>
      <x:c r="P277" s="373"/>
      <x:c r="Q277" s="373"/>
      <x:c r="R277" s="373"/>
      <x:c r="S277" s="373"/>
      <x:c r="T277" s="373"/>
      <x:c r="U277" s="373"/>
      <x:c r="V277" s="373"/>
      <x:c r="W277" s="373"/>
      <x:c r="X277" s="373"/>
      <x:c r="Y277" s="373"/>
      <x:c r="Z277" s="373"/>
    </x:row>
    <x:row r="278">
      <x:c r="A278" s="373"/>
      <x:c r="B278" s="373"/>
      <x:c r="C278" s="373"/>
      <x:c r="D278" s="373"/>
      <x:c r="E278" s="373"/>
      <x:c r="F278" s="373"/>
      <x:c r="G278" s="373"/>
      <x:c r="H278" s="373"/>
      <x:c r="I278" s="373"/>
      <x:c r="J278" s="373"/>
      <x:c r="K278" s="373"/>
      <x:c r="L278" s="373"/>
      <x:c r="M278" s="373"/>
      <x:c r="N278" s="373"/>
      <x:c r="O278" s="373"/>
      <x:c r="P278" s="373"/>
      <x:c r="Q278" s="373"/>
      <x:c r="R278" s="373"/>
      <x:c r="S278" s="373"/>
      <x:c r="T278" s="373"/>
      <x:c r="U278" s="373"/>
      <x:c r="V278" s="373"/>
      <x:c r="W278" s="373"/>
      <x:c r="X278" s="373"/>
      <x:c r="Y278" s="373"/>
      <x:c r="Z278" s="373"/>
    </x:row>
    <x:row r="279">
      <x:c r="A279" s="373"/>
      <x:c r="B279" s="373"/>
      <x:c r="C279" s="373"/>
      <x:c r="D279" s="373"/>
      <x:c r="E279" s="373"/>
      <x:c r="F279" s="373"/>
      <x:c r="G279" s="373"/>
      <x:c r="H279" s="373"/>
      <x:c r="I279" s="373"/>
      <x:c r="J279" s="373"/>
      <x:c r="K279" s="373"/>
      <x:c r="L279" s="373"/>
      <x:c r="M279" s="373"/>
      <x:c r="N279" s="373"/>
      <x:c r="O279" s="373"/>
      <x:c r="P279" s="373"/>
      <x:c r="Q279" s="373"/>
      <x:c r="R279" s="373"/>
      <x:c r="S279" s="373"/>
      <x:c r="T279" s="373"/>
      <x:c r="U279" s="373"/>
      <x:c r="V279" s="373"/>
      <x:c r="W279" s="373"/>
      <x:c r="X279" s="373"/>
      <x:c r="Y279" s="373"/>
      <x:c r="Z279" s="373"/>
    </x:row>
    <x:row r="280">
      <x:c r="A280" s="373"/>
      <x:c r="B280" s="373"/>
      <x:c r="C280" s="373"/>
      <x:c r="D280" s="373"/>
      <x:c r="E280" s="373"/>
      <x:c r="F280" s="373"/>
      <x:c r="G280" s="373"/>
      <x:c r="H280" s="373"/>
      <x:c r="I280" s="373"/>
      <x:c r="J280" s="373"/>
      <x:c r="K280" s="373"/>
      <x:c r="L280" s="373"/>
      <x:c r="M280" s="373"/>
      <x:c r="N280" s="373"/>
      <x:c r="O280" s="373"/>
      <x:c r="P280" s="373"/>
      <x:c r="Q280" s="373"/>
      <x:c r="R280" s="373"/>
      <x:c r="S280" s="373"/>
      <x:c r="T280" s="373"/>
      <x:c r="U280" s="373"/>
      <x:c r="V280" s="373"/>
      <x:c r="W280" s="373"/>
      <x:c r="X280" s="373"/>
      <x:c r="Y280" s="373"/>
      <x:c r="Z280" s="373"/>
    </x:row>
    <x:row r="281">
      <x:c r="A281" s="373"/>
      <x:c r="B281" s="373"/>
      <x:c r="C281" s="373"/>
      <x:c r="D281" s="373"/>
      <x:c r="E281" s="373"/>
      <x:c r="F281" s="373"/>
      <x:c r="G281" s="373"/>
      <x:c r="H281" s="373"/>
      <x:c r="I281" s="373"/>
      <x:c r="J281" s="373"/>
      <x:c r="K281" s="373"/>
      <x:c r="L281" s="373"/>
      <x:c r="M281" s="373"/>
      <x:c r="N281" s="373"/>
      <x:c r="O281" s="373"/>
      <x:c r="P281" s="373"/>
      <x:c r="Q281" s="373"/>
      <x:c r="R281" s="373"/>
      <x:c r="S281" s="373"/>
      <x:c r="T281" s="373"/>
      <x:c r="U281" s="373"/>
      <x:c r="V281" s="373"/>
      <x:c r="W281" s="373"/>
      <x:c r="X281" s="373"/>
      <x:c r="Y281" s="373"/>
      <x:c r="Z281" s="373"/>
    </x:row>
    <x:row r="282">
      <x:c r="A282" s="373"/>
      <x:c r="B282" s="373"/>
      <x:c r="C282" s="373"/>
      <x:c r="D282" s="373"/>
      <x:c r="E282" s="373"/>
      <x:c r="F282" s="373"/>
      <x:c r="G282" s="373"/>
      <x:c r="H282" s="373"/>
      <x:c r="I282" s="373"/>
      <x:c r="J282" s="373"/>
      <x:c r="K282" s="373"/>
      <x:c r="L282" s="373"/>
      <x:c r="M282" s="373"/>
      <x:c r="N282" s="373"/>
      <x:c r="O282" s="373"/>
      <x:c r="P282" s="373"/>
      <x:c r="Q282" s="373"/>
      <x:c r="R282" s="373"/>
      <x:c r="S282" s="373"/>
      <x:c r="T282" s="373"/>
      <x:c r="U282" s="373"/>
      <x:c r="V282" s="373"/>
      <x:c r="W282" s="373"/>
      <x:c r="X282" s="373"/>
      <x:c r="Y282" s="373"/>
      <x:c r="Z282" s="373"/>
    </x:row>
    <x:row r="283">
      <x:c r="A283" s="373"/>
      <x:c r="B283" s="373"/>
      <x:c r="C283" s="373"/>
      <x:c r="D283" s="373"/>
      <x:c r="E283" s="373"/>
      <x:c r="F283" s="373"/>
      <x:c r="G283" s="373"/>
      <x:c r="H283" s="373"/>
      <x:c r="I283" s="373"/>
      <x:c r="J283" s="373"/>
      <x:c r="K283" s="373"/>
      <x:c r="L283" s="373"/>
      <x:c r="M283" s="373"/>
      <x:c r="N283" s="373"/>
      <x:c r="O283" s="373"/>
      <x:c r="P283" s="373"/>
      <x:c r="Q283" s="373"/>
      <x:c r="R283" s="373"/>
      <x:c r="S283" s="373"/>
      <x:c r="T283" s="373"/>
      <x:c r="U283" s="373"/>
      <x:c r="V283" s="373"/>
      <x:c r="W283" s="373"/>
      <x:c r="X283" s="373"/>
      <x:c r="Y283" s="373"/>
      <x:c r="Z283" s="373"/>
    </x:row>
    <x:row r="284">
      <x:c r="A284" s="373"/>
      <x:c r="B284" s="373"/>
      <x:c r="C284" s="373"/>
      <x:c r="D284" s="373"/>
      <x:c r="E284" s="373"/>
      <x:c r="F284" s="373"/>
      <x:c r="G284" s="373"/>
      <x:c r="H284" s="373"/>
      <x:c r="I284" s="373"/>
      <x:c r="J284" s="373"/>
      <x:c r="K284" s="373"/>
      <x:c r="L284" s="373"/>
      <x:c r="M284" s="373"/>
      <x:c r="N284" s="373"/>
      <x:c r="O284" s="373"/>
      <x:c r="P284" s="373"/>
      <x:c r="Q284" s="373"/>
      <x:c r="R284" s="373"/>
      <x:c r="S284" s="373"/>
      <x:c r="T284" s="373"/>
      <x:c r="U284" s="373"/>
      <x:c r="V284" s="373"/>
      <x:c r="W284" s="373"/>
      <x:c r="X284" s="373"/>
      <x:c r="Y284" s="373"/>
      <x:c r="Z284" s="373"/>
    </x:row>
    <x:row r="285">
      <x:c r="A285" s="373"/>
      <x:c r="B285" s="373"/>
      <x:c r="C285" s="373"/>
      <x:c r="D285" s="373"/>
      <x:c r="E285" s="373"/>
      <x:c r="F285" s="373"/>
      <x:c r="G285" s="373"/>
      <x:c r="H285" s="373"/>
      <x:c r="I285" s="373"/>
      <x:c r="J285" s="373"/>
      <x:c r="K285" s="373"/>
      <x:c r="L285" s="373"/>
      <x:c r="M285" s="373"/>
      <x:c r="N285" s="373"/>
      <x:c r="O285" s="373"/>
      <x:c r="P285" s="373"/>
      <x:c r="Q285" s="373"/>
      <x:c r="R285" s="373"/>
      <x:c r="S285" s="373"/>
      <x:c r="T285" s="373"/>
      <x:c r="U285" s="373"/>
      <x:c r="V285" s="373"/>
      <x:c r="W285" s="373"/>
      <x:c r="X285" s="373"/>
      <x:c r="Y285" s="373"/>
      <x:c r="Z285" s="373"/>
    </x:row>
    <x:row r="286">
      <x:c r="A286" s="373"/>
      <x:c r="B286" s="373"/>
      <x:c r="C286" s="373"/>
      <x:c r="D286" s="373"/>
      <x:c r="E286" s="373"/>
      <x:c r="F286" s="373"/>
      <x:c r="G286" s="373"/>
      <x:c r="H286" s="373"/>
      <x:c r="I286" s="373"/>
      <x:c r="J286" s="373"/>
      <x:c r="K286" s="373"/>
      <x:c r="L286" s="373"/>
      <x:c r="M286" s="373"/>
      <x:c r="N286" s="373"/>
      <x:c r="O286" s="373"/>
      <x:c r="P286" s="373"/>
      <x:c r="Q286" s="373"/>
      <x:c r="R286" s="373"/>
      <x:c r="S286" s="373"/>
      <x:c r="T286" s="373"/>
      <x:c r="U286" s="373"/>
      <x:c r="V286" s="373"/>
      <x:c r="W286" s="373"/>
      <x:c r="X286" s="373"/>
      <x:c r="Y286" s="373"/>
      <x:c r="Z286" s="373"/>
    </x:row>
    <x:row r="287">
      <x:c r="A287" s="373"/>
      <x:c r="B287" s="373"/>
      <x:c r="C287" s="373"/>
      <x:c r="D287" s="373"/>
      <x:c r="E287" s="373"/>
      <x:c r="F287" s="373"/>
      <x:c r="G287" s="373"/>
      <x:c r="H287" s="373"/>
      <x:c r="I287" s="373"/>
      <x:c r="J287" s="373"/>
      <x:c r="K287" s="373"/>
      <x:c r="L287" s="373"/>
      <x:c r="M287" s="373"/>
      <x:c r="N287" s="373"/>
      <x:c r="O287" s="373"/>
      <x:c r="P287" s="373"/>
      <x:c r="Q287" s="373"/>
      <x:c r="R287" s="373"/>
      <x:c r="S287" s="373"/>
      <x:c r="T287" s="373"/>
      <x:c r="U287" s="373"/>
      <x:c r="V287" s="373"/>
      <x:c r="W287" s="373"/>
      <x:c r="X287" s="373"/>
      <x:c r="Y287" s="373"/>
      <x:c r="Z287" s="373"/>
    </x:row>
    <x:row r="288">
      <x:c r="A288" s="373"/>
      <x:c r="B288" s="373"/>
      <x:c r="C288" s="373"/>
      <x:c r="D288" s="373"/>
      <x:c r="E288" s="373"/>
      <x:c r="F288" s="373"/>
      <x:c r="G288" s="373"/>
      <x:c r="H288" s="373"/>
      <x:c r="I288" s="373"/>
      <x:c r="J288" s="373"/>
      <x:c r="K288" s="373"/>
      <x:c r="L288" s="373"/>
      <x:c r="M288" s="373"/>
      <x:c r="N288" s="373"/>
      <x:c r="O288" s="373"/>
      <x:c r="P288" s="373"/>
      <x:c r="Q288" s="373"/>
      <x:c r="R288" s="373"/>
      <x:c r="S288" s="373"/>
      <x:c r="T288" s="373"/>
      <x:c r="U288" s="373"/>
      <x:c r="V288" s="373"/>
      <x:c r="W288" s="373"/>
      <x:c r="X288" s="373"/>
      <x:c r="Y288" s="373"/>
      <x:c r="Z288" s="373"/>
    </x:row>
    <x:row r="289">
      <x:c r="A289" s="373"/>
      <x:c r="B289" s="373"/>
      <x:c r="C289" s="373"/>
      <x:c r="D289" s="373"/>
      <x:c r="E289" s="373"/>
      <x:c r="F289" s="373"/>
      <x:c r="G289" s="373"/>
      <x:c r="H289" s="373"/>
      <x:c r="I289" s="373"/>
      <x:c r="J289" s="373"/>
      <x:c r="K289" s="373"/>
      <x:c r="L289" s="373"/>
      <x:c r="M289" s="373"/>
      <x:c r="N289" s="373"/>
      <x:c r="O289" s="373"/>
      <x:c r="P289" s="373"/>
      <x:c r="Q289" s="373"/>
      <x:c r="R289" s="373"/>
      <x:c r="S289" s="373"/>
      <x:c r="T289" s="373"/>
      <x:c r="U289" s="373"/>
      <x:c r="V289" s="373"/>
      <x:c r="W289" s="373"/>
      <x:c r="X289" s="373"/>
      <x:c r="Y289" s="373"/>
      <x:c r="Z289" s="373"/>
    </x:row>
    <x:row r="290">
      <x:c r="A290" s="373"/>
      <x:c r="B290" s="373"/>
      <x:c r="C290" s="373"/>
      <x:c r="D290" s="373"/>
      <x:c r="E290" s="373"/>
      <x:c r="F290" s="373"/>
      <x:c r="G290" s="373"/>
      <x:c r="H290" s="373"/>
      <x:c r="I290" s="373"/>
      <x:c r="J290" s="373"/>
      <x:c r="K290" s="373"/>
      <x:c r="L290" s="373"/>
      <x:c r="M290" s="373"/>
      <x:c r="N290" s="373"/>
      <x:c r="O290" s="373"/>
      <x:c r="P290" s="373"/>
      <x:c r="Q290" s="373"/>
      <x:c r="R290" s="373"/>
      <x:c r="S290" s="373"/>
      <x:c r="T290" s="373"/>
      <x:c r="U290" s="373"/>
      <x:c r="V290" s="373"/>
      <x:c r="W290" s="373"/>
      <x:c r="X290" s="373"/>
      <x:c r="Y290" s="373"/>
      <x:c r="Z290" s="373"/>
    </x:row>
    <x:row r="291">
      <x:c r="A291" s="373"/>
      <x:c r="B291" s="373"/>
      <x:c r="C291" s="373"/>
      <x:c r="D291" s="373"/>
      <x:c r="E291" s="373"/>
      <x:c r="F291" s="373"/>
      <x:c r="G291" s="373"/>
      <x:c r="H291" s="373"/>
      <x:c r="I291" s="373"/>
      <x:c r="J291" s="373"/>
      <x:c r="K291" s="373"/>
      <x:c r="L291" s="373"/>
      <x:c r="M291" s="373"/>
      <x:c r="N291" s="373"/>
      <x:c r="O291" s="373"/>
      <x:c r="P291" s="373"/>
      <x:c r="Q291" s="373"/>
      <x:c r="R291" s="373"/>
      <x:c r="S291" s="373"/>
      <x:c r="T291" s="373"/>
      <x:c r="U291" s="373"/>
      <x:c r="V291" s="373"/>
      <x:c r="W291" s="373"/>
      <x:c r="X291" s="373"/>
      <x:c r="Y291" s="373"/>
      <x:c r="Z291" s="373"/>
    </x:row>
    <x:row r="292">
      <x:c r="A292" s="373"/>
      <x:c r="B292" s="373"/>
      <x:c r="C292" s="373"/>
      <x:c r="D292" s="373"/>
      <x:c r="E292" s="373"/>
      <x:c r="F292" s="373"/>
      <x:c r="G292" s="373"/>
      <x:c r="H292" s="373"/>
      <x:c r="I292" s="373"/>
      <x:c r="J292" s="373"/>
      <x:c r="K292" s="373"/>
      <x:c r="L292" s="373"/>
      <x:c r="M292" s="373"/>
      <x:c r="N292" s="373"/>
      <x:c r="O292" s="373"/>
      <x:c r="P292" s="373"/>
      <x:c r="Q292" s="373"/>
      <x:c r="R292" s="373"/>
      <x:c r="S292" s="373"/>
      <x:c r="T292" s="373"/>
      <x:c r="U292" s="373"/>
      <x:c r="V292" s="373"/>
      <x:c r="W292" s="373"/>
      <x:c r="X292" s="373"/>
      <x:c r="Y292" s="373"/>
      <x:c r="Z292" s="373"/>
    </x:row>
    <x:row r="293">
      <x:c r="A293" s="373"/>
      <x:c r="B293" s="373"/>
      <x:c r="C293" s="373"/>
      <x:c r="D293" s="373"/>
      <x:c r="E293" s="373"/>
      <x:c r="F293" s="373"/>
      <x:c r="G293" s="373"/>
      <x:c r="H293" s="373"/>
      <x:c r="I293" s="373"/>
      <x:c r="J293" s="373"/>
      <x:c r="K293" s="373"/>
      <x:c r="L293" s="373"/>
      <x:c r="M293" s="373"/>
      <x:c r="N293" s="373"/>
      <x:c r="O293" s="373"/>
      <x:c r="P293" s="373"/>
      <x:c r="Q293" s="373"/>
      <x:c r="R293" s="373"/>
      <x:c r="S293" s="373"/>
      <x:c r="T293" s="373"/>
      <x:c r="U293" s="373"/>
      <x:c r="V293" s="373"/>
      <x:c r="W293" s="373"/>
      <x:c r="X293" s="373"/>
      <x:c r="Y293" s="373"/>
      <x:c r="Z293" s="373"/>
    </x:row>
    <x:row r="294">
      <x:c r="A294" s="373"/>
      <x:c r="B294" s="373"/>
      <x:c r="C294" s="373"/>
      <x:c r="D294" s="373"/>
      <x:c r="E294" s="373"/>
      <x:c r="F294" s="373"/>
      <x:c r="G294" s="373"/>
      <x:c r="H294" s="373"/>
      <x:c r="I294" s="373"/>
      <x:c r="J294" s="373"/>
      <x:c r="K294" s="373"/>
      <x:c r="L294" s="373"/>
      <x:c r="M294" s="373"/>
      <x:c r="N294" s="373"/>
      <x:c r="O294" s="373"/>
      <x:c r="P294" s="373"/>
      <x:c r="Q294" s="373"/>
      <x:c r="R294" s="373"/>
      <x:c r="S294" s="373"/>
      <x:c r="T294" s="373"/>
      <x:c r="U294" s="373"/>
      <x:c r="V294" s="373"/>
      <x:c r="W294" s="373"/>
      <x:c r="X294" s="373"/>
      <x:c r="Y294" s="373"/>
      <x:c r="Z294" s="373"/>
    </x:row>
    <x:row r="295">
      <x:c r="A295" s="373"/>
      <x:c r="B295" s="373"/>
      <x:c r="C295" s="373"/>
      <x:c r="D295" s="373"/>
      <x:c r="E295" s="373"/>
      <x:c r="F295" s="373"/>
      <x:c r="G295" s="373"/>
      <x:c r="H295" s="373"/>
      <x:c r="I295" s="373"/>
      <x:c r="J295" s="373"/>
      <x:c r="K295" s="373"/>
      <x:c r="L295" s="373"/>
      <x:c r="M295" s="373"/>
      <x:c r="N295" s="373"/>
      <x:c r="O295" s="373"/>
      <x:c r="P295" s="373"/>
      <x:c r="Q295" s="373"/>
      <x:c r="R295" s="373"/>
      <x:c r="S295" s="373"/>
      <x:c r="T295" s="373"/>
      <x:c r="U295" s="373"/>
      <x:c r="V295" s="373"/>
      <x:c r="W295" s="373"/>
      <x:c r="X295" s="373"/>
      <x:c r="Y295" s="373"/>
      <x:c r="Z295" s="373"/>
    </x:row>
    <x:row r="296">
      <x:c r="A296" s="373"/>
      <x:c r="B296" s="373"/>
      <x:c r="C296" s="373"/>
      <x:c r="D296" s="373"/>
      <x:c r="E296" s="373"/>
      <x:c r="F296" s="373"/>
      <x:c r="G296" s="373"/>
      <x:c r="H296" s="373"/>
      <x:c r="I296" s="373"/>
      <x:c r="J296" s="373"/>
      <x:c r="K296" s="373"/>
      <x:c r="L296" s="373"/>
      <x:c r="M296" s="373"/>
      <x:c r="N296" s="373"/>
      <x:c r="O296" s="373"/>
      <x:c r="P296" s="373"/>
      <x:c r="Q296" s="373"/>
      <x:c r="R296" s="373"/>
      <x:c r="S296" s="373"/>
      <x:c r="T296" s="373"/>
      <x:c r="U296" s="373"/>
      <x:c r="V296" s="373"/>
      <x:c r="W296" s="373"/>
      <x:c r="X296" s="373"/>
      <x:c r="Y296" s="373"/>
      <x:c r="Z296" s="373"/>
    </x:row>
    <x:row r="297">
      <x:c r="A297" s="373"/>
      <x:c r="B297" s="373"/>
      <x:c r="C297" s="373"/>
      <x:c r="D297" s="373"/>
      <x:c r="E297" s="373"/>
      <x:c r="F297" s="373"/>
      <x:c r="G297" s="373"/>
      <x:c r="H297" s="373"/>
      <x:c r="I297" s="373"/>
      <x:c r="J297" s="373"/>
      <x:c r="K297" s="373"/>
      <x:c r="L297" s="373"/>
      <x:c r="M297" s="373"/>
      <x:c r="N297" s="373"/>
      <x:c r="O297" s="373"/>
      <x:c r="P297" s="373"/>
      <x:c r="Q297" s="373"/>
      <x:c r="R297" s="373"/>
      <x:c r="S297" s="373"/>
      <x:c r="T297" s="373"/>
      <x:c r="U297" s="373"/>
      <x:c r="V297" s="373"/>
      <x:c r="W297" s="373"/>
      <x:c r="X297" s="373"/>
      <x:c r="Y297" s="373"/>
      <x:c r="Z297" s="373"/>
    </x:row>
    <x:row r="298">
      <x:c r="A298" s="373"/>
      <x:c r="B298" s="373"/>
      <x:c r="C298" s="373"/>
      <x:c r="D298" s="373"/>
      <x:c r="E298" s="373"/>
      <x:c r="F298" s="373"/>
      <x:c r="G298" s="373"/>
      <x:c r="H298" s="373"/>
      <x:c r="I298" s="373"/>
      <x:c r="J298" s="373"/>
      <x:c r="K298" s="373"/>
      <x:c r="L298" s="373"/>
      <x:c r="M298" s="373"/>
      <x:c r="N298" s="373"/>
      <x:c r="O298" s="373"/>
      <x:c r="P298" s="373"/>
      <x:c r="Q298" s="373"/>
      <x:c r="R298" s="373"/>
      <x:c r="S298" s="373"/>
      <x:c r="T298" s="373"/>
      <x:c r="U298" s="373"/>
      <x:c r="V298" s="373"/>
      <x:c r="W298" s="373"/>
      <x:c r="X298" s="373"/>
      <x:c r="Y298" s="373"/>
      <x:c r="Z298" s="373"/>
    </x:row>
    <x:row r="299">
      <x:c r="A299" s="373"/>
      <x:c r="B299" s="373"/>
      <x:c r="C299" s="373"/>
      <x:c r="D299" s="373"/>
      <x:c r="E299" s="373"/>
      <x:c r="F299" s="373"/>
      <x:c r="G299" s="373"/>
      <x:c r="H299" s="373"/>
      <x:c r="I299" s="373"/>
      <x:c r="J299" s="373"/>
      <x:c r="K299" s="373"/>
      <x:c r="L299" s="373"/>
      <x:c r="M299" s="373"/>
      <x:c r="N299" s="373"/>
      <x:c r="O299" s="373"/>
      <x:c r="P299" s="373"/>
      <x:c r="Q299" s="373"/>
      <x:c r="R299" s="373"/>
      <x:c r="S299" s="373"/>
      <x:c r="T299" s="373"/>
      <x:c r="U299" s="373"/>
      <x:c r="V299" s="373"/>
      <x:c r="W299" s="373"/>
      <x:c r="X299" s="373"/>
      <x:c r="Y299" s="373"/>
      <x:c r="Z299" s="373"/>
    </x:row>
    <x:row r="300">
      <x:c r="A300" s="373"/>
      <x:c r="B300" s="373"/>
      <x:c r="C300" s="373"/>
      <x:c r="D300" s="373"/>
      <x:c r="E300" s="373"/>
      <x:c r="F300" s="373"/>
      <x:c r="G300" s="373"/>
      <x:c r="H300" s="373"/>
      <x:c r="I300" s="373"/>
      <x:c r="J300" s="373"/>
      <x:c r="K300" s="373"/>
      <x:c r="L300" s="373"/>
      <x:c r="M300" s="373"/>
      <x:c r="N300" s="373"/>
      <x:c r="O300" s="373"/>
      <x:c r="P300" s="373"/>
      <x:c r="Q300" s="373"/>
      <x:c r="R300" s="373"/>
      <x:c r="S300" s="373"/>
      <x:c r="T300" s="373"/>
      <x:c r="U300" s="373"/>
      <x:c r="V300" s="373"/>
      <x:c r="W300" s="373"/>
      <x:c r="X300" s="373"/>
      <x:c r="Y300" s="373"/>
      <x:c r="Z300" s="373"/>
    </x:row>
    <x:row r="301">
      <x:c r="A301" s="373"/>
      <x:c r="B301" s="373"/>
      <x:c r="C301" s="373"/>
      <x:c r="D301" s="373"/>
      <x:c r="E301" s="373"/>
      <x:c r="F301" s="373"/>
      <x:c r="G301" s="373"/>
      <x:c r="H301" s="373"/>
      <x:c r="I301" s="373"/>
      <x:c r="J301" s="373"/>
      <x:c r="K301" s="373"/>
      <x:c r="L301" s="373"/>
      <x:c r="M301" s="373"/>
      <x:c r="N301" s="373"/>
      <x:c r="O301" s="373"/>
      <x:c r="P301" s="373"/>
      <x:c r="Q301" s="373"/>
      <x:c r="R301" s="373"/>
      <x:c r="S301" s="373"/>
      <x:c r="T301" s="373"/>
      <x:c r="U301" s="373"/>
      <x:c r="V301" s="373"/>
      <x:c r="W301" s="373"/>
      <x:c r="X301" s="373"/>
      <x:c r="Y301" s="373"/>
      <x:c r="Z301" s="373"/>
    </x:row>
    <x:row r="302">
      <x:c r="A302" s="373"/>
      <x:c r="B302" s="373"/>
      <x:c r="C302" s="373"/>
      <x:c r="D302" s="373"/>
      <x:c r="E302" s="373"/>
      <x:c r="F302" s="373"/>
      <x:c r="G302" s="373"/>
      <x:c r="H302" s="373"/>
      <x:c r="I302" s="373"/>
      <x:c r="J302" s="373"/>
      <x:c r="K302" s="373"/>
      <x:c r="L302" s="373"/>
      <x:c r="M302" s="373"/>
      <x:c r="N302" s="373"/>
      <x:c r="O302" s="373"/>
      <x:c r="P302" s="373"/>
      <x:c r="Q302" s="373"/>
      <x:c r="R302" s="373"/>
      <x:c r="S302" s="373"/>
      <x:c r="T302" s="373"/>
      <x:c r="U302" s="373"/>
      <x:c r="V302" s="373"/>
      <x:c r="W302" s="373"/>
      <x:c r="X302" s="373"/>
      <x:c r="Y302" s="373"/>
      <x:c r="Z302" s="373"/>
    </x:row>
    <x:row r="303">
      <x:c r="A303" s="373"/>
      <x:c r="B303" s="373"/>
      <x:c r="C303" s="373"/>
      <x:c r="D303" s="373"/>
      <x:c r="E303" s="373"/>
      <x:c r="F303" s="373"/>
      <x:c r="G303" s="373"/>
      <x:c r="H303" s="373"/>
      <x:c r="I303" s="373"/>
      <x:c r="J303" s="373"/>
      <x:c r="K303" s="373"/>
      <x:c r="L303" s="373"/>
      <x:c r="M303" s="373"/>
      <x:c r="N303" s="373"/>
      <x:c r="O303" s="373"/>
      <x:c r="P303" s="373"/>
      <x:c r="Q303" s="373"/>
      <x:c r="R303" s="373"/>
      <x:c r="S303" s="373"/>
      <x:c r="T303" s="373"/>
      <x:c r="U303" s="373"/>
      <x:c r="V303" s="373"/>
      <x:c r="W303" s="373"/>
      <x:c r="X303" s="373"/>
      <x:c r="Y303" s="373"/>
      <x:c r="Z303" s="373"/>
    </x:row>
    <x:row r="304">
      <x:c r="A304" s="373"/>
      <x:c r="B304" s="373"/>
      <x:c r="C304" s="373"/>
      <x:c r="D304" s="373"/>
      <x:c r="E304" s="373"/>
      <x:c r="F304" s="373"/>
      <x:c r="G304" s="373"/>
      <x:c r="H304" s="373"/>
      <x:c r="I304" s="373"/>
      <x:c r="J304" s="373"/>
      <x:c r="K304" s="373"/>
      <x:c r="L304" s="373"/>
      <x:c r="M304" s="373"/>
      <x:c r="N304" s="373"/>
      <x:c r="O304" s="373"/>
      <x:c r="P304" s="373"/>
      <x:c r="Q304" s="373"/>
      <x:c r="R304" s="373"/>
      <x:c r="S304" s="373"/>
      <x:c r="T304" s="373"/>
      <x:c r="U304" s="373"/>
      <x:c r="V304" s="373"/>
      <x:c r="W304" s="373"/>
      <x:c r="X304" s="373"/>
      <x:c r="Y304" s="373"/>
      <x:c r="Z304" s="373"/>
    </x:row>
    <x:row r="305">
      <x:c r="A305" s="373"/>
      <x:c r="B305" s="373"/>
      <x:c r="C305" s="373"/>
      <x:c r="D305" s="373"/>
      <x:c r="E305" s="373"/>
      <x:c r="F305" s="373"/>
      <x:c r="G305" s="373"/>
      <x:c r="H305" s="373"/>
      <x:c r="I305" s="373"/>
      <x:c r="J305" s="373"/>
      <x:c r="K305" s="373"/>
      <x:c r="L305" s="373"/>
      <x:c r="M305" s="373"/>
      <x:c r="N305" s="373"/>
      <x:c r="O305" s="373"/>
      <x:c r="P305" s="373"/>
      <x:c r="Q305" s="373"/>
      <x:c r="R305" s="373"/>
      <x:c r="S305" s="373"/>
      <x:c r="T305" s="373"/>
      <x:c r="U305" s="373"/>
      <x:c r="V305" s="373"/>
      <x:c r="W305" s="373"/>
      <x:c r="X305" s="373"/>
      <x:c r="Y305" s="373"/>
      <x:c r="Z305" s="373"/>
    </x:row>
    <x:row r="306">
      <x:c r="A306" s="373"/>
      <x:c r="B306" s="373"/>
      <x:c r="C306" s="373"/>
      <x:c r="D306" s="373"/>
      <x:c r="E306" s="373"/>
      <x:c r="F306" s="373"/>
      <x:c r="G306" s="373"/>
      <x:c r="H306" s="373"/>
      <x:c r="I306" s="373"/>
      <x:c r="J306" s="373"/>
      <x:c r="K306" s="373"/>
      <x:c r="L306" s="373"/>
      <x:c r="M306" s="373"/>
      <x:c r="N306" s="373"/>
      <x:c r="O306" s="373"/>
      <x:c r="P306" s="373"/>
      <x:c r="Q306" s="373"/>
      <x:c r="R306" s="373"/>
      <x:c r="S306" s="373"/>
      <x:c r="T306" s="373"/>
      <x:c r="U306" s="373"/>
      <x:c r="V306" s="373"/>
      <x:c r="W306" s="373"/>
      <x:c r="X306" s="373"/>
      <x:c r="Y306" s="373"/>
      <x:c r="Z306" s="373"/>
    </x:row>
    <x:row r="307">
      <x:c r="A307" s="373"/>
      <x:c r="B307" s="373"/>
      <x:c r="C307" s="373"/>
      <x:c r="D307" s="373"/>
      <x:c r="E307" s="373"/>
      <x:c r="F307" s="373"/>
      <x:c r="G307" s="373"/>
      <x:c r="H307" s="373"/>
      <x:c r="I307" s="373"/>
      <x:c r="J307" s="373"/>
      <x:c r="K307" s="373"/>
      <x:c r="L307" s="373"/>
      <x:c r="M307" s="373"/>
      <x:c r="N307" s="373"/>
      <x:c r="O307" s="373"/>
      <x:c r="P307" s="373"/>
      <x:c r="Q307" s="373"/>
      <x:c r="R307" s="373"/>
      <x:c r="S307" s="373"/>
      <x:c r="T307" s="373"/>
      <x:c r="U307" s="373"/>
      <x:c r="V307" s="373"/>
      <x:c r="W307" s="373"/>
      <x:c r="X307" s="373"/>
      <x:c r="Y307" s="373"/>
      <x:c r="Z307" s="373"/>
    </x:row>
    <x:row r="308">
      <x:c r="A308" s="373"/>
      <x:c r="B308" s="373"/>
      <x:c r="C308" s="373"/>
      <x:c r="D308" s="373"/>
      <x:c r="E308" s="373"/>
      <x:c r="F308" s="373"/>
      <x:c r="G308" s="373"/>
      <x:c r="H308" s="373"/>
      <x:c r="I308" s="373"/>
      <x:c r="J308" s="373"/>
      <x:c r="K308" s="373"/>
      <x:c r="L308" s="373"/>
      <x:c r="M308" s="373"/>
      <x:c r="N308" s="373"/>
      <x:c r="O308" s="373"/>
      <x:c r="P308" s="373"/>
      <x:c r="Q308" s="373"/>
      <x:c r="R308" s="373"/>
      <x:c r="S308" s="373"/>
      <x:c r="T308" s="373"/>
      <x:c r="U308" s="373"/>
      <x:c r="V308" s="373"/>
      <x:c r="W308" s="373"/>
      <x:c r="X308" s="373"/>
      <x:c r="Y308" s="373"/>
      <x:c r="Z308" s="373"/>
    </x:row>
    <x:row r="309">
      <x:c r="A309" s="373"/>
      <x:c r="B309" s="373"/>
      <x:c r="C309" s="373"/>
      <x:c r="D309" s="373"/>
      <x:c r="E309" s="373"/>
      <x:c r="F309" s="373"/>
      <x:c r="G309" s="373"/>
      <x:c r="H309" s="373"/>
      <x:c r="I309" s="373"/>
      <x:c r="J309" s="373"/>
      <x:c r="K309" s="373"/>
      <x:c r="L309" s="373"/>
      <x:c r="M309" s="373"/>
      <x:c r="N309" s="373"/>
      <x:c r="O309" s="373"/>
      <x:c r="P309" s="373"/>
      <x:c r="Q309" s="373"/>
      <x:c r="R309" s="373"/>
      <x:c r="S309" s="373"/>
      <x:c r="T309" s="373"/>
      <x:c r="U309" s="373"/>
      <x:c r="V309" s="373"/>
      <x:c r="W309" s="373"/>
      <x:c r="X309" s="373"/>
      <x:c r="Y309" s="373"/>
      <x:c r="Z309" s="373"/>
    </x:row>
    <x:row r="310">
      <x:c r="A310" s="373"/>
      <x:c r="B310" s="373"/>
      <x:c r="C310" s="373"/>
      <x:c r="D310" s="373"/>
      <x:c r="E310" s="373"/>
      <x:c r="F310" s="373"/>
      <x:c r="G310" s="373"/>
      <x:c r="H310" s="373"/>
      <x:c r="I310" s="373"/>
      <x:c r="J310" s="373"/>
      <x:c r="K310" s="373"/>
      <x:c r="L310" s="373"/>
      <x:c r="M310" s="373"/>
      <x:c r="N310" s="373"/>
      <x:c r="O310" s="373"/>
      <x:c r="P310" s="373"/>
      <x:c r="Q310" s="373"/>
      <x:c r="R310" s="373"/>
      <x:c r="S310" s="373"/>
      <x:c r="T310" s="373"/>
      <x:c r="U310" s="373"/>
      <x:c r="V310" s="373"/>
      <x:c r="W310" s="373"/>
      <x:c r="X310" s="373"/>
      <x:c r="Y310" s="373"/>
      <x:c r="Z310" s="373"/>
    </x:row>
    <x:row r="311">
      <x:c r="A311" s="373"/>
      <x:c r="B311" s="373"/>
      <x:c r="C311" s="373"/>
      <x:c r="D311" s="373"/>
      <x:c r="E311" s="373"/>
      <x:c r="F311" s="373"/>
      <x:c r="G311" s="373"/>
      <x:c r="H311" s="373"/>
      <x:c r="I311" s="373"/>
      <x:c r="J311" s="373"/>
      <x:c r="K311" s="373"/>
      <x:c r="L311" s="373"/>
      <x:c r="M311" s="373"/>
      <x:c r="N311" s="373"/>
      <x:c r="O311" s="373"/>
      <x:c r="P311" s="373"/>
      <x:c r="Q311" s="373"/>
      <x:c r="R311" s="373"/>
      <x:c r="S311" s="373"/>
      <x:c r="T311" s="373"/>
      <x:c r="U311" s="373"/>
      <x:c r="V311" s="373"/>
      <x:c r="W311" s="373"/>
      <x:c r="X311" s="373"/>
      <x:c r="Y311" s="373"/>
      <x:c r="Z311" s="373"/>
    </x:row>
    <x:row r="312">
      <x:c r="A312" s="373"/>
      <x:c r="B312" s="373"/>
      <x:c r="C312" s="373"/>
      <x:c r="D312" s="373"/>
      <x:c r="E312" s="373"/>
      <x:c r="F312" s="373"/>
      <x:c r="G312" s="373"/>
      <x:c r="H312" s="373"/>
      <x:c r="I312" s="373"/>
      <x:c r="J312" s="373"/>
      <x:c r="K312" s="373"/>
      <x:c r="L312" s="373"/>
      <x:c r="M312" s="373"/>
      <x:c r="N312" s="373"/>
      <x:c r="O312" s="373"/>
      <x:c r="P312" s="373"/>
      <x:c r="Q312" s="373"/>
      <x:c r="R312" s="373"/>
      <x:c r="S312" s="373"/>
      <x:c r="T312" s="373"/>
      <x:c r="U312" s="373"/>
      <x:c r="V312" s="373"/>
      <x:c r="W312" s="373"/>
      <x:c r="X312" s="373"/>
      <x:c r="Y312" s="373"/>
      <x:c r="Z312" s="373"/>
    </x:row>
    <x:row r="313">
      <x:c r="A313" s="373"/>
      <x:c r="B313" s="373"/>
      <x:c r="C313" s="373"/>
      <x:c r="D313" s="373"/>
      <x:c r="E313" s="373"/>
      <x:c r="F313" s="373"/>
      <x:c r="G313" s="373"/>
      <x:c r="H313" s="373"/>
      <x:c r="I313" s="373"/>
      <x:c r="J313" s="373"/>
      <x:c r="K313" s="373"/>
      <x:c r="L313" s="373"/>
      <x:c r="M313" s="373"/>
      <x:c r="N313" s="373"/>
      <x:c r="O313" s="373"/>
      <x:c r="P313" s="373"/>
      <x:c r="Q313" s="373"/>
      <x:c r="R313" s="373"/>
      <x:c r="S313" s="373"/>
      <x:c r="T313" s="373"/>
      <x:c r="U313" s="373"/>
      <x:c r="V313" s="373"/>
      <x:c r="W313" s="373"/>
      <x:c r="X313" s="373"/>
      <x:c r="Y313" s="373"/>
      <x:c r="Z313" s="373"/>
    </x:row>
    <x:row r="314">
      <x:c r="A314" s="373"/>
      <x:c r="B314" s="373"/>
      <x:c r="C314" s="373"/>
      <x:c r="D314" s="373"/>
      <x:c r="E314" s="373"/>
      <x:c r="F314" s="373"/>
      <x:c r="G314" s="373"/>
      <x:c r="H314" s="373"/>
      <x:c r="I314" s="373"/>
      <x:c r="J314" s="373"/>
      <x:c r="K314" s="373"/>
      <x:c r="L314" s="373"/>
      <x:c r="M314" s="373"/>
      <x:c r="N314" s="373"/>
      <x:c r="O314" s="373"/>
      <x:c r="P314" s="373"/>
      <x:c r="Q314" s="373"/>
      <x:c r="R314" s="373"/>
      <x:c r="S314" s="373"/>
      <x:c r="T314" s="373"/>
      <x:c r="U314" s="373"/>
      <x:c r="V314" s="373"/>
      <x:c r="W314" s="373"/>
      <x:c r="X314" s="373"/>
      <x:c r="Y314" s="373"/>
      <x:c r="Z314" s="373"/>
    </x:row>
    <x:row r="315">
      <x:c r="A315" s="373"/>
      <x:c r="B315" s="373"/>
      <x:c r="C315" s="373"/>
      <x:c r="D315" s="373"/>
      <x:c r="E315" s="373"/>
      <x:c r="F315" s="373"/>
      <x:c r="G315" s="373"/>
      <x:c r="H315" s="373"/>
      <x:c r="I315" s="373"/>
      <x:c r="J315" s="373"/>
      <x:c r="K315" s="373"/>
      <x:c r="L315" s="373"/>
      <x:c r="M315" s="373"/>
      <x:c r="N315" s="373"/>
      <x:c r="O315" s="373"/>
      <x:c r="P315" s="373"/>
      <x:c r="Q315" s="373"/>
      <x:c r="R315" s="373"/>
      <x:c r="S315" s="373"/>
      <x:c r="T315" s="373"/>
      <x:c r="U315" s="373"/>
      <x:c r="V315" s="373"/>
      <x:c r="W315" s="373"/>
      <x:c r="X315" s="373"/>
      <x:c r="Y315" s="373"/>
      <x:c r="Z315" s="373"/>
    </x:row>
    <x:row r="316">
      <x:c r="A316" s="373"/>
      <x:c r="B316" s="373"/>
      <x:c r="C316" s="373"/>
      <x:c r="D316" s="373"/>
      <x:c r="E316" s="373"/>
      <x:c r="F316" s="373"/>
      <x:c r="G316" s="373"/>
      <x:c r="H316" s="373"/>
      <x:c r="I316" s="373"/>
      <x:c r="J316" s="373"/>
      <x:c r="K316" s="373"/>
      <x:c r="L316" s="373"/>
      <x:c r="M316" s="373"/>
      <x:c r="N316" s="373"/>
      <x:c r="O316" s="373"/>
      <x:c r="P316" s="373"/>
      <x:c r="Q316" s="373"/>
      <x:c r="R316" s="373"/>
      <x:c r="S316" s="373"/>
      <x:c r="T316" s="373"/>
      <x:c r="U316" s="373"/>
      <x:c r="V316" s="373"/>
      <x:c r="W316" s="373"/>
      <x:c r="X316" s="373"/>
      <x:c r="Y316" s="373"/>
      <x:c r="Z316" s="373"/>
    </x:row>
    <x:row r="317">
      <x:c r="A317" s="373"/>
      <x:c r="B317" s="373"/>
      <x:c r="C317" s="373"/>
      <x:c r="D317" s="373"/>
      <x:c r="E317" s="373"/>
      <x:c r="F317" s="373"/>
      <x:c r="G317" s="373"/>
      <x:c r="H317" s="373"/>
      <x:c r="I317" s="373"/>
      <x:c r="J317" s="373"/>
      <x:c r="K317" s="373"/>
      <x:c r="L317" s="373"/>
      <x:c r="M317" s="373"/>
      <x:c r="N317" s="373"/>
      <x:c r="O317" s="373"/>
      <x:c r="P317" s="373"/>
      <x:c r="Q317" s="373"/>
      <x:c r="R317" s="373"/>
      <x:c r="S317" s="373"/>
      <x:c r="T317" s="373"/>
      <x:c r="U317" s="373"/>
      <x:c r="V317" s="373"/>
      <x:c r="W317" s="373"/>
      <x:c r="X317" s="373"/>
      <x:c r="Y317" s="373"/>
      <x:c r="Z317" s="373"/>
    </x:row>
    <x:row r="318">
      <x:c r="A318" s="373"/>
      <x:c r="B318" s="373"/>
      <x:c r="C318" s="373"/>
      <x:c r="D318" s="373"/>
      <x:c r="E318" s="373"/>
      <x:c r="F318" s="373"/>
      <x:c r="G318" s="373"/>
      <x:c r="H318" s="373"/>
      <x:c r="I318" s="373"/>
      <x:c r="J318" s="373"/>
      <x:c r="K318" s="373"/>
      <x:c r="L318" s="373"/>
      <x:c r="M318" s="373"/>
      <x:c r="N318" s="373"/>
      <x:c r="O318" s="373"/>
      <x:c r="P318" s="373"/>
      <x:c r="Q318" s="373"/>
      <x:c r="R318" s="373"/>
      <x:c r="S318" s="373"/>
      <x:c r="T318" s="373"/>
      <x:c r="U318" s="373"/>
      <x:c r="V318" s="373"/>
      <x:c r="W318" s="373"/>
      <x:c r="X318" s="373"/>
      <x:c r="Y318" s="373"/>
      <x:c r="Z318" s="373"/>
    </x:row>
    <x:row r="319">
      <x:c r="A319" s="373"/>
      <x:c r="B319" s="373"/>
      <x:c r="C319" s="373"/>
      <x:c r="D319" s="373"/>
      <x:c r="E319" s="373"/>
      <x:c r="F319" s="373"/>
      <x:c r="G319" s="373"/>
      <x:c r="H319" s="373"/>
      <x:c r="I319" s="373"/>
      <x:c r="J319" s="373"/>
      <x:c r="K319" s="373"/>
      <x:c r="L319" s="373"/>
      <x:c r="M319" s="373"/>
      <x:c r="N319" s="373"/>
      <x:c r="O319" s="373"/>
      <x:c r="P319" s="373"/>
      <x:c r="Q319" s="373"/>
      <x:c r="R319" s="373"/>
      <x:c r="S319" s="373"/>
      <x:c r="T319" s="373"/>
      <x:c r="U319" s="373"/>
      <x:c r="V319" s="373"/>
      <x:c r="W319" s="373"/>
      <x:c r="X319" s="373"/>
      <x:c r="Y319" s="373"/>
      <x:c r="Z319" s="373"/>
    </x:row>
    <x:row r="320">
      <x:c r="A320" s="373"/>
      <x:c r="B320" s="373"/>
      <x:c r="C320" s="373"/>
      <x:c r="D320" s="373"/>
      <x:c r="E320" s="373"/>
      <x:c r="F320" s="373"/>
      <x:c r="G320" s="373"/>
      <x:c r="H320" s="373"/>
      <x:c r="I320" s="373"/>
      <x:c r="J320" s="373"/>
      <x:c r="K320" s="373"/>
      <x:c r="L320" s="373"/>
      <x:c r="M320" s="373"/>
      <x:c r="N320" s="373"/>
      <x:c r="O320" s="373"/>
      <x:c r="P320" s="373"/>
      <x:c r="Q320" s="373"/>
      <x:c r="R320" s="373"/>
      <x:c r="S320" s="373"/>
      <x:c r="T320" s="373"/>
      <x:c r="U320" s="373"/>
      <x:c r="V320" s="373"/>
      <x:c r="W320" s="373"/>
      <x:c r="X320" s="373"/>
      <x:c r="Y320" s="373"/>
      <x:c r="Z320" s="373"/>
    </x:row>
    <x:row r="321">
      <x:c r="A321" s="373"/>
      <x:c r="B321" s="373"/>
      <x:c r="C321" s="373"/>
      <x:c r="D321" s="373"/>
      <x:c r="E321" s="373"/>
      <x:c r="F321" s="373"/>
      <x:c r="G321" s="373"/>
      <x:c r="H321" s="373"/>
      <x:c r="I321" s="373"/>
      <x:c r="J321" s="373"/>
      <x:c r="K321" s="373"/>
      <x:c r="L321" s="373"/>
      <x:c r="M321" s="373"/>
      <x:c r="N321" s="373"/>
      <x:c r="O321" s="373"/>
      <x:c r="P321" s="373"/>
      <x:c r="Q321" s="373"/>
      <x:c r="R321" s="373"/>
      <x:c r="S321" s="373"/>
      <x:c r="T321" s="373"/>
      <x:c r="U321" s="373"/>
      <x:c r="V321" s="373"/>
      <x:c r="W321" s="373"/>
      <x:c r="X321" s="373"/>
      <x:c r="Y321" s="373"/>
      <x:c r="Z321" s="373"/>
    </x:row>
    <x:row r="322">
      <x:c r="A322" s="373"/>
      <x:c r="B322" s="373"/>
      <x:c r="C322" s="373"/>
      <x:c r="D322" s="373"/>
      <x:c r="E322" s="373"/>
      <x:c r="F322" s="373"/>
      <x:c r="G322" s="373"/>
      <x:c r="H322" s="373"/>
      <x:c r="I322" s="373"/>
      <x:c r="J322" s="373"/>
      <x:c r="K322" s="373"/>
      <x:c r="L322" s="373"/>
      <x:c r="M322" s="373"/>
      <x:c r="N322" s="373"/>
      <x:c r="O322" s="373"/>
      <x:c r="P322" s="373"/>
      <x:c r="Q322" s="373"/>
      <x:c r="R322" s="373"/>
      <x:c r="S322" s="373"/>
      <x:c r="T322" s="373"/>
      <x:c r="U322" s="373"/>
      <x:c r="V322" s="373"/>
      <x:c r="W322" s="373"/>
      <x:c r="X322" s="373"/>
      <x:c r="Y322" s="373"/>
      <x:c r="Z322" s="373"/>
    </x:row>
    <x:row r="323">
      <x:c r="A323" s="373"/>
      <x:c r="B323" s="373"/>
      <x:c r="C323" s="373"/>
      <x:c r="D323" s="373"/>
      <x:c r="E323" s="373"/>
      <x:c r="F323" s="373"/>
      <x:c r="G323" s="373"/>
      <x:c r="H323" s="373"/>
      <x:c r="I323" s="373"/>
      <x:c r="J323" s="373"/>
      <x:c r="K323" s="373"/>
      <x:c r="L323" s="373"/>
      <x:c r="M323" s="373"/>
      <x:c r="N323" s="373"/>
      <x:c r="O323" s="373"/>
      <x:c r="P323" s="373"/>
      <x:c r="Q323" s="373"/>
      <x:c r="R323" s="373"/>
      <x:c r="S323" s="373"/>
      <x:c r="T323" s="373"/>
      <x:c r="U323" s="373"/>
      <x:c r="V323" s="373"/>
      <x:c r="W323" s="373"/>
      <x:c r="X323" s="373"/>
      <x:c r="Y323" s="373"/>
      <x:c r="Z323" s="373"/>
    </x:row>
    <x:row r="324">
      <x:c r="A324" s="373"/>
      <x:c r="B324" s="373"/>
      <x:c r="C324" s="373"/>
      <x:c r="D324" s="373"/>
      <x:c r="E324" s="373"/>
      <x:c r="F324" s="373"/>
      <x:c r="G324" s="373"/>
      <x:c r="H324" s="373"/>
      <x:c r="I324" s="373"/>
      <x:c r="J324" s="373"/>
      <x:c r="K324" s="373"/>
      <x:c r="L324" s="373"/>
      <x:c r="M324" s="373"/>
      <x:c r="N324" s="373"/>
      <x:c r="O324" s="373"/>
      <x:c r="P324" s="373"/>
      <x:c r="Q324" s="373"/>
      <x:c r="R324" s="373"/>
      <x:c r="S324" s="373"/>
      <x:c r="T324" s="373"/>
      <x:c r="U324" s="373"/>
      <x:c r="V324" s="373"/>
      <x:c r="W324" s="373"/>
      <x:c r="X324" s="373"/>
      <x:c r="Y324" s="373"/>
      <x:c r="Z324" s="373"/>
    </x:row>
    <x:row r="325">
      <x:c r="A325" s="373"/>
      <x:c r="B325" s="373"/>
      <x:c r="C325" s="373"/>
      <x:c r="D325" s="373"/>
      <x:c r="E325" s="373"/>
      <x:c r="F325" s="373"/>
      <x:c r="G325" s="373"/>
      <x:c r="H325" s="373"/>
      <x:c r="I325" s="373"/>
      <x:c r="J325" s="373"/>
      <x:c r="K325" s="373"/>
      <x:c r="L325" s="373"/>
      <x:c r="M325" s="373"/>
      <x:c r="N325" s="373"/>
      <x:c r="O325" s="373"/>
      <x:c r="P325" s="373"/>
      <x:c r="Q325" s="373"/>
      <x:c r="R325" s="373"/>
      <x:c r="S325" s="373"/>
      <x:c r="T325" s="373"/>
      <x:c r="U325" s="373"/>
      <x:c r="V325" s="373"/>
      <x:c r="W325" s="373"/>
      <x:c r="X325" s="373"/>
      <x:c r="Y325" s="373"/>
      <x:c r="Z325" s="373"/>
    </x:row>
    <x:row r="326">
      <x:c r="A326" s="373"/>
      <x:c r="B326" s="373"/>
      <x:c r="C326" s="373"/>
      <x:c r="D326" s="373"/>
      <x:c r="E326" s="373"/>
      <x:c r="F326" s="373"/>
      <x:c r="G326" s="373"/>
      <x:c r="H326" s="373"/>
      <x:c r="I326" s="373"/>
      <x:c r="J326" s="373"/>
      <x:c r="K326" s="373"/>
      <x:c r="L326" s="373"/>
      <x:c r="M326" s="373"/>
      <x:c r="N326" s="373"/>
      <x:c r="O326" s="373"/>
      <x:c r="P326" s="373"/>
      <x:c r="Q326" s="373"/>
      <x:c r="R326" s="373"/>
      <x:c r="S326" s="373"/>
      <x:c r="T326" s="373"/>
      <x:c r="U326" s="373"/>
      <x:c r="V326" s="373"/>
      <x:c r="W326" s="373"/>
      <x:c r="X326" s="373"/>
      <x:c r="Y326" s="373"/>
      <x:c r="Z326" s="373"/>
    </x:row>
    <x:row r="327">
      <x:c r="A327" s="373"/>
      <x:c r="B327" s="373"/>
      <x:c r="C327" s="373"/>
      <x:c r="D327" s="373"/>
      <x:c r="E327" s="373"/>
      <x:c r="F327" s="373"/>
      <x:c r="G327" s="373"/>
      <x:c r="H327" s="373"/>
      <x:c r="I327" s="373"/>
      <x:c r="J327" s="373"/>
      <x:c r="K327" s="373"/>
      <x:c r="L327" s="373"/>
      <x:c r="M327" s="373"/>
      <x:c r="N327" s="373"/>
      <x:c r="O327" s="373"/>
      <x:c r="P327" s="373"/>
      <x:c r="Q327" s="373"/>
      <x:c r="R327" s="373"/>
      <x:c r="S327" s="373"/>
      <x:c r="T327" s="373"/>
      <x:c r="U327" s="373"/>
      <x:c r="V327" s="373"/>
      <x:c r="W327" s="373"/>
      <x:c r="X327" s="373"/>
      <x:c r="Y327" s="373"/>
      <x:c r="Z327" s="373"/>
    </x:row>
    <x:row r="328">
      <x:c r="A328" s="373"/>
      <x:c r="B328" s="373"/>
      <x:c r="C328" s="373"/>
      <x:c r="D328" s="373"/>
      <x:c r="E328" s="373"/>
      <x:c r="F328" s="373"/>
      <x:c r="G328" s="373"/>
      <x:c r="H328" s="373"/>
      <x:c r="I328" s="373"/>
      <x:c r="J328" s="373"/>
      <x:c r="K328" s="373"/>
      <x:c r="L328" s="373"/>
      <x:c r="M328" s="373"/>
      <x:c r="N328" s="373"/>
      <x:c r="O328" s="373"/>
      <x:c r="P328" s="373"/>
      <x:c r="Q328" s="373"/>
      <x:c r="R328" s="373"/>
      <x:c r="S328" s="373"/>
      <x:c r="T328" s="373"/>
      <x:c r="U328" s="373"/>
      <x:c r="V328" s="373"/>
      <x:c r="W328" s="373"/>
      <x:c r="X328" s="373"/>
      <x:c r="Y328" s="373"/>
      <x:c r="Z328" s="373"/>
    </x:row>
    <x:row r="329">
      <x:c r="A329" s="373"/>
      <x:c r="B329" s="373"/>
      <x:c r="C329" s="373"/>
      <x:c r="D329" s="373"/>
      <x:c r="E329" s="373"/>
      <x:c r="F329" s="373"/>
      <x:c r="G329" s="373"/>
      <x:c r="H329" s="373"/>
      <x:c r="I329" s="373"/>
      <x:c r="J329" s="373"/>
      <x:c r="K329" s="373"/>
      <x:c r="L329" s="373"/>
      <x:c r="M329" s="373"/>
      <x:c r="N329" s="373"/>
      <x:c r="O329" s="373"/>
      <x:c r="P329" s="373"/>
      <x:c r="Q329" s="373"/>
      <x:c r="R329" s="373"/>
      <x:c r="S329" s="373"/>
      <x:c r="T329" s="373"/>
      <x:c r="U329" s="373"/>
      <x:c r="V329" s="373"/>
      <x:c r="W329" s="373"/>
      <x:c r="X329" s="373"/>
      <x:c r="Y329" s="373"/>
      <x:c r="Z329" s="373"/>
    </x:row>
    <x:row r="330">
      <x:c r="A330" s="373"/>
      <x:c r="B330" s="373"/>
      <x:c r="C330" s="373"/>
      <x:c r="D330" s="373"/>
      <x:c r="E330" s="373"/>
      <x:c r="F330" s="373"/>
      <x:c r="G330" s="373"/>
      <x:c r="H330" s="373"/>
      <x:c r="I330" s="373"/>
      <x:c r="J330" s="373"/>
      <x:c r="K330" s="373"/>
      <x:c r="L330" s="373"/>
      <x:c r="M330" s="373"/>
      <x:c r="N330" s="373"/>
      <x:c r="O330" s="373"/>
      <x:c r="P330" s="373"/>
      <x:c r="Q330" s="373"/>
      <x:c r="R330" s="373"/>
      <x:c r="S330" s="373"/>
      <x:c r="T330" s="373"/>
      <x:c r="U330" s="373"/>
      <x:c r="V330" s="373"/>
      <x:c r="W330" s="373"/>
      <x:c r="X330" s="373"/>
      <x:c r="Y330" s="373"/>
      <x:c r="Z330" s="373"/>
    </x:row>
    <x:row r="331">
      <x:c r="A331" s="373"/>
      <x:c r="B331" s="373"/>
      <x:c r="C331" s="373"/>
      <x:c r="D331" s="373"/>
      <x:c r="E331" s="373"/>
      <x:c r="F331" s="373"/>
      <x:c r="G331" s="373"/>
      <x:c r="H331" s="373"/>
      <x:c r="I331" s="373"/>
      <x:c r="J331" s="373"/>
      <x:c r="K331" s="373"/>
      <x:c r="L331" s="373"/>
      <x:c r="M331" s="373"/>
      <x:c r="N331" s="373"/>
      <x:c r="O331" s="373"/>
      <x:c r="P331" s="373"/>
      <x:c r="Q331" s="373"/>
      <x:c r="R331" s="373"/>
      <x:c r="S331" s="373"/>
      <x:c r="T331" s="373"/>
      <x:c r="U331" s="373"/>
      <x:c r="V331" s="373"/>
      <x:c r="W331" s="373"/>
      <x:c r="X331" s="373"/>
      <x:c r="Y331" s="373"/>
      <x:c r="Z331" s="373"/>
    </x:row>
    <x:row r="332">
      <x:c r="A332" s="373"/>
      <x:c r="B332" s="373"/>
      <x:c r="C332" s="373"/>
      <x:c r="D332" s="373"/>
      <x:c r="E332" s="373"/>
      <x:c r="F332" s="373"/>
      <x:c r="G332" s="373"/>
      <x:c r="H332" s="373"/>
      <x:c r="I332" s="373"/>
      <x:c r="J332" s="373"/>
      <x:c r="K332" s="373"/>
      <x:c r="L332" s="373"/>
      <x:c r="M332" s="373"/>
      <x:c r="N332" s="373"/>
      <x:c r="O332" s="373"/>
      <x:c r="P332" s="373"/>
      <x:c r="Q332" s="373"/>
      <x:c r="R332" s="373"/>
      <x:c r="S332" s="373"/>
      <x:c r="T332" s="373"/>
      <x:c r="U332" s="373"/>
      <x:c r="V332" s="373"/>
      <x:c r="W332" s="373"/>
      <x:c r="X332" s="373"/>
      <x:c r="Y332" s="373"/>
      <x:c r="Z332" s="373"/>
    </x:row>
    <x:row r="333">
      <x:c r="A333" s="373"/>
      <x:c r="B333" s="373"/>
      <x:c r="C333" s="373"/>
      <x:c r="D333" s="373"/>
      <x:c r="E333" s="373"/>
      <x:c r="F333" s="373"/>
      <x:c r="G333" s="373"/>
      <x:c r="H333" s="373"/>
      <x:c r="I333" s="373"/>
      <x:c r="J333" s="373"/>
      <x:c r="K333" s="373"/>
      <x:c r="L333" s="373"/>
      <x:c r="M333" s="373"/>
      <x:c r="N333" s="373"/>
      <x:c r="O333" s="373"/>
      <x:c r="P333" s="373"/>
      <x:c r="Q333" s="373"/>
      <x:c r="R333" s="373"/>
      <x:c r="S333" s="373"/>
      <x:c r="T333" s="373"/>
      <x:c r="U333" s="373"/>
      <x:c r="V333" s="373"/>
      <x:c r="W333" s="373"/>
      <x:c r="X333" s="373"/>
      <x:c r="Y333" s="373"/>
      <x:c r="Z333" s="373"/>
    </x:row>
    <x:row r="334">
      <x:c r="A334" s="373"/>
      <x:c r="B334" s="373"/>
      <x:c r="C334" s="373"/>
      <x:c r="D334" s="373"/>
      <x:c r="E334" s="373"/>
      <x:c r="F334" s="373"/>
      <x:c r="G334" s="373"/>
      <x:c r="H334" s="373"/>
      <x:c r="I334" s="373"/>
      <x:c r="J334" s="373"/>
      <x:c r="K334" s="373"/>
      <x:c r="L334" s="373"/>
      <x:c r="M334" s="373"/>
      <x:c r="N334" s="373"/>
      <x:c r="O334" s="373"/>
      <x:c r="P334" s="373"/>
      <x:c r="Q334" s="373"/>
      <x:c r="R334" s="373"/>
      <x:c r="S334" s="373"/>
      <x:c r="T334" s="373"/>
      <x:c r="U334" s="373"/>
      <x:c r="V334" s="373"/>
      <x:c r="W334" s="373"/>
      <x:c r="X334" s="373"/>
      <x:c r="Y334" s="373"/>
      <x:c r="Z334" s="373"/>
    </x:row>
    <x:row r="335">
      <x:c r="A335" s="373"/>
      <x:c r="B335" s="373"/>
      <x:c r="C335" s="373"/>
      <x:c r="D335" s="373"/>
      <x:c r="E335" s="373"/>
      <x:c r="F335" s="373"/>
      <x:c r="G335" s="373"/>
      <x:c r="H335" s="373"/>
      <x:c r="I335" s="373"/>
      <x:c r="J335" s="373"/>
      <x:c r="K335" s="373"/>
      <x:c r="L335" s="373"/>
      <x:c r="M335" s="373"/>
      <x:c r="N335" s="373"/>
      <x:c r="O335" s="373"/>
      <x:c r="P335" s="373"/>
      <x:c r="Q335" s="373"/>
      <x:c r="R335" s="373"/>
      <x:c r="S335" s="373"/>
      <x:c r="T335" s="373"/>
      <x:c r="U335" s="373"/>
      <x:c r="V335" s="373"/>
      <x:c r="W335" s="373"/>
      <x:c r="X335" s="373"/>
      <x:c r="Y335" s="373"/>
      <x:c r="Z335" s="373"/>
    </x:row>
    <x:row r="336">
      <x:c r="A336" s="373"/>
      <x:c r="B336" s="373"/>
      <x:c r="C336" s="373"/>
      <x:c r="D336" s="373"/>
      <x:c r="E336" s="373"/>
      <x:c r="F336" s="373"/>
      <x:c r="G336" s="373"/>
      <x:c r="H336" s="373"/>
      <x:c r="I336" s="373"/>
      <x:c r="J336" s="373"/>
      <x:c r="K336" s="373"/>
      <x:c r="L336" s="373"/>
      <x:c r="M336" s="373"/>
      <x:c r="N336" s="373"/>
      <x:c r="O336" s="373"/>
      <x:c r="P336" s="373"/>
      <x:c r="Q336" s="373"/>
      <x:c r="R336" s="373"/>
      <x:c r="S336" s="373"/>
      <x:c r="T336" s="373"/>
      <x:c r="U336" s="373"/>
      <x:c r="V336" s="373"/>
      <x:c r="W336" s="373"/>
      <x:c r="X336" s="373"/>
      <x:c r="Y336" s="373"/>
      <x:c r="Z336" s="373"/>
    </x:row>
    <x:row r="337">
      <x:c r="A337" s="373"/>
      <x:c r="B337" s="373"/>
      <x:c r="C337" s="373"/>
      <x:c r="D337" s="373"/>
      <x:c r="E337" s="373"/>
      <x:c r="F337" s="373"/>
      <x:c r="G337" s="373"/>
      <x:c r="H337" s="373"/>
      <x:c r="I337" s="373"/>
      <x:c r="J337" s="373"/>
      <x:c r="K337" s="373"/>
      <x:c r="L337" s="373"/>
      <x:c r="M337" s="373"/>
      <x:c r="N337" s="373"/>
      <x:c r="O337" s="373"/>
      <x:c r="P337" s="373"/>
      <x:c r="Q337" s="373"/>
      <x:c r="R337" s="373"/>
      <x:c r="S337" s="373"/>
      <x:c r="T337" s="373"/>
      <x:c r="U337" s="373"/>
      <x:c r="V337" s="373"/>
      <x:c r="W337" s="373"/>
      <x:c r="X337" s="373"/>
      <x:c r="Y337" s="373"/>
      <x:c r="Z337" s="373"/>
    </x:row>
    <x:row r="338">
      <x:c r="A338" s="373"/>
      <x:c r="B338" s="373"/>
      <x:c r="C338" s="373"/>
      <x:c r="D338" s="373"/>
      <x:c r="E338" s="373"/>
      <x:c r="F338" s="373"/>
      <x:c r="G338" s="373"/>
      <x:c r="H338" s="373"/>
      <x:c r="I338" s="373"/>
      <x:c r="J338" s="373"/>
      <x:c r="K338" s="373"/>
      <x:c r="L338" s="373"/>
      <x:c r="M338" s="373"/>
      <x:c r="N338" s="373"/>
      <x:c r="O338" s="373"/>
      <x:c r="P338" s="373"/>
      <x:c r="Q338" s="373"/>
      <x:c r="R338" s="373"/>
      <x:c r="S338" s="373"/>
      <x:c r="T338" s="373"/>
      <x:c r="U338" s="373"/>
      <x:c r="V338" s="373"/>
      <x:c r="W338" s="373"/>
      <x:c r="X338" s="373"/>
      <x:c r="Y338" s="373"/>
      <x:c r="Z338" s="373"/>
    </x:row>
    <x:row r="339">
      <x:c r="A339" s="373"/>
      <x:c r="B339" s="373"/>
      <x:c r="C339" s="373"/>
      <x:c r="D339" s="373"/>
      <x:c r="E339" s="373"/>
      <x:c r="F339" s="373"/>
      <x:c r="G339" s="373"/>
      <x:c r="H339" s="373"/>
      <x:c r="I339" s="373"/>
      <x:c r="J339" s="373"/>
      <x:c r="K339" s="373"/>
      <x:c r="L339" s="373"/>
      <x:c r="M339" s="373"/>
      <x:c r="N339" s="373"/>
      <x:c r="O339" s="373"/>
      <x:c r="P339" s="373"/>
      <x:c r="Q339" s="373"/>
      <x:c r="R339" s="373"/>
      <x:c r="S339" s="373"/>
      <x:c r="T339" s="373"/>
      <x:c r="U339" s="373"/>
      <x:c r="V339" s="373"/>
      <x:c r="W339" s="373"/>
      <x:c r="X339" s="373"/>
      <x:c r="Y339" s="373"/>
      <x:c r="Z339" s="373"/>
    </x:row>
    <x:row r="340">
      <x:c r="A340" s="373"/>
      <x:c r="B340" s="373"/>
      <x:c r="C340" s="373"/>
      <x:c r="D340" s="373"/>
      <x:c r="E340" s="373"/>
      <x:c r="F340" s="373"/>
      <x:c r="G340" s="373"/>
      <x:c r="H340" s="373"/>
      <x:c r="I340" s="373"/>
      <x:c r="J340" s="373"/>
      <x:c r="K340" s="373"/>
      <x:c r="L340" s="373"/>
      <x:c r="M340" s="373"/>
      <x:c r="N340" s="373"/>
      <x:c r="O340" s="373"/>
      <x:c r="P340" s="373"/>
      <x:c r="Q340" s="373"/>
      <x:c r="R340" s="373"/>
      <x:c r="S340" s="373"/>
      <x:c r="T340" s="373"/>
      <x:c r="U340" s="373"/>
      <x:c r="V340" s="373"/>
      <x:c r="W340" s="373"/>
      <x:c r="X340" s="373"/>
      <x:c r="Y340" s="373"/>
      <x:c r="Z340" s="373"/>
    </x:row>
    <x:row r="341">
      <x:c r="A341" s="373"/>
      <x:c r="B341" s="373"/>
      <x:c r="C341" s="373"/>
      <x:c r="D341" s="373"/>
      <x:c r="E341" s="373"/>
      <x:c r="F341" s="373"/>
      <x:c r="G341" s="373"/>
      <x:c r="H341" s="373"/>
      <x:c r="I341" s="373"/>
      <x:c r="J341" s="373"/>
      <x:c r="K341" s="373"/>
      <x:c r="L341" s="373"/>
      <x:c r="M341" s="373"/>
      <x:c r="N341" s="373"/>
      <x:c r="O341" s="373"/>
      <x:c r="P341" s="373"/>
      <x:c r="Q341" s="373"/>
      <x:c r="R341" s="373"/>
      <x:c r="S341" s="373"/>
      <x:c r="T341" s="373"/>
      <x:c r="U341" s="373"/>
      <x:c r="V341" s="373"/>
      <x:c r="W341" s="373"/>
      <x:c r="X341" s="373"/>
      <x:c r="Y341" s="373"/>
      <x:c r="Z341" s="373"/>
    </x:row>
    <x:row r="342">
      <x:c r="A342" s="373"/>
      <x:c r="B342" s="373"/>
      <x:c r="C342" s="373"/>
      <x:c r="D342" s="373"/>
      <x:c r="E342" s="373"/>
      <x:c r="F342" s="373"/>
      <x:c r="G342" s="373"/>
      <x:c r="H342" s="373"/>
      <x:c r="I342" s="373"/>
      <x:c r="J342" s="373"/>
      <x:c r="K342" s="373"/>
      <x:c r="L342" s="373"/>
      <x:c r="M342" s="373"/>
      <x:c r="N342" s="373"/>
      <x:c r="O342" s="373"/>
      <x:c r="P342" s="373"/>
      <x:c r="Q342" s="373"/>
      <x:c r="R342" s="373"/>
      <x:c r="S342" s="373"/>
      <x:c r="T342" s="373"/>
      <x:c r="U342" s="373"/>
      <x:c r="V342" s="373"/>
      <x:c r="W342" s="373"/>
      <x:c r="X342" s="373"/>
      <x:c r="Y342" s="373"/>
      <x:c r="Z342" s="373"/>
    </x:row>
    <x:row r="343">
      <x:c r="A343" s="373"/>
      <x:c r="B343" s="373"/>
      <x:c r="C343" s="373"/>
      <x:c r="D343" s="373"/>
      <x:c r="E343" s="373"/>
      <x:c r="F343" s="373"/>
      <x:c r="G343" s="373"/>
      <x:c r="H343" s="373"/>
      <x:c r="I343" s="373"/>
      <x:c r="J343" s="373"/>
      <x:c r="K343" s="373"/>
      <x:c r="L343" s="373"/>
      <x:c r="M343" s="373"/>
      <x:c r="N343" s="373"/>
      <x:c r="O343" s="373"/>
      <x:c r="P343" s="373"/>
      <x:c r="Q343" s="373"/>
      <x:c r="R343" s="373"/>
      <x:c r="S343" s="373"/>
      <x:c r="T343" s="373"/>
      <x:c r="U343" s="373"/>
      <x:c r="V343" s="373"/>
      <x:c r="W343" s="373"/>
      <x:c r="X343" s="373"/>
      <x:c r="Y343" s="373"/>
      <x:c r="Z343" s="373"/>
    </x:row>
    <x:row r="344">
      <x:c r="A344" s="373"/>
      <x:c r="B344" s="373"/>
      <x:c r="C344" s="373"/>
      <x:c r="D344" s="373"/>
      <x:c r="E344" s="373"/>
      <x:c r="F344" s="373"/>
      <x:c r="G344" s="373"/>
      <x:c r="H344" s="373"/>
      <x:c r="I344" s="373"/>
      <x:c r="J344" s="373"/>
      <x:c r="K344" s="373"/>
      <x:c r="L344" s="373"/>
      <x:c r="M344" s="373"/>
      <x:c r="N344" s="373"/>
      <x:c r="O344" s="373"/>
      <x:c r="P344" s="373"/>
      <x:c r="Q344" s="373"/>
      <x:c r="R344" s="373"/>
      <x:c r="S344" s="373"/>
      <x:c r="T344" s="373"/>
      <x:c r="U344" s="373"/>
      <x:c r="V344" s="373"/>
      <x:c r="W344" s="373"/>
      <x:c r="X344" s="373"/>
      <x:c r="Y344" s="373"/>
      <x:c r="Z344" s="373"/>
    </x:row>
    <x:row r="345">
      <x:c r="A345" s="373"/>
      <x:c r="B345" s="373"/>
      <x:c r="C345" s="373"/>
      <x:c r="D345" s="373"/>
      <x:c r="E345" s="373"/>
      <x:c r="F345" s="373"/>
      <x:c r="G345" s="373"/>
      <x:c r="H345" s="373"/>
      <x:c r="I345" s="373"/>
      <x:c r="J345" s="373"/>
      <x:c r="K345" s="373"/>
      <x:c r="L345" s="373"/>
      <x:c r="M345" s="373"/>
      <x:c r="N345" s="373"/>
      <x:c r="O345" s="373"/>
      <x:c r="P345" s="373"/>
      <x:c r="Q345" s="373"/>
      <x:c r="R345" s="373"/>
      <x:c r="S345" s="373"/>
      <x:c r="T345" s="373"/>
      <x:c r="U345" s="373"/>
      <x:c r="V345" s="373"/>
      <x:c r="W345" s="373"/>
      <x:c r="X345" s="373"/>
      <x:c r="Y345" s="373"/>
      <x:c r="Z345" s="373"/>
    </x:row>
    <x:row r="346">
      <x:c r="A346" s="373"/>
      <x:c r="B346" s="373"/>
      <x:c r="C346" s="373"/>
      <x:c r="D346" s="373"/>
      <x:c r="E346" s="373"/>
      <x:c r="F346" s="373"/>
      <x:c r="G346" s="373"/>
      <x:c r="H346" s="373"/>
      <x:c r="I346" s="373"/>
      <x:c r="J346" s="373"/>
      <x:c r="K346" s="373"/>
      <x:c r="L346" s="373"/>
      <x:c r="M346" s="373"/>
      <x:c r="N346" s="373"/>
      <x:c r="O346" s="373"/>
      <x:c r="P346" s="373"/>
      <x:c r="Q346" s="373"/>
      <x:c r="R346" s="373"/>
      <x:c r="S346" s="373"/>
      <x:c r="T346" s="373"/>
      <x:c r="U346" s="373"/>
      <x:c r="V346" s="373"/>
      <x:c r="W346" s="373"/>
      <x:c r="X346" s="373"/>
      <x:c r="Y346" s="373"/>
      <x:c r="Z346" s="373"/>
    </x:row>
    <x:row r="347">
      <x:c r="A347" s="373"/>
      <x:c r="B347" s="373"/>
      <x:c r="C347" s="373"/>
      <x:c r="D347" s="373"/>
      <x:c r="E347" s="373"/>
      <x:c r="F347" s="373"/>
      <x:c r="G347" s="373"/>
      <x:c r="H347" s="373"/>
      <x:c r="I347" s="373"/>
      <x:c r="J347" s="373"/>
      <x:c r="K347" s="373"/>
      <x:c r="L347" s="373"/>
      <x:c r="M347" s="373"/>
      <x:c r="N347" s="373"/>
      <x:c r="O347" s="373"/>
      <x:c r="P347" s="373"/>
      <x:c r="Q347" s="373"/>
      <x:c r="R347" s="373"/>
      <x:c r="S347" s="373"/>
      <x:c r="T347" s="373"/>
      <x:c r="U347" s="373"/>
      <x:c r="V347" s="373"/>
      <x:c r="W347" s="373"/>
      <x:c r="X347" s="373"/>
      <x:c r="Y347" s="373"/>
      <x:c r="Z347" s="373"/>
    </x:row>
    <x:row r="348">
      <x:c r="A348" s="373"/>
      <x:c r="B348" s="373"/>
      <x:c r="C348" s="373"/>
      <x:c r="D348" s="373"/>
      <x:c r="E348" s="373"/>
      <x:c r="F348" s="373"/>
      <x:c r="G348" s="373"/>
      <x:c r="H348" s="373"/>
      <x:c r="I348" s="373"/>
      <x:c r="J348" s="373"/>
      <x:c r="K348" s="373"/>
      <x:c r="L348" s="373"/>
      <x:c r="M348" s="373"/>
      <x:c r="N348" s="373"/>
      <x:c r="O348" s="373"/>
      <x:c r="P348" s="373"/>
      <x:c r="Q348" s="373"/>
      <x:c r="R348" s="373"/>
      <x:c r="S348" s="373"/>
      <x:c r="T348" s="373"/>
      <x:c r="U348" s="373"/>
      <x:c r="V348" s="373"/>
      <x:c r="W348" s="373"/>
      <x:c r="X348" s="373"/>
      <x:c r="Y348" s="373"/>
      <x:c r="Z348" s="373"/>
    </x:row>
    <x:row r="349">
      <x:c r="A349" s="373"/>
      <x:c r="B349" s="373"/>
      <x:c r="C349" s="373"/>
      <x:c r="D349" s="373"/>
      <x:c r="E349" s="373"/>
      <x:c r="F349" s="373"/>
      <x:c r="G349" s="373"/>
      <x:c r="H349" s="373"/>
      <x:c r="I349" s="373"/>
      <x:c r="J349" s="373"/>
      <x:c r="K349" s="373"/>
      <x:c r="L349" s="373"/>
      <x:c r="M349" s="373"/>
      <x:c r="N349" s="373"/>
      <x:c r="O349" s="373"/>
      <x:c r="P349" s="373"/>
      <x:c r="Q349" s="373"/>
      <x:c r="R349" s="373"/>
      <x:c r="S349" s="373"/>
      <x:c r="T349" s="373"/>
      <x:c r="U349" s="373"/>
      <x:c r="V349" s="373"/>
      <x:c r="W349" s="373"/>
      <x:c r="X349" s="373"/>
      <x:c r="Y349" s="373"/>
      <x:c r="Z349" s="373"/>
    </x:row>
    <x:row r="350">
      <x:c r="A350" s="373"/>
      <x:c r="B350" s="373"/>
      <x:c r="C350" s="373"/>
      <x:c r="D350" s="373"/>
      <x:c r="E350" s="373"/>
      <x:c r="F350" s="373"/>
      <x:c r="G350" s="373"/>
      <x:c r="H350" s="373"/>
      <x:c r="I350" s="373"/>
      <x:c r="J350" s="373"/>
      <x:c r="K350" s="373"/>
      <x:c r="L350" s="373"/>
      <x:c r="M350" s="373"/>
      <x:c r="N350" s="373"/>
      <x:c r="O350" s="373"/>
      <x:c r="P350" s="373"/>
      <x:c r="Q350" s="373"/>
      <x:c r="R350" s="373"/>
      <x:c r="S350" s="373"/>
      <x:c r="T350" s="373"/>
      <x:c r="U350" s="373"/>
      <x:c r="V350" s="373"/>
      <x:c r="W350" s="373"/>
      <x:c r="X350" s="373"/>
      <x:c r="Y350" s="373"/>
      <x:c r="Z350" s="373"/>
    </x:row>
    <x:row r="351">
      <x:c r="A351" s="373"/>
      <x:c r="B351" s="373"/>
      <x:c r="C351" s="373"/>
      <x:c r="D351" s="373"/>
      <x:c r="E351" s="373"/>
      <x:c r="F351" s="373"/>
      <x:c r="G351" s="373"/>
      <x:c r="H351" s="373"/>
      <x:c r="I351" s="373"/>
      <x:c r="J351" s="373"/>
      <x:c r="K351" s="373"/>
      <x:c r="L351" s="373"/>
      <x:c r="M351" s="373"/>
      <x:c r="N351" s="373"/>
      <x:c r="O351" s="373"/>
      <x:c r="P351" s="373"/>
      <x:c r="Q351" s="373"/>
      <x:c r="R351" s="373"/>
      <x:c r="S351" s="373"/>
      <x:c r="T351" s="373"/>
      <x:c r="U351" s="373"/>
      <x:c r="V351" s="373"/>
      <x:c r="W351" s="373"/>
      <x:c r="X351" s="373"/>
      <x:c r="Y351" s="373"/>
      <x:c r="Z351" s="373"/>
    </x:row>
    <x:row r="352">
      <x:c r="A352" s="373"/>
      <x:c r="B352" s="373"/>
      <x:c r="C352" s="373"/>
      <x:c r="D352" s="373"/>
      <x:c r="E352" s="373"/>
      <x:c r="F352" s="373"/>
      <x:c r="G352" s="373"/>
      <x:c r="H352" s="373"/>
      <x:c r="I352" s="373"/>
      <x:c r="J352" s="373"/>
      <x:c r="K352" s="373"/>
      <x:c r="L352" s="373"/>
      <x:c r="M352" s="373"/>
      <x:c r="N352" s="373"/>
      <x:c r="O352" s="373"/>
      <x:c r="P352" s="373"/>
      <x:c r="Q352" s="373"/>
      <x:c r="R352" s="373"/>
      <x:c r="S352" s="373"/>
      <x:c r="T352" s="373"/>
      <x:c r="U352" s="373"/>
      <x:c r="V352" s="373"/>
      <x:c r="W352" s="373"/>
      <x:c r="X352" s="373"/>
      <x:c r="Y352" s="373"/>
      <x:c r="Z352" s="373"/>
    </x:row>
    <x:row r="353">
      <x:c r="A353" s="373"/>
      <x:c r="B353" s="373"/>
      <x:c r="C353" s="373"/>
      <x:c r="D353" s="373"/>
      <x:c r="E353" s="373"/>
      <x:c r="F353" s="373"/>
      <x:c r="G353" s="373"/>
      <x:c r="H353" s="373"/>
      <x:c r="I353" s="373"/>
      <x:c r="J353" s="373"/>
      <x:c r="K353" s="373"/>
      <x:c r="L353" s="373"/>
      <x:c r="M353" s="373"/>
      <x:c r="N353" s="373"/>
      <x:c r="O353" s="373"/>
      <x:c r="P353" s="373"/>
      <x:c r="Q353" s="373"/>
      <x:c r="R353" s="373"/>
      <x:c r="S353" s="373"/>
      <x:c r="T353" s="373"/>
      <x:c r="U353" s="373"/>
      <x:c r="V353" s="373"/>
      <x:c r="W353" s="373"/>
      <x:c r="X353" s="373"/>
      <x:c r="Y353" s="373"/>
      <x:c r="Z353" s="373"/>
    </x:row>
    <x:row r="354">
      <x:c r="A354" s="373"/>
      <x:c r="B354" s="373"/>
      <x:c r="C354" s="373"/>
      <x:c r="D354" s="373"/>
      <x:c r="E354" s="373"/>
      <x:c r="F354" s="373"/>
      <x:c r="G354" s="373"/>
      <x:c r="H354" s="373"/>
      <x:c r="I354" s="373"/>
      <x:c r="J354" s="373"/>
      <x:c r="K354" s="373"/>
      <x:c r="L354" s="373"/>
      <x:c r="M354" s="373"/>
      <x:c r="N354" s="373"/>
      <x:c r="O354" s="373"/>
      <x:c r="P354" s="373"/>
      <x:c r="Q354" s="373"/>
      <x:c r="R354" s="373"/>
      <x:c r="S354" s="373"/>
      <x:c r="T354" s="373"/>
      <x:c r="U354" s="373"/>
      <x:c r="V354" s="373"/>
      <x:c r="W354" s="373"/>
      <x:c r="X354" s="373"/>
      <x:c r="Y354" s="373"/>
      <x:c r="Z354" s="373"/>
    </x:row>
    <x:row r="355">
      <x:c r="A355" s="373"/>
      <x:c r="B355" s="373"/>
      <x:c r="C355" s="373"/>
      <x:c r="D355" s="373"/>
      <x:c r="E355" s="373"/>
      <x:c r="F355" s="373"/>
      <x:c r="G355" s="373"/>
      <x:c r="H355" s="373"/>
      <x:c r="I355" s="373"/>
      <x:c r="J355" s="373"/>
      <x:c r="K355" s="373"/>
      <x:c r="L355" s="373"/>
      <x:c r="M355" s="373"/>
      <x:c r="N355" s="373"/>
      <x:c r="O355" s="373"/>
      <x:c r="P355" s="373"/>
      <x:c r="Q355" s="373"/>
      <x:c r="R355" s="373"/>
      <x:c r="S355" s="373"/>
      <x:c r="T355" s="373"/>
      <x:c r="U355" s="373"/>
      <x:c r="V355" s="373"/>
      <x:c r="W355" s="373"/>
      <x:c r="X355" s="373"/>
      <x:c r="Y355" s="373"/>
      <x:c r="Z355" s="373"/>
    </x:row>
    <x:row r="356">
      <x:c r="A356" s="373"/>
      <x:c r="B356" s="373"/>
      <x:c r="C356" s="373"/>
      <x:c r="D356" s="373"/>
      <x:c r="E356" s="373"/>
      <x:c r="F356" s="373"/>
      <x:c r="G356" s="373"/>
      <x:c r="H356" s="373"/>
      <x:c r="I356" s="373"/>
      <x:c r="J356" s="373"/>
      <x:c r="K356" s="373"/>
      <x:c r="L356" s="373"/>
      <x:c r="M356" s="373"/>
      <x:c r="N356" s="373"/>
      <x:c r="O356" s="373"/>
      <x:c r="P356" s="373"/>
      <x:c r="Q356" s="373"/>
      <x:c r="R356" s="373"/>
      <x:c r="S356" s="373"/>
      <x:c r="T356" s="373"/>
      <x:c r="U356" s="373"/>
      <x:c r="V356" s="373"/>
      <x:c r="W356" s="373"/>
      <x:c r="X356" s="373"/>
      <x:c r="Y356" s="373"/>
      <x:c r="Z356" s="373"/>
    </x:row>
    <x:row r="357">
      <x:c r="A357" s="373"/>
      <x:c r="B357" s="373"/>
      <x:c r="C357" s="373"/>
      <x:c r="D357" s="373"/>
      <x:c r="E357" s="373"/>
      <x:c r="F357" s="373"/>
      <x:c r="G357" s="373"/>
      <x:c r="H357" s="373"/>
      <x:c r="I357" s="373"/>
      <x:c r="J357" s="373"/>
      <x:c r="K357" s="373"/>
      <x:c r="L357" s="373"/>
      <x:c r="M357" s="373"/>
      <x:c r="N357" s="373"/>
      <x:c r="O357" s="373"/>
      <x:c r="P357" s="373"/>
      <x:c r="Q357" s="373"/>
      <x:c r="R357" s="373"/>
      <x:c r="S357" s="373"/>
      <x:c r="T357" s="373"/>
      <x:c r="U357" s="373"/>
      <x:c r="V357" s="373"/>
      <x:c r="W357" s="373"/>
      <x:c r="X357" s="373"/>
      <x:c r="Y357" s="373"/>
      <x:c r="Z357" s="373"/>
    </x:row>
    <x:row r="358">
      <x:c r="A358" s="373"/>
      <x:c r="B358" s="373"/>
      <x:c r="C358" s="373"/>
      <x:c r="D358" s="373"/>
      <x:c r="E358" s="373"/>
      <x:c r="F358" s="373"/>
      <x:c r="G358" s="373"/>
      <x:c r="H358" s="373"/>
      <x:c r="I358" s="373"/>
      <x:c r="J358" s="373"/>
      <x:c r="K358" s="373"/>
      <x:c r="L358" s="373"/>
      <x:c r="M358" s="373"/>
      <x:c r="N358" s="373"/>
      <x:c r="O358" s="373"/>
      <x:c r="P358" s="373"/>
      <x:c r="Q358" s="373"/>
      <x:c r="R358" s="373"/>
      <x:c r="S358" s="373"/>
      <x:c r="T358" s="373"/>
      <x:c r="U358" s="373"/>
      <x:c r="V358" s="373"/>
      <x:c r="W358" s="373"/>
      <x:c r="X358" s="373"/>
      <x:c r="Y358" s="373"/>
      <x:c r="Z358" s="373"/>
    </x:row>
    <x:row r="359">
      <x:c r="A359" s="373"/>
      <x:c r="B359" s="373"/>
      <x:c r="C359" s="373"/>
      <x:c r="D359" s="373"/>
      <x:c r="E359" s="373"/>
      <x:c r="F359" s="373"/>
      <x:c r="G359" s="373"/>
      <x:c r="H359" s="373"/>
      <x:c r="I359" s="373"/>
      <x:c r="J359" s="373"/>
      <x:c r="K359" s="373"/>
      <x:c r="L359" s="373"/>
      <x:c r="M359" s="373"/>
      <x:c r="N359" s="373"/>
      <x:c r="O359" s="373"/>
      <x:c r="P359" s="373"/>
      <x:c r="Q359" s="373"/>
      <x:c r="R359" s="373"/>
      <x:c r="S359" s="373"/>
      <x:c r="T359" s="373"/>
      <x:c r="U359" s="373"/>
      <x:c r="V359" s="373"/>
      <x:c r="W359" s="373"/>
      <x:c r="X359" s="373"/>
      <x:c r="Y359" s="373"/>
      <x:c r="Z359" s="373"/>
    </x:row>
    <x:row r="360">
      <x:c r="A360" s="373"/>
      <x:c r="B360" s="373"/>
      <x:c r="C360" s="373"/>
      <x:c r="D360" s="373"/>
      <x:c r="E360" s="373"/>
      <x:c r="F360" s="373"/>
      <x:c r="G360" s="373"/>
      <x:c r="H360" s="373"/>
      <x:c r="I360" s="373"/>
      <x:c r="J360" s="373"/>
      <x:c r="K360" s="373"/>
      <x:c r="L360" s="373"/>
      <x:c r="M360" s="373"/>
      <x:c r="N360" s="373"/>
      <x:c r="O360" s="373"/>
      <x:c r="P360" s="373"/>
      <x:c r="Q360" s="373"/>
      <x:c r="R360" s="373"/>
      <x:c r="S360" s="373"/>
      <x:c r="T360" s="373"/>
      <x:c r="U360" s="373"/>
      <x:c r="V360" s="373"/>
      <x:c r="W360" s="373"/>
      <x:c r="X360" s="373"/>
      <x:c r="Y360" s="373"/>
      <x:c r="Z360" s="373"/>
    </x:row>
    <x:row r="361">
      <x:c r="A361" s="373"/>
      <x:c r="B361" s="373"/>
      <x:c r="C361" s="373"/>
      <x:c r="D361" s="373"/>
      <x:c r="E361" s="373"/>
      <x:c r="F361" s="373"/>
      <x:c r="G361" s="373"/>
      <x:c r="H361" s="373"/>
      <x:c r="I361" s="373"/>
      <x:c r="J361" s="373"/>
      <x:c r="K361" s="373"/>
      <x:c r="L361" s="373"/>
      <x:c r="M361" s="373"/>
      <x:c r="N361" s="373"/>
      <x:c r="O361" s="373"/>
      <x:c r="P361" s="373"/>
      <x:c r="Q361" s="373"/>
      <x:c r="R361" s="373"/>
      <x:c r="S361" s="373"/>
      <x:c r="T361" s="373"/>
      <x:c r="U361" s="373"/>
      <x:c r="V361" s="373"/>
      <x:c r="W361" s="373"/>
      <x:c r="X361" s="373"/>
      <x:c r="Y361" s="373"/>
      <x:c r="Z361" s="373"/>
    </x:row>
    <x:row r="362">
      <x:c r="A362" s="373"/>
      <x:c r="B362" s="373"/>
      <x:c r="C362" s="373"/>
      <x:c r="D362" s="373"/>
      <x:c r="E362" s="373"/>
      <x:c r="F362" s="373"/>
      <x:c r="G362" s="373"/>
      <x:c r="H362" s="373"/>
      <x:c r="I362" s="373"/>
      <x:c r="J362" s="373"/>
      <x:c r="K362" s="373"/>
      <x:c r="L362" s="373"/>
      <x:c r="M362" s="373"/>
      <x:c r="N362" s="373"/>
      <x:c r="O362" s="373"/>
      <x:c r="P362" s="373"/>
      <x:c r="Q362" s="373"/>
      <x:c r="R362" s="373"/>
      <x:c r="S362" s="373"/>
      <x:c r="T362" s="373"/>
      <x:c r="U362" s="373"/>
      <x:c r="V362" s="373"/>
      <x:c r="W362" s="373"/>
      <x:c r="X362" s="373"/>
      <x:c r="Y362" s="373"/>
      <x:c r="Z362" s="373"/>
    </x:row>
    <x:row r="363">
      <x:c r="A363" s="373"/>
      <x:c r="B363" s="373"/>
      <x:c r="C363" s="373"/>
      <x:c r="D363" s="373"/>
      <x:c r="E363" s="373"/>
      <x:c r="F363" s="373"/>
      <x:c r="G363" s="373"/>
      <x:c r="H363" s="373"/>
      <x:c r="I363" s="373"/>
      <x:c r="J363" s="373"/>
      <x:c r="K363" s="373"/>
      <x:c r="L363" s="373"/>
      <x:c r="M363" s="373"/>
      <x:c r="N363" s="373"/>
      <x:c r="O363" s="373"/>
      <x:c r="P363" s="373"/>
      <x:c r="Q363" s="373"/>
      <x:c r="R363" s="373"/>
      <x:c r="S363" s="373"/>
      <x:c r="T363" s="373"/>
      <x:c r="U363" s="373"/>
      <x:c r="V363" s="373"/>
      <x:c r="W363" s="373"/>
      <x:c r="X363" s="373"/>
      <x:c r="Y363" s="373"/>
      <x:c r="Z363" s="373"/>
    </x:row>
    <x:row r="364">
      <x:c r="A364" s="373"/>
      <x:c r="B364" s="373"/>
      <x:c r="C364" s="373"/>
      <x:c r="D364" s="373"/>
      <x:c r="E364" s="373"/>
      <x:c r="F364" s="373"/>
      <x:c r="G364" s="373"/>
      <x:c r="H364" s="373"/>
      <x:c r="I364" s="373"/>
      <x:c r="J364" s="373"/>
      <x:c r="K364" s="373"/>
      <x:c r="L364" s="373"/>
      <x:c r="M364" s="373"/>
      <x:c r="N364" s="373"/>
      <x:c r="O364" s="373"/>
      <x:c r="P364" s="373"/>
      <x:c r="Q364" s="373"/>
      <x:c r="R364" s="373"/>
      <x:c r="S364" s="373"/>
      <x:c r="T364" s="373"/>
      <x:c r="U364" s="373"/>
      <x:c r="V364" s="373"/>
      <x:c r="W364" s="373"/>
      <x:c r="X364" s="373"/>
      <x:c r="Y364" s="373"/>
      <x:c r="Z364" s="373"/>
    </x:row>
    <x:row r="365">
      <x:c r="A365" s="373"/>
      <x:c r="B365" s="373"/>
      <x:c r="C365" s="373"/>
      <x:c r="D365" s="373"/>
      <x:c r="E365" s="373"/>
      <x:c r="F365" s="373"/>
      <x:c r="G365" s="373"/>
      <x:c r="H365" s="373"/>
      <x:c r="I365" s="373"/>
      <x:c r="J365" s="373"/>
      <x:c r="K365" s="373"/>
      <x:c r="L365" s="373"/>
      <x:c r="M365" s="373"/>
      <x:c r="N365" s="373"/>
      <x:c r="O365" s="373"/>
      <x:c r="P365" s="373"/>
      <x:c r="Q365" s="373"/>
      <x:c r="R365" s="373"/>
      <x:c r="S365" s="373"/>
      <x:c r="T365" s="373"/>
      <x:c r="U365" s="373"/>
      <x:c r="V365" s="373"/>
      <x:c r="W365" s="373"/>
      <x:c r="X365" s="373"/>
      <x:c r="Y365" s="373"/>
      <x:c r="Z365" s="373"/>
    </x:row>
    <x:row r="366">
      <x:c r="A366" s="373"/>
      <x:c r="B366" s="373"/>
      <x:c r="C366" s="373"/>
      <x:c r="D366" s="373"/>
      <x:c r="E366" s="373"/>
      <x:c r="F366" s="373"/>
      <x:c r="G366" s="373"/>
      <x:c r="H366" s="373"/>
      <x:c r="I366" s="373"/>
      <x:c r="J366" s="373"/>
      <x:c r="K366" s="373"/>
      <x:c r="L366" s="373"/>
      <x:c r="M366" s="373"/>
      <x:c r="N366" s="373"/>
      <x:c r="O366" s="373"/>
      <x:c r="P366" s="373"/>
      <x:c r="Q366" s="373"/>
      <x:c r="R366" s="373"/>
      <x:c r="S366" s="373"/>
      <x:c r="T366" s="373"/>
      <x:c r="U366" s="373"/>
      <x:c r="V366" s="373"/>
      <x:c r="W366" s="373"/>
      <x:c r="X366" s="373"/>
      <x:c r="Y366" s="373"/>
      <x:c r="Z366" s="373"/>
    </x:row>
    <x:row r="367">
      <x:c r="A367" s="373"/>
      <x:c r="B367" s="373"/>
      <x:c r="C367" s="373"/>
      <x:c r="D367" s="373"/>
      <x:c r="E367" s="373"/>
      <x:c r="F367" s="373"/>
      <x:c r="G367" s="373"/>
      <x:c r="H367" s="373"/>
      <x:c r="I367" s="373"/>
      <x:c r="J367" s="373"/>
      <x:c r="K367" s="373"/>
      <x:c r="L367" s="373"/>
      <x:c r="M367" s="373"/>
      <x:c r="N367" s="373"/>
      <x:c r="O367" s="373"/>
      <x:c r="P367" s="373"/>
      <x:c r="Q367" s="373"/>
      <x:c r="R367" s="373"/>
      <x:c r="S367" s="373"/>
      <x:c r="T367" s="373"/>
      <x:c r="U367" s="373"/>
      <x:c r="V367" s="373"/>
      <x:c r="W367" s="373"/>
      <x:c r="X367" s="373"/>
      <x:c r="Y367" s="373"/>
      <x:c r="Z367" s="373"/>
    </x:row>
    <x:row r="368">
      <x:c r="A368" s="373"/>
      <x:c r="B368" s="373"/>
      <x:c r="C368" s="373"/>
      <x:c r="D368" s="373"/>
      <x:c r="E368" s="373"/>
      <x:c r="F368" s="373"/>
      <x:c r="G368" s="373"/>
      <x:c r="H368" s="373"/>
      <x:c r="I368" s="373"/>
      <x:c r="J368" s="373"/>
      <x:c r="K368" s="373"/>
      <x:c r="L368" s="373"/>
      <x:c r="M368" s="373"/>
      <x:c r="N368" s="373"/>
      <x:c r="O368" s="373"/>
      <x:c r="P368" s="373"/>
      <x:c r="Q368" s="373"/>
      <x:c r="R368" s="373"/>
      <x:c r="S368" s="373"/>
      <x:c r="T368" s="373"/>
      <x:c r="U368" s="373"/>
      <x:c r="V368" s="373"/>
      <x:c r="W368" s="373"/>
      <x:c r="X368" s="373"/>
      <x:c r="Y368" s="373"/>
      <x:c r="Z368" s="373"/>
    </x:row>
    <x:row r="369">
      <x:c r="A369" s="373"/>
      <x:c r="B369" s="373"/>
      <x:c r="C369" s="373"/>
      <x:c r="D369" s="373"/>
      <x:c r="E369" s="373"/>
      <x:c r="F369" s="373"/>
      <x:c r="G369" s="373"/>
      <x:c r="H369" s="373"/>
      <x:c r="I369" s="373"/>
      <x:c r="J369" s="373"/>
      <x:c r="K369" s="373"/>
      <x:c r="L369" s="373"/>
      <x:c r="M369" s="373"/>
      <x:c r="N369" s="373"/>
      <x:c r="O369" s="373"/>
      <x:c r="P369" s="373"/>
      <x:c r="Q369" s="373"/>
      <x:c r="R369" s="373"/>
      <x:c r="S369" s="373"/>
      <x:c r="T369" s="373"/>
      <x:c r="U369" s="373"/>
      <x:c r="V369" s="373"/>
      <x:c r="W369" s="373"/>
      <x:c r="X369" s="373"/>
      <x:c r="Y369" s="373"/>
      <x:c r="Z369" s="373"/>
    </x:row>
    <x:row r="370">
      <x:c r="A370" s="373"/>
      <x:c r="B370" s="373"/>
      <x:c r="C370" s="373"/>
      <x:c r="D370" s="373"/>
      <x:c r="E370" s="373"/>
      <x:c r="F370" s="373"/>
      <x:c r="G370" s="373"/>
      <x:c r="H370" s="373"/>
      <x:c r="I370" s="373"/>
      <x:c r="J370" s="373"/>
      <x:c r="K370" s="373"/>
      <x:c r="L370" s="373"/>
      <x:c r="M370" s="373"/>
      <x:c r="N370" s="373"/>
      <x:c r="O370" s="373"/>
      <x:c r="P370" s="373"/>
      <x:c r="Q370" s="373"/>
      <x:c r="R370" s="373"/>
      <x:c r="S370" s="373"/>
      <x:c r="T370" s="373"/>
      <x:c r="U370" s="373"/>
      <x:c r="V370" s="373"/>
      <x:c r="W370" s="373"/>
      <x:c r="X370" s="373"/>
      <x:c r="Y370" s="373"/>
      <x:c r="Z370" s="373"/>
    </x:row>
    <x:row r="371">
      <x:c r="A371" s="373"/>
      <x:c r="B371" s="373"/>
      <x:c r="C371" s="373"/>
      <x:c r="D371" s="373"/>
      <x:c r="E371" s="373"/>
      <x:c r="F371" s="373"/>
      <x:c r="G371" s="373"/>
      <x:c r="H371" s="373"/>
      <x:c r="I371" s="373"/>
      <x:c r="J371" s="373"/>
      <x:c r="K371" s="373"/>
      <x:c r="L371" s="373"/>
      <x:c r="M371" s="373"/>
      <x:c r="N371" s="373"/>
      <x:c r="O371" s="373"/>
      <x:c r="P371" s="373"/>
      <x:c r="Q371" s="373"/>
      <x:c r="R371" s="373"/>
      <x:c r="S371" s="373"/>
      <x:c r="T371" s="373"/>
      <x:c r="U371" s="373"/>
      <x:c r="V371" s="373"/>
      <x:c r="W371" s="373"/>
      <x:c r="X371" s="373"/>
      <x:c r="Y371" s="373"/>
      <x:c r="Z371" s="373"/>
    </x:row>
    <x:row r="372">
      <x:c r="A372" s="373"/>
      <x:c r="B372" s="373"/>
      <x:c r="C372" s="373"/>
      <x:c r="D372" s="373"/>
      <x:c r="E372" s="373"/>
      <x:c r="F372" s="373"/>
      <x:c r="G372" s="373"/>
      <x:c r="H372" s="373"/>
      <x:c r="I372" s="373"/>
      <x:c r="J372" s="373"/>
      <x:c r="K372" s="373"/>
      <x:c r="L372" s="373"/>
      <x:c r="M372" s="373"/>
      <x:c r="N372" s="373"/>
      <x:c r="O372" s="373"/>
      <x:c r="P372" s="373"/>
      <x:c r="Q372" s="373"/>
      <x:c r="R372" s="373"/>
      <x:c r="S372" s="373"/>
      <x:c r="T372" s="373"/>
      <x:c r="U372" s="373"/>
      <x:c r="V372" s="373"/>
      <x:c r="W372" s="373"/>
      <x:c r="X372" s="373"/>
      <x:c r="Y372" s="373"/>
      <x:c r="Z372" s="373"/>
    </x:row>
    <x:row r="373">
      <x:c r="A373" s="373"/>
      <x:c r="B373" s="373"/>
      <x:c r="C373" s="373"/>
      <x:c r="D373" s="373"/>
      <x:c r="E373" s="373"/>
      <x:c r="F373" s="373"/>
      <x:c r="G373" s="373"/>
      <x:c r="H373" s="373"/>
      <x:c r="I373" s="373"/>
      <x:c r="J373" s="373"/>
      <x:c r="K373" s="373"/>
      <x:c r="L373" s="373"/>
      <x:c r="M373" s="373"/>
      <x:c r="N373" s="373"/>
      <x:c r="O373" s="373"/>
      <x:c r="P373" s="373"/>
      <x:c r="Q373" s="373"/>
      <x:c r="R373" s="373"/>
      <x:c r="S373" s="373"/>
      <x:c r="T373" s="373"/>
      <x:c r="U373" s="373"/>
      <x:c r="V373" s="373"/>
      <x:c r="W373" s="373"/>
      <x:c r="X373" s="373"/>
      <x:c r="Y373" s="373"/>
      <x:c r="Z373" s="373"/>
    </x:row>
    <x:row r="374">
      <x:c r="A374" s="373"/>
      <x:c r="B374" s="373"/>
      <x:c r="C374" s="373"/>
      <x:c r="D374" s="373"/>
      <x:c r="E374" s="373"/>
      <x:c r="F374" s="373"/>
      <x:c r="G374" s="373"/>
      <x:c r="H374" s="373"/>
      <x:c r="I374" s="373"/>
      <x:c r="J374" s="373"/>
      <x:c r="K374" s="373"/>
      <x:c r="L374" s="373"/>
      <x:c r="M374" s="373"/>
      <x:c r="N374" s="373"/>
      <x:c r="O374" s="373"/>
      <x:c r="P374" s="373"/>
      <x:c r="Q374" s="373"/>
      <x:c r="R374" s="373"/>
      <x:c r="S374" s="373"/>
      <x:c r="T374" s="373"/>
      <x:c r="U374" s="373"/>
      <x:c r="V374" s="373"/>
      <x:c r="W374" s="373"/>
      <x:c r="X374" s="373"/>
      <x:c r="Y374" s="373"/>
      <x:c r="Z374" s="373"/>
    </x:row>
    <x:row r="375">
      <x:c r="A375" s="373"/>
      <x:c r="B375" s="373"/>
      <x:c r="C375" s="373"/>
      <x:c r="D375" s="373"/>
      <x:c r="E375" s="373"/>
      <x:c r="F375" s="373"/>
      <x:c r="G375" s="373"/>
      <x:c r="H375" s="373"/>
      <x:c r="I375" s="373"/>
      <x:c r="J375" s="373"/>
      <x:c r="K375" s="373"/>
      <x:c r="L375" s="373"/>
      <x:c r="M375" s="373"/>
      <x:c r="N375" s="373"/>
      <x:c r="O375" s="373"/>
      <x:c r="P375" s="373"/>
      <x:c r="Q375" s="373"/>
      <x:c r="R375" s="373"/>
      <x:c r="S375" s="373"/>
      <x:c r="T375" s="373"/>
      <x:c r="U375" s="373"/>
      <x:c r="V375" s="373"/>
      <x:c r="W375" s="373"/>
      <x:c r="X375" s="373"/>
      <x:c r="Y375" s="373"/>
      <x:c r="Z375" s="373"/>
    </x:row>
    <x:row r="376">
      <x:c r="A376" s="373"/>
      <x:c r="B376" s="373"/>
      <x:c r="C376" s="373"/>
      <x:c r="D376" s="373"/>
      <x:c r="E376" s="373"/>
      <x:c r="F376" s="373"/>
      <x:c r="G376" s="373"/>
      <x:c r="H376" s="373"/>
      <x:c r="I376" s="373"/>
      <x:c r="J376" s="373"/>
      <x:c r="K376" s="373"/>
      <x:c r="L376" s="373"/>
      <x:c r="M376" s="373"/>
      <x:c r="N376" s="373"/>
      <x:c r="O376" s="373"/>
      <x:c r="P376" s="373"/>
      <x:c r="Q376" s="373"/>
      <x:c r="R376" s="373"/>
      <x:c r="S376" s="373"/>
      <x:c r="T376" s="373"/>
      <x:c r="U376" s="373"/>
      <x:c r="V376" s="373"/>
      <x:c r="W376" s="373"/>
      <x:c r="X376" s="373"/>
      <x:c r="Y376" s="373"/>
      <x:c r="Z376" s="373"/>
    </x:row>
    <x:row r="377">
      <x:c r="A377" s="373"/>
      <x:c r="B377" s="373"/>
      <x:c r="C377" s="373"/>
      <x:c r="D377" s="373"/>
      <x:c r="E377" s="373"/>
      <x:c r="F377" s="373"/>
      <x:c r="G377" s="373"/>
      <x:c r="H377" s="373"/>
      <x:c r="I377" s="373"/>
      <x:c r="J377" s="373"/>
      <x:c r="K377" s="373"/>
      <x:c r="L377" s="373"/>
      <x:c r="M377" s="373"/>
      <x:c r="N377" s="373"/>
      <x:c r="O377" s="373"/>
      <x:c r="P377" s="373"/>
      <x:c r="Q377" s="373"/>
      <x:c r="R377" s="373"/>
      <x:c r="S377" s="373"/>
      <x:c r="T377" s="373"/>
      <x:c r="U377" s="373"/>
      <x:c r="V377" s="373"/>
      <x:c r="W377" s="373"/>
      <x:c r="X377" s="373"/>
      <x:c r="Y377" s="373"/>
      <x:c r="Z377" s="373"/>
    </x:row>
    <x:row r="378">
      <x:c r="A378" s="373"/>
      <x:c r="B378" s="373"/>
      <x:c r="C378" s="373"/>
      <x:c r="D378" s="373"/>
      <x:c r="E378" s="373"/>
      <x:c r="F378" s="373"/>
      <x:c r="G378" s="373"/>
      <x:c r="H378" s="373"/>
      <x:c r="I378" s="373"/>
      <x:c r="J378" s="373"/>
      <x:c r="K378" s="373"/>
      <x:c r="L378" s="373"/>
      <x:c r="M378" s="373"/>
      <x:c r="N378" s="373"/>
      <x:c r="O378" s="373"/>
      <x:c r="P378" s="373"/>
      <x:c r="Q378" s="373"/>
      <x:c r="R378" s="373"/>
      <x:c r="S378" s="373"/>
      <x:c r="T378" s="373"/>
      <x:c r="U378" s="373"/>
      <x:c r="V378" s="373"/>
      <x:c r="W378" s="373"/>
      <x:c r="X378" s="373"/>
      <x:c r="Y378" s="373"/>
      <x:c r="Z378" s="373"/>
    </x:row>
    <x:row r="379">
      <x:c r="A379" s="373"/>
      <x:c r="B379" s="373"/>
      <x:c r="C379" s="373"/>
      <x:c r="D379" s="373"/>
      <x:c r="E379" s="373"/>
      <x:c r="F379" s="373"/>
      <x:c r="G379" s="373"/>
      <x:c r="H379" s="373"/>
      <x:c r="I379" s="373"/>
      <x:c r="J379" s="373"/>
      <x:c r="K379" s="373"/>
      <x:c r="L379" s="373"/>
      <x:c r="M379" s="373"/>
      <x:c r="N379" s="373"/>
      <x:c r="O379" s="373"/>
      <x:c r="P379" s="373"/>
      <x:c r="Q379" s="373"/>
      <x:c r="R379" s="373"/>
      <x:c r="S379" s="373"/>
      <x:c r="T379" s="373"/>
      <x:c r="U379" s="373"/>
      <x:c r="V379" s="373"/>
      <x:c r="W379" s="373"/>
      <x:c r="X379" s="373"/>
      <x:c r="Y379" s="373"/>
      <x:c r="Z379" s="373"/>
    </x:row>
    <x:row r="380">
      <x:c r="A380" s="373"/>
      <x:c r="B380" s="373"/>
      <x:c r="C380" s="373"/>
      <x:c r="D380" s="373"/>
      <x:c r="E380" s="373"/>
      <x:c r="F380" s="373"/>
      <x:c r="G380" s="373"/>
      <x:c r="H380" s="373"/>
      <x:c r="I380" s="373"/>
      <x:c r="J380" s="373"/>
      <x:c r="K380" s="373"/>
      <x:c r="L380" s="373"/>
      <x:c r="M380" s="373"/>
      <x:c r="N380" s="373"/>
      <x:c r="O380" s="373"/>
      <x:c r="P380" s="373"/>
      <x:c r="Q380" s="373"/>
      <x:c r="R380" s="373"/>
      <x:c r="S380" s="373"/>
      <x:c r="T380" s="373"/>
      <x:c r="U380" s="373"/>
      <x:c r="V380" s="373"/>
      <x:c r="W380" s="373"/>
      <x:c r="X380" s="373"/>
      <x:c r="Y380" s="373"/>
      <x:c r="Z380" s="373"/>
    </x:row>
    <x:row r="381">
      <x:c r="A381" s="373"/>
      <x:c r="B381" s="373"/>
      <x:c r="C381" s="373"/>
      <x:c r="D381" s="373"/>
      <x:c r="E381" s="373"/>
      <x:c r="F381" s="373"/>
      <x:c r="G381" s="373"/>
      <x:c r="H381" s="373"/>
      <x:c r="I381" s="373"/>
      <x:c r="J381" s="373"/>
      <x:c r="K381" s="373"/>
      <x:c r="L381" s="373"/>
      <x:c r="M381" s="373"/>
      <x:c r="N381" s="373"/>
      <x:c r="O381" s="373"/>
      <x:c r="P381" s="373"/>
      <x:c r="Q381" s="373"/>
      <x:c r="R381" s="373"/>
      <x:c r="S381" s="373"/>
      <x:c r="T381" s="373"/>
      <x:c r="U381" s="373"/>
      <x:c r="V381" s="373"/>
      <x:c r="W381" s="373"/>
      <x:c r="X381" s="373"/>
      <x:c r="Y381" s="373"/>
      <x:c r="Z381" s="373"/>
    </x:row>
    <x:row r="382">
      <x:c r="A382" s="373"/>
      <x:c r="B382" s="373"/>
      <x:c r="C382" s="373"/>
      <x:c r="D382" s="373"/>
      <x:c r="E382" s="373"/>
      <x:c r="F382" s="373"/>
      <x:c r="G382" s="373"/>
      <x:c r="H382" s="373"/>
      <x:c r="I382" s="373"/>
      <x:c r="J382" s="373"/>
      <x:c r="K382" s="373"/>
      <x:c r="L382" s="373"/>
      <x:c r="M382" s="373"/>
      <x:c r="N382" s="373"/>
      <x:c r="O382" s="373"/>
      <x:c r="P382" s="373"/>
      <x:c r="Q382" s="373"/>
      <x:c r="R382" s="373"/>
      <x:c r="S382" s="373"/>
      <x:c r="T382" s="373"/>
      <x:c r="U382" s="373"/>
      <x:c r="V382" s="373"/>
      <x:c r="W382" s="373"/>
      <x:c r="X382" s="373"/>
      <x:c r="Y382" s="373"/>
      <x:c r="Z382" s="373"/>
    </x:row>
    <x:row r="383">
      <x:c r="A383" s="373"/>
      <x:c r="B383" s="373"/>
      <x:c r="C383" s="373"/>
      <x:c r="D383" s="373"/>
      <x:c r="E383" s="373"/>
      <x:c r="F383" s="373"/>
      <x:c r="G383" s="373"/>
      <x:c r="H383" s="373"/>
      <x:c r="I383" s="373"/>
      <x:c r="J383" s="373"/>
      <x:c r="K383" s="373"/>
      <x:c r="L383" s="373"/>
      <x:c r="M383" s="373"/>
      <x:c r="N383" s="373"/>
      <x:c r="O383" s="373"/>
      <x:c r="P383" s="373"/>
      <x:c r="Q383" s="373"/>
      <x:c r="R383" s="373"/>
      <x:c r="S383" s="373"/>
      <x:c r="T383" s="373"/>
      <x:c r="U383" s="373"/>
      <x:c r="V383" s="373"/>
      <x:c r="W383" s="373"/>
      <x:c r="X383" s="373"/>
      <x:c r="Y383" s="373"/>
      <x:c r="Z383" s="373"/>
    </x:row>
    <x:row r="384">
      <x:c r="A384" s="373"/>
      <x:c r="B384" s="373"/>
      <x:c r="C384" s="373"/>
      <x:c r="D384" s="373"/>
      <x:c r="E384" s="373"/>
      <x:c r="F384" s="373"/>
      <x:c r="G384" s="373"/>
      <x:c r="H384" s="373"/>
      <x:c r="I384" s="373"/>
      <x:c r="J384" s="373"/>
      <x:c r="K384" s="373"/>
      <x:c r="L384" s="373"/>
      <x:c r="M384" s="373"/>
      <x:c r="N384" s="373"/>
      <x:c r="O384" s="373"/>
      <x:c r="P384" s="373"/>
      <x:c r="Q384" s="373"/>
      <x:c r="R384" s="373"/>
      <x:c r="S384" s="373"/>
      <x:c r="T384" s="373"/>
      <x:c r="U384" s="373"/>
      <x:c r="V384" s="373"/>
      <x:c r="W384" s="373"/>
      <x:c r="X384" s="373"/>
      <x:c r="Y384" s="373"/>
      <x:c r="Z384" s="373"/>
    </x:row>
    <x:row r="385">
      <x:c r="A385" s="373"/>
      <x:c r="B385" s="373"/>
      <x:c r="C385" s="373"/>
      <x:c r="D385" s="373"/>
      <x:c r="E385" s="373"/>
      <x:c r="F385" s="373"/>
      <x:c r="G385" s="373"/>
      <x:c r="H385" s="373"/>
      <x:c r="I385" s="373"/>
      <x:c r="J385" s="373"/>
      <x:c r="K385" s="373"/>
      <x:c r="L385" s="373"/>
      <x:c r="M385" s="373"/>
      <x:c r="N385" s="373"/>
      <x:c r="O385" s="373"/>
      <x:c r="P385" s="373"/>
      <x:c r="Q385" s="373"/>
      <x:c r="R385" s="373"/>
      <x:c r="S385" s="373"/>
      <x:c r="T385" s="373"/>
      <x:c r="U385" s="373"/>
      <x:c r="V385" s="373"/>
      <x:c r="W385" s="373"/>
      <x:c r="X385" s="373"/>
      <x:c r="Y385" s="373"/>
      <x:c r="Z385" s="373"/>
    </x:row>
    <x:row r="386">
      <x:c r="A386" s="373"/>
      <x:c r="B386" s="373"/>
      <x:c r="C386" s="373"/>
      <x:c r="D386" s="373"/>
      <x:c r="E386" s="373"/>
      <x:c r="F386" s="373"/>
      <x:c r="G386" s="373"/>
      <x:c r="H386" s="373"/>
      <x:c r="I386" s="373"/>
      <x:c r="J386" s="373"/>
      <x:c r="K386" s="373"/>
      <x:c r="L386" s="373"/>
      <x:c r="M386" s="373"/>
      <x:c r="N386" s="373"/>
      <x:c r="O386" s="373"/>
      <x:c r="P386" s="373"/>
      <x:c r="Q386" s="373"/>
      <x:c r="R386" s="373"/>
      <x:c r="S386" s="373"/>
      <x:c r="T386" s="373"/>
      <x:c r="U386" s="373"/>
      <x:c r="V386" s="373"/>
      <x:c r="W386" s="373"/>
      <x:c r="X386" s="373"/>
      <x:c r="Y386" s="373"/>
      <x:c r="Z386" s="373"/>
    </x:row>
    <x:row r="387">
      <x:c r="A387" s="373"/>
      <x:c r="B387" s="373"/>
      <x:c r="C387" s="373"/>
      <x:c r="D387" s="373"/>
      <x:c r="E387" s="373"/>
      <x:c r="F387" s="373"/>
      <x:c r="G387" s="373"/>
      <x:c r="H387" s="373"/>
      <x:c r="I387" s="373"/>
      <x:c r="J387" s="373"/>
      <x:c r="K387" s="373"/>
      <x:c r="L387" s="373"/>
      <x:c r="M387" s="373"/>
      <x:c r="N387" s="373"/>
      <x:c r="O387" s="373"/>
      <x:c r="P387" s="373"/>
      <x:c r="Q387" s="373"/>
      <x:c r="R387" s="373"/>
      <x:c r="S387" s="373"/>
      <x:c r="T387" s="373"/>
      <x:c r="U387" s="373"/>
      <x:c r="V387" s="373"/>
      <x:c r="W387" s="373"/>
      <x:c r="X387" s="373"/>
      <x:c r="Y387" s="373"/>
      <x:c r="Z387" s="373"/>
    </x:row>
    <x:row r="388">
      <x:c r="A388" s="373"/>
      <x:c r="B388" s="373"/>
      <x:c r="C388" s="373"/>
      <x:c r="D388" s="373"/>
      <x:c r="E388" s="373"/>
      <x:c r="F388" s="373"/>
      <x:c r="G388" s="373"/>
      <x:c r="H388" s="373"/>
      <x:c r="I388" s="373"/>
      <x:c r="J388" s="373"/>
      <x:c r="K388" s="373"/>
      <x:c r="L388" s="373"/>
      <x:c r="M388" s="373"/>
      <x:c r="N388" s="373"/>
      <x:c r="O388" s="373"/>
      <x:c r="P388" s="373"/>
      <x:c r="Q388" s="373"/>
      <x:c r="R388" s="373"/>
      <x:c r="S388" s="373"/>
      <x:c r="T388" s="373"/>
      <x:c r="U388" s="373"/>
      <x:c r="V388" s="373"/>
      <x:c r="W388" s="373"/>
      <x:c r="X388" s="373"/>
      <x:c r="Y388" s="373"/>
      <x:c r="Z388" s="373"/>
    </x:row>
    <x:row r="389">
      <x:c r="A389" s="373"/>
      <x:c r="B389" s="373"/>
      <x:c r="C389" s="373"/>
      <x:c r="D389" s="373"/>
      <x:c r="E389" s="373"/>
      <x:c r="F389" s="373"/>
      <x:c r="G389" s="373"/>
      <x:c r="H389" s="373"/>
      <x:c r="I389" s="373"/>
      <x:c r="J389" s="373"/>
      <x:c r="K389" s="373"/>
      <x:c r="L389" s="373"/>
      <x:c r="M389" s="373"/>
      <x:c r="N389" s="373"/>
      <x:c r="O389" s="373"/>
      <x:c r="P389" s="373"/>
      <x:c r="Q389" s="373"/>
      <x:c r="R389" s="373"/>
      <x:c r="S389" s="373"/>
      <x:c r="T389" s="373"/>
      <x:c r="U389" s="373"/>
      <x:c r="V389" s="373"/>
      <x:c r="W389" s="373"/>
      <x:c r="X389" s="373"/>
      <x:c r="Y389" s="373"/>
      <x:c r="Z389" s="373"/>
    </x:row>
    <x:row r="390">
      <x:c r="A390" s="373"/>
      <x:c r="B390" s="373"/>
      <x:c r="C390" s="373"/>
      <x:c r="D390" s="373"/>
      <x:c r="E390" s="373"/>
      <x:c r="F390" s="373"/>
      <x:c r="G390" s="373"/>
      <x:c r="H390" s="373"/>
      <x:c r="I390" s="373"/>
      <x:c r="J390" s="373"/>
      <x:c r="K390" s="373"/>
      <x:c r="L390" s="373"/>
      <x:c r="M390" s="373"/>
      <x:c r="N390" s="373"/>
      <x:c r="O390" s="373"/>
      <x:c r="P390" s="373"/>
      <x:c r="Q390" s="373"/>
      <x:c r="R390" s="373"/>
      <x:c r="S390" s="373"/>
      <x:c r="T390" s="373"/>
      <x:c r="U390" s="373"/>
      <x:c r="V390" s="373"/>
      <x:c r="W390" s="373"/>
      <x:c r="X390" s="373"/>
      <x:c r="Y390" s="373"/>
      <x:c r="Z390" s="373"/>
    </x:row>
    <x:row r="391">
      <x:c r="A391" s="373"/>
      <x:c r="B391" s="373"/>
      <x:c r="C391" s="373"/>
      <x:c r="D391" s="373"/>
      <x:c r="E391" s="373"/>
      <x:c r="F391" s="373"/>
      <x:c r="G391" s="373"/>
      <x:c r="H391" s="373"/>
      <x:c r="I391" s="373"/>
      <x:c r="J391" s="373"/>
      <x:c r="K391" s="373"/>
      <x:c r="L391" s="373"/>
      <x:c r="M391" s="373"/>
      <x:c r="N391" s="373"/>
      <x:c r="O391" s="373"/>
      <x:c r="P391" s="373"/>
      <x:c r="Q391" s="373"/>
      <x:c r="R391" s="373"/>
      <x:c r="S391" s="373"/>
      <x:c r="T391" s="373"/>
      <x:c r="U391" s="373"/>
      <x:c r="V391" s="373"/>
      <x:c r="W391" s="373"/>
      <x:c r="X391" s="373"/>
      <x:c r="Y391" s="373"/>
      <x:c r="Z391" s="373"/>
    </x:row>
    <x:row r="392">
      <x:c r="A392" s="373"/>
      <x:c r="B392" s="373"/>
      <x:c r="C392" s="373"/>
      <x:c r="D392" s="373"/>
      <x:c r="E392" s="373"/>
      <x:c r="F392" s="373"/>
      <x:c r="G392" s="373"/>
      <x:c r="H392" s="373"/>
      <x:c r="I392" s="373"/>
      <x:c r="J392" s="373"/>
      <x:c r="K392" s="373"/>
      <x:c r="L392" s="373"/>
      <x:c r="M392" s="373"/>
      <x:c r="N392" s="373"/>
      <x:c r="O392" s="373"/>
      <x:c r="P392" s="373"/>
      <x:c r="Q392" s="373"/>
      <x:c r="R392" s="373"/>
      <x:c r="S392" s="373"/>
      <x:c r="T392" s="373"/>
      <x:c r="U392" s="373"/>
      <x:c r="V392" s="373"/>
      <x:c r="W392" s="373"/>
      <x:c r="X392" s="373"/>
      <x:c r="Y392" s="373"/>
      <x:c r="Z392" s="373"/>
    </x:row>
    <x:row r="393">
      <x:c r="A393" s="373"/>
      <x:c r="B393" s="373"/>
      <x:c r="C393" s="373"/>
      <x:c r="D393" s="373"/>
      <x:c r="E393" s="373"/>
      <x:c r="F393" s="373"/>
      <x:c r="G393" s="373"/>
      <x:c r="H393" s="373"/>
      <x:c r="I393" s="373"/>
      <x:c r="J393" s="373"/>
      <x:c r="K393" s="373"/>
      <x:c r="L393" s="373"/>
      <x:c r="M393" s="373"/>
      <x:c r="N393" s="373"/>
      <x:c r="O393" s="373"/>
      <x:c r="P393" s="373"/>
      <x:c r="Q393" s="373"/>
      <x:c r="R393" s="373"/>
      <x:c r="S393" s="373"/>
      <x:c r="T393" s="373"/>
      <x:c r="U393" s="373"/>
      <x:c r="V393" s="373"/>
      <x:c r="W393" s="373"/>
      <x:c r="X393" s="373"/>
      <x:c r="Y393" s="373"/>
      <x:c r="Z393" s="373"/>
    </x:row>
    <x:row r="394">
      <x:c r="A394" s="373"/>
      <x:c r="B394" s="373"/>
      <x:c r="C394" s="373"/>
      <x:c r="D394" s="373"/>
      <x:c r="E394" s="373"/>
      <x:c r="F394" s="373"/>
      <x:c r="G394" s="373"/>
      <x:c r="H394" s="373"/>
      <x:c r="I394" s="373"/>
      <x:c r="J394" s="373"/>
      <x:c r="K394" s="373"/>
      <x:c r="L394" s="373"/>
      <x:c r="M394" s="373"/>
      <x:c r="N394" s="373"/>
      <x:c r="O394" s="373"/>
      <x:c r="P394" s="373"/>
      <x:c r="Q394" s="373"/>
      <x:c r="R394" s="373"/>
      <x:c r="S394" s="373"/>
      <x:c r="T394" s="373"/>
      <x:c r="U394" s="373"/>
      <x:c r="V394" s="373"/>
      <x:c r="W394" s="373"/>
      <x:c r="X394" s="373"/>
      <x:c r="Y394" s="373"/>
      <x:c r="Z394" s="373"/>
    </x:row>
    <x:row r="395">
      <x:c r="A395" s="373"/>
      <x:c r="B395" s="373"/>
      <x:c r="C395" s="373"/>
      <x:c r="D395" s="373"/>
      <x:c r="E395" s="373"/>
      <x:c r="F395" s="373"/>
      <x:c r="G395" s="373"/>
      <x:c r="H395" s="373"/>
      <x:c r="I395" s="373"/>
      <x:c r="J395" s="373"/>
      <x:c r="K395" s="373"/>
      <x:c r="L395" s="373"/>
      <x:c r="M395" s="373"/>
      <x:c r="N395" s="373"/>
      <x:c r="O395" s="373"/>
      <x:c r="P395" s="373"/>
      <x:c r="Q395" s="373"/>
      <x:c r="R395" s="373"/>
      <x:c r="S395" s="373"/>
      <x:c r="T395" s="373"/>
      <x:c r="U395" s="373"/>
      <x:c r="V395" s="373"/>
      <x:c r="W395" s="373"/>
      <x:c r="X395" s="373"/>
      <x:c r="Y395" s="373"/>
      <x:c r="Z395" s="373"/>
    </x:row>
    <x:row r="396">
      <x:c r="A396" s="373"/>
      <x:c r="B396" s="373"/>
      <x:c r="C396" s="373"/>
      <x:c r="D396" s="373"/>
      <x:c r="E396" s="373"/>
      <x:c r="F396" s="373"/>
      <x:c r="G396" s="373"/>
      <x:c r="H396" s="373"/>
      <x:c r="I396" s="373"/>
      <x:c r="J396" s="373"/>
      <x:c r="K396" s="373"/>
      <x:c r="L396" s="373"/>
      <x:c r="M396" s="373"/>
      <x:c r="N396" s="373"/>
      <x:c r="O396" s="373"/>
      <x:c r="P396" s="373"/>
      <x:c r="Q396" s="373"/>
      <x:c r="R396" s="373"/>
      <x:c r="S396" s="373"/>
      <x:c r="T396" s="373"/>
      <x:c r="U396" s="373"/>
      <x:c r="V396" s="373"/>
      <x:c r="W396" s="373"/>
      <x:c r="X396" s="373"/>
      <x:c r="Y396" s="373"/>
      <x:c r="Z396" s="373"/>
    </x:row>
    <x:row r="397">
      <x:c r="A397" s="373"/>
      <x:c r="B397" s="373"/>
      <x:c r="C397" s="373"/>
      <x:c r="D397" s="373"/>
      <x:c r="E397" s="373"/>
      <x:c r="F397" s="373"/>
      <x:c r="G397" s="373"/>
      <x:c r="H397" s="373"/>
      <x:c r="I397" s="373"/>
      <x:c r="J397" s="373"/>
      <x:c r="K397" s="373"/>
      <x:c r="L397" s="373"/>
      <x:c r="M397" s="373"/>
      <x:c r="N397" s="373"/>
      <x:c r="O397" s="373"/>
      <x:c r="P397" s="373"/>
      <x:c r="Q397" s="373"/>
      <x:c r="R397" s="373"/>
      <x:c r="S397" s="373"/>
      <x:c r="T397" s="373"/>
      <x:c r="U397" s="373"/>
      <x:c r="V397" s="373"/>
      <x:c r="W397" s="373"/>
      <x:c r="X397" s="373"/>
      <x:c r="Y397" s="373"/>
      <x:c r="Z397" s="373"/>
    </x:row>
    <x:row r="398">
      <x:c r="A398" s="373"/>
      <x:c r="B398" s="373"/>
      <x:c r="C398" s="373"/>
      <x:c r="D398" s="373"/>
      <x:c r="E398" s="373"/>
      <x:c r="F398" s="373"/>
      <x:c r="G398" s="373"/>
      <x:c r="H398" s="373"/>
      <x:c r="I398" s="373"/>
      <x:c r="J398" s="373"/>
      <x:c r="K398" s="373"/>
      <x:c r="L398" s="373"/>
      <x:c r="M398" s="373"/>
      <x:c r="N398" s="373"/>
      <x:c r="O398" s="373"/>
      <x:c r="P398" s="373"/>
      <x:c r="Q398" s="373"/>
      <x:c r="R398" s="373"/>
      <x:c r="S398" s="373"/>
      <x:c r="T398" s="373"/>
      <x:c r="U398" s="373"/>
      <x:c r="V398" s="373"/>
      <x:c r="W398" s="373"/>
      <x:c r="X398" s="373"/>
      <x:c r="Y398" s="373"/>
      <x:c r="Z398" s="373"/>
    </x:row>
    <x:row r="399">
      <x:c r="A399" s="373"/>
      <x:c r="B399" s="373"/>
      <x:c r="C399" s="373"/>
      <x:c r="D399" s="373"/>
      <x:c r="E399" s="373"/>
      <x:c r="F399" s="373"/>
      <x:c r="G399" s="373"/>
      <x:c r="H399" s="373"/>
      <x:c r="I399" s="373"/>
      <x:c r="J399" s="373"/>
      <x:c r="K399" s="373"/>
      <x:c r="L399" s="373"/>
      <x:c r="M399" s="373"/>
      <x:c r="N399" s="373"/>
      <x:c r="O399" s="373"/>
      <x:c r="P399" s="373"/>
      <x:c r="Q399" s="373"/>
      <x:c r="R399" s="373"/>
      <x:c r="S399" s="373"/>
      <x:c r="T399" s="373"/>
      <x:c r="U399" s="373"/>
      <x:c r="V399" s="373"/>
      <x:c r="W399" s="373"/>
      <x:c r="X399" s="373"/>
      <x:c r="Y399" s="373"/>
      <x:c r="Z399" s="373"/>
    </x:row>
    <x:row r="400">
      <x:c r="A400" s="373"/>
      <x:c r="B400" s="373"/>
      <x:c r="C400" s="373"/>
      <x:c r="D400" s="373"/>
      <x:c r="E400" s="373"/>
      <x:c r="F400" s="373"/>
      <x:c r="G400" s="373"/>
      <x:c r="H400" s="373"/>
      <x:c r="I400" s="373"/>
      <x:c r="J400" s="373"/>
      <x:c r="K400" s="373"/>
      <x:c r="L400" s="373"/>
      <x:c r="M400" s="373"/>
      <x:c r="N400" s="373"/>
      <x:c r="O400" s="373"/>
      <x:c r="P400" s="373"/>
      <x:c r="Q400" s="373"/>
      <x:c r="R400" s="373"/>
      <x:c r="S400" s="373"/>
      <x:c r="T400" s="373"/>
      <x:c r="U400" s="373"/>
      <x:c r="V400" s="373"/>
      <x:c r="W400" s="373"/>
      <x:c r="X400" s="373"/>
      <x:c r="Y400" s="373"/>
      <x:c r="Z400" s="373"/>
    </x:row>
    <x:row r="401">
      <x:c r="A401" s="373"/>
      <x:c r="B401" s="373"/>
      <x:c r="C401" s="373"/>
      <x:c r="D401" s="373"/>
      <x:c r="E401" s="373"/>
      <x:c r="F401" s="373"/>
      <x:c r="G401" s="373"/>
      <x:c r="H401" s="373"/>
      <x:c r="I401" s="373"/>
      <x:c r="J401" s="373"/>
      <x:c r="K401" s="373"/>
      <x:c r="L401" s="373"/>
      <x:c r="M401" s="373"/>
      <x:c r="N401" s="373"/>
      <x:c r="O401" s="373"/>
      <x:c r="P401" s="373"/>
      <x:c r="Q401" s="373"/>
      <x:c r="R401" s="373"/>
      <x:c r="S401" s="373"/>
      <x:c r="T401" s="373"/>
      <x:c r="U401" s="373"/>
      <x:c r="V401" s="373"/>
      <x:c r="W401" s="373"/>
      <x:c r="X401" s="373"/>
      <x:c r="Y401" s="373"/>
      <x:c r="Z401" s="373"/>
    </x:row>
    <x:row r="402">
      <x:c r="A402" s="373"/>
      <x:c r="B402" s="373"/>
      <x:c r="C402" s="373"/>
      <x:c r="D402" s="373"/>
      <x:c r="E402" s="373"/>
      <x:c r="F402" s="373"/>
      <x:c r="G402" s="373"/>
      <x:c r="H402" s="373"/>
      <x:c r="I402" s="373"/>
      <x:c r="J402" s="373"/>
      <x:c r="K402" s="373"/>
      <x:c r="L402" s="373"/>
      <x:c r="M402" s="373"/>
      <x:c r="N402" s="373"/>
      <x:c r="O402" s="373"/>
      <x:c r="P402" s="373"/>
      <x:c r="Q402" s="373"/>
      <x:c r="R402" s="373"/>
      <x:c r="S402" s="373"/>
      <x:c r="T402" s="373"/>
      <x:c r="U402" s="373"/>
      <x:c r="V402" s="373"/>
      <x:c r="W402" s="373"/>
      <x:c r="X402" s="373"/>
      <x:c r="Y402" s="373"/>
      <x:c r="Z402" s="373"/>
    </x:row>
    <x:row r="403">
      <x:c r="A403" s="373"/>
      <x:c r="B403" s="373"/>
      <x:c r="C403" s="373"/>
      <x:c r="D403" s="373"/>
      <x:c r="E403" s="373"/>
      <x:c r="F403" s="373"/>
      <x:c r="G403" s="373"/>
      <x:c r="H403" s="373"/>
      <x:c r="I403" s="373"/>
      <x:c r="J403" s="373"/>
      <x:c r="K403" s="373"/>
      <x:c r="L403" s="373"/>
      <x:c r="M403" s="373"/>
      <x:c r="N403" s="373"/>
      <x:c r="O403" s="373"/>
      <x:c r="P403" s="373"/>
      <x:c r="Q403" s="373"/>
      <x:c r="R403" s="373"/>
      <x:c r="S403" s="373"/>
      <x:c r="T403" s="373"/>
      <x:c r="U403" s="373"/>
      <x:c r="V403" s="373"/>
      <x:c r="W403" s="373"/>
      <x:c r="X403" s="373"/>
      <x:c r="Y403" s="373"/>
      <x:c r="Z403" s="373"/>
    </x:row>
    <x:row r="404">
      <x:c r="A404" s="373"/>
      <x:c r="B404" s="373"/>
      <x:c r="C404" s="373"/>
      <x:c r="D404" s="373"/>
      <x:c r="E404" s="373"/>
      <x:c r="F404" s="373"/>
      <x:c r="G404" s="373"/>
      <x:c r="H404" s="373"/>
      <x:c r="I404" s="373"/>
      <x:c r="J404" s="373"/>
      <x:c r="K404" s="373"/>
      <x:c r="L404" s="373"/>
      <x:c r="M404" s="373"/>
      <x:c r="N404" s="373"/>
      <x:c r="O404" s="373"/>
      <x:c r="P404" s="373"/>
      <x:c r="Q404" s="373"/>
      <x:c r="R404" s="373"/>
      <x:c r="S404" s="373"/>
      <x:c r="T404" s="373"/>
      <x:c r="U404" s="373"/>
      <x:c r="V404" s="373"/>
      <x:c r="W404" s="373"/>
      <x:c r="X404" s="373"/>
      <x:c r="Y404" s="373"/>
      <x:c r="Z404" s="373"/>
    </x:row>
    <x:row r="405">
      <x:c r="A405" s="373"/>
      <x:c r="B405" s="373"/>
      <x:c r="C405" s="373"/>
      <x:c r="D405" s="373"/>
      <x:c r="E405" s="373"/>
      <x:c r="F405" s="373"/>
      <x:c r="G405" s="373"/>
      <x:c r="H405" s="373"/>
      <x:c r="I405" s="373"/>
      <x:c r="J405" s="373"/>
      <x:c r="K405" s="373"/>
      <x:c r="L405" s="373"/>
      <x:c r="M405" s="373"/>
      <x:c r="N405" s="373"/>
      <x:c r="O405" s="373"/>
      <x:c r="P405" s="373"/>
      <x:c r="Q405" s="373"/>
      <x:c r="R405" s="373"/>
      <x:c r="S405" s="373"/>
      <x:c r="T405" s="373"/>
      <x:c r="U405" s="373"/>
      <x:c r="V405" s="373"/>
      <x:c r="W405" s="373"/>
      <x:c r="X405" s="373"/>
      <x:c r="Y405" s="373"/>
      <x:c r="Z405" s="373"/>
    </x:row>
    <x:row r="406">
      <x:c r="A406" s="373"/>
      <x:c r="B406" s="373"/>
      <x:c r="C406" s="373"/>
      <x:c r="D406" s="373"/>
      <x:c r="E406" s="373"/>
      <x:c r="F406" s="373"/>
      <x:c r="G406" s="373"/>
      <x:c r="H406" s="373"/>
      <x:c r="I406" s="373"/>
      <x:c r="J406" s="373"/>
      <x:c r="K406" s="373"/>
      <x:c r="L406" s="373"/>
      <x:c r="M406" s="373"/>
      <x:c r="N406" s="373"/>
      <x:c r="O406" s="373"/>
      <x:c r="P406" s="373"/>
      <x:c r="Q406" s="373"/>
      <x:c r="R406" s="373"/>
      <x:c r="S406" s="373"/>
      <x:c r="T406" s="373"/>
      <x:c r="U406" s="373"/>
      <x:c r="V406" s="373"/>
      <x:c r="W406" s="373"/>
      <x:c r="X406" s="373"/>
      <x:c r="Y406" s="373"/>
      <x:c r="Z406" s="373"/>
    </x:row>
    <x:row r="407">
      <x:c r="A407" s="373"/>
      <x:c r="B407" s="373"/>
      <x:c r="C407" s="373"/>
      <x:c r="D407" s="373"/>
      <x:c r="E407" s="373"/>
      <x:c r="F407" s="373"/>
      <x:c r="G407" s="373"/>
      <x:c r="H407" s="373"/>
      <x:c r="I407" s="373"/>
      <x:c r="J407" s="373"/>
      <x:c r="K407" s="373"/>
      <x:c r="L407" s="373"/>
      <x:c r="M407" s="373"/>
      <x:c r="N407" s="373"/>
      <x:c r="O407" s="373"/>
      <x:c r="P407" s="373"/>
      <x:c r="Q407" s="373"/>
      <x:c r="R407" s="373"/>
      <x:c r="S407" s="373"/>
      <x:c r="T407" s="373"/>
      <x:c r="U407" s="373"/>
      <x:c r="V407" s="373"/>
      <x:c r="W407" s="373"/>
      <x:c r="X407" s="373"/>
      <x:c r="Y407" s="373"/>
      <x:c r="Z407" s="373"/>
    </x:row>
    <x:row r="408">
      <x:c r="A408" s="373"/>
      <x:c r="B408" s="373"/>
      <x:c r="C408" s="373"/>
      <x:c r="D408" s="373"/>
      <x:c r="E408" s="373"/>
      <x:c r="F408" s="373"/>
      <x:c r="G408" s="373"/>
      <x:c r="H408" s="373"/>
      <x:c r="I408" s="373"/>
      <x:c r="J408" s="373"/>
      <x:c r="K408" s="373"/>
      <x:c r="L408" s="373"/>
      <x:c r="M408" s="373"/>
      <x:c r="N408" s="373"/>
      <x:c r="O408" s="373"/>
      <x:c r="P408" s="373"/>
      <x:c r="Q408" s="373"/>
      <x:c r="R408" s="373"/>
      <x:c r="S408" s="373"/>
      <x:c r="T408" s="373"/>
      <x:c r="U408" s="373"/>
      <x:c r="V408" s="373"/>
      <x:c r="W408" s="373"/>
      <x:c r="X408" s="373"/>
      <x:c r="Y408" s="373"/>
      <x:c r="Z408" s="373"/>
    </x:row>
    <x:row r="409">
      <x:c r="A409" s="373"/>
      <x:c r="B409" s="373"/>
      <x:c r="C409" s="373"/>
      <x:c r="D409" s="373"/>
      <x:c r="E409" s="373"/>
      <x:c r="F409" s="373"/>
      <x:c r="G409" s="373"/>
      <x:c r="H409" s="373"/>
      <x:c r="I409" s="373"/>
      <x:c r="J409" s="373"/>
      <x:c r="K409" s="373"/>
      <x:c r="L409" s="373"/>
      <x:c r="M409" s="373"/>
      <x:c r="N409" s="373"/>
      <x:c r="O409" s="373"/>
      <x:c r="P409" s="373"/>
      <x:c r="Q409" s="373"/>
      <x:c r="R409" s="373"/>
      <x:c r="S409" s="373"/>
      <x:c r="T409" s="373"/>
      <x:c r="U409" s="373"/>
      <x:c r="V409" s="373"/>
      <x:c r="W409" s="373"/>
      <x:c r="X409" s="373"/>
      <x:c r="Y409" s="373"/>
      <x:c r="Z409" s="373"/>
    </x:row>
    <x:row r="410">
      <x:c r="A410" s="373"/>
      <x:c r="B410" s="373"/>
      <x:c r="C410" s="373"/>
      <x:c r="D410" s="373"/>
      <x:c r="E410" s="373"/>
      <x:c r="F410" s="373"/>
      <x:c r="G410" s="373"/>
      <x:c r="H410" s="373"/>
      <x:c r="I410" s="373"/>
      <x:c r="J410" s="373"/>
      <x:c r="K410" s="373"/>
      <x:c r="L410" s="373"/>
      <x:c r="M410" s="373"/>
      <x:c r="N410" s="373"/>
      <x:c r="O410" s="373"/>
      <x:c r="P410" s="373"/>
      <x:c r="Q410" s="373"/>
      <x:c r="R410" s="373"/>
      <x:c r="S410" s="373"/>
      <x:c r="T410" s="373"/>
      <x:c r="U410" s="373"/>
      <x:c r="V410" s="373"/>
      <x:c r="W410" s="373"/>
      <x:c r="X410" s="373"/>
      <x:c r="Y410" s="373"/>
      <x:c r="Z410" s="373"/>
    </x:row>
    <x:row r="411">
      <x:c r="A411" s="373"/>
      <x:c r="B411" s="373"/>
      <x:c r="C411" s="373"/>
      <x:c r="D411" s="373"/>
      <x:c r="E411" s="373"/>
      <x:c r="F411" s="373"/>
      <x:c r="G411" s="373"/>
      <x:c r="H411" s="373"/>
      <x:c r="I411" s="373"/>
      <x:c r="J411" s="373"/>
      <x:c r="K411" s="373"/>
      <x:c r="L411" s="373"/>
      <x:c r="M411" s="373"/>
      <x:c r="N411" s="373"/>
      <x:c r="O411" s="373"/>
      <x:c r="P411" s="373"/>
      <x:c r="Q411" s="373"/>
      <x:c r="R411" s="373"/>
      <x:c r="S411" s="373"/>
      <x:c r="T411" s="373"/>
      <x:c r="U411" s="373"/>
      <x:c r="V411" s="373"/>
      <x:c r="W411" s="373"/>
      <x:c r="X411" s="373"/>
      <x:c r="Y411" s="373"/>
      <x:c r="Z411" s="373"/>
    </x:row>
    <x:row r="412">
      <x:c r="A412" s="373"/>
      <x:c r="B412" s="373"/>
      <x:c r="C412" s="373"/>
      <x:c r="D412" s="373"/>
      <x:c r="E412" s="373"/>
      <x:c r="F412" s="373"/>
      <x:c r="G412" s="373"/>
      <x:c r="H412" s="373"/>
      <x:c r="I412" s="373"/>
      <x:c r="J412" s="373"/>
      <x:c r="K412" s="373"/>
      <x:c r="L412" s="373"/>
      <x:c r="M412" s="373"/>
      <x:c r="N412" s="373"/>
      <x:c r="O412" s="373"/>
      <x:c r="P412" s="373"/>
      <x:c r="Q412" s="373"/>
      <x:c r="R412" s="373"/>
      <x:c r="S412" s="373"/>
      <x:c r="T412" s="373"/>
      <x:c r="U412" s="373"/>
      <x:c r="V412" s="373"/>
      <x:c r="W412" s="373"/>
      <x:c r="X412" s="373"/>
      <x:c r="Y412" s="373"/>
      <x:c r="Z412" s="373"/>
    </x:row>
    <x:row r="413">
      <x:c r="A413" s="373"/>
      <x:c r="B413" s="373"/>
      <x:c r="C413" s="373"/>
      <x:c r="D413" s="373"/>
      <x:c r="E413" s="373"/>
      <x:c r="F413" s="373"/>
      <x:c r="G413" s="373"/>
      <x:c r="H413" s="373"/>
      <x:c r="I413" s="373"/>
      <x:c r="J413" s="373"/>
      <x:c r="K413" s="373"/>
      <x:c r="L413" s="373"/>
      <x:c r="M413" s="373"/>
      <x:c r="N413" s="373"/>
      <x:c r="O413" s="373"/>
      <x:c r="P413" s="373"/>
      <x:c r="Q413" s="373"/>
      <x:c r="R413" s="373"/>
      <x:c r="S413" s="373"/>
      <x:c r="T413" s="373"/>
      <x:c r="U413" s="373"/>
      <x:c r="V413" s="373"/>
      <x:c r="W413" s="373"/>
      <x:c r="X413" s="373"/>
      <x:c r="Y413" s="373"/>
      <x:c r="Z413" s="373"/>
    </x:row>
    <x:row r="414">
      <x:c r="A414" s="373"/>
      <x:c r="B414" s="373"/>
      <x:c r="C414" s="373"/>
      <x:c r="D414" s="373"/>
      <x:c r="E414" s="373"/>
      <x:c r="F414" s="373"/>
      <x:c r="G414" s="373"/>
      <x:c r="H414" s="373"/>
      <x:c r="I414" s="373"/>
      <x:c r="J414" s="373"/>
      <x:c r="K414" s="373"/>
      <x:c r="L414" s="373"/>
      <x:c r="M414" s="373"/>
      <x:c r="N414" s="373"/>
      <x:c r="O414" s="373"/>
      <x:c r="P414" s="373"/>
      <x:c r="Q414" s="373"/>
      <x:c r="R414" s="373"/>
      <x:c r="S414" s="373"/>
      <x:c r="T414" s="373"/>
      <x:c r="U414" s="373"/>
      <x:c r="V414" s="373"/>
      <x:c r="W414" s="373"/>
      <x:c r="X414" s="373"/>
      <x:c r="Y414" s="373"/>
      <x:c r="Z414" s="373"/>
    </x:row>
    <x:row r="415">
      <x:c r="A415" s="373"/>
      <x:c r="B415" s="373"/>
      <x:c r="C415" s="373"/>
      <x:c r="D415" s="373"/>
      <x:c r="E415" s="373"/>
      <x:c r="F415" s="373"/>
      <x:c r="G415" s="373"/>
      <x:c r="H415" s="373"/>
      <x:c r="I415" s="373"/>
      <x:c r="J415" s="373"/>
      <x:c r="K415" s="373"/>
      <x:c r="L415" s="373"/>
      <x:c r="M415" s="373"/>
      <x:c r="N415" s="373"/>
      <x:c r="O415" s="373"/>
      <x:c r="P415" s="373"/>
      <x:c r="Q415" s="373"/>
      <x:c r="R415" s="373"/>
      <x:c r="S415" s="373"/>
      <x:c r="T415" s="373"/>
      <x:c r="U415" s="373"/>
      <x:c r="V415" s="373"/>
      <x:c r="W415" s="373"/>
      <x:c r="X415" s="373"/>
      <x:c r="Y415" s="373"/>
      <x:c r="Z415" s="373"/>
    </x:row>
    <x:row r="416">
      <x:c r="A416" s="373"/>
      <x:c r="B416" s="373"/>
      <x:c r="C416" s="373"/>
      <x:c r="D416" s="373"/>
      <x:c r="E416" s="373"/>
      <x:c r="F416" s="373"/>
      <x:c r="G416" s="373"/>
      <x:c r="H416" s="373"/>
      <x:c r="I416" s="373"/>
      <x:c r="J416" s="373"/>
      <x:c r="K416" s="373"/>
      <x:c r="L416" s="373"/>
      <x:c r="M416" s="373"/>
      <x:c r="N416" s="373"/>
      <x:c r="O416" s="373"/>
      <x:c r="P416" s="373"/>
      <x:c r="Q416" s="373"/>
      <x:c r="R416" s="373"/>
      <x:c r="S416" s="373"/>
      <x:c r="T416" s="373"/>
      <x:c r="U416" s="373"/>
      <x:c r="V416" s="373"/>
      <x:c r="W416" s="373"/>
      <x:c r="X416" s="373"/>
      <x:c r="Y416" s="373"/>
      <x:c r="Z416" s="373"/>
    </x:row>
    <x:row r="417">
      <x:c r="A417" s="373"/>
      <x:c r="B417" s="373"/>
      <x:c r="C417" s="373"/>
      <x:c r="D417" s="373"/>
      <x:c r="E417" s="373"/>
      <x:c r="F417" s="373"/>
      <x:c r="G417" s="373"/>
      <x:c r="H417" s="373"/>
      <x:c r="I417" s="373"/>
      <x:c r="J417" s="373"/>
      <x:c r="K417" s="373"/>
      <x:c r="L417" s="373"/>
      <x:c r="M417" s="373"/>
      <x:c r="N417" s="373"/>
      <x:c r="O417" s="373"/>
      <x:c r="P417" s="373"/>
      <x:c r="Q417" s="373"/>
      <x:c r="R417" s="373"/>
      <x:c r="S417" s="373"/>
      <x:c r="T417" s="373"/>
      <x:c r="U417" s="373"/>
      <x:c r="V417" s="373"/>
      <x:c r="W417" s="373"/>
      <x:c r="X417" s="373"/>
      <x:c r="Y417" s="373"/>
      <x:c r="Z417" s="373"/>
    </x:row>
    <x:row r="418">
      <x:c r="A418" s="373"/>
      <x:c r="B418" s="373"/>
      <x:c r="C418" s="373"/>
      <x:c r="D418" s="373"/>
      <x:c r="E418" s="373"/>
      <x:c r="F418" s="373"/>
      <x:c r="G418" s="373"/>
      <x:c r="H418" s="373"/>
      <x:c r="I418" s="373"/>
      <x:c r="J418" s="373"/>
      <x:c r="K418" s="373"/>
      <x:c r="L418" s="373"/>
      <x:c r="M418" s="373"/>
      <x:c r="N418" s="373"/>
      <x:c r="O418" s="373"/>
      <x:c r="P418" s="373"/>
      <x:c r="Q418" s="373"/>
      <x:c r="R418" s="373"/>
      <x:c r="S418" s="373"/>
      <x:c r="T418" s="373"/>
      <x:c r="U418" s="373"/>
      <x:c r="V418" s="373"/>
      <x:c r="W418" s="373"/>
      <x:c r="X418" s="373"/>
      <x:c r="Y418" s="373"/>
      <x:c r="Z418" s="373"/>
    </x:row>
    <x:row r="419">
      <x:c r="A419" s="373"/>
      <x:c r="B419" s="373"/>
      <x:c r="C419" s="373"/>
      <x:c r="D419" s="373"/>
      <x:c r="E419" s="373"/>
      <x:c r="F419" s="373"/>
      <x:c r="G419" s="373"/>
      <x:c r="H419" s="373"/>
      <x:c r="I419" s="373"/>
      <x:c r="J419" s="373"/>
      <x:c r="K419" s="373"/>
      <x:c r="L419" s="373"/>
      <x:c r="M419" s="373"/>
      <x:c r="N419" s="373"/>
      <x:c r="O419" s="373"/>
      <x:c r="P419" s="373"/>
      <x:c r="Q419" s="373"/>
      <x:c r="R419" s="373"/>
      <x:c r="S419" s="373"/>
      <x:c r="T419" s="373"/>
      <x:c r="U419" s="373"/>
      <x:c r="V419" s="373"/>
      <x:c r="W419" s="373"/>
      <x:c r="X419" s="373"/>
      <x:c r="Y419" s="373"/>
      <x:c r="Z419" s="373"/>
    </x:row>
    <x:row r="420">
      <x:c r="A420" s="373"/>
      <x:c r="B420" s="373"/>
      <x:c r="C420" s="373"/>
      <x:c r="D420" s="373"/>
      <x:c r="E420" s="373"/>
      <x:c r="F420" s="373"/>
      <x:c r="G420" s="373"/>
      <x:c r="H420" s="373"/>
      <x:c r="I420" s="373"/>
      <x:c r="J420" s="373"/>
      <x:c r="K420" s="373"/>
      <x:c r="L420" s="373"/>
      <x:c r="M420" s="373"/>
      <x:c r="N420" s="373"/>
      <x:c r="O420" s="373"/>
      <x:c r="P420" s="373"/>
      <x:c r="Q420" s="373"/>
      <x:c r="R420" s="373"/>
      <x:c r="S420" s="373"/>
      <x:c r="T420" s="373"/>
      <x:c r="U420" s="373"/>
      <x:c r="V420" s="373"/>
      <x:c r="W420" s="373"/>
      <x:c r="X420" s="373"/>
      <x:c r="Y420" s="373"/>
      <x:c r="Z420" s="373"/>
    </x:row>
    <x:row r="421">
      <x:c r="A421" s="373"/>
      <x:c r="B421" s="373"/>
      <x:c r="C421" s="373"/>
      <x:c r="D421" s="373"/>
      <x:c r="E421" s="373"/>
      <x:c r="F421" s="373"/>
      <x:c r="G421" s="373"/>
      <x:c r="H421" s="373"/>
      <x:c r="I421" s="373"/>
      <x:c r="J421" s="373"/>
      <x:c r="K421" s="373"/>
      <x:c r="L421" s="373"/>
      <x:c r="M421" s="373"/>
      <x:c r="N421" s="373"/>
      <x:c r="O421" s="373"/>
      <x:c r="P421" s="373"/>
      <x:c r="Q421" s="373"/>
      <x:c r="R421" s="373"/>
      <x:c r="S421" s="373"/>
      <x:c r="T421" s="373"/>
      <x:c r="U421" s="373"/>
      <x:c r="V421" s="373"/>
      <x:c r="W421" s="373"/>
      <x:c r="X421" s="373"/>
      <x:c r="Y421" s="373"/>
      <x:c r="Z421" s="373"/>
    </x:row>
    <x:row r="422">
      <x:c r="A422" s="373"/>
      <x:c r="B422" s="373"/>
      <x:c r="C422" s="373"/>
      <x:c r="D422" s="373"/>
      <x:c r="E422" s="373"/>
      <x:c r="F422" s="373"/>
      <x:c r="G422" s="373"/>
      <x:c r="H422" s="373"/>
      <x:c r="I422" s="373"/>
      <x:c r="J422" s="373"/>
      <x:c r="K422" s="373"/>
      <x:c r="L422" s="373"/>
      <x:c r="M422" s="373"/>
      <x:c r="N422" s="373"/>
      <x:c r="O422" s="373"/>
      <x:c r="P422" s="373"/>
      <x:c r="Q422" s="373"/>
      <x:c r="R422" s="373"/>
      <x:c r="S422" s="373"/>
      <x:c r="T422" s="373"/>
      <x:c r="U422" s="373"/>
      <x:c r="V422" s="373"/>
      <x:c r="W422" s="373"/>
      <x:c r="X422" s="373"/>
      <x:c r="Y422" s="373"/>
      <x:c r="Z422" s="373"/>
    </x:row>
    <x:row r="423">
      <x:c r="A423" s="373"/>
      <x:c r="B423" s="373"/>
      <x:c r="C423" s="373"/>
      <x:c r="D423" s="373"/>
      <x:c r="E423" s="373"/>
      <x:c r="F423" s="373"/>
      <x:c r="G423" s="373"/>
      <x:c r="H423" s="373"/>
      <x:c r="I423" s="373"/>
      <x:c r="J423" s="373"/>
      <x:c r="K423" s="373"/>
      <x:c r="L423" s="373"/>
      <x:c r="M423" s="373"/>
      <x:c r="N423" s="373"/>
      <x:c r="O423" s="373"/>
      <x:c r="P423" s="373"/>
      <x:c r="Q423" s="373"/>
      <x:c r="R423" s="373"/>
      <x:c r="S423" s="373"/>
      <x:c r="T423" s="373"/>
      <x:c r="U423" s="373"/>
      <x:c r="V423" s="373"/>
      <x:c r="W423" s="373"/>
      <x:c r="X423" s="373"/>
      <x:c r="Y423" s="373"/>
      <x:c r="Z423" s="373"/>
    </x:row>
    <x:row r="424">
      <x:c r="A424" s="373"/>
      <x:c r="B424" s="373"/>
      <x:c r="C424" s="373"/>
      <x:c r="D424" s="373"/>
      <x:c r="E424" s="373"/>
      <x:c r="F424" s="373"/>
      <x:c r="G424" s="373"/>
      <x:c r="H424" s="373"/>
      <x:c r="I424" s="373"/>
      <x:c r="J424" s="373"/>
      <x:c r="K424" s="373"/>
      <x:c r="L424" s="373"/>
      <x:c r="M424" s="373"/>
      <x:c r="N424" s="373"/>
      <x:c r="O424" s="373"/>
      <x:c r="P424" s="373"/>
      <x:c r="Q424" s="373"/>
      <x:c r="R424" s="373"/>
      <x:c r="S424" s="373"/>
      <x:c r="T424" s="373"/>
      <x:c r="U424" s="373"/>
      <x:c r="V424" s="373"/>
      <x:c r="W424" s="373"/>
      <x:c r="X424" s="373"/>
      <x:c r="Y424" s="373"/>
      <x:c r="Z424" s="373"/>
    </x:row>
    <x:row r="425">
      <x:c r="A425" s="373"/>
      <x:c r="B425" s="373"/>
      <x:c r="C425" s="373"/>
      <x:c r="D425" s="373"/>
      <x:c r="E425" s="373"/>
      <x:c r="F425" s="373"/>
      <x:c r="G425" s="373"/>
      <x:c r="H425" s="373"/>
      <x:c r="I425" s="373"/>
      <x:c r="J425" s="373"/>
      <x:c r="K425" s="373"/>
      <x:c r="L425" s="373"/>
      <x:c r="M425" s="373"/>
      <x:c r="N425" s="373"/>
      <x:c r="O425" s="373"/>
      <x:c r="P425" s="373"/>
      <x:c r="Q425" s="373"/>
      <x:c r="R425" s="373"/>
      <x:c r="S425" s="373"/>
      <x:c r="T425" s="373"/>
      <x:c r="U425" s="373"/>
      <x:c r="V425" s="373"/>
      <x:c r="W425" s="373"/>
      <x:c r="X425" s="373"/>
      <x:c r="Y425" s="373"/>
      <x:c r="Z425" s="373"/>
    </x:row>
    <x:row r="426">
      <x:c r="A426" s="373"/>
      <x:c r="B426" s="373"/>
      <x:c r="C426" s="373"/>
      <x:c r="D426" s="373"/>
      <x:c r="E426" s="373"/>
      <x:c r="F426" s="373"/>
      <x:c r="G426" s="373"/>
      <x:c r="H426" s="373"/>
      <x:c r="I426" s="373"/>
      <x:c r="J426" s="373"/>
      <x:c r="K426" s="373"/>
      <x:c r="L426" s="373"/>
      <x:c r="M426" s="373"/>
      <x:c r="N426" s="373"/>
      <x:c r="O426" s="373"/>
      <x:c r="P426" s="373"/>
      <x:c r="Q426" s="373"/>
      <x:c r="R426" s="373"/>
      <x:c r="S426" s="373"/>
      <x:c r="T426" s="373"/>
      <x:c r="U426" s="373"/>
      <x:c r="V426" s="373"/>
      <x:c r="W426" s="373"/>
      <x:c r="X426" s="373"/>
      <x:c r="Y426" s="373"/>
      <x:c r="Z426" s="373"/>
    </x:row>
    <x:row r="427">
      <x:c r="A427" s="373"/>
      <x:c r="B427" s="373"/>
      <x:c r="C427" s="373"/>
      <x:c r="D427" s="373"/>
      <x:c r="E427" s="373"/>
      <x:c r="F427" s="373"/>
      <x:c r="G427" s="373"/>
      <x:c r="H427" s="373"/>
      <x:c r="I427" s="373"/>
      <x:c r="J427" s="373"/>
      <x:c r="K427" s="373"/>
      <x:c r="L427" s="373"/>
      <x:c r="M427" s="373"/>
      <x:c r="N427" s="373"/>
      <x:c r="O427" s="373"/>
      <x:c r="P427" s="373"/>
      <x:c r="Q427" s="373"/>
      <x:c r="R427" s="373"/>
      <x:c r="S427" s="373"/>
      <x:c r="T427" s="373"/>
      <x:c r="U427" s="373"/>
      <x:c r="V427" s="373"/>
      <x:c r="W427" s="373"/>
      <x:c r="X427" s="373"/>
      <x:c r="Y427" s="373"/>
      <x:c r="Z427" s="373"/>
    </x:row>
    <x:row r="428">
      <x:c r="A428" s="373"/>
      <x:c r="B428" s="373"/>
      <x:c r="C428" s="373"/>
      <x:c r="D428" s="373"/>
      <x:c r="E428" s="373"/>
      <x:c r="F428" s="373"/>
      <x:c r="G428" s="373"/>
      <x:c r="H428" s="373"/>
      <x:c r="I428" s="373"/>
      <x:c r="J428" s="373"/>
      <x:c r="K428" s="373"/>
      <x:c r="L428" s="373"/>
      <x:c r="M428" s="373"/>
      <x:c r="N428" s="373"/>
      <x:c r="O428" s="373"/>
      <x:c r="P428" s="373"/>
      <x:c r="Q428" s="373"/>
      <x:c r="R428" s="373"/>
      <x:c r="S428" s="373"/>
      <x:c r="T428" s="373"/>
      <x:c r="U428" s="373"/>
      <x:c r="V428" s="373"/>
      <x:c r="W428" s="373"/>
      <x:c r="X428" s="373"/>
      <x:c r="Y428" s="373"/>
      <x:c r="Z428" s="373"/>
    </x:row>
    <x:row r="429">
      <x:c r="A429" s="373"/>
      <x:c r="B429" s="373"/>
      <x:c r="C429" s="373"/>
      <x:c r="D429" s="373"/>
      <x:c r="E429" s="373"/>
      <x:c r="F429" s="373"/>
      <x:c r="G429" s="373"/>
      <x:c r="H429" s="373"/>
      <x:c r="I429" s="373"/>
      <x:c r="J429" s="373"/>
      <x:c r="K429" s="373"/>
      <x:c r="L429" s="373"/>
      <x:c r="M429" s="373"/>
      <x:c r="N429" s="373"/>
      <x:c r="O429" s="373"/>
      <x:c r="P429" s="373"/>
      <x:c r="Q429" s="373"/>
      <x:c r="R429" s="373"/>
      <x:c r="S429" s="373"/>
      <x:c r="T429" s="373"/>
      <x:c r="U429" s="373"/>
      <x:c r="V429" s="373"/>
      <x:c r="W429" s="373"/>
      <x:c r="X429" s="373"/>
      <x:c r="Y429" s="373"/>
      <x:c r="Z429" s="373"/>
    </x:row>
    <x:row r="430">
      <x:c r="A430" s="373"/>
      <x:c r="B430" s="373"/>
      <x:c r="C430" s="373"/>
      <x:c r="D430" s="373"/>
      <x:c r="E430" s="373"/>
      <x:c r="F430" s="373"/>
      <x:c r="G430" s="373"/>
      <x:c r="H430" s="373"/>
      <x:c r="I430" s="373"/>
      <x:c r="J430" s="373"/>
      <x:c r="K430" s="373"/>
      <x:c r="L430" s="373"/>
      <x:c r="M430" s="373"/>
      <x:c r="N430" s="373"/>
      <x:c r="O430" s="373"/>
      <x:c r="P430" s="373"/>
      <x:c r="Q430" s="373"/>
      <x:c r="R430" s="373"/>
      <x:c r="S430" s="373"/>
      <x:c r="T430" s="373"/>
      <x:c r="U430" s="373"/>
      <x:c r="V430" s="373"/>
      <x:c r="W430" s="373"/>
      <x:c r="X430" s="373"/>
      <x:c r="Y430" s="373"/>
      <x:c r="Z430" s="373"/>
    </x:row>
    <x:row r="431">
      <x:c r="A431" s="373"/>
      <x:c r="B431" s="373"/>
      <x:c r="C431" s="373"/>
      <x:c r="D431" s="373"/>
      <x:c r="E431" s="373"/>
      <x:c r="F431" s="373"/>
      <x:c r="G431" s="373"/>
      <x:c r="H431" s="373"/>
      <x:c r="I431" s="373"/>
      <x:c r="J431" s="373"/>
      <x:c r="K431" s="373"/>
      <x:c r="L431" s="373"/>
      <x:c r="M431" s="373"/>
      <x:c r="N431" s="373"/>
      <x:c r="O431" s="373"/>
      <x:c r="P431" s="373"/>
      <x:c r="Q431" s="373"/>
      <x:c r="R431" s="373"/>
      <x:c r="S431" s="373"/>
      <x:c r="T431" s="373"/>
      <x:c r="U431" s="373"/>
      <x:c r="V431" s="373"/>
      <x:c r="W431" s="373"/>
      <x:c r="X431" s="373"/>
      <x:c r="Y431" s="373"/>
      <x:c r="Z431" s="373"/>
    </x:row>
    <x:row r="432">
      <x:c r="A432" s="373"/>
      <x:c r="B432" s="373"/>
      <x:c r="C432" s="373"/>
      <x:c r="D432" s="373"/>
      <x:c r="E432" s="373"/>
      <x:c r="F432" s="373"/>
      <x:c r="G432" s="373"/>
      <x:c r="H432" s="373"/>
      <x:c r="I432" s="373"/>
      <x:c r="J432" s="373"/>
      <x:c r="K432" s="373"/>
      <x:c r="L432" s="373"/>
      <x:c r="M432" s="373"/>
      <x:c r="N432" s="373"/>
      <x:c r="O432" s="373"/>
      <x:c r="P432" s="373"/>
      <x:c r="Q432" s="373"/>
      <x:c r="R432" s="373"/>
      <x:c r="S432" s="373"/>
      <x:c r="T432" s="373"/>
      <x:c r="U432" s="373"/>
      <x:c r="V432" s="373"/>
      <x:c r="W432" s="373"/>
      <x:c r="X432" s="373"/>
      <x:c r="Y432" s="373"/>
      <x:c r="Z432" s="373"/>
    </x:row>
    <x:row r="433">
      <x:c r="A433" s="373"/>
      <x:c r="B433" s="373"/>
      <x:c r="C433" s="373"/>
      <x:c r="D433" s="373"/>
      <x:c r="E433" s="373"/>
      <x:c r="F433" s="373"/>
      <x:c r="G433" s="373"/>
      <x:c r="H433" s="373"/>
      <x:c r="I433" s="373"/>
      <x:c r="J433" s="373"/>
      <x:c r="K433" s="373"/>
      <x:c r="L433" s="373"/>
      <x:c r="M433" s="373"/>
      <x:c r="N433" s="373"/>
      <x:c r="O433" s="373"/>
      <x:c r="P433" s="373"/>
      <x:c r="Q433" s="373"/>
      <x:c r="R433" s="373"/>
      <x:c r="S433" s="373"/>
      <x:c r="T433" s="373"/>
      <x:c r="U433" s="373"/>
      <x:c r="V433" s="373"/>
      <x:c r="W433" s="373"/>
      <x:c r="X433" s="373"/>
      <x:c r="Y433" s="373"/>
      <x:c r="Z433" s="373"/>
    </x:row>
    <x:row r="434">
      <x:c r="A434" s="373"/>
      <x:c r="B434" s="373"/>
      <x:c r="C434" s="373"/>
      <x:c r="D434" s="373"/>
      <x:c r="E434" s="373"/>
      <x:c r="F434" s="373"/>
      <x:c r="G434" s="373"/>
      <x:c r="H434" s="373"/>
      <x:c r="I434" s="373"/>
      <x:c r="J434" s="373"/>
      <x:c r="K434" s="373"/>
      <x:c r="L434" s="373"/>
      <x:c r="M434" s="373"/>
      <x:c r="N434" s="373"/>
      <x:c r="O434" s="373"/>
      <x:c r="P434" s="373"/>
      <x:c r="Q434" s="373"/>
      <x:c r="R434" s="373"/>
      <x:c r="S434" s="373"/>
      <x:c r="T434" s="373"/>
      <x:c r="U434" s="373"/>
      <x:c r="V434" s="373"/>
      <x:c r="W434" s="373"/>
      <x:c r="X434" s="373"/>
      <x:c r="Y434" s="373"/>
      <x:c r="Z434" s="373"/>
    </x:row>
    <x:row r="435">
      <x:c r="A435" s="373"/>
      <x:c r="B435" s="373"/>
      <x:c r="C435" s="373"/>
      <x:c r="D435" s="373"/>
      <x:c r="E435" s="373"/>
      <x:c r="F435" s="373"/>
      <x:c r="G435" s="373"/>
      <x:c r="H435" s="373"/>
      <x:c r="I435" s="373"/>
      <x:c r="J435" s="373"/>
      <x:c r="K435" s="373"/>
      <x:c r="L435" s="373"/>
      <x:c r="M435" s="373"/>
      <x:c r="N435" s="373"/>
      <x:c r="O435" s="373"/>
      <x:c r="P435" s="373"/>
      <x:c r="Q435" s="373"/>
      <x:c r="R435" s="373"/>
      <x:c r="S435" s="373"/>
      <x:c r="T435" s="373"/>
      <x:c r="U435" s="373"/>
      <x:c r="V435" s="373"/>
      <x:c r="W435" s="373"/>
      <x:c r="X435" s="373"/>
      <x:c r="Y435" s="373"/>
      <x:c r="Z435" s="373"/>
    </x:row>
    <x:row r="436">
      <x:c r="A436" s="373"/>
      <x:c r="B436" s="373"/>
      <x:c r="C436" s="373"/>
      <x:c r="D436" s="373"/>
      <x:c r="E436" s="373"/>
      <x:c r="F436" s="373"/>
      <x:c r="G436" s="373"/>
      <x:c r="H436" s="373"/>
      <x:c r="I436" s="373"/>
      <x:c r="J436" s="373"/>
      <x:c r="K436" s="373"/>
      <x:c r="L436" s="373"/>
      <x:c r="M436" s="373"/>
      <x:c r="N436" s="373"/>
      <x:c r="O436" s="373"/>
      <x:c r="P436" s="373"/>
      <x:c r="Q436" s="373"/>
      <x:c r="R436" s="373"/>
      <x:c r="S436" s="373"/>
      <x:c r="T436" s="373"/>
      <x:c r="U436" s="373"/>
      <x:c r="V436" s="373"/>
      <x:c r="W436" s="373"/>
      <x:c r="X436" s="373"/>
      <x:c r="Y436" s="373"/>
      <x:c r="Z436" s="373"/>
    </x:row>
    <x:row r="437">
      <x:c r="A437" s="373"/>
      <x:c r="B437" s="373"/>
      <x:c r="C437" s="373"/>
      <x:c r="D437" s="373"/>
      <x:c r="E437" s="373"/>
      <x:c r="F437" s="373"/>
      <x:c r="G437" s="373"/>
      <x:c r="H437" s="373"/>
      <x:c r="I437" s="373"/>
      <x:c r="J437" s="373"/>
      <x:c r="K437" s="373"/>
      <x:c r="L437" s="373"/>
      <x:c r="M437" s="373"/>
      <x:c r="N437" s="373"/>
      <x:c r="O437" s="373"/>
      <x:c r="P437" s="373"/>
      <x:c r="Q437" s="373"/>
      <x:c r="R437" s="373"/>
      <x:c r="S437" s="373"/>
      <x:c r="T437" s="373"/>
      <x:c r="U437" s="373"/>
      <x:c r="V437" s="373"/>
      <x:c r="W437" s="373"/>
      <x:c r="X437" s="373"/>
      <x:c r="Y437" s="373"/>
      <x:c r="Z437" s="373"/>
    </x:row>
    <x:row r="438">
      <x:c r="A438" s="373"/>
      <x:c r="B438" s="373"/>
      <x:c r="C438" s="373"/>
      <x:c r="D438" s="373"/>
      <x:c r="E438" s="373"/>
      <x:c r="F438" s="373"/>
      <x:c r="G438" s="373"/>
      <x:c r="H438" s="373"/>
      <x:c r="I438" s="373"/>
      <x:c r="J438" s="373"/>
      <x:c r="K438" s="373"/>
      <x:c r="L438" s="373"/>
      <x:c r="M438" s="373"/>
      <x:c r="N438" s="373"/>
      <x:c r="O438" s="373"/>
      <x:c r="P438" s="373"/>
      <x:c r="Q438" s="373"/>
      <x:c r="R438" s="373"/>
      <x:c r="S438" s="373"/>
      <x:c r="T438" s="373"/>
      <x:c r="U438" s="373"/>
      <x:c r="V438" s="373"/>
      <x:c r="W438" s="373"/>
      <x:c r="X438" s="373"/>
      <x:c r="Y438" s="373"/>
      <x:c r="Z438" s="373"/>
    </x:row>
    <x:row r="439">
      <x:c r="A439" s="373"/>
      <x:c r="B439" s="373"/>
      <x:c r="C439" s="373"/>
      <x:c r="D439" s="373"/>
      <x:c r="E439" s="373"/>
      <x:c r="F439" s="373"/>
      <x:c r="G439" s="373"/>
      <x:c r="H439" s="373"/>
      <x:c r="I439" s="373"/>
      <x:c r="J439" s="373"/>
      <x:c r="K439" s="373"/>
      <x:c r="L439" s="373"/>
      <x:c r="M439" s="373"/>
      <x:c r="N439" s="373"/>
      <x:c r="O439" s="373"/>
      <x:c r="P439" s="373"/>
      <x:c r="Q439" s="373"/>
      <x:c r="R439" s="373"/>
      <x:c r="S439" s="373"/>
      <x:c r="T439" s="373"/>
      <x:c r="U439" s="373"/>
      <x:c r="V439" s="373"/>
      <x:c r="W439" s="373"/>
      <x:c r="X439" s="373"/>
      <x:c r="Y439" s="373"/>
      <x:c r="Z439" s="373"/>
    </x:row>
    <x:row r="440">
      <x:c r="A440" s="373"/>
      <x:c r="B440" s="373"/>
      <x:c r="C440" s="373"/>
      <x:c r="D440" s="373"/>
      <x:c r="E440" s="373"/>
      <x:c r="F440" s="373"/>
      <x:c r="G440" s="373"/>
      <x:c r="H440" s="373"/>
      <x:c r="I440" s="373"/>
      <x:c r="J440" s="373"/>
      <x:c r="K440" s="373"/>
      <x:c r="L440" s="373"/>
      <x:c r="M440" s="373"/>
      <x:c r="N440" s="373"/>
      <x:c r="O440" s="373"/>
      <x:c r="P440" s="373"/>
      <x:c r="Q440" s="373"/>
      <x:c r="R440" s="373"/>
      <x:c r="S440" s="373"/>
      <x:c r="T440" s="373"/>
      <x:c r="U440" s="373"/>
      <x:c r="V440" s="373"/>
      <x:c r="W440" s="373"/>
      <x:c r="X440" s="373"/>
      <x:c r="Y440" s="373"/>
      <x:c r="Z440" s="373"/>
    </x:row>
    <x:row r="441">
      <x:c r="A441" s="373"/>
      <x:c r="B441" s="373"/>
      <x:c r="C441" s="373"/>
      <x:c r="D441" s="373"/>
      <x:c r="E441" s="373"/>
      <x:c r="F441" s="373"/>
      <x:c r="G441" s="373"/>
      <x:c r="H441" s="373"/>
      <x:c r="I441" s="373"/>
      <x:c r="J441" s="373"/>
      <x:c r="K441" s="373"/>
      <x:c r="L441" s="373"/>
      <x:c r="M441" s="373"/>
      <x:c r="N441" s="373"/>
      <x:c r="O441" s="373"/>
      <x:c r="P441" s="373"/>
      <x:c r="Q441" s="373"/>
      <x:c r="R441" s="373"/>
      <x:c r="S441" s="373"/>
      <x:c r="T441" s="373"/>
      <x:c r="U441" s="373"/>
      <x:c r="V441" s="373"/>
      <x:c r="W441" s="373"/>
      <x:c r="X441" s="373"/>
      <x:c r="Y441" s="373"/>
      <x:c r="Z441" s="373"/>
    </x:row>
    <x:row r="442">
      <x:c r="A442" s="373"/>
      <x:c r="B442" s="373"/>
      <x:c r="C442" s="373"/>
      <x:c r="D442" s="373"/>
      <x:c r="E442" s="373"/>
      <x:c r="F442" s="373"/>
      <x:c r="G442" s="373"/>
      <x:c r="H442" s="373"/>
      <x:c r="I442" s="373"/>
      <x:c r="J442" s="373"/>
      <x:c r="K442" s="373"/>
      <x:c r="L442" s="373"/>
      <x:c r="M442" s="373"/>
      <x:c r="N442" s="373"/>
      <x:c r="O442" s="373"/>
      <x:c r="P442" s="373"/>
      <x:c r="Q442" s="373"/>
      <x:c r="R442" s="373"/>
      <x:c r="S442" s="373"/>
      <x:c r="T442" s="373"/>
      <x:c r="U442" s="373"/>
      <x:c r="V442" s="373"/>
      <x:c r="W442" s="373"/>
      <x:c r="X442" s="373"/>
      <x:c r="Y442" s="373"/>
      <x:c r="Z442" s="373"/>
    </x:row>
    <x:row r="443">
      <x:c r="A443" s="373"/>
      <x:c r="B443" s="373"/>
      <x:c r="C443" s="373"/>
      <x:c r="D443" s="373"/>
      <x:c r="E443" s="373"/>
      <x:c r="F443" s="373"/>
      <x:c r="G443" s="373"/>
      <x:c r="H443" s="373"/>
      <x:c r="I443" s="373"/>
      <x:c r="J443" s="373"/>
      <x:c r="K443" s="373"/>
      <x:c r="L443" s="373"/>
      <x:c r="M443" s="373"/>
      <x:c r="N443" s="373"/>
      <x:c r="O443" s="373"/>
      <x:c r="P443" s="373"/>
      <x:c r="Q443" s="373"/>
      <x:c r="R443" s="373"/>
      <x:c r="S443" s="373"/>
      <x:c r="T443" s="373"/>
      <x:c r="U443" s="373"/>
      <x:c r="V443" s="373"/>
      <x:c r="W443" s="373"/>
      <x:c r="X443" s="373"/>
      <x:c r="Y443" s="373"/>
      <x:c r="Z443" s="373"/>
    </x:row>
    <x:row r="444">
      <x:c r="A444" s="373"/>
      <x:c r="B444" s="373"/>
      <x:c r="C444" s="373"/>
      <x:c r="D444" s="373"/>
      <x:c r="E444" s="373"/>
      <x:c r="F444" s="373"/>
      <x:c r="G444" s="373"/>
      <x:c r="H444" s="373"/>
      <x:c r="I444" s="373"/>
      <x:c r="J444" s="373"/>
      <x:c r="K444" s="373"/>
      <x:c r="L444" s="373"/>
      <x:c r="M444" s="373"/>
      <x:c r="N444" s="373"/>
      <x:c r="O444" s="373"/>
      <x:c r="P444" s="373"/>
      <x:c r="Q444" s="373"/>
      <x:c r="R444" s="373"/>
      <x:c r="S444" s="373"/>
      <x:c r="T444" s="373"/>
      <x:c r="U444" s="373"/>
      <x:c r="V444" s="373"/>
      <x:c r="W444" s="373"/>
      <x:c r="X444" s="373"/>
      <x:c r="Y444" s="373"/>
      <x:c r="Z444" s="373"/>
    </x:row>
    <x:row r="445">
      <x:c r="A445" s="373"/>
      <x:c r="B445" s="373"/>
      <x:c r="C445" s="373"/>
      <x:c r="D445" s="373"/>
      <x:c r="E445" s="373"/>
      <x:c r="F445" s="373"/>
      <x:c r="G445" s="373"/>
      <x:c r="H445" s="373"/>
      <x:c r="I445" s="373"/>
      <x:c r="J445" s="373"/>
      <x:c r="K445" s="373"/>
      <x:c r="L445" s="373"/>
      <x:c r="M445" s="373"/>
      <x:c r="N445" s="373"/>
      <x:c r="O445" s="373"/>
      <x:c r="P445" s="373"/>
      <x:c r="Q445" s="373"/>
      <x:c r="R445" s="373"/>
      <x:c r="S445" s="373"/>
      <x:c r="T445" s="373"/>
      <x:c r="U445" s="373"/>
      <x:c r="V445" s="373"/>
      <x:c r="W445" s="373"/>
      <x:c r="X445" s="373"/>
      <x:c r="Y445" s="373"/>
      <x:c r="Z445" s="373"/>
    </x:row>
    <x:row r="446">
      <x:c r="A446" s="373"/>
      <x:c r="B446" s="373"/>
      <x:c r="C446" s="373"/>
      <x:c r="D446" s="373"/>
      <x:c r="E446" s="373"/>
      <x:c r="F446" s="373"/>
      <x:c r="G446" s="373"/>
      <x:c r="H446" s="373"/>
      <x:c r="I446" s="373"/>
      <x:c r="J446" s="373"/>
      <x:c r="K446" s="373"/>
      <x:c r="L446" s="373"/>
      <x:c r="M446" s="373"/>
      <x:c r="N446" s="373"/>
      <x:c r="O446" s="373"/>
      <x:c r="P446" s="373"/>
      <x:c r="Q446" s="373"/>
      <x:c r="R446" s="373"/>
      <x:c r="S446" s="373"/>
      <x:c r="T446" s="373"/>
      <x:c r="U446" s="373"/>
      <x:c r="V446" s="373"/>
      <x:c r="W446" s="373"/>
      <x:c r="X446" s="373"/>
      <x:c r="Y446" s="373"/>
      <x:c r="Z446" s="373"/>
    </x:row>
    <x:row r="447">
      <x:c r="A447" s="373"/>
      <x:c r="B447" s="373"/>
      <x:c r="C447" s="373"/>
      <x:c r="D447" s="373"/>
      <x:c r="E447" s="373"/>
      <x:c r="F447" s="373"/>
      <x:c r="G447" s="373"/>
      <x:c r="H447" s="373"/>
      <x:c r="I447" s="373"/>
      <x:c r="J447" s="373"/>
      <x:c r="K447" s="373"/>
      <x:c r="L447" s="373"/>
      <x:c r="M447" s="373"/>
      <x:c r="N447" s="373"/>
      <x:c r="O447" s="373"/>
      <x:c r="P447" s="373"/>
      <x:c r="Q447" s="373"/>
      <x:c r="R447" s="373"/>
      <x:c r="S447" s="373"/>
      <x:c r="T447" s="373"/>
      <x:c r="U447" s="373"/>
      <x:c r="V447" s="373"/>
      <x:c r="W447" s="373"/>
      <x:c r="X447" s="373"/>
      <x:c r="Y447" s="373"/>
      <x:c r="Z447" s="373"/>
    </x:row>
    <x:row r="448">
      <x:c r="A448" s="373"/>
      <x:c r="B448" s="373"/>
      <x:c r="C448" s="373"/>
      <x:c r="D448" s="373"/>
      <x:c r="E448" s="373"/>
      <x:c r="F448" s="373"/>
      <x:c r="G448" s="373"/>
      <x:c r="H448" s="373"/>
      <x:c r="I448" s="373"/>
      <x:c r="J448" s="373"/>
      <x:c r="K448" s="373"/>
      <x:c r="L448" s="373"/>
      <x:c r="M448" s="373"/>
      <x:c r="N448" s="373"/>
      <x:c r="O448" s="373"/>
      <x:c r="P448" s="373"/>
      <x:c r="Q448" s="373"/>
      <x:c r="R448" s="373"/>
      <x:c r="S448" s="373"/>
      <x:c r="T448" s="373"/>
      <x:c r="U448" s="373"/>
      <x:c r="V448" s="373"/>
      <x:c r="W448" s="373"/>
      <x:c r="X448" s="373"/>
      <x:c r="Y448" s="373"/>
      <x:c r="Z448" s="373"/>
    </x:row>
    <x:row r="449">
      <x:c r="A449" s="373"/>
      <x:c r="B449" s="373"/>
      <x:c r="C449" s="373"/>
      <x:c r="D449" s="373"/>
      <x:c r="E449" s="373"/>
      <x:c r="F449" s="373"/>
      <x:c r="G449" s="373"/>
      <x:c r="H449" s="373"/>
      <x:c r="I449" s="373"/>
      <x:c r="J449" s="373"/>
      <x:c r="K449" s="373"/>
      <x:c r="L449" s="373"/>
      <x:c r="M449" s="373"/>
      <x:c r="N449" s="373"/>
      <x:c r="O449" s="373"/>
      <x:c r="P449" s="373"/>
      <x:c r="Q449" s="373"/>
      <x:c r="R449" s="373"/>
      <x:c r="S449" s="373"/>
      <x:c r="T449" s="373"/>
      <x:c r="U449" s="373"/>
      <x:c r="V449" s="373"/>
      <x:c r="W449" s="373"/>
      <x:c r="X449" s="373"/>
      <x:c r="Y449" s="373"/>
      <x:c r="Z449" s="373"/>
    </x:row>
    <x:row r="450">
      <x:c r="A450" s="373"/>
      <x:c r="B450" s="373"/>
      <x:c r="C450" s="373"/>
      <x:c r="D450" s="373"/>
      <x:c r="E450" s="373"/>
      <x:c r="F450" s="373"/>
      <x:c r="G450" s="373"/>
      <x:c r="H450" s="373"/>
      <x:c r="I450" s="373"/>
      <x:c r="J450" s="373"/>
      <x:c r="K450" s="373"/>
      <x:c r="L450" s="373"/>
      <x:c r="M450" s="373"/>
      <x:c r="N450" s="373"/>
      <x:c r="O450" s="373"/>
      <x:c r="P450" s="373"/>
      <x:c r="Q450" s="373"/>
      <x:c r="R450" s="373"/>
      <x:c r="S450" s="373"/>
      <x:c r="T450" s="373"/>
      <x:c r="U450" s="373"/>
      <x:c r="V450" s="373"/>
      <x:c r="W450" s="373"/>
      <x:c r="X450" s="373"/>
      <x:c r="Y450" s="373"/>
      <x:c r="Z450" s="373"/>
    </x:row>
    <x:row r="451">
      <x:c r="A451" s="373"/>
      <x:c r="B451" s="373"/>
      <x:c r="C451" s="373"/>
      <x:c r="D451" s="373"/>
      <x:c r="E451" s="373"/>
      <x:c r="F451" s="373"/>
      <x:c r="G451" s="373"/>
      <x:c r="H451" s="373"/>
      <x:c r="I451" s="373"/>
      <x:c r="J451" s="373"/>
      <x:c r="K451" s="373"/>
      <x:c r="L451" s="373"/>
      <x:c r="M451" s="373"/>
      <x:c r="N451" s="373"/>
      <x:c r="O451" s="373"/>
      <x:c r="P451" s="373"/>
      <x:c r="Q451" s="373"/>
      <x:c r="R451" s="373"/>
      <x:c r="S451" s="373"/>
      <x:c r="T451" s="373"/>
      <x:c r="U451" s="373"/>
      <x:c r="V451" s="373"/>
      <x:c r="W451" s="373"/>
      <x:c r="X451" s="373"/>
      <x:c r="Y451" s="373"/>
      <x:c r="Z451" s="373"/>
    </x:row>
    <x:row r="452">
      <x:c r="A452" s="373"/>
      <x:c r="B452" s="373"/>
      <x:c r="C452" s="373"/>
      <x:c r="D452" s="373"/>
      <x:c r="E452" s="373"/>
      <x:c r="F452" s="373"/>
      <x:c r="G452" s="373"/>
      <x:c r="H452" s="373"/>
      <x:c r="I452" s="373"/>
      <x:c r="J452" s="373"/>
      <x:c r="K452" s="373"/>
      <x:c r="L452" s="373"/>
      <x:c r="M452" s="373"/>
      <x:c r="N452" s="373"/>
      <x:c r="O452" s="373"/>
      <x:c r="P452" s="373"/>
      <x:c r="Q452" s="373"/>
      <x:c r="R452" s="373"/>
      <x:c r="S452" s="373"/>
      <x:c r="T452" s="373"/>
      <x:c r="U452" s="373"/>
      <x:c r="V452" s="373"/>
      <x:c r="W452" s="373"/>
      <x:c r="X452" s="373"/>
      <x:c r="Y452" s="373"/>
      <x:c r="Z452" s="373"/>
    </x:row>
    <x:row r="453">
      <x:c r="A453" s="373"/>
      <x:c r="B453" s="373"/>
      <x:c r="C453" s="373"/>
      <x:c r="D453" s="373"/>
      <x:c r="E453" s="373"/>
      <x:c r="F453" s="373"/>
      <x:c r="G453" s="373"/>
      <x:c r="H453" s="373"/>
      <x:c r="I453" s="373"/>
      <x:c r="J453" s="373"/>
      <x:c r="K453" s="373"/>
      <x:c r="L453" s="373"/>
      <x:c r="M453" s="373"/>
      <x:c r="N453" s="373"/>
      <x:c r="O453" s="373"/>
      <x:c r="P453" s="373"/>
      <x:c r="Q453" s="373"/>
      <x:c r="R453" s="373"/>
      <x:c r="S453" s="373"/>
      <x:c r="T453" s="373"/>
      <x:c r="U453" s="373"/>
      <x:c r="V453" s="373"/>
      <x:c r="W453" s="373"/>
      <x:c r="X453" s="373"/>
      <x:c r="Y453" s="373"/>
      <x:c r="Z453" s="373"/>
    </x:row>
    <x:row r="454">
      <x:c r="A454" s="373"/>
      <x:c r="B454" s="373"/>
      <x:c r="C454" s="373"/>
      <x:c r="D454" s="373"/>
      <x:c r="E454" s="373"/>
      <x:c r="F454" s="373"/>
      <x:c r="G454" s="373"/>
      <x:c r="H454" s="373"/>
      <x:c r="I454" s="373"/>
      <x:c r="J454" s="373"/>
      <x:c r="K454" s="373"/>
      <x:c r="L454" s="373"/>
      <x:c r="M454" s="373"/>
      <x:c r="N454" s="373"/>
      <x:c r="O454" s="373"/>
      <x:c r="P454" s="373"/>
      <x:c r="Q454" s="373"/>
      <x:c r="R454" s="373"/>
      <x:c r="S454" s="373"/>
      <x:c r="T454" s="373"/>
      <x:c r="U454" s="373"/>
      <x:c r="V454" s="373"/>
      <x:c r="W454" s="373"/>
      <x:c r="X454" s="373"/>
      <x:c r="Y454" s="373"/>
      <x:c r="Z454" s="373"/>
    </x:row>
    <x:row r="455">
      <x:c r="A455" s="373"/>
      <x:c r="B455" s="373"/>
      <x:c r="C455" s="373"/>
      <x:c r="D455" s="373"/>
      <x:c r="E455" s="373"/>
      <x:c r="F455" s="373"/>
      <x:c r="G455" s="373"/>
      <x:c r="H455" s="373"/>
      <x:c r="I455" s="373"/>
      <x:c r="J455" s="373"/>
      <x:c r="K455" s="373"/>
      <x:c r="L455" s="373"/>
      <x:c r="M455" s="373"/>
      <x:c r="N455" s="373"/>
      <x:c r="O455" s="373"/>
      <x:c r="P455" s="373"/>
      <x:c r="Q455" s="373"/>
      <x:c r="R455" s="373"/>
      <x:c r="S455" s="373"/>
      <x:c r="T455" s="373"/>
      <x:c r="U455" s="373"/>
      <x:c r="V455" s="373"/>
      <x:c r="W455" s="373"/>
      <x:c r="X455" s="373"/>
      <x:c r="Y455" s="373"/>
      <x:c r="Z455" s="373"/>
    </x:row>
    <x:row r="456">
      <x:c r="A456" s="373"/>
      <x:c r="B456" s="373"/>
      <x:c r="C456" s="373"/>
      <x:c r="D456" s="373"/>
      <x:c r="E456" s="373"/>
      <x:c r="F456" s="373"/>
      <x:c r="G456" s="373"/>
      <x:c r="H456" s="373"/>
      <x:c r="I456" s="373"/>
      <x:c r="J456" s="373"/>
      <x:c r="K456" s="373"/>
      <x:c r="L456" s="373"/>
      <x:c r="M456" s="373"/>
      <x:c r="N456" s="373"/>
      <x:c r="O456" s="373"/>
      <x:c r="P456" s="373"/>
      <x:c r="Q456" s="373"/>
      <x:c r="R456" s="373"/>
      <x:c r="S456" s="373"/>
      <x:c r="T456" s="373"/>
      <x:c r="U456" s="373"/>
      <x:c r="V456" s="373"/>
      <x:c r="W456" s="373"/>
      <x:c r="X456" s="373"/>
      <x:c r="Y456" s="373"/>
      <x:c r="Z456" s="373"/>
    </x:row>
    <x:row r="457">
      <x:c r="A457" s="373"/>
      <x:c r="B457" s="373"/>
      <x:c r="C457" s="373"/>
      <x:c r="D457" s="373"/>
      <x:c r="E457" s="373"/>
      <x:c r="F457" s="373"/>
      <x:c r="G457" s="373"/>
      <x:c r="H457" s="373"/>
      <x:c r="I457" s="373"/>
      <x:c r="J457" s="373"/>
      <x:c r="K457" s="373"/>
      <x:c r="L457" s="373"/>
      <x:c r="M457" s="373"/>
      <x:c r="N457" s="373"/>
      <x:c r="O457" s="373"/>
      <x:c r="P457" s="373"/>
      <x:c r="Q457" s="373"/>
      <x:c r="R457" s="373"/>
      <x:c r="S457" s="373"/>
      <x:c r="T457" s="373"/>
      <x:c r="U457" s="373"/>
      <x:c r="V457" s="373"/>
      <x:c r="W457" s="373"/>
      <x:c r="X457" s="373"/>
      <x:c r="Y457" s="373"/>
      <x:c r="Z457" s="373"/>
    </x:row>
    <x:row r="458">
      <x:c r="A458" s="373"/>
      <x:c r="B458" s="373"/>
      <x:c r="C458" s="373"/>
      <x:c r="D458" s="373"/>
      <x:c r="E458" s="373"/>
      <x:c r="F458" s="373"/>
      <x:c r="G458" s="373"/>
      <x:c r="H458" s="373"/>
      <x:c r="I458" s="373"/>
      <x:c r="J458" s="373"/>
      <x:c r="K458" s="373"/>
      <x:c r="L458" s="373"/>
      <x:c r="M458" s="373"/>
      <x:c r="N458" s="373"/>
      <x:c r="O458" s="373"/>
      <x:c r="P458" s="373"/>
      <x:c r="Q458" s="373"/>
      <x:c r="R458" s="373"/>
      <x:c r="S458" s="373"/>
      <x:c r="T458" s="373"/>
      <x:c r="U458" s="373"/>
      <x:c r="V458" s="373"/>
      <x:c r="W458" s="373"/>
      <x:c r="X458" s="373"/>
      <x:c r="Y458" s="373"/>
      <x:c r="Z458" s="373"/>
    </x:row>
    <x:row r="459">
      <x:c r="A459" s="373"/>
      <x:c r="B459" s="373"/>
      <x:c r="C459" s="373"/>
      <x:c r="D459" s="373"/>
      <x:c r="E459" s="373"/>
      <x:c r="F459" s="373"/>
      <x:c r="G459" s="373"/>
      <x:c r="H459" s="373"/>
      <x:c r="I459" s="373"/>
      <x:c r="J459" s="373"/>
      <x:c r="K459" s="373"/>
      <x:c r="L459" s="373"/>
      <x:c r="M459" s="373"/>
      <x:c r="N459" s="373"/>
      <x:c r="O459" s="373"/>
      <x:c r="P459" s="373"/>
      <x:c r="Q459" s="373"/>
      <x:c r="R459" s="373"/>
      <x:c r="S459" s="373"/>
      <x:c r="T459" s="373"/>
      <x:c r="U459" s="373"/>
      <x:c r="V459" s="373"/>
      <x:c r="W459" s="373"/>
      <x:c r="X459" s="373"/>
      <x:c r="Y459" s="373"/>
      <x:c r="Z459" s="373"/>
    </x:row>
    <x:row r="460">
      <x:c r="A460" s="373"/>
      <x:c r="B460" s="373"/>
      <x:c r="C460" s="373"/>
      <x:c r="D460" s="373"/>
      <x:c r="E460" s="373"/>
      <x:c r="F460" s="373"/>
      <x:c r="G460" s="373"/>
      <x:c r="H460" s="373"/>
      <x:c r="I460" s="373"/>
      <x:c r="J460" s="373"/>
      <x:c r="K460" s="373"/>
      <x:c r="L460" s="373"/>
      <x:c r="M460" s="373"/>
      <x:c r="N460" s="373"/>
      <x:c r="O460" s="373"/>
      <x:c r="P460" s="373"/>
      <x:c r="Q460" s="373"/>
      <x:c r="R460" s="373"/>
      <x:c r="S460" s="373"/>
      <x:c r="T460" s="373"/>
      <x:c r="U460" s="373"/>
      <x:c r="V460" s="373"/>
      <x:c r="W460" s="373"/>
      <x:c r="X460" s="373"/>
      <x:c r="Y460" s="373"/>
      <x:c r="Z460" s="373"/>
    </x:row>
    <x:row r="461">
      <x:c r="A461" s="373"/>
      <x:c r="B461" s="373"/>
      <x:c r="C461" s="373"/>
      <x:c r="D461" s="373"/>
      <x:c r="E461" s="373"/>
      <x:c r="F461" s="373"/>
      <x:c r="G461" s="373"/>
      <x:c r="H461" s="373"/>
      <x:c r="I461" s="373"/>
      <x:c r="J461" s="373"/>
      <x:c r="K461" s="373"/>
      <x:c r="L461" s="373"/>
      <x:c r="M461" s="373"/>
      <x:c r="N461" s="373"/>
      <x:c r="O461" s="373"/>
      <x:c r="P461" s="373"/>
      <x:c r="Q461" s="373"/>
      <x:c r="R461" s="373"/>
      <x:c r="S461" s="373"/>
      <x:c r="T461" s="373"/>
      <x:c r="U461" s="373"/>
      <x:c r="V461" s="373"/>
      <x:c r="W461" s="373"/>
      <x:c r="X461" s="373"/>
      <x:c r="Y461" s="373"/>
      <x:c r="Z461" s="373"/>
    </x:row>
    <x:row r="462">
      <x:c r="A462" s="373"/>
      <x:c r="B462" s="373"/>
      <x:c r="C462" s="373"/>
      <x:c r="D462" s="373"/>
      <x:c r="E462" s="373"/>
      <x:c r="F462" s="373"/>
      <x:c r="G462" s="373"/>
      <x:c r="H462" s="373"/>
      <x:c r="I462" s="373"/>
      <x:c r="J462" s="373"/>
      <x:c r="K462" s="373"/>
      <x:c r="L462" s="373"/>
      <x:c r="M462" s="373"/>
      <x:c r="N462" s="373"/>
      <x:c r="O462" s="373"/>
      <x:c r="P462" s="373"/>
      <x:c r="Q462" s="373"/>
      <x:c r="R462" s="373"/>
      <x:c r="S462" s="373"/>
      <x:c r="T462" s="373"/>
      <x:c r="U462" s="373"/>
      <x:c r="V462" s="373"/>
      <x:c r="W462" s="373"/>
      <x:c r="X462" s="373"/>
      <x:c r="Y462" s="373"/>
      <x:c r="Z462" s="373"/>
    </x:row>
    <x:row r="463">
      <x:c r="A463" s="373"/>
      <x:c r="B463" s="373"/>
      <x:c r="C463" s="373"/>
      <x:c r="D463" s="373"/>
      <x:c r="E463" s="373"/>
      <x:c r="F463" s="373"/>
      <x:c r="G463" s="373"/>
      <x:c r="H463" s="373"/>
      <x:c r="I463" s="373"/>
      <x:c r="J463" s="373"/>
      <x:c r="K463" s="373"/>
      <x:c r="L463" s="373"/>
      <x:c r="M463" s="373"/>
      <x:c r="N463" s="373"/>
      <x:c r="O463" s="373"/>
      <x:c r="P463" s="373"/>
      <x:c r="Q463" s="373"/>
      <x:c r="R463" s="373"/>
      <x:c r="S463" s="373"/>
      <x:c r="T463" s="373"/>
      <x:c r="U463" s="373"/>
      <x:c r="V463" s="373"/>
      <x:c r="W463" s="373"/>
      <x:c r="X463" s="373"/>
      <x:c r="Y463" s="373"/>
      <x:c r="Z463" s="373"/>
    </x:row>
    <x:row r="464">
      <x:c r="A464" s="373"/>
      <x:c r="B464" s="373"/>
      <x:c r="C464" s="373"/>
      <x:c r="D464" s="373"/>
      <x:c r="E464" s="373"/>
      <x:c r="F464" s="373"/>
      <x:c r="G464" s="373"/>
      <x:c r="H464" s="373"/>
      <x:c r="I464" s="373"/>
      <x:c r="J464" s="373"/>
      <x:c r="K464" s="373"/>
      <x:c r="L464" s="373"/>
      <x:c r="M464" s="373"/>
      <x:c r="N464" s="373"/>
      <x:c r="O464" s="373"/>
      <x:c r="P464" s="373"/>
      <x:c r="Q464" s="373"/>
      <x:c r="R464" s="373"/>
      <x:c r="S464" s="373"/>
      <x:c r="T464" s="373"/>
      <x:c r="U464" s="373"/>
      <x:c r="V464" s="373"/>
      <x:c r="W464" s="373"/>
      <x:c r="X464" s="373"/>
      <x:c r="Y464" s="373"/>
      <x:c r="Z464" s="373"/>
    </x:row>
    <x:row r="465">
      <x:c r="A465" s="373"/>
      <x:c r="B465" s="373"/>
      <x:c r="C465" s="373"/>
      <x:c r="D465" s="373"/>
      <x:c r="E465" s="373"/>
      <x:c r="F465" s="373"/>
      <x:c r="G465" s="373"/>
      <x:c r="H465" s="373"/>
      <x:c r="I465" s="373"/>
      <x:c r="J465" s="373"/>
      <x:c r="K465" s="373"/>
      <x:c r="L465" s="373"/>
      <x:c r="M465" s="373"/>
      <x:c r="N465" s="373"/>
      <x:c r="O465" s="373"/>
      <x:c r="P465" s="373"/>
      <x:c r="Q465" s="373"/>
      <x:c r="R465" s="373"/>
      <x:c r="S465" s="373"/>
      <x:c r="T465" s="373"/>
      <x:c r="U465" s="373"/>
      <x:c r="V465" s="373"/>
      <x:c r="W465" s="373"/>
      <x:c r="X465" s="373"/>
      <x:c r="Y465" s="373"/>
      <x:c r="Z465" s="373"/>
    </x:row>
    <x:row r="466">
      <x:c r="A466" s="373"/>
      <x:c r="B466" s="373"/>
      <x:c r="C466" s="373"/>
      <x:c r="D466" s="373"/>
      <x:c r="E466" s="373"/>
      <x:c r="F466" s="373"/>
      <x:c r="G466" s="373"/>
      <x:c r="H466" s="373"/>
      <x:c r="I466" s="373"/>
      <x:c r="J466" s="373"/>
      <x:c r="K466" s="373"/>
      <x:c r="L466" s="373"/>
      <x:c r="M466" s="373"/>
      <x:c r="N466" s="373"/>
      <x:c r="O466" s="373"/>
      <x:c r="P466" s="373"/>
      <x:c r="Q466" s="373"/>
      <x:c r="R466" s="373"/>
      <x:c r="S466" s="373"/>
      <x:c r="T466" s="373"/>
      <x:c r="U466" s="373"/>
      <x:c r="V466" s="373"/>
      <x:c r="W466" s="373"/>
      <x:c r="X466" s="373"/>
      <x:c r="Y466" s="373"/>
      <x:c r="Z466" s="373"/>
    </x:row>
    <x:row r="467">
      <x:c r="A467" s="373"/>
      <x:c r="B467" s="373"/>
      <x:c r="C467" s="373"/>
      <x:c r="D467" s="373"/>
      <x:c r="E467" s="373"/>
      <x:c r="F467" s="373"/>
      <x:c r="G467" s="373"/>
      <x:c r="H467" s="373"/>
      <x:c r="I467" s="373"/>
      <x:c r="J467" s="373"/>
      <x:c r="K467" s="373"/>
      <x:c r="L467" s="373"/>
      <x:c r="M467" s="373"/>
      <x:c r="N467" s="373"/>
      <x:c r="O467" s="373"/>
      <x:c r="P467" s="373"/>
      <x:c r="Q467" s="373"/>
      <x:c r="R467" s="373"/>
      <x:c r="S467" s="373"/>
      <x:c r="T467" s="373"/>
      <x:c r="U467" s="373"/>
      <x:c r="V467" s="373"/>
      <x:c r="W467" s="373"/>
      <x:c r="X467" s="373"/>
      <x:c r="Y467" s="373"/>
      <x:c r="Z467" s="373"/>
    </x:row>
    <x:row r="468">
      <x:c r="A468" s="373"/>
      <x:c r="B468" s="373"/>
      <x:c r="C468" s="373"/>
      <x:c r="D468" s="373"/>
      <x:c r="E468" s="373"/>
      <x:c r="F468" s="373"/>
      <x:c r="G468" s="373"/>
      <x:c r="H468" s="373"/>
      <x:c r="I468" s="373"/>
      <x:c r="J468" s="373"/>
      <x:c r="K468" s="373"/>
      <x:c r="L468" s="373"/>
      <x:c r="M468" s="373"/>
      <x:c r="N468" s="373"/>
      <x:c r="O468" s="373"/>
      <x:c r="P468" s="373"/>
      <x:c r="Q468" s="373"/>
      <x:c r="R468" s="373"/>
      <x:c r="S468" s="373"/>
      <x:c r="T468" s="373"/>
      <x:c r="U468" s="373"/>
      <x:c r="V468" s="373"/>
      <x:c r="W468" s="373"/>
      <x:c r="X468" s="373"/>
      <x:c r="Y468" s="373"/>
      <x:c r="Z468" s="373"/>
    </x:row>
    <x:row r="469">
      <x:c r="A469" s="373"/>
      <x:c r="B469" s="373"/>
      <x:c r="C469" s="373"/>
      <x:c r="D469" s="373"/>
      <x:c r="E469" s="373"/>
      <x:c r="F469" s="373"/>
      <x:c r="G469" s="373"/>
      <x:c r="H469" s="373"/>
      <x:c r="I469" s="373"/>
      <x:c r="J469" s="373"/>
      <x:c r="K469" s="373"/>
      <x:c r="L469" s="373"/>
      <x:c r="M469" s="373"/>
      <x:c r="N469" s="373"/>
      <x:c r="O469" s="373"/>
      <x:c r="P469" s="373"/>
      <x:c r="Q469" s="373"/>
      <x:c r="R469" s="373"/>
      <x:c r="S469" s="373"/>
      <x:c r="T469" s="373"/>
      <x:c r="U469" s="373"/>
      <x:c r="V469" s="373"/>
      <x:c r="W469" s="373"/>
      <x:c r="X469" s="373"/>
      <x:c r="Y469" s="373"/>
      <x:c r="Z469" s="373"/>
    </x:row>
    <x:row r="470">
      <x:c r="A470" s="373"/>
      <x:c r="B470" s="373"/>
      <x:c r="C470" s="373"/>
      <x:c r="D470" s="373"/>
      <x:c r="E470" s="373"/>
      <x:c r="F470" s="373"/>
      <x:c r="G470" s="373"/>
      <x:c r="H470" s="373"/>
      <x:c r="I470" s="373"/>
      <x:c r="J470" s="373"/>
      <x:c r="K470" s="373"/>
      <x:c r="L470" s="373"/>
      <x:c r="M470" s="373"/>
      <x:c r="N470" s="373"/>
      <x:c r="O470" s="373"/>
      <x:c r="P470" s="373"/>
      <x:c r="Q470" s="373"/>
      <x:c r="R470" s="373"/>
      <x:c r="S470" s="373"/>
      <x:c r="T470" s="373"/>
      <x:c r="U470" s="373"/>
      <x:c r="V470" s="373"/>
      <x:c r="W470" s="373"/>
      <x:c r="X470" s="373"/>
      <x:c r="Y470" s="373"/>
      <x:c r="Z470" s="373"/>
    </x:row>
    <x:row r="471">
      <x:c r="A471" s="373"/>
      <x:c r="B471" s="373"/>
      <x:c r="C471" s="373"/>
      <x:c r="D471" s="373"/>
      <x:c r="E471" s="373"/>
      <x:c r="F471" s="373"/>
      <x:c r="G471" s="373"/>
      <x:c r="H471" s="373"/>
      <x:c r="I471" s="373"/>
      <x:c r="J471" s="373"/>
      <x:c r="K471" s="373"/>
      <x:c r="L471" s="373"/>
      <x:c r="M471" s="373"/>
      <x:c r="N471" s="373"/>
      <x:c r="O471" s="373"/>
      <x:c r="P471" s="373"/>
      <x:c r="Q471" s="373"/>
      <x:c r="R471" s="373"/>
      <x:c r="S471" s="373"/>
      <x:c r="T471" s="373"/>
      <x:c r="U471" s="373"/>
      <x:c r="V471" s="373"/>
      <x:c r="W471" s="373"/>
      <x:c r="X471" s="373"/>
      <x:c r="Y471" s="373"/>
      <x:c r="Z471" s="373"/>
    </x:row>
    <x:row r="472">
      <x:c r="A472" s="373"/>
      <x:c r="B472" s="373"/>
      <x:c r="C472" s="373"/>
      <x:c r="D472" s="373"/>
      <x:c r="E472" s="373"/>
      <x:c r="F472" s="373"/>
      <x:c r="G472" s="373"/>
      <x:c r="H472" s="373"/>
      <x:c r="I472" s="373"/>
      <x:c r="J472" s="373"/>
      <x:c r="K472" s="373"/>
      <x:c r="L472" s="373"/>
      <x:c r="M472" s="373"/>
      <x:c r="N472" s="373"/>
      <x:c r="O472" s="373"/>
      <x:c r="P472" s="373"/>
      <x:c r="Q472" s="373"/>
      <x:c r="R472" s="373"/>
      <x:c r="S472" s="373"/>
      <x:c r="T472" s="373"/>
      <x:c r="U472" s="373"/>
      <x:c r="V472" s="373"/>
      <x:c r="W472" s="373"/>
      <x:c r="X472" s="373"/>
      <x:c r="Y472" s="373"/>
      <x:c r="Z472" s="373"/>
    </x:row>
    <x:row r="473">
      <x:c r="A473" s="373"/>
      <x:c r="B473" s="373"/>
      <x:c r="C473" s="373"/>
      <x:c r="D473" s="373"/>
      <x:c r="E473" s="373"/>
      <x:c r="F473" s="373"/>
      <x:c r="G473" s="373"/>
      <x:c r="H473" s="373"/>
      <x:c r="I473" s="373"/>
      <x:c r="J473" s="373"/>
      <x:c r="K473" s="373"/>
      <x:c r="L473" s="373"/>
      <x:c r="M473" s="373"/>
      <x:c r="N473" s="373"/>
      <x:c r="O473" s="373"/>
      <x:c r="P473" s="373"/>
      <x:c r="Q473" s="373"/>
      <x:c r="R473" s="373"/>
      <x:c r="S473" s="373"/>
      <x:c r="T473" s="373"/>
      <x:c r="U473" s="373"/>
      <x:c r="V473" s="373"/>
      <x:c r="W473" s="373"/>
      <x:c r="X473" s="373"/>
      <x:c r="Y473" s="373"/>
      <x:c r="Z473" s="373"/>
    </x:row>
    <x:row r="474">
      <x:c r="A474" s="373"/>
      <x:c r="B474" s="373"/>
      <x:c r="C474" s="373"/>
      <x:c r="D474" s="373"/>
      <x:c r="E474" s="373"/>
      <x:c r="F474" s="373"/>
      <x:c r="G474" s="373"/>
      <x:c r="H474" s="373"/>
      <x:c r="I474" s="373"/>
      <x:c r="J474" s="373"/>
      <x:c r="K474" s="373"/>
      <x:c r="L474" s="373"/>
      <x:c r="M474" s="373"/>
      <x:c r="N474" s="373"/>
      <x:c r="O474" s="373"/>
      <x:c r="P474" s="373"/>
      <x:c r="Q474" s="373"/>
      <x:c r="R474" s="373"/>
      <x:c r="S474" s="373"/>
      <x:c r="T474" s="373"/>
      <x:c r="U474" s="373"/>
      <x:c r="V474" s="373"/>
      <x:c r="W474" s="373"/>
      <x:c r="X474" s="373"/>
      <x:c r="Y474" s="373"/>
      <x:c r="Z474" s="373"/>
    </x:row>
    <x:row r="475">
      <x:c r="A475" s="373"/>
      <x:c r="B475" s="373"/>
      <x:c r="C475" s="373"/>
      <x:c r="D475" s="373"/>
      <x:c r="E475" s="373"/>
      <x:c r="F475" s="373"/>
      <x:c r="G475" s="373"/>
      <x:c r="H475" s="373"/>
      <x:c r="I475" s="373"/>
      <x:c r="J475" s="373"/>
      <x:c r="K475" s="373"/>
      <x:c r="L475" s="373"/>
      <x:c r="M475" s="373"/>
      <x:c r="N475" s="373"/>
      <x:c r="O475" s="373"/>
      <x:c r="P475" s="373"/>
      <x:c r="Q475" s="373"/>
      <x:c r="R475" s="373"/>
      <x:c r="S475" s="373"/>
      <x:c r="T475" s="373"/>
      <x:c r="U475" s="373"/>
      <x:c r="V475" s="373"/>
      <x:c r="W475" s="373"/>
      <x:c r="X475" s="373"/>
      <x:c r="Y475" s="373"/>
      <x:c r="Z475" s="373"/>
    </x:row>
    <x:row r="476">
      <x:c r="A476" s="373"/>
      <x:c r="B476" s="373"/>
      <x:c r="C476" s="373"/>
      <x:c r="D476" s="373"/>
      <x:c r="E476" s="373"/>
      <x:c r="F476" s="373"/>
      <x:c r="G476" s="373"/>
      <x:c r="H476" s="373"/>
      <x:c r="I476" s="373"/>
      <x:c r="J476" s="373"/>
      <x:c r="K476" s="373"/>
      <x:c r="L476" s="373"/>
      <x:c r="M476" s="373"/>
      <x:c r="N476" s="373"/>
      <x:c r="O476" s="373"/>
      <x:c r="P476" s="373"/>
      <x:c r="Q476" s="373"/>
      <x:c r="R476" s="373"/>
      <x:c r="S476" s="373"/>
      <x:c r="T476" s="373"/>
      <x:c r="U476" s="373"/>
      <x:c r="V476" s="373"/>
      <x:c r="W476" s="373"/>
      <x:c r="X476" s="373"/>
      <x:c r="Y476" s="373"/>
      <x:c r="Z476" s="373"/>
    </x:row>
    <x:row r="477">
      <x:c r="A477" s="373"/>
      <x:c r="B477" s="373"/>
      <x:c r="C477" s="373"/>
      <x:c r="D477" s="373"/>
      <x:c r="E477" s="373"/>
      <x:c r="F477" s="373"/>
      <x:c r="G477" s="373"/>
      <x:c r="H477" s="373"/>
      <x:c r="I477" s="373"/>
      <x:c r="J477" s="373"/>
      <x:c r="K477" s="373"/>
      <x:c r="L477" s="373"/>
      <x:c r="M477" s="373"/>
      <x:c r="N477" s="373"/>
      <x:c r="O477" s="373"/>
      <x:c r="P477" s="373"/>
      <x:c r="Q477" s="373"/>
      <x:c r="R477" s="373"/>
      <x:c r="S477" s="373"/>
      <x:c r="T477" s="373"/>
      <x:c r="U477" s="373"/>
      <x:c r="V477" s="373"/>
      <x:c r="W477" s="373"/>
      <x:c r="X477" s="373"/>
      <x:c r="Y477" s="373"/>
      <x:c r="Z477" s="373"/>
    </x:row>
    <x:row r="478">
      <x:c r="A478" s="373"/>
      <x:c r="B478" s="373"/>
      <x:c r="C478" s="373"/>
      <x:c r="D478" s="373"/>
      <x:c r="E478" s="373"/>
      <x:c r="F478" s="373"/>
      <x:c r="G478" s="373"/>
      <x:c r="H478" s="373"/>
      <x:c r="I478" s="373"/>
      <x:c r="J478" s="373"/>
      <x:c r="K478" s="373"/>
      <x:c r="L478" s="373"/>
      <x:c r="M478" s="373"/>
      <x:c r="N478" s="373"/>
      <x:c r="O478" s="373"/>
      <x:c r="P478" s="373"/>
      <x:c r="Q478" s="373"/>
      <x:c r="R478" s="373"/>
      <x:c r="S478" s="373"/>
      <x:c r="T478" s="373"/>
      <x:c r="U478" s="373"/>
      <x:c r="V478" s="373"/>
      <x:c r="W478" s="373"/>
      <x:c r="X478" s="373"/>
      <x:c r="Y478" s="373"/>
      <x:c r="Z478" s="373"/>
    </x:row>
    <x:row r="479">
      <x:c r="A479" s="373"/>
      <x:c r="B479" s="373"/>
      <x:c r="C479" s="373"/>
      <x:c r="D479" s="373"/>
      <x:c r="E479" s="373"/>
      <x:c r="F479" s="373"/>
      <x:c r="G479" s="373"/>
      <x:c r="H479" s="373"/>
      <x:c r="I479" s="373"/>
      <x:c r="J479" s="373"/>
      <x:c r="K479" s="373"/>
      <x:c r="L479" s="373"/>
      <x:c r="M479" s="373"/>
      <x:c r="N479" s="373"/>
      <x:c r="O479" s="373"/>
      <x:c r="P479" s="373"/>
      <x:c r="Q479" s="373"/>
      <x:c r="R479" s="373"/>
      <x:c r="S479" s="373"/>
      <x:c r="T479" s="373"/>
      <x:c r="U479" s="373"/>
      <x:c r="V479" s="373"/>
      <x:c r="W479" s="373"/>
      <x:c r="X479" s="373"/>
      <x:c r="Y479" s="373"/>
      <x:c r="Z479" s="373"/>
    </x:row>
    <x:row r="480">
      <x:c r="A480" s="373"/>
      <x:c r="B480" s="373"/>
      <x:c r="C480" s="373"/>
      <x:c r="D480" s="373"/>
      <x:c r="E480" s="373"/>
      <x:c r="F480" s="373"/>
      <x:c r="G480" s="373"/>
      <x:c r="H480" s="373"/>
      <x:c r="I480" s="373"/>
      <x:c r="J480" s="373"/>
      <x:c r="K480" s="373"/>
      <x:c r="L480" s="373"/>
      <x:c r="M480" s="373"/>
      <x:c r="N480" s="373"/>
      <x:c r="O480" s="373"/>
      <x:c r="P480" s="373"/>
      <x:c r="Q480" s="373"/>
      <x:c r="R480" s="373"/>
      <x:c r="S480" s="373"/>
      <x:c r="T480" s="373"/>
      <x:c r="U480" s="373"/>
      <x:c r="V480" s="373"/>
      <x:c r="W480" s="373"/>
      <x:c r="X480" s="373"/>
      <x:c r="Y480" s="373"/>
      <x:c r="Z480" s="373"/>
    </x:row>
    <x:row r="481">
      <x:c r="A481" s="373"/>
      <x:c r="B481" s="373"/>
      <x:c r="C481" s="373"/>
      <x:c r="D481" s="373"/>
      <x:c r="E481" s="373"/>
      <x:c r="F481" s="373"/>
      <x:c r="G481" s="373"/>
      <x:c r="H481" s="373"/>
      <x:c r="I481" s="373"/>
      <x:c r="J481" s="373"/>
      <x:c r="K481" s="373"/>
      <x:c r="L481" s="373"/>
      <x:c r="M481" s="373"/>
      <x:c r="N481" s="373"/>
      <x:c r="O481" s="373"/>
      <x:c r="P481" s="373"/>
      <x:c r="Q481" s="373"/>
      <x:c r="R481" s="373"/>
      <x:c r="S481" s="373"/>
      <x:c r="T481" s="373"/>
      <x:c r="U481" s="373"/>
      <x:c r="V481" s="373"/>
      <x:c r="W481" s="373"/>
      <x:c r="X481" s="373"/>
      <x:c r="Y481" s="373"/>
      <x:c r="Z481" s="373"/>
    </x:row>
    <x:row r="482">
      <x:c r="A482" s="373"/>
      <x:c r="B482" s="373"/>
      <x:c r="C482" s="373"/>
      <x:c r="D482" s="373"/>
      <x:c r="E482" s="373"/>
      <x:c r="F482" s="373"/>
      <x:c r="G482" s="373"/>
      <x:c r="H482" s="373"/>
      <x:c r="I482" s="373"/>
      <x:c r="J482" s="373"/>
      <x:c r="K482" s="373"/>
      <x:c r="L482" s="373"/>
      <x:c r="M482" s="373"/>
      <x:c r="N482" s="373"/>
      <x:c r="O482" s="373"/>
      <x:c r="P482" s="373"/>
      <x:c r="Q482" s="373"/>
      <x:c r="R482" s="373"/>
      <x:c r="S482" s="373"/>
      <x:c r="T482" s="373"/>
      <x:c r="U482" s="373"/>
      <x:c r="V482" s="373"/>
      <x:c r="W482" s="373"/>
      <x:c r="X482" s="373"/>
      <x:c r="Y482" s="373"/>
      <x:c r="Z482" s="373"/>
    </x:row>
    <x:row r="483">
      <x:c r="A483" s="373"/>
      <x:c r="B483" s="373"/>
      <x:c r="C483" s="373"/>
      <x:c r="D483" s="373"/>
      <x:c r="E483" s="373"/>
      <x:c r="F483" s="373"/>
      <x:c r="G483" s="373"/>
      <x:c r="H483" s="373"/>
      <x:c r="I483" s="373"/>
      <x:c r="J483" s="373"/>
      <x:c r="K483" s="373"/>
      <x:c r="L483" s="373"/>
      <x:c r="M483" s="373"/>
      <x:c r="N483" s="373"/>
      <x:c r="O483" s="373"/>
      <x:c r="P483" s="373"/>
      <x:c r="Q483" s="373"/>
      <x:c r="R483" s="373"/>
      <x:c r="S483" s="373"/>
      <x:c r="T483" s="373"/>
      <x:c r="U483" s="373"/>
      <x:c r="V483" s="373"/>
      <x:c r="W483" s="373"/>
      <x:c r="X483" s="373"/>
      <x:c r="Y483" s="373"/>
      <x:c r="Z483" s="373"/>
    </x:row>
    <x:row r="484">
      <x:c r="A484" s="373"/>
      <x:c r="B484" s="373"/>
      <x:c r="C484" s="373"/>
      <x:c r="D484" s="373"/>
      <x:c r="E484" s="373"/>
      <x:c r="F484" s="373"/>
      <x:c r="G484" s="373"/>
      <x:c r="H484" s="373"/>
      <x:c r="I484" s="373"/>
      <x:c r="J484" s="373"/>
      <x:c r="K484" s="373"/>
      <x:c r="L484" s="373"/>
      <x:c r="M484" s="373"/>
      <x:c r="N484" s="373"/>
      <x:c r="O484" s="373"/>
      <x:c r="P484" s="373"/>
      <x:c r="Q484" s="373"/>
      <x:c r="R484" s="373"/>
      <x:c r="S484" s="373"/>
      <x:c r="T484" s="373"/>
      <x:c r="U484" s="373"/>
      <x:c r="V484" s="373"/>
      <x:c r="W484" s="373"/>
      <x:c r="X484" s="373"/>
      <x:c r="Y484" s="373"/>
      <x:c r="Z484" s="373"/>
    </x:row>
    <x:row r="485">
      <x:c r="A485" s="373"/>
      <x:c r="B485" s="373"/>
      <x:c r="C485" s="373"/>
      <x:c r="D485" s="373"/>
      <x:c r="E485" s="373"/>
      <x:c r="F485" s="373"/>
      <x:c r="G485" s="373"/>
      <x:c r="H485" s="373"/>
      <x:c r="I485" s="373"/>
      <x:c r="J485" s="373"/>
      <x:c r="K485" s="373"/>
      <x:c r="L485" s="373"/>
      <x:c r="M485" s="373"/>
      <x:c r="N485" s="373"/>
      <x:c r="O485" s="373"/>
      <x:c r="P485" s="373"/>
      <x:c r="Q485" s="373"/>
      <x:c r="R485" s="373"/>
      <x:c r="S485" s="373"/>
      <x:c r="T485" s="373"/>
      <x:c r="U485" s="373"/>
      <x:c r="V485" s="373"/>
      <x:c r="W485" s="373"/>
      <x:c r="X485" s="373"/>
      <x:c r="Y485" s="373"/>
      <x:c r="Z485" s="373"/>
    </x:row>
    <x:row r="486">
      <x:c r="A486" s="373"/>
      <x:c r="B486" s="373"/>
      <x:c r="C486" s="373"/>
      <x:c r="D486" s="373"/>
      <x:c r="E486" s="373"/>
      <x:c r="F486" s="373"/>
      <x:c r="G486" s="373"/>
      <x:c r="H486" s="373"/>
      <x:c r="I486" s="373"/>
      <x:c r="J486" s="373"/>
      <x:c r="K486" s="373"/>
      <x:c r="L486" s="373"/>
      <x:c r="M486" s="373"/>
      <x:c r="N486" s="373"/>
      <x:c r="O486" s="373"/>
      <x:c r="P486" s="373"/>
      <x:c r="Q486" s="373"/>
      <x:c r="R486" s="373"/>
      <x:c r="S486" s="373"/>
      <x:c r="T486" s="373"/>
      <x:c r="U486" s="373"/>
      <x:c r="V486" s="373"/>
      <x:c r="W486" s="373"/>
      <x:c r="X486" s="373"/>
      <x:c r="Y486" s="373"/>
      <x:c r="Z486" s="373"/>
    </x:row>
    <x:row r="487">
      <x:c r="A487" s="373"/>
      <x:c r="B487" s="373"/>
      <x:c r="C487" s="373"/>
      <x:c r="D487" s="373"/>
      <x:c r="E487" s="373"/>
      <x:c r="F487" s="373"/>
      <x:c r="G487" s="373"/>
      <x:c r="H487" s="373"/>
      <x:c r="I487" s="373"/>
      <x:c r="J487" s="373"/>
      <x:c r="K487" s="373"/>
      <x:c r="L487" s="373"/>
      <x:c r="M487" s="373"/>
      <x:c r="N487" s="373"/>
      <x:c r="O487" s="373"/>
      <x:c r="P487" s="373"/>
      <x:c r="Q487" s="373"/>
      <x:c r="R487" s="373"/>
      <x:c r="S487" s="373"/>
      <x:c r="T487" s="373"/>
      <x:c r="U487" s="373"/>
      <x:c r="V487" s="373"/>
      <x:c r="W487" s="373"/>
      <x:c r="X487" s="373"/>
      <x:c r="Y487" s="373"/>
      <x:c r="Z487" s="373"/>
    </x:row>
    <x:row r="488">
      <x:c r="A488" s="373"/>
      <x:c r="B488" s="373"/>
      <x:c r="C488" s="373"/>
      <x:c r="D488" s="373"/>
      <x:c r="E488" s="373"/>
      <x:c r="F488" s="373"/>
      <x:c r="G488" s="373"/>
      <x:c r="H488" s="373"/>
      <x:c r="I488" s="373"/>
      <x:c r="J488" s="373"/>
      <x:c r="K488" s="373"/>
      <x:c r="L488" s="373"/>
      <x:c r="M488" s="373"/>
      <x:c r="N488" s="373"/>
      <x:c r="O488" s="373"/>
      <x:c r="P488" s="373"/>
      <x:c r="Q488" s="373"/>
      <x:c r="R488" s="373"/>
      <x:c r="S488" s="373"/>
      <x:c r="T488" s="373"/>
      <x:c r="U488" s="373"/>
      <x:c r="V488" s="373"/>
      <x:c r="W488" s="373"/>
      <x:c r="X488" s="373"/>
      <x:c r="Y488" s="373"/>
      <x:c r="Z488" s="373"/>
    </x:row>
    <x:row r="489">
      <x:c r="A489" s="373"/>
      <x:c r="B489" s="373"/>
      <x:c r="C489" s="373"/>
      <x:c r="D489" s="373"/>
      <x:c r="E489" s="373"/>
      <x:c r="F489" s="373"/>
      <x:c r="G489" s="373"/>
      <x:c r="H489" s="373"/>
      <x:c r="I489" s="373"/>
      <x:c r="J489" s="373"/>
      <x:c r="K489" s="373"/>
      <x:c r="L489" s="373"/>
      <x:c r="M489" s="373"/>
      <x:c r="N489" s="373"/>
      <x:c r="O489" s="373"/>
      <x:c r="P489" s="373"/>
      <x:c r="Q489" s="373"/>
      <x:c r="R489" s="373"/>
      <x:c r="S489" s="373"/>
      <x:c r="T489" s="373"/>
      <x:c r="U489" s="373"/>
      <x:c r="V489" s="373"/>
      <x:c r="W489" s="373"/>
      <x:c r="X489" s="373"/>
      <x:c r="Y489" s="373"/>
      <x:c r="Z489" s="373"/>
    </x:row>
    <x:row r="490">
      <x:c r="A490" s="373"/>
      <x:c r="B490" s="373"/>
      <x:c r="C490" s="373"/>
      <x:c r="D490" s="373"/>
      <x:c r="E490" s="373"/>
      <x:c r="F490" s="373"/>
      <x:c r="G490" s="373"/>
      <x:c r="H490" s="373"/>
      <x:c r="I490" s="373"/>
      <x:c r="J490" s="373"/>
      <x:c r="K490" s="373"/>
      <x:c r="L490" s="373"/>
      <x:c r="M490" s="373"/>
      <x:c r="N490" s="373"/>
      <x:c r="O490" s="373"/>
      <x:c r="P490" s="373"/>
      <x:c r="Q490" s="373"/>
      <x:c r="R490" s="373"/>
      <x:c r="S490" s="373"/>
      <x:c r="T490" s="373"/>
      <x:c r="U490" s="373"/>
      <x:c r="V490" s="373"/>
      <x:c r="W490" s="373"/>
      <x:c r="X490" s="373"/>
      <x:c r="Y490" s="373"/>
      <x:c r="Z490" s="373"/>
    </x:row>
    <x:row r="491">
      <x:c r="A491" s="373"/>
      <x:c r="B491" s="373"/>
      <x:c r="C491" s="373"/>
      <x:c r="D491" s="373"/>
      <x:c r="E491" s="373"/>
      <x:c r="F491" s="373"/>
      <x:c r="G491" s="373"/>
      <x:c r="H491" s="373"/>
      <x:c r="I491" s="373"/>
      <x:c r="J491" s="373"/>
      <x:c r="K491" s="373"/>
      <x:c r="L491" s="373"/>
      <x:c r="M491" s="373"/>
      <x:c r="N491" s="373"/>
      <x:c r="O491" s="373"/>
      <x:c r="P491" s="373"/>
      <x:c r="Q491" s="373"/>
      <x:c r="R491" s="373"/>
      <x:c r="S491" s="373"/>
      <x:c r="T491" s="373"/>
      <x:c r="U491" s="373"/>
      <x:c r="V491" s="373"/>
      <x:c r="W491" s="373"/>
      <x:c r="X491" s="373"/>
      <x:c r="Y491" s="373"/>
      <x:c r="Z491" s="373"/>
    </x:row>
    <x:row r="492">
      <x:c r="A492" s="373"/>
      <x:c r="B492" s="373"/>
      <x:c r="C492" s="373"/>
      <x:c r="D492" s="373"/>
      <x:c r="E492" s="373"/>
      <x:c r="F492" s="373"/>
      <x:c r="G492" s="373"/>
      <x:c r="H492" s="373"/>
      <x:c r="I492" s="373"/>
      <x:c r="J492" s="373"/>
      <x:c r="K492" s="373"/>
      <x:c r="L492" s="373"/>
      <x:c r="M492" s="373"/>
      <x:c r="N492" s="373"/>
      <x:c r="O492" s="373"/>
      <x:c r="P492" s="373"/>
      <x:c r="Q492" s="373"/>
      <x:c r="R492" s="373"/>
      <x:c r="S492" s="373"/>
      <x:c r="T492" s="373"/>
      <x:c r="U492" s="373"/>
      <x:c r="V492" s="373"/>
      <x:c r="W492" s="373"/>
      <x:c r="X492" s="373"/>
      <x:c r="Y492" s="373"/>
      <x:c r="Z492" s="373"/>
    </x:row>
    <x:row r="493">
      <x:c r="A493" s="373"/>
      <x:c r="B493" s="373"/>
      <x:c r="C493" s="373"/>
      <x:c r="D493" s="373"/>
      <x:c r="E493" s="373"/>
      <x:c r="F493" s="373"/>
      <x:c r="G493" s="373"/>
      <x:c r="H493" s="373"/>
      <x:c r="I493" s="373"/>
      <x:c r="J493" s="373"/>
      <x:c r="K493" s="373"/>
      <x:c r="L493" s="373"/>
      <x:c r="M493" s="373"/>
      <x:c r="N493" s="373"/>
      <x:c r="O493" s="373"/>
      <x:c r="P493" s="373"/>
      <x:c r="Q493" s="373"/>
      <x:c r="R493" s="373"/>
      <x:c r="S493" s="373"/>
      <x:c r="T493" s="373"/>
      <x:c r="U493" s="373"/>
      <x:c r="V493" s="373"/>
      <x:c r="W493" s="373"/>
      <x:c r="X493" s="373"/>
      <x:c r="Y493" s="373"/>
      <x:c r="Z493" s="373"/>
    </x:row>
    <x:row r="494">
      <x:c r="A494" s="373"/>
      <x:c r="B494" s="373"/>
      <x:c r="C494" s="373"/>
      <x:c r="D494" s="373"/>
      <x:c r="E494" s="373"/>
      <x:c r="F494" s="373"/>
      <x:c r="G494" s="373"/>
      <x:c r="H494" s="373"/>
      <x:c r="I494" s="373"/>
      <x:c r="J494" s="373"/>
      <x:c r="K494" s="373"/>
      <x:c r="L494" s="373"/>
      <x:c r="M494" s="373"/>
      <x:c r="N494" s="373"/>
      <x:c r="O494" s="373"/>
      <x:c r="P494" s="373"/>
      <x:c r="Q494" s="373"/>
      <x:c r="R494" s="373"/>
      <x:c r="S494" s="373"/>
      <x:c r="T494" s="373"/>
      <x:c r="U494" s="373"/>
      <x:c r="V494" s="373"/>
      <x:c r="W494" s="373"/>
      <x:c r="X494" s="373"/>
      <x:c r="Y494" s="373"/>
      <x:c r="Z494" s="373"/>
    </x:row>
    <x:row r="495">
      <x:c r="A495" s="373"/>
      <x:c r="B495" s="373"/>
      <x:c r="C495" s="373"/>
      <x:c r="D495" s="373"/>
      <x:c r="E495" s="373"/>
      <x:c r="F495" s="373"/>
      <x:c r="G495" s="373"/>
      <x:c r="H495" s="373"/>
      <x:c r="I495" s="373"/>
      <x:c r="J495" s="373"/>
      <x:c r="K495" s="373"/>
      <x:c r="L495" s="373"/>
      <x:c r="M495" s="373"/>
      <x:c r="N495" s="373"/>
      <x:c r="O495" s="373"/>
      <x:c r="P495" s="373"/>
      <x:c r="Q495" s="373"/>
      <x:c r="R495" s="373"/>
      <x:c r="S495" s="373"/>
      <x:c r="T495" s="373"/>
      <x:c r="U495" s="373"/>
      <x:c r="V495" s="373"/>
      <x:c r="W495" s="373"/>
      <x:c r="X495" s="373"/>
      <x:c r="Y495" s="373"/>
      <x:c r="Z495" s="373"/>
    </x:row>
    <x:row r="496">
      <x:c r="A496" s="373"/>
      <x:c r="B496" s="373"/>
      <x:c r="C496" s="373"/>
      <x:c r="D496" s="373"/>
      <x:c r="E496" s="373"/>
      <x:c r="F496" s="373"/>
      <x:c r="G496" s="373"/>
      <x:c r="H496" s="373"/>
      <x:c r="I496" s="373"/>
      <x:c r="J496" s="373"/>
      <x:c r="K496" s="373"/>
      <x:c r="L496" s="373"/>
      <x:c r="M496" s="373"/>
      <x:c r="N496" s="373"/>
      <x:c r="O496" s="373"/>
      <x:c r="P496" s="373"/>
      <x:c r="Q496" s="373"/>
      <x:c r="R496" s="373"/>
      <x:c r="S496" s="373"/>
      <x:c r="T496" s="373"/>
      <x:c r="U496" s="373"/>
      <x:c r="V496" s="373"/>
      <x:c r="W496" s="373"/>
      <x:c r="X496" s="373"/>
      <x:c r="Y496" s="373"/>
      <x:c r="Z496" s="373"/>
    </x:row>
    <x:row r="497">
      <x:c r="A497" s="373"/>
      <x:c r="B497" s="373"/>
      <x:c r="C497" s="373"/>
      <x:c r="D497" s="373"/>
      <x:c r="E497" s="373"/>
      <x:c r="F497" s="373"/>
      <x:c r="G497" s="373"/>
      <x:c r="H497" s="373"/>
      <x:c r="I497" s="373"/>
      <x:c r="J497" s="373"/>
      <x:c r="K497" s="373"/>
      <x:c r="L497" s="373"/>
      <x:c r="M497" s="373"/>
      <x:c r="N497" s="373"/>
      <x:c r="O497" s="373"/>
      <x:c r="P497" s="373"/>
      <x:c r="Q497" s="373"/>
      <x:c r="R497" s="373"/>
      <x:c r="S497" s="373"/>
      <x:c r="T497" s="373"/>
      <x:c r="U497" s="373"/>
      <x:c r="V497" s="373"/>
      <x:c r="W497" s="373"/>
      <x:c r="X497" s="373"/>
      <x:c r="Y497" s="373"/>
      <x:c r="Z497" s="373"/>
    </x:row>
    <x:row r="498">
      <x:c r="A498" s="373"/>
      <x:c r="B498" s="373"/>
      <x:c r="C498" s="373"/>
      <x:c r="D498" s="373"/>
      <x:c r="E498" s="373"/>
      <x:c r="F498" s="373"/>
      <x:c r="G498" s="373"/>
      <x:c r="H498" s="373"/>
      <x:c r="I498" s="373"/>
      <x:c r="J498" s="373"/>
      <x:c r="K498" s="373"/>
      <x:c r="L498" s="373"/>
      <x:c r="M498" s="373"/>
      <x:c r="N498" s="373"/>
      <x:c r="O498" s="373"/>
      <x:c r="P498" s="373"/>
      <x:c r="Q498" s="373"/>
      <x:c r="R498" s="373"/>
      <x:c r="S498" s="373"/>
      <x:c r="T498" s="373"/>
      <x:c r="U498" s="373"/>
      <x:c r="V498" s="373"/>
      <x:c r="W498" s="373"/>
      <x:c r="X498" s="373"/>
      <x:c r="Y498" s="373"/>
      <x:c r="Z498" s="373"/>
    </x:row>
    <x:row r="499">
      <x:c r="A499" s="373"/>
      <x:c r="B499" s="373"/>
      <x:c r="C499" s="373"/>
      <x:c r="D499" s="373"/>
      <x:c r="E499" s="373"/>
      <x:c r="F499" s="373"/>
      <x:c r="G499" s="373"/>
      <x:c r="H499" s="373"/>
      <x:c r="I499" s="373"/>
      <x:c r="J499" s="373"/>
      <x:c r="K499" s="373"/>
      <x:c r="L499" s="373"/>
      <x:c r="M499" s="373"/>
      <x:c r="N499" s="373"/>
      <x:c r="O499" s="373"/>
      <x:c r="P499" s="373"/>
      <x:c r="Q499" s="373"/>
      <x:c r="R499" s="373"/>
      <x:c r="S499" s="373"/>
      <x:c r="T499" s="373"/>
      <x:c r="U499" s="373"/>
      <x:c r="V499" s="373"/>
      <x:c r="W499" s="373"/>
      <x:c r="X499" s="373"/>
      <x:c r="Y499" s="373"/>
      <x:c r="Z499" s="373"/>
    </x:row>
    <x:row r="500">
      <x:c r="A500" s="373"/>
      <x:c r="B500" s="373"/>
      <x:c r="C500" s="373"/>
      <x:c r="D500" s="373"/>
      <x:c r="E500" s="373"/>
      <x:c r="F500" s="373"/>
      <x:c r="G500" s="373"/>
      <x:c r="H500" s="373"/>
      <x:c r="I500" s="373"/>
      <x:c r="J500" s="373"/>
      <x:c r="K500" s="373"/>
      <x:c r="L500" s="373"/>
      <x:c r="M500" s="373"/>
      <x:c r="N500" s="373"/>
      <x:c r="O500" s="373"/>
      <x:c r="P500" s="373"/>
      <x:c r="Q500" s="373"/>
      <x:c r="R500" s="373"/>
      <x:c r="S500" s="373"/>
      <x:c r="T500" s="373"/>
      <x:c r="U500" s="373"/>
      <x:c r="V500" s="373"/>
      <x:c r="W500" s="373"/>
      <x:c r="X500" s="373"/>
      <x:c r="Y500" s="373"/>
      <x:c r="Z500" s="373"/>
    </x:row>
  </x:sheetData>
  <x:mergeCells>
    <x:mergeCell ref="A1:J1"/>
    <x:mergeCell ref="A2:J2"/>
    <x:mergeCell ref="A4:J4"/>
    <x:mergeCell ref="A5:J6"/>
    <x:mergeCell ref="A8:J8"/>
    <x:mergeCell ref="A9:J10"/>
    <x:mergeCell ref="A12:J12"/>
    <x:mergeCell ref="A13:J14"/>
    <x:mergeCell ref="A16:J16"/>
    <x:mergeCell ref="A17:J18"/>
    <x:mergeCell ref="A20:J20"/>
    <x:mergeCell ref="A21:J22"/>
    <x:mergeCell ref="A24:J24"/>
    <x:mergeCell ref="A25:J26"/>
    <x:mergeCell ref="A28:J28"/>
    <x:mergeCell ref="A29:J30"/>
    <x:mergeCell ref="A32:J32"/>
    <x:mergeCell ref="A33:J34"/>
  </x:mergeCells>
  <x:pageMargins left="0.7" right="0.7" top="0.75" bottom="0.75" header="0.3" footer="0.3"/>
</x:worksheet>
</file>